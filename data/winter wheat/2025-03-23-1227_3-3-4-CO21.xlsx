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拉萨实验站\C3作物\winter wheat\"/>
    </mc:Choice>
  </mc:AlternateContent>
  <xr:revisionPtr revIDLastSave="0" documentId="13_ncr:1_{98FAEE6A-8D84-4796-B896-7E8ECA83C695}" xr6:coauthVersionLast="47" xr6:coauthVersionMax="47" xr10:uidLastSave="{00000000-0000-0000-0000-000000000000}"/>
  <bookViews>
    <workbookView xWindow="40650" yWindow="1950" windowWidth="23040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7" i="1" l="1"/>
  <c r="CW27" i="1"/>
  <c r="CU27" i="1"/>
  <c r="T27" i="1" s="1"/>
  <c r="BJ27" i="1"/>
  <c r="BI27" i="1"/>
  <c r="BA27" i="1"/>
  <c r="AU27" i="1"/>
  <c r="AO27" i="1"/>
  <c r="BB27" i="1" s="1"/>
  <c r="BE27" i="1" s="1"/>
  <c r="AJ27" i="1"/>
  <c r="AH27" i="1" s="1"/>
  <c r="L27" i="1" s="1"/>
  <c r="Z27" i="1"/>
  <c r="Y27" i="1"/>
  <c r="X27" i="1" s="1"/>
  <c r="Q27" i="1"/>
  <c r="CX26" i="1"/>
  <c r="CW26" i="1"/>
  <c r="CU26" i="1"/>
  <c r="BJ26" i="1"/>
  <c r="BI26" i="1"/>
  <c r="BA26" i="1"/>
  <c r="AU26" i="1"/>
  <c r="AO26" i="1"/>
  <c r="BB26" i="1" s="1"/>
  <c r="BE26" i="1" s="1"/>
  <c r="AJ26" i="1"/>
  <c r="AH26" i="1"/>
  <c r="O26" i="1" s="1"/>
  <c r="Z26" i="1"/>
  <c r="Y26" i="1"/>
  <c r="Q26" i="1"/>
  <c r="CX25" i="1"/>
  <c r="CW25" i="1"/>
  <c r="CU25" i="1"/>
  <c r="T25" i="1" s="1"/>
  <c r="BJ25" i="1"/>
  <c r="BI25" i="1"/>
  <c r="BA25" i="1"/>
  <c r="AU25" i="1"/>
  <c r="AO25" i="1"/>
  <c r="BB25" i="1" s="1"/>
  <c r="BE25" i="1" s="1"/>
  <c r="AJ25" i="1"/>
  <c r="AH25" i="1" s="1"/>
  <c r="O25" i="1" s="1"/>
  <c r="Z25" i="1"/>
  <c r="Y25" i="1"/>
  <c r="X25" i="1" s="1"/>
  <c r="Q25" i="1"/>
  <c r="CX24" i="1"/>
  <c r="CW24" i="1"/>
  <c r="CU24" i="1"/>
  <c r="BJ24" i="1"/>
  <c r="BI24" i="1"/>
  <c r="BA24" i="1"/>
  <c r="AU24" i="1"/>
  <c r="AO24" i="1"/>
  <c r="BB24" i="1" s="1"/>
  <c r="BE24" i="1" s="1"/>
  <c r="AJ24" i="1"/>
  <c r="AH24" i="1" s="1"/>
  <c r="J24" i="1" s="1"/>
  <c r="I24" i="1" s="1"/>
  <c r="Z24" i="1"/>
  <c r="Y24" i="1"/>
  <c r="Q24" i="1"/>
  <c r="CX23" i="1"/>
  <c r="CW23" i="1"/>
  <c r="CU23" i="1"/>
  <c r="T23" i="1" s="1"/>
  <c r="BJ23" i="1"/>
  <c r="BI23" i="1"/>
  <c r="BA23" i="1"/>
  <c r="AU23" i="1"/>
  <c r="AO23" i="1"/>
  <c r="BB23" i="1" s="1"/>
  <c r="BE23" i="1" s="1"/>
  <c r="AJ23" i="1"/>
  <c r="AH23" i="1"/>
  <c r="Z23" i="1"/>
  <c r="Y23" i="1"/>
  <c r="X23" i="1" s="1"/>
  <c r="Q23" i="1"/>
  <c r="CX22" i="1"/>
  <c r="CW22" i="1"/>
  <c r="CU22" i="1"/>
  <c r="BJ22" i="1"/>
  <c r="BI22" i="1"/>
  <c r="BA22" i="1"/>
  <c r="AU22" i="1"/>
  <c r="AO22" i="1"/>
  <c r="BB22" i="1" s="1"/>
  <c r="BE22" i="1" s="1"/>
  <c r="BF22" i="1" s="1"/>
  <c r="AJ22" i="1"/>
  <c r="AH22" i="1" s="1"/>
  <c r="O22" i="1" s="1"/>
  <c r="Z22" i="1"/>
  <c r="X22" i="1" s="1"/>
  <c r="Y22" i="1"/>
  <c r="Q22" i="1"/>
  <c r="CX21" i="1"/>
  <c r="CW21" i="1"/>
  <c r="CU21" i="1"/>
  <c r="CV21" i="1" s="1"/>
  <c r="AW21" i="1" s="1"/>
  <c r="BJ21" i="1"/>
  <c r="BI21" i="1"/>
  <c r="BA21" i="1"/>
  <c r="AU21" i="1"/>
  <c r="AO21" i="1"/>
  <c r="BB21" i="1" s="1"/>
  <c r="BE21" i="1" s="1"/>
  <c r="AJ21" i="1"/>
  <c r="AH21" i="1"/>
  <c r="AI21" i="1" s="1"/>
  <c r="Z21" i="1"/>
  <c r="Y21" i="1"/>
  <c r="X21" i="1" s="1"/>
  <c r="Q21" i="1"/>
  <c r="CX20" i="1"/>
  <c r="CW20" i="1"/>
  <c r="CU20" i="1"/>
  <c r="CV20" i="1" s="1"/>
  <c r="AW20" i="1" s="1"/>
  <c r="BJ20" i="1"/>
  <c r="BI20" i="1"/>
  <c r="BA20" i="1"/>
  <c r="AU20" i="1"/>
  <c r="AO20" i="1"/>
  <c r="BB20" i="1" s="1"/>
  <c r="BE20" i="1" s="1"/>
  <c r="AJ20" i="1"/>
  <c r="AH20" i="1" s="1"/>
  <c r="AI20" i="1" s="1"/>
  <c r="Z20" i="1"/>
  <c r="Y20" i="1"/>
  <c r="Q20" i="1"/>
  <c r="CX19" i="1"/>
  <c r="CW19" i="1"/>
  <c r="CU19" i="1"/>
  <c r="BJ19" i="1"/>
  <c r="BI19" i="1"/>
  <c r="BA19" i="1"/>
  <c r="AU19" i="1"/>
  <c r="AO19" i="1"/>
  <c r="BB19" i="1" s="1"/>
  <c r="BE19" i="1" s="1"/>
  <c r="AJ19" i="1"/>
  <c r="AH19" i="1" s="1"/>
  <c r="Z19" i="1"/>
  <c r="Y19" i="1"/>
  <c r="Q19" i="1"/>
  <c r="CX18" i="1"/>
  <c r="CW18" i="1"/>
  <c r="CU18" i="1"/>
  <c r="BJ18" i="1"/>
  <c r="BI18" i="1"/>
  <c r="BA18" i="1"/>
  <c r="AU18" i="1"/>
  <c r="AO18" i="1"/>
  <c r="BB18" i="1" s="1"/>
  <c r="BE18" i="1" s="1"/>
  <c r="AJ18" i="1"/>
  <c r="AH18" i="1" s="1"/>
  <c r="Z18" i="1"/>
  <c r="Y18" i="1"/>
  <c r="X18" i="1" s="1"/>
  <c r="Q18" i="1"/>
  <c r="CX17" i="1"/>
  <c r="CW17" i="1"/>
  <c r="CU17" i="1"/>
  <c r="T17" i="1" s="1"/>
  <c r="BJ17" i="1"/>
  <c r="BI17" i="1"/>
  <c r="BA17" i="1"/>
  <c r="AU17" i="1"/>
  <c r="AO17" i="1"/>
  <c r="BB17" i="1" s="1"/>
  <c r="BE17" i="1" s="1"/>
  <c r="AJ17" i="1"/>
  <c r="AH17" i="1" s="1"/>
  <c r="O17" i="1" s="1"/>
  <c r="Z17" i="1"/>
  <c r="Y17" i="1"/>
  <c r="Q17" i="1"/>
  <c r="K18" i="1" l="1"/>
  <c r="AX18" i="1" s="1"/>
  <c r="L18" i="1"/>
  <c r="CV19" i="1"/>
  <c r="AW19" i="1" s="1"/>
  <c r="X20" i="1"/>
  <c r="X19" i="1"/>
  <c r="T20" i="1"/>
  <c r="X26" i="1"/>
  <c r="AI19" i="1"/>
  <c r="K19" i="1"/>
  <c r="AX19" i="1" s="1"/>
  <c r="AZ19" i="1" s="1"/>
  <c r="J19" i="1"/>
  <c r="I19" i="1" s="1"/>
  <c r="AB19" i="1" s="1"/>
  <c r="O19" i="1"/>
  <c r="L19" i="1"/>
  <c r="T19" i="1"/>
  <c r="U19" i="1" s="1"/>
  <c r="V19" i="1" s="1"/>
  <c r="AY19" i="1"/>
  <c r="T24" i="1"/>
  <c r="U24" i="1" s="1"/>
  <c r="V24" i="1" s="1"/>
  <c r="R24" i="1" s="1"/>
  <c r="P24" i="1" s="1"/>
  <c r="S24" i="1" s="1"/>
  <c r="M24" i="1" s="1"/>
  <c r="N24" i="1" s="1"/>
  <c r="O27" i="1"/>
  <c r="K20" i="1"/>
  <c r="AX20" i="1" s="1"/>
  <c r="AZ20" i="1" s="1"/>
  <c r="L20" i="1"/>
  <c r="O20" i="1"/>
  <c r="T18" i="1"/>
  <c r="X24" i="1"/>
  <c r="O18" i="1"/>
  <c r="T22" i="1"/>
  <c r="CV26" i="1"/>
  <c r="AW26" i="1" s="1"/>
  <c r="AY26" i="1" s="1"/>
  <c r="AY20" i="1"/>
  <c r="X17" i="1"/>
  <c r="CV27" i="1"/>
  <c r="AW27" i="1" s="1"/>
  <c r="AY27" i="1" s="1"/>
  <c r="T26" i="1"/>
  <c r="CV18" i="1"/>
  <c r="AW18" i="1" s="1"/>
  <c r="AY18" i="1" s="1"/>
  <c r="J20" i="1"/>
  <c r="I20" i="1" s="1"/>
  <c r="AB20" i="1" s="1"/>
  <c r="BG21" i="1"/>
  <c r="BK21" i="1" s="1"/>
  <c r="BL21" i="1" s="1"/>
  <c r="BH21" i="1"/>
  <c r="BF21" i="1"/>
  <c r="AB24" i="1"/>
  <c r="U27" i="1"/>
  <c r="V27" i="1" s="1"/>
  <c r="BG22" i="1"/>
  <c r="BK22" i="1" s="1"/>
  <c r="BL22" i="1" s="1"/>
  <c r="BH27" i="1"/>
  <c r="BG27" i="1"/>
  <c r="BK27" i="1" s="1"/>
  <c r="BL27" i="1" s="1"/>
  <c r="BF27" i="1"/>
  <c r="T21" i="1"/>
  <c r="CV25" i="1"/>
  <c r="AW25" i="1" s="1"/>
  <c r="AY25" i="1" s="1"/>
  <c r="CV17" i="1"/>
  <c r="AW17" i="1" s="1"/>
  <c r="AY17" i="1" s="1"/>
  <c r="K25" i="1"/>
  <c r="AX25" i="1" s="1"/>
  <c r="AZ25" i="1" s="1"/>
  <c r="K26" i="1"/>
  <c r="AX26" i="1" s="1"/>
  <c r="BG20" i="1"/>
  <c r="BK20" i="1" s="1"/>
  <c r="BL20" i="1" s="1"/>
  <c r="BF20" i="1"/>
  <c r="BH20" i="1"/>
  <c r="AI17" i="1"/>
  <c r="L25" i="1"/>
  <c r="L26" i="1"/>
  <c r="J27" i="1"/>
  <c r="I27" i="1" s="1"/>
  <c r="O23" i="1"/>
  <c r="J23" i="1"/>
  <c r="I23" i="1" s="1"/>
  <c r="K23" i="1"/>
  <c r="AX23" i="1" s="1"/>
  <c r="L23" i="1"/>
  <c r="AI23" i="1"/>
  <c r="BF25" i="1"/>
  <c r="BH25" i="1"/>
  <c r="BG25" i="1"/>
  <c r="BK25" i="1" s="1"/>
  <c r="BL25" i="1" s="1"/>
  <c r="AI18" i="1"/>
  <c r="BH18" i="1"/>
  <c r="BG18" i="1"/>
  <c r="BK18" i="1" s="1"/>
  <c r="BL18" i="1" s="1"/>
  <c r="BF18" i="1"/>
  <c r="CV23" i="1"/>
  <c r="AW23" i="1" s="1"/>
  <c r="AY23" i="1" s="1"/>
  <c r="J26" i="1"/>
  <c r="I26" i="1" s="1"/>
  <c r="K17" i="1"/>
  <c r="AX17" i="1" s="1"/>
  <c r="K27" i="1"/>
  <c r="AX27" i="1" s="1"/>
  <c r="AZ27" i="1" s="1"/>
  <c r="AY21" i="1"/>
  <c r="O24" i="1"/>
  <c r="K24" i="1"/>
  <c r="AX24" i="1" s="1"/>
  <c r="L24" i="1"/>
  <c r="AI24" i="1"/>
  <c r="BH23" i="1"/>
  <c r="BG23" i="1"/>
  <c r="BK23" i="1" s="1"/>
  <c r="BL23" i="1" s="1"/>
  <c r="BF23" i="1"/>
  <c r="AI25" i="1"/>
  <c r="BH22" i="1"/>
  <c r="AI27" i="1"/>
  <c r="BG19" i="1"/>
  <c r="BK19" i="1" s="1"/>
  <c r="BL19" i="1" s="1"/>
  <c r="BH19" i="1"/>
  <c r="BF19" i="1"/>
  <c r="J25" i="1"/>
  <c r="I25" i="1" s="1"/>
  <c r="L17" i="1"/>
  <c r="J18" i="1"/>
  <c r="I18" i="1" s="1"/>
  <c r="BH24" i="1"/>
  <c r="BG24" i="1"/>
  <c r="BK24" i="1" s="1"/>
  <c r="BL24" i="1" s="1"/>
  <c r="BF24" i="1"/>
  <c r="AI26" i="1"/>
  <c r="BH26" i="1"/>
  <c r="BG26" i="1"/>
  <c r="BK26" i="1" s="1"/>
  <c r="BL26" i="1" s="1"/>
  <c r="BF26" i="1"/>
  <c r="BG17" i="1"/>
  <c r="BK17" i="1" s="1"/>
  <c r="BL17" i="1" s="1"/>
  <c r="BF17" i="1"/>
  <c r="BH17" i="1"/>
  <c r="CV24" i="1"/>
  <c r="AW24" i="1" s="1"/>
  <c r="AY24" i="1" s="1"/>
  <c r="CV22" i="1"/>
  <c r="AW22" i="1" s="1"/>
  <c r="AY22" i="1" s="1"/>
  <c r="J17" i="1"/>
  <c r="I17" i="1" s="1"/>
  <c r="U17" i="1" s="1"/>
  <c r="V17" i="1" s="1"/>
  <c r="K21" i="1"/>
  <c r="AX21" i="1" s="1"/>
  <c r="AZ21" i="1" s="1"/>
  <c r="AI22" i="1"/>
  <c r="L21" i="1"/>
  <c r="O21" i="1"/>
  <c r="J22" i="1"/>
  <c r="I22" i="1" s="1"/>
  <c r="J21" i="1"/>
  <c r="I21" i="1" s="1"/>
  <c r="K22" i="1"/>
  <c r="AX22" i="1" s="1"/>
  <c r="L22" i="1"/>
  <c r="AZ26" i="1" l="1"/>
  <c r="U20" i="1"/>
  <c r="V20" i="1" s="1"/>
  <c r="R20" i="1" s="1"/>
  <c r="P20" i="1" s="1"/>
  <c r="S20" i="1" s="1"/>
  <c r="M20" i="1" s="1"/>
  <c r="N20" i="1" s="1"/>
  <c r="U18" i="1"/>
  <c r="V18" i="1" s="1"/>
  <c r="U22" i="1"/>
  <c r="V22" i="1" s="1"/>
  <c r="U26" i="1"/>
  <c r="V26" i="1" s="1"/>
  <c r="AZ24" i="1"/>
  <c r="AZ18" i="1"/>
  <c r="W17" i="1"/>
  <c r="AA17" i="1" s="1"/>
  <c r="AD17" i="1"/>
  <c r="AC17" i="1"/>
  <c r="W26" i="1"/>
  <c r="AA26" i="1" s="1"/>
  <c r="AC26" i="1"/>
  <c r="AD26" i="1"/>
  <c r="AD27" i="1"/>
  <c r="W27" i="1"/>
  <c r="AA27" i="1" s="1"/>
  <c r="AD22" i="1"/>
  <c r="W22" i="1"/>
  <c r="AA22" i="1" s="1"/>
  <c r="AC22" i="1"/>
  <c r="R25" i="1"/>
  <c r="P25" i="1" s="1"/>
  <c r="S25" i="1" s="1"/>
  <c r="M25" i="1" s="1"/>
  <c r="N25" i="1" s="1"/>
  <c r="AB25" i="1"/>
  <c r="AZ22" i="1"/>
  <c r="AD19" i="1"/>
  <c r="W19" i="1"/>
  <c r="AA19" i="1" s="1"/>
  <c r="AC27" i="1"/>
  <c r="AB18" i="1"/>
  <c r="R18" i="1"/>
  <c r="P18" i="1" s="1"/>
  <c r="S18" i="1" s="1"/>
  <c r="M18" i="1" s="1"/>
  <c r="N18" i="1" s="1"/>
  <c r="AZ23" i="1"/>
  <c r="U25" i="1"/>
  <c r="V25" i="1" s="1"/>
  <c r="AB21" i="1"/>
  <c r="U21" i="1"/>
  <c r="V21" i="1" s="1"/>
  <c r="AC19" i="1"/>
  <c r="W24" i="1"/>
  <c r="AA24" i="1" s="1"/>
  <c r="AC24" i="1"/>
  <c r="AD24" i="1"/>
  <c r="AE24" i="1" s="1"/>
  <c r="R19" i="1"/>
  <c r="P19" i="1" s="1"/>
  <c r="S19" i="1" s="1"/>
  <c r="M19" i="1" s="1"/>
  <c r="N19" i="1" s="1"/>
  <c r="AB26" i="1"/>
  <c r="R26" i="1"/>
  <c r="P26" i="1" s="1"/>
  <c r="S26" i="1" s="1"/>
  <c r="M26" i="1" s="1"/>
  <c r="N26" i="1" s="1"/>
  <c r="W18" i="1"/>
  <c r="AA18" i="1" s="1"/>
  <c r="AC18" i="1"/>
  <c r="AD18" i="1"/>
  <c r="R17" i="1"/>
  <c r="P17" i="1" s="1"/>
  <c r="S17" i="1" s="1"/>
  <c r="M17" i="1" s="1"/>
  <c r="N17" i="1" s="1"/>
  <c r="AB17" i="1"/>
  <c r="AB23" i="1"/>
  <c r="R22" i="1"/>
  <c r="P22" i="1" s="1"/>
  <c r="S22" i="1" s="1"/>
  <c r="M22" i="1" s="1"/>
  <c r="N22" i="1" s="1"/>
  <c r="AB22" i="1"/>
  <c r="U23" i="1"/>
  <c r="V23" i="1" s="1"/>
  <c r="AZ17" i="1"/>
  <c r="AB27" i="1"/>
  <c r="R27" i="1"/>
  <c r="P27" i="1" s="1"/>
  <c r="S27" i="1" s="1"/>
  <c r="M27" i="1" s="1"/>
  <c r="N27" i="1" s="1"/>
  <c r="AC20" i="1" l="1"/>
  <c r="AD20" i="1"/>
  <c r="AE20" i="1" s="1"/>
  <c r="W20" i="1"/>
  <c r="AA20" i="1" s="1"/>
  <c r="AE27" i="1"/>
  <c r="AE18" i="1"/>
  <c r="AE19" i="1"/>
  <c r="AE26" i="1"/>
  <c r="W25" i="1"/>
  <c r="AA25" i="1" s="1"/>
  <c r="AC25" i="1"/>
  <c r="AD25" i="1"/>
  <c r="AE25" i="1" s="1"/>
  <c r="AE17" i="1"/>
  <c r="AC23" i="1"/>
  <c r="W23" i="1"/>
  <c r="AA23" i="1" s="1"/>
  <c r="AD23" i="1"/>
  <c r="AE23" i="1" s="1"/>
  <c r="AE22" i="1"/>
  <c r="R23" i="1"/>
  <c r="P23" i="1" s="1"/>
  <c r="S23" i="1" s="1"/>
  <c r="M23" i="1" s="1"/>
  <c r="N23" i="1" s="1"/>
  <c r="AC21" i="1"/>
  <c r="AD21" i="1"/>
  <c r="AE21" i="1" s="1"/>
  <c r="W21" i="1"/>
  <c r="AA21" i="1" s="1"/>
  <c r="R21" i="1"/>
  <c r="P21" i="1" s="1"/>
  <c r="S21" i="1" s="1"/>
  <c r="M21" i="1" s="1"/>
  <c r="N21" i="1" s="1"/>
</calcChain>
</file>

<file path=xl/sharedStrings.xml><?xml version="1.0" encoding="utf-8"?>
<sst xmlns="http://schemas.openxmlformats.org/spreadsheetml/2006/main" count="998" uniqueCount="466">
  <si>
    <t>File opened</t>
  </si>
  <si>
    <t>2025-03-23 12:27:24</t>
  </si>
  <si>
    <t>Console s/n</t>
  </si>
  <si>
    <t>68C-831466</t>
  </si>
  <si>
    <t>Console ver</t>
  </si>
  <si>
    <t>Bluestem v.2.1.09</t>
  </si>
  <si>
    <t>Scripts ver</t>
  </si>
  <si>
    <t>2022.06  2.1.09, Dec 2022</t>
  </si>
  <si>
    <t>Head s/n</t>
  </si>
  <si>
    <t>68H-581466</t>
  </si>
  <si>
    <t>Head ver</t>
  </si>
  <si>
    <t>1.4.22</t>
  </si>
  <si>
    <t>Head cal</t>
  </si>
  <si>
    <t>{"co2aspan1": "1.00041", "co2bspanconc1": "2500", "tazero": "0.0360317", "co2bspan1": "1.00065", "h2obspanconc1": "12.19", "h2obspan2b": "0.0707396", "co2bspan2a": "0.2895", "flowazero": "0.32141", "h2oaspan2b": "0.0702245", "h2oaspan1": "1.00892", "co2aspanconc1": "2500", "co2bspanconc2": "296.4", "chamberpressurezero": "2.59849", "h2oaspan2": "0", "ssb_ref": "38055.7", "co2aspanconc2": "296.4", "h2obspan2a": "0.0718603", "oxygen": "21", "co2bspan2b": "0.286965", "co2aspan2b": "0.280855", "h2oaspanconc2": "0", "h2oazero": "1.0921", "h2oaspan2a": "0.0696039", "co2azero": "1.01306", "ssa_ref": "33370.9", "co2aspan2": "-0.0310123", "h2obspan1": "0.984405", "flowbzero": "0.29782", "h2obspan2": "0", "co2bspan2": "-0.0324831", "co2bzero": "0.939697", "co2aspan2a": "0.283228", "h2oaspanconc1": "12.19", "h2obspanconc2": "0", "flowmeterzero": "2.496", "h2obzero": "1.0866", "tbzero": "0.125013"}</t>
  </si>
  <si>
    <t>CO2 rangematch</t>
  </si>
  <si>
    <t>Thu May 16 10:16</t>
  </si>
  <si>
    <t>H2O rangematch</t>
  </si>
  <si>
    <t>Fri May 17 09:32</t>
  </si>
  <si>
    <t>Chamber type</t>
  </si>
  <si>
    <t>6800-01A</t>
  </si>
  <si>
    <t>Chamber s/n</t>
  </si>
  <si>
    <t>MPF-651371</t>
  </si>
  <si>
    <t>Chamber rev</t>
  </si>
  <si>
    <t>0</t>
  </si>
  <si>
    <t>Chamber cal</t>
  </si>
  <si>
    <t>Fluorometer</t>
  </si>
  <si>
    <t>Flr. Version</t>
  </si>
  <si>
    <t>12:27:24</t>
  </si>
  <si>
    <t>Stability Definition:	ΔH2O (Meas2): Slp&lt;0.1 Per=20	ΔCO2 (Meas2): Slp&lt;0.5 Per=20	F (FlrLS): Slp&lt;1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</si>
  <si>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</si>
  <si>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</si>
  <si>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</si>
  <si>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</si>
  <si>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</si>
  <si>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</si>
  <si>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</si>
  <si>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</si>
  <si>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</si>
  <si>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</si>
  <si>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</si>
  <si>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</si>
  <si>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</si>
  <si>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</si>
  <si>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</si>
  <si>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</si>
  <si>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</si>
  <si>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</si>
  <si>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</si>
  <si>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</si>
  <si>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</si>
  <si>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</si>
  <si>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</si>
  <si>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</si>
  <si>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</si>
  <si>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</si>
  <si>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</si>
  <si>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</si>
  <si>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</si>
  <si>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</si>
  <si>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</si>
  <si>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</si>
  <si>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</si>
  <si>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</si>
  <si>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</si>
  <si>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</si>
  <si>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</si>
  <si>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</si>
  <si>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</si>
  <si>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</si>
  <si>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</si>
  <si>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</si>
  <si>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</si>
  <si>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</si>
  <si>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</si>
  <si>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</si>
  <si>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</si>
  <si>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</si>
  <si>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</si>
  <si>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</si>
  <si>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</si>
  <si>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4.13527 184.194 297.091 6.57423 0.749154 49.3738 532.887 760.424</t>
  </si>
  <si>
    <t>Fs_true</t>
  </si>
  <si>
    <t>0.825898 232.506 394.77 603.69 840.458 1018.23 1198.43 1402.32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</si>
  <si>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</si>
  <si>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</si>
  <si>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</si>
  <si>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</si>
  <si>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</si>
  <si>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</si>
  <si>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</si>
  <si>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</si>
  <si>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</si>
  <si>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</si>
  <si>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</si>
  <si>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</si>
  <si>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</si>
  <si>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</si>
  <si>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</si>
  <si>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</si>
  <si>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</si>
  <si>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</si>
  <si>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</si>
  <si>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</si>
  <si>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</si>
  <si>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</si>
  <si>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</si>
  <si>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</si>
  <si>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</si>
  <si>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</si>
  <si>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</si>
  <si>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</si>
  <si>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xm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</si>
  <si>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</si>
  <si>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</si>
  <si>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</si>
  <si>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</si>
  <si>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</si>
  <si>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</si>
  <si>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</si>
  <si>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</si>
  <si>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</si>
  <si>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</si>
  <si>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</si>
  <si>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</si>
  <si>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</si>
  <si>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</si>
  <si>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</si>
  <si>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</si>
  <si>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</si>
  <si>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</si>
  <si>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</si>
  <si>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</si>
  <si>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</si>
  <si>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</si>
  <si>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</si>
  <si>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</si>
  <si>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</si>
  <si>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</si>
  <si>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</si>
  <si>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</si>
  <si>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</si>
  <si>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</si>
  <si>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</si>
  <si>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</si>
  <si>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</si>
  <si>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</si>
  <si>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</si>
  <si>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</si>
  <si>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</si>
  <si>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</si>
  <si>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</si>
  <si>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</si>
  <si>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</si>
  <si>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</si>
  <si>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</si>
  <si>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</si>
  <si>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</si>
  <si>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</si>
  <si>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</si>
  <si>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</si>
  <si>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</si>
  <si>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</si>
  <si>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</si>
  <si>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</si>
  <si>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</si>
  <si>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</si>
  <si>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</si>
  <si>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</si>
  <si>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</si>
  <si>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</si>
  <si>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</si>
  <si>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</si>
  <si>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</si>
  <si>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</si>
  <si>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</si>
  <si>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</si>
  <si>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</si>
  <si>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</si>
  <si>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</si>
  <si>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</si>
  <si>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</si>
  <si>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</si>
  <si>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</si>
  <si>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</si>
  <si>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</si>
  <si>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</si>
  <si>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</si>
  <si>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</si>
  <si>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</si>
  <si>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</si>
  <si>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</si>
  <si>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</si>
  <si>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</si>
  <si>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</si>
  <si>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</si>
  <si>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</si>
  <si>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</si>
  <si>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</si>
  <si>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</si>
  <si>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</si>
  <si>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</si>
  <si>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</si>
  <si>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</si>
  <si>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</si>
  <si>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</si>
  <si>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</si>
  <si>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</si>
  <si>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</si>
  <si>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</si>
  <si>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</si>
  <si>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</si>
  <si>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</si>
  <si>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</si>
  <si>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</si>
  <si>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</si>
  <si>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</si>
  <si>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</si>
  <si>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</si>
  <si>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</si>
  <si>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</si>
  <si>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</si>
  <si>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</si>
  <si>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</si>
  <si>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</si>
  <si>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</si>
  <si>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</si>
  <si>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</si>
  <si>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</si>
  <si>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</si>
  <si>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</si>
  <si>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</si>
  <si>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</si>
  <si>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</si>
  <si>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</si>
  <si>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</si>
  <si>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</si>
  <si>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</si>
  <si>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</si>
  <si>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</si>
  <si>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</si>
  <si>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</si>
  <si>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</si>
  <si>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</si>
  <si>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</si>
  <si>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</si>
  <si>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</si>
  <si>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</si>
  <si>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</si>
  <si>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</si>
  <si>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</si>
  <si>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</si>
  <si>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</si>
  <si>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</si>
  <si>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</si>
  <si>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</si>
  <si>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</si>
  <si>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</si>
  <si>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</si>
  <si>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</si>
  <si>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</si>
  <si>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</si>
  <si>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</si>
  <si>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</si>
  <si>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</si>
  <si>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</si>
  <si>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</si>
  <si>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</si>
  <si>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</si>
  <si>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</si>
  <si>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</si>
  <si>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</si>
  <si>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</si>
  <si>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</si>
  <si>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</si>
  <si>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</si>
  <si>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</si>
  <si>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</si>
  <si>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</si>
  <si>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</si>
  <si>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</si>
  <si>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</si>
  <si>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</si>
  <si>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</si>
  <si>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</si>
  <si>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</si>
  <si>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</si>
  <si>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</si>
  <si>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</si>
  <si>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</si>
  <si>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</si>
  <si>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</si>
  <si>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</si>
  <si>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</si>
  <si>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</si>
  <si>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</si>
  <si>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</si>
  <si>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</si>
  <si>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</si>
  <si>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</si>
  <si>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</si>
  <si>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</si>
  <si>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</si>
  <si>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</si>
  <si>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</si>
  <si>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</si>
  <si>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</si>
  <si>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</si>
  <si>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</si>
  <si>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</si>
  <si>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</si>
  <si>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</si>
  <si>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</si>
  <si>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</si>
  <si>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</si>
  <si>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</si>
  <si>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</si>
  <si>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</si>
  <si>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</si>
  <si>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</si>
  <si>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</si>
  <si>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</si>
  <si>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</si>
  <si>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</si>
  <si>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</si>
  <si>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</si>
  <si>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</si>
  <si>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</si>
  <si>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</si>
  <si>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</si>
  <si>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</si>
  <si>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</si>
  <si>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</si>
  <si>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</si>
  <si>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</si>
  <si>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</si>
  <si>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</si>
  <si>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</si>
  <si>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</si>
  <si>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</si>
  <si>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</si>
  <si>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</si>
  <si>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</si>
  <si>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</si>
  <si>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</si>
  <si>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</si>
  <si>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</si>
  <si>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</si>
  <si>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</si>
  <si>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</si>
  <si>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</si>
  <si>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</si>
  <si>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</si>
  <si>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</si>
  <si>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</si>
  <si>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</si>
  <si>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</si>
  <si>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</si>
  <si>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</si>
  <si>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</si>
  <si>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</si>
  <si>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</si>
  <si>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</si>
  <si>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</si>
  <si>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</si>
  <si>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</si>
  <si>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</si>
  <si>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</si>
  <si>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</si>
  <si>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</si>
  <si>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</si>
  <si>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</si>
  <si>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</si>
  <si>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</si>
  <si>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</si>
  <si>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</si>
  <si>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</si>
  <si>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</si>
  <si>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</si>
  <si>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</si>
  <si>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</si>
  <si>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</si>
  <si>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</si>
  <si>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</si>
  <si>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</si>
  <si>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</si>
  <si>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</si>
  <si>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</si>
  <si>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</si>
  <si>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</si>
  <si>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</si>
  <si>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</si>
  <si>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</si>
  <si>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</si>
  <si>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</si>
  <si>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</si>
  <si>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</si>
  <si>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</si>
  <si>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</si>
  <si>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</si>
  <si>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</si>
  <si>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</si>
  <si>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</si>
  <si>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</si>
  <si>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</si>
  <si>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</si>
  <si>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</si>
  <si>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</si>
  <si>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</si>
  <si>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</si>
  <si>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</si>
  <si>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</si>
  <si>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</si>
  <si>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</si>
  <si>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MPF-1697-20250323-11_03_40</t>
  </si>
  <si>
    <t>-</t>
  </si>
  <si>
    <t>0: Broadleaf</t>
  </si>
  <si>
    <t>3/3</t>
  </si>
  <si>
    <t>11111111</t>
  </si>
  <si>
    <t>oooooooo</t>
  </si>
  <si>
    <t>off</t>
  </si>
  <si>
    <t>20250321 13:06:27</t>
  </si>
  <si>
    <t>13:06:27</t>
  </si>
  <si>
    <t>MPF-1704-20250323-13_05_14</t>
  </si>
  <si>
    <t>13:06:56</t>
  </si>
  <si>
    <t>2/3</t>
  </si>
  <si>
    <t>20250321 13:08:59</t>
  </si>
  <si>
    <t>13:08:59</t>
  </si>
  <si>
    <t>MPF-1705-20250323-13_07_46</t>
  </si>
  <si>
    <t>13:09:33</t>
  </si>
  <si>
    <t>20250321 13:12:05</t>
  </si>
  <si>
    <t>13:12:05</t>
  </si>
  <si>
    <t>MPF-1706-20250323-13_10_51</t>
  </si>
  <si>
    <t>13:10:53</t>
  </si>
  <si>
    <t>1/3</t>
  </si>
  <si>
    <t>20250321 13:14:38</t>
  </si>
  <si>
    <t>13:14:38</t>
  </si>
  <si>
    <t>MPF-1707-20250323-13_13_25</t>
  </si>
  <si>
    <t>13:15:07</t>
  </si>
  <si>
    <t>20250321 13:26:54</t>
  </si>
  <si>
    <t>13:26:54</t>
  </si>
  <si>
    <t>MPF-1712-20250323-13_25_40</t>
  </si>
  <si>
    <t>13:26:04</t>
  </si>
  <si>
    <t>20250321 13:29:19</t>
  </si>
  <si>
    <t>13:29:19</t>
  </si>
  <si>
    <t>MPF-1713-20250323-13_28_05</t>
  </si>
  <si>
    <t>13:28:08</t>
  </si>
  <si>
    <t>20250321 13:31:52</t>
  </si>
  <si>
    <t>13:31:52</t>
  </si>
  <si>
    <t>MPF-1714-20250323-13_30_38</t>
  </si>
  <si>
    <t>13:30:42</t>
  </si>
  <si>
    <t>20250321 13:33:55</t>
  </si>
  <si>
    <t>13:33:55</t>
  </si>
  <si>
    <t>MPF-1715-20250323-13_32_41</t>
  </si>
  <si>
    <t>13:33:04</t>
  </si>
  <si>
    <t>20250321 13:35:58</t>
  </si>
  <si>
    <t>13:35:58</t>
  </si>
  <si>
    <t>MPF-1716-20250323-13_34_45</t>
  </si>
  <si>
    <t>13:36:33</t>
  </si>
  <si>
    <t>20250321 13:38:48</t>
  </si>
  <si>
    <t>13:38:48</t>
  </si>
  <si>
    <t>MPF-1717-20250323-13_37_35</t>
  </si>
  <si>
    <t>13:37:47</t>
  </si>
  <si>
    <t>20250321 13:41:22</t>
  </si>
  <si>
    <t>13:41:22</t>
  </si>
  <si>
    <t>MPF-1718-20250323-13_40_09</t>
  </si>
  <si>
    <t>13:41:51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</si>
</sst>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W27"/>
  <sheetViews>
    <sheetView tabSelected="1" topLeftCell="A7" workbookViewId="0">
      <selection activeCell="Q10" sqref="Q10"/>
    </sheetView>
  </sheetViews>
  <sheetFormatPr defaultRowHeight="14.4" x14ac:dyDescent="0.25"/>
  <sheetData>
    <row r="2" spans="1:283" x14ac:dyDescent="0.25">
      <c r="A2" t="s">
        <v>29</v>
      </c>
      <c r="B2" t="s">
        <v>30</v>
      </c>
      <c r="C2" t="s">
        <v>31</v>
      </c>
    </row>
    <row r="3" spans="1:283" x14ac:dyDescent="0.25">
      <c r="B3">
        <v>4</v>
      </c>
      <c r="C3">
        <v>21</v>
      </c>
    </row>
    <row r="4" spans="1:283" x14ac:dyDescent="0.25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3" x14ac:dyDescent="0.25">
      <c r="B5" t="s">
        <v>19</v>
      </c>
      <c r="C5" t="s">
        <v>35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3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3" x14ac:dyDescent="0.25">
      <c r="B7">
        <v>0</v>
      </c>
      <c r="C7">
        <v>1</v>
      </c>
      <c r="D7">
        <v>0</v>
      </c>
      <c r="E7">
        <v>0</v>
      </c>
    </row>
    <row r="8" spans="1:283" x14ac:dyDescent="0.25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3" x14ac:dyDescent="0.25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3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3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3" x14ac:dyDescent="0.25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0</v>
      </c>
    </row>
    <row r="14" spans="1:283" x14ac:dyDescent="0.25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90</v>
      </c>
      <c r="CI14" t="s">
        <v>90</v>
      </c>
      <c r="CJ14" t="s">
        <v>90</v>
      </c>
      <c r="CK14" t="s">
        <v>90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90</v>
      </c>
      <c r="CR14" t="s">
        <v>90</v>
      </c>
      <c r="CS14" t="s">
        <v>90</v>
      </c>
      <c r="CT14" t="s">
        <v>90</v>
      </c>
      <c r="CU14" t="s">
        <v>91</v>
      </c>
      <c r="CV14" t="s">
        <v>91</v>
      </c>
      <c r="CW14" t="s">
        <v>91</v>
      </c>
      <c r="CX14" t="s">
        <v>91</v>
      </c>
      <c r="CY14" t="s">
        <v>92</v>
      </c>
      <c r="CZ14" t="s">
        <v>92</v>
      </c>
      <c r="DA14" t="s">
        <v>92</v>
      </c>
      <c r="DB14" t="s">
        <v>92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94</v>
      </c>
      <c r="EB14" t="s">
        <v>94</v>
      </c>
      <c r="EC14" t="s">
        <v>94</v>
      </c>
      <c r="ED14" t="s">
        <v>94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95</v>
      </c>
      <c r="EU14" t="s">
        <v>95</v>
      </c>
      <c r="EV14" t="s">
        <v>95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97</v>
      </c>
      <c r="FN14" t="s">
        <v>97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  <c r="HC14" t="s">
        <v>100</v>
      </c>
      <c r="HD14" t="s">
        <v>100</v>
      </c>
      <c r="HE14" t="s">
        <v>100</v>
      </c>
      <c r="HF14" t="s">
        <v>100</v>
      </c>
      <c r="HG14" t="s">
        <v>100</v>
      </c>
      <c r="HH14" t="s">
        <v>100</v>
      </c>
      <c r="HI14" t="s">
        <v>100</v>
      </c>
      <c r="HJ14" t="s">
        <v>100</v>
      </c>
      <c r="HK14" t="s">
        <v>100</v>
      </c>
      <c r="HL14" t="s">
        <v>100</v>
      </c>
      <c r="HM14" t="s">
        <v>100</v>
      </c>
      <c r="HN14" t="s">
        <v>100</v>
      </c>
      <c r="HO14" t="s">
        <v>101</v>
      </c>
      <c r="HP14" t="s">
        <v>101</v>
      </c>
      <c r="HQ14" t="s">
        <v>101</v>
      </c>
      <c r="HR14" t="s">
        <v>101</v>
      </c>
      <c r="HS14" t="s">
        <v>101</v>
      </c>
      <c r="HT14" t="s">
        <v>101</v>
      </c>
      <c r="HU14" t="s">
        <v>101</v>
      </c>
      <c r="HV14" t="s">
        <v>101</v>
      </c>
      <c r="HW14" t="s">
        <v>101</v>
      </c>
      <c r="HX14" t="s">
        <v>101</v>
      </c>
      <c r="HY14" t="s">
        <v>101</v>
      </c>
      <c r="HZ14" t="s">
        <v>101</v>
      </c>
      <c r="IA14" t="s">
        <v>101</v>
      </c>
      <c r="IB14" t="s">
        <v>101</v>
      </c>
      <c r="IC14" t="s">
        <v>101</v>
      </c>
      <c r="ID14" t="s">
        <v>101</v>
      </c>
      <c r="IE14" t="s">
        <v>101</v>
      </c>
      <c r="IF14" t="s">
        <v>101</v>
      </c>
      <c r="IG14" t="s">
        <v>101</v>
      </c>
      <c r="IH14" t="s">
        <v>102</v>
      </c>
      <c r="II14" t="s">
        <v>102</v>
      </c>
      <c r="IJ14" t="s">
        <v>102</v>
      </c>
      <c r="IK14" t="s">
        <v>102</v>
      </c>
      <c r="IL14" t="s">
        <v>102</v>
      </c>
      <c r="IM14" t="s">
        <v>102</v>
      </c>
      <c r="IN14" t="s">
        <v>102</v>
      </c>
      <c r="IO14" t="s">
        <v>102</v>
      </c>
      <c r="IP14" t="s">
        <v>102</v>
      </c>
      <c r="IQ14" t="s">
        <v>102</v>
      </c>
      <c r="IR14" t="s">
        <v>102</v>
      </c>
      <c r="IS14" t="s">
        <v>102</v>
      </c>
      <c r="IT14" t="s">
        <v>102</v>
      </c>
      <c r="IU14" t="s">
        <v>102</v>
      </c>
      <c r="IV14" t="s">
        <v>102</v>
      </c>
      <c r="IW14" t="s">
        <v>102</v>
      </c>
      <c r="IX14" t="s">
        <v>102</v>
      </c>
      <c r="IY14" t="s">
        <v>102</v>
      </c>
      <c r="IZ14" t="s">
        <v>103</v>
      </c>
      <c r="JA14" t="s">
        <v>103</v>
      </c>
      <c r="JB14" t="s">
        <v>103</v>
      </c>
      <c r="JC14" t="s">
        <v>103</v>
      </c>
      <c r="JD14" t="s">
        <v>103</v>
      </c>
      <c r="JE14" t="s">
        <v>103</v>
      </c>
      <c r="JF14" t="s">
        <v>103</v>
      </c>
      <c r="JG14" t="s">
        <v>103</v>
      </c>
      <c r="JH14" t="s">
        <v>104</v>
      </c>
      <c r="JI14" t="s">
        <v>104</v>
      </c>
      <c r="JJ14" t="s">
        <v>104</v>
      </c>
      <c r="JK14" t="s">
        <v>104</v>
      </c>
      <c r="JL14" t="s">
        <v>104</v>
      </c>
      <c r="JM14" t="s">
        <v>104</v>
      </c>
      <c r="JN14" t="s">
        <v>104</v>
      </c>
      <c r="JO14" t="s">
        <v>104</v>
      </c>
      <c r="JP14" t="s">
        <v>104</v>
      </c>
      <c r="JQ14" t="s">
        <v>104</v>
      </c>
      <c r="JR14" t="s">
        <v>104</v>
      </c>
      <c r="JS14" t="s">
        <v>104</v>
      </c>
      <c r="JT14" t="s">
        <v>104</v>
      </c>
      <c r="JU14" t="s">
        <v>104</v>
      </c>
      <c r="JV14" t="s">
        <v>104</v>
      </c>
      <c r="JW14" t="s">
        <v>104</v>
      </c>
    </row>
    <row r="15" spans="1:283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129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87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163</v>
      </c>
      <c r="BI15" t="s">
        <v>164</v>
      </c>
      <c r="BJ15" t="s">
        <v>165</v>
      </c>
      <c r="BK15" t="s">
        <v>166</v>
      </c>
      <c r="BL15" t="s">
        <v>167</v>
      </c>
      <c r="BM15" t="s">
        <v>168</v>
      </c>
      <c r="BN15" t="s">
        <v>169</v>
      </c>
      <c r="BO15" t="s">
        <v>170</v>
      </c>
      <c r="BP15" t="s">
        <v>171</v>
      </c>
      <c r="BQ15" t="s">
        <v>172</v>
      </c>
      <c r="BR15" t="s">
        <v>173</v>
      </c>
      <c r="BS15" t="s">
        <v>174</v>
      </c>
      <c r="BT15" t="s">
        <v>175</v>
      </c>
      <c r="BU15" t="s">
        <v>176</v>
      </c>
      <c r="BV15" t="s">
        <v>177</v>
      </c>
      <c r="BW15" t="s">
        <v>178</v>
      </c>
      <c r="BX15" t="s">
        <v>179</v>
      </c>
      <c r="BY15" t="s">
        <v>180</v>
      </c>
      <c r="BZ15" t="s">
        <v>181</v>
      </c>
      <c r="CA15" t="s">
        <v>182</v>
      </c>
      <c r="CB15" t="s">
        <v>183</v>
      </c>
      <c r="CC15" t="s">
        <v>184</v>
      </c>
      <c r="CD15" t="s">
        <v>185</v>
      </c>
      <c r="CE15" t="s">
        <v>186</v>
      </c>
      <c r="CF15" t="s">
        <v>187</v>
      </c>
      <c r="CG15" t="s">
        <v>188</v>
      </c>
      <c r="CH15" t="s">
        <v>168</v>
      </c>
      <c r="CI15" t="s">
        <v>189</v>
      </c>
      <c r="CJ15" t="s">
        <v>190</v>
      </c>
      <c r="CK15" t="s">
        <v>191</v>
      </c>
      <c r="CL15" t="s">
        <v>142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112</v>
      </c>
      <c r="DD15" t="s">
        <v>208</v>
      </c>
      <c r="DE15" t="s">
        <v>209</v>
      </c>
      <c r="DF15" t="s">
        <v>210</v>
      </c>
      <c r="DG15" t="s">
        <v>211</v>
      </c>
      <c r="DH15" t="s">
        <v>212</v>
      </c>
      <c r="DI15" t="s">
        <v>213</v>
      </c>
      <c r="DJ15" t="s">
        <v>214</v>
      </c>
      <c r="DK15" t="s">
        <v>215</v>
      </c>
      <c r="DL15" t="s">
        <v>216</v>
      </c>
      <c r="DM15" t="s">
        <v>217</v>
      </c>
      <c r="DN15" t="s">
        <v>218</v>
      </c>
      <c r="DO15" t="s">
        <v>219</v>
      </c>
      <c r="DP15" t="s">
        <v>220</v>
      </c>
      <c r="DQ15" t="s">
        <v>221</v>
      </c>
      <c r="DR15" t="s">
        <v>222</v>
      </c>
      <c r="DS15" t="s">
        <v>223</v>
      </c>
      <c r="DT15" t="s">
        <v>224</v>
      </c>
      <c r="DU15" t="s">
        <v>225</v>
      </c>
      <c r="DV15" t="s">
        <v>226</v>
      </c>
      <c r="DW15" t="s">
        <v>227</v>
      </c>
      <c r="DX15" t="s">
        <v>228</v>
      </c>
      <c r="DY15" t="s">
        <v>229</v>
      </c>
      <c r="DZ15" t="s">
        <v>230</v>
      </c>
      <c r="EA15" t="s">
        <v>231</v>
      </c>
      <c r="EB15" t="s">
        <v>232</v>
      </c>
      <c r="EC15" t="s">
        <v>233</v>
      </c>
      <c r="ED15" t="s">
        <v>234</v>
      </c>
      <c r="EE15" t="s">
        <v>235</v>
      </c>
      <c r="EF15" t="s">
        <v>236</v>
      </c>
      <c r="EG15" t="s">
        <v>237</v>
      </c>
      <c r="EH15" t="s">
        <v>238</v>
      </c>
      <c r="EI15" t="s">
        <v>239</v>
      </c>
      <c r="EJ15" t="s">
        <v>240</v>
      </c>
      <c r="EK15" t="s">
        <v>241</v>
      </c>
      <c r="EL15" t="s">
        <v>242</v>
      </c>
      <c r="EM15" t="s">
        <v>243</v>
      </c>
      <c r="EN15" t="s">
        <v>244</v>
      </c>
      <c r="EO15" t="s">
        <v>245</v>
      </c>
      <c r="EP15" t="s">
        <v>246</v>
      </c>
      <c r="EQ15" t="s">
        <v>247</v>
      </c>
      <c r="ER15" t="s">
        <v>248</v>
      </c>
      <c r="ES15" t="s">
        <v>249</v>
      </c>
      <c r="ET15" t="s">
        <v>250</v>
      </c>
      <c r="EU15" t="s">
        <v>251</v>
      </c>
      <c r="EV15" t="s">
        <v>252</v>
      </c>
      <c r="EW15" t="s">
        <v>253</v>
      </c>
      <c r="EX15" t="s">
        <v>254</v>
      </c>
      <c r="EY15" t="s">
        <v>255</v>
      </c>
      <c r="EZ15" t="s">
        <v>256</v>
      </c>
      <c r="FA15" t="s">
        <v>257</v>
      </c>
      <c r="FB15" t="s">
        <v>106</v>
      </c>
      <c r="FC15" t="s">
        <v>109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  <c r="HC15" t="s">
        <v>309</v>
      </c>
      <c r="HD15" t="s">
        <v>310</v>
      </c>
      <c r="HE15" t="s">
        <v>311</v>
      </c>
      <c r="HF15" t="s">
        <v>312</v>
      </c>
      <c r="HG15" t="s">
        <v>313</v>
      </c>
      <c r="HH15" t="s">
        <v>314</v>
      </c>
      <c r="HI15" t="s">
        <v>315</v>
      </c>
      <c r="HJ15" t="s">
        <v>316</v>
      </c>
      <c r="HK15" t="s">
        <v>317</v>
      </c>
      <c r="HL15" t="s">
        <v>318</v>
      </c>
      <c r="HM15" t="s">
        <v>319</v>
      </c>
      <c r="HN15" t="s">
        <v>320</v>
      </c>
      <c r="HO15" t="s">
        <v>321</v>
      </c>
      <c r="HP15" t="s">
        <v>322</v>
      </c>
      <c r="HQ15" t="s">
        <v>323</v>
      </c>
      <c r="HR15" t="s">
        <v>324</v>
      </c>
      <c r="HS15" t="s">
        <v>325</v>
      </c>
      <c r="HT15" t="s">
        <v>326</v>
      </c>
      <c r="HU15" t="s">
        <v>327</v>
      </c>
      <c r="HV15" t="s">
        <v>328</v>
      </c>
      <c r="HW15" t="s">
        <v>329</v>
      </c>
      <c r="HX15" t="s">
        <v>330</v>
      </c>
      <c r="HY15" t="s">
        <v>331</v>
      </c>
      <c r="HZ15" t="s">
        <v>332</v>
      </c>
      <c r="IA15" t="s">
        <v>333</v>
      </c>
      <c r="IB15" t="s">
        <v>334</v>
      </c>
      <c r="IC15" t="s">
        <v>335</v>
      </c>
      <c r="ID15" t="s">
        <v>336</v>
      </c>
      <c r="IE15" t="s">
        <v>337</v>
      </c>
      <c r="IF15" t="s">
        <v>338</v>
      </c>
      <c r="IG15" t="s">
        <v>339</v>
      </c>
      <c r="IH15" t="s">
        <v>340</v>
      </c>
      <c r="II15" t="s">
        <v>341</v>
      </c>
      <c r="IJ15" t="s">
        <v>342</v>
      </c>
      <c r="IK15" t="s">
        <v>343</v>
      </c>
      <c r="IL15" t="s">
        <v>344</v>
      </c>
      <c r="IM15" t="s">
        <v>345</v>
      </c>
      <c r="IN15" t="s">
        <v>346</v>
      </c>
      <c r="IO15" t="s">
        <v>347</v>
      </c>
      <c r="IP15" t="s">
        <v>348</v>
      </c>
      <c r="IQ15" t="s">
        <v>349</v>
      </c>
      <c r="IR15" t="s">
        <v>350</v>
      </c>
      <c r="IS15" t="s">
        <v>351</v>
      </c>
      <c r="IT15" t="s">
        <v>352</v>
      </c>
      <c r="IU15" t="s">
        <v>353</v>
      </c>
      <c r="IV15" t="s">
        <v>354</v>
      </c>
      <c r="IW15" t="s">
        <v>355</v>
      </c>
      <c r="IX15" t="s">
        <v>356</v>
      </c>
      <c r="IY15" t="s">
        <v>357</v>
      </c>
      <c r="IZ15" t="s">
        <v>358</v>
      </c>
      <c r="JA15" t="s">
        <v>359</v>
      </c>
      <c r="JB15" t="s">
        <v>360</v>
      </c>
      <c r="JC15" t="s">
        <v>361</v>
      </c>
      <c r="JD15" t="s">
        <v>362</v>
      </c>
      <c r="JE15" t="s">
        <v>363</v>
      </c>
      <c r="JF15" t="s">
        <v>364</v>
      </c>
      <c r="JG15" t="s">
        <v>365</v>
      </c>
      <c r="JH15" t="s">
        <v>366</v>
      </c>
      <c r="JI15" t="s">
        <v>367</v>
      </c>
      <c r="JJ15" t="s">
        <v>368</v>
      </c>
      <c r="JK15" t="s">
        <v>369</v>
      </c>
      <c r="JL15" t="s">
        <v>370</v>
      </c>
      <c r="JM15" t="s">
        <v>371</v>
      </c>
      <c r="JN15" t="s">
        <v>372</v>
      </c>
      <c r="JO15" t="s">
        <v>373</v>
      </c>
      <c r="JP15" t="s">
        <v>374</v>
      </c>
      <c r="JQ15" t="s">
        <v>375</v>
      </c>
      <c r="JR15" t="s">
        <v>376</v>
      </c>
      <c r="JS15" t="s">
        <v>377</v>
      </c>
      <c r="JT15" t="s">
        <v>378</v>
      </c>
      <c r="JU15" t="s">
        <v>379</v>
      </c>
      <c r="JV15" t="s">
        <v>380</v>
      </c>
      <c r="JW15" t="s">
        <v>381</v>
      </c>
    </row>
    <row r="16" spans="1:283" x14ac:dyDescent="0.25">
      <c r="B16" t="s">
        <v>382</v>
      </c>
      <c r="C16" t="s">
        <v>382</v>
      </c>
      <c r="F16" t="s">
        <v>382</v>
      </c>
      <c r="H16" t="s">
        <v>382</v>
      </c>
      <c r="I16" t="s">
        <v>383</v>
      </c>
      <c r="J16" t="s">
        <v>384</v>
      </c>
      <c r="K16" t="s">
        <v>385</v>
      </c>
      <c r="L16" t="s">
        <v>386</v>
      </c>
      <c r="M16" t="s">
        <v>386</v>
      </c>
      <c r="N16" t="s">
        <v>215</v>
      </c>
      <c r="O16" t="s">
        <v>215</v>
      </c>
      <c r="P16" t="s">
        <v>383</v>
      </c>
      <c r="Q16" t="s">
        <v>383</v>
      </c>
      <c r="R16" t="s">
        <v>383</v>
      </c>
      <c r="S16" t="s">
        <v>383</v>
      </c>
      <c r="T16" t="s">
        <v>387</v>
      </c>
      <c r="U16" t="s">
        <v>388</v>
      </c>
      <c r="V16" t="s">
        <v>388</v>
      </c>
      <c r="W16" t="s">
        <v>389</v>
      </c>
      <c r="X16" t="s">
        <v>390</v>
      </c>
      <c r="Y16" t="s">
        <v>389</v>
      </c>
      <c r="Z16" t="s">
        <v>389</v>
      </c>
      <c r="AA16" t="s">
        <v>389</v>
      </c>
      <c r="AB16" t="s">
        <v>387</v>
      </c>
      <c r="AC16" t="s">
        <v>387</v>
      </c>
      <c r="AD16" t="s">
        <v>387</v>
      </c>
      <c r="AE16" t="s">
        <v>387</v>
      </c>
      <c r="AF16" t="s">
        <v>391</v>
      </c>
      <c r="AG16" t="s">
        <v>390</v>
      </c>
      <c r="AI16" t="s">
        <v>390</v>
      </c>
      <c r="AJ16" t="s">
        <v>391</v>
      </c>
      <c r="AP16" t="s">
        <v>385</v>
      </c>
      <c r="AW16" t="s">
        <v>385</v>
      </c>
      <c r="AX16" t="s">
        <v>385</v>
      </c>
      <c r="AY16" t="s">
        <v>385</v>
      </c>
      <c r="AZ16" t="s">
        <v>392</v>
      </c>
      <c r="BN16" t="s">
        <v>393</v>
      </c>
      <c r="BP16" t="s">
        <v>393</v>
      </c>
      <c r="BQ16" t="s">
        <v>385</v>
      </c>
      <c r="BT16" t="s">
        <v>393</v>
      </c>
      <c r="BU16" t="s">
        <v>390</v>
      </c>
      <c r="BX16" t="s">
        <v>394</v>
      </c>
      <c r="BY16" t="s">
        <v>394</v>
      </c>
      <c r="CA16" t="s">
        <v>395</v>
      </c>
      <c r="CB16" t="s">
        <v>393</v>
      </c>
      <c r="CD16" t="s">
        <v>393</v>
      </c>
      <c r="CE16" t="s">
        <v>385</v>
      </c>
      <c r="CI16" t="s">
        <v>393</v>
      </c>
      <c r="CK16" t="s">
        <v>396</v>
      </c>
      <c r="CN16" t="s">
        <v>393</v>
      </c>
      <c r="CO16" t="s">
        <v>393</v>
      </c>
      <c r="CQ16" t="s">
        <v>393</v>
      </c>
      <c r="CS16" t="s">
        <v>393</v>
      </c>
      <c r="CU16" t="s">
        <v>385</v>
      </c>
      <c r="CV16" t="s">
        <v>385</v>
      </c>
      <c r="CX16" t="s">
        <v>397</v>
      </c>
      <c r="CY16" t="s">
        <v>398</v>
      </c>
      <c r="DB16" t="s">
        <v>383</v>
      </c>
      <c r="DC16" t="s">
        <v>382</v>
      </c>
      <c r="DD16" t="s">
        <v>386</v>
      </c>
      <c r="DE16" t="s">
        <v>386</v>
      </c>
      <c r="DF16" t="s">
        <v>399</v>
      </c>
      <c r="DG16" t="s">
        <v>399</v>
      </c>
      <c r="DH16" t="s">
        <v>386</v>
      </c>
      <c r="DI16" t="s">
        <v>399</v>
      </c>
      <c r="DJ16" t="s">
        <v>391</v>
      </c>
      <c r="DK16" t="s">
        <v>389</v>
      </c>
      <c r="DL16" t="s">
        <v>389</v>
      </c>
      <c r="DM16" t="s">
        <v>388</v>
      </c>
      <c r="DN16" t="s">
        <v>388</v>
      </c>
      <c r="DO16" t="s">
        <v>388</v>
      </c>
      <c r="DP16" t="s">
        <v>388</v>
      </c>
      <c r="DQ16" t="s">
        <v>388</v>
      </c>
      <c r="DR16" t="s">
        <v>400</v>
      </c>
      <c r="DS16" t="s">
        <v>385</v>
      </c>
      <c r="DT16" t="s">
        <v>385</v>
      </c>
      <c r="DU16" t="s">
        <v>386</v>
      </c>
      <c r="DV16" t="s">
        <v>386</v>
      </c>
      <c r="DW16" t="s">
        <v>386</v>
      </c>
      <c r="DX16" t="s">
        <v>399</v>
      </c>
      <c r="DY16" t="s">
        <v>386</v>
      </c>
      <c r="DZ16" t="s">
        <v>399</v>
      </c>
      <c r="EA16" t="s">
        <v>389</v>
      </c>
      <c r="EB16" t="s">
        <v>389</v>
      </c>
      <c r="EC16" t="s">
        <v>388</v>
      </c>
      <c r="ED16" t="s">
        <v>388</v>
      </c>
      <c r="EE16" t="s">
        <v>385</v>
      </c>
      <c r="EJ16" t="s">
        <v>385</v>
      </c>
      <c r="EM16" t="s">
        <v>388</v>
      </c>
      <c r="EN16" t="s">
        <v>388</v>
      </c>
      <c r="EO16" t="s">
        <v>388</v>
      </c>
      <c r="EP16" t="s">
        <v>388</v>
      </c>
      <c r="EQ16" t="s">
        <v>388</v>
      </c>
      <c r="ER16" t="s">
        <v>385</v>
      </c>
      <c r="ES16" t="s">
        <v>385</v>
      </c>
      <c r="ET16" t="s">
        <v>385</v>
      </c>
      <c r="EU16" t="s">
        <v>382</v>
      </c>
      <c r="EX16" t="s">
        <v>401</v>
      </c>
      <c r="EY16" t="s">
        <v>401</v>
      </c>
      <c r="FA16" t="s">
        <v>382</v>
      </c>
      <c r="FB16" t="s">
        <v>402</v>
      </c>
      <c r="FD16" t="s">
        <v>382</v>
      </c>
      <c r="FE16" t="s">
        <v>382</v>
      </c>
      <c r="FG16" t="s">
        <v>403</v>
      </c>
      <c r="FH16" t="s">
        <v>404</v>
      </c>
      <c r="FI16" t="s">
        <v>403</v>
      </c>
      <c r="FJ16" t="s">
        <v>404</v>
      </c>
      <c r="FK16" t="s">
        <v>403</v>
      </c>
      <c r="FL16" t="s">
        <v>404</v>
      </c>
      <c r="FM16" t="s">
        <v>390</v>
      </c>
      <c r="FN16" t="s">
        <v>390</v>
      </c>
      <c r="FO16" t="s">
        <v>386</v>
      </c>
      <c r="FP16" t="s">
        <v>405</v>
      </c>
      <c r="FQ16" t="s">
        <v>386</v>
      </c>
      <c r="FT16" t="s">
        <v>406</v>
      </c>
      <c r="FW16" t="s">
        <v>399</v>
      </c>
      <c r="FX16" t="s">
        <v>407</v>
      </c>
      <c r="FY16" t="s">
        <v>399</v>
      </c>
      <c r="GD16" t="s">
        <v>408</v>
      </c>
      <c r="GE16" t="s">
        <v>408</v>
      </c>
      <c r="GR16" t="s">
        <v>408</v>
      </c>
      <c r="GS16" t="s">
        <v>408</v>
      </c>
      <c r="GT16" t="s">
        <v>409</v>
      </c>
      <c r="GU16" t="s">
        <v>409</v>
      </c>
      <c r="GV16" t="s">
        <v>388</v>
      </c>
      <c r="GW16" t="s">
        <v>388</v>
      </c>
      <c r="GX16" t="s">
        <v>390</v>
      </c>
      <c r="GY16" t="s">
        <v>388</v>
      </c>
      <c r="GZ16" t="s">
        <v>399</v>
      </c>
      <c r="HA16" t="s">
        <v>390</v>
      </c>
      <c r="HB16" t="s">
        <v>390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408</v>
      </c>
      <c r="HK16" t="s">
        <v>410</v>
      </c>
      <c r="HL16" t="s">
        <v>410</v>
      </c>
      <c r="HM16" t="s">
        <v>411</v>
      </c>
      <c r="HN16" t="s">
        <v>410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HZ16" t="s">
        <v>408</v>
      </c>
      <c r="IG16" t="s">
        <v>408</v>
      </c>
      <c r="IH16" t="s">
        <v>390</v>
      </c>
      <c r="II16" t="s">
        <v>390</v>
      </c>
      <c r="IJ16" t="s">
        <v>403</v>
      </c>
      <c r="IK16" t="s">
        <v>404</v>
      </c>
      <c r="IL16" t="s">
        <v>404</v>
      </c>
      <c r="IP16" t="s">
        <v>404</v>
      </c>
      <c r="IT16" t="s">
        <v>386</v>
      </c>
      <c r="IU16" t="s">
        <v>386</v>
      </c>
      <c r="IV16" t="s">
        <v>399</v>
      </c>
      <c r="IW16" t="s">
        <v>399</v>
      </c>
      <c r="IX16" t="s">
        <v>412</v>
      </c>
      <c r="IY16" t="s">
        <v>412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408</v>
      </c>
      <c r="JF16" t="s">
        <v>388</v>
      </c>
      <c r="JG16" t="s">
        <v>408</v>
      </c>
      <c r="JI16" t="s">
        <v>391</v>
      </c>
      <c r="JJ16" t="s">
        <v>391</v>
      </c>
      <c r="JK16" t="s">
        <v>388</v>
      </c>
      <c r="JL16" t="s">
        <v>388</v>
      </c>
      <c r="JM16" t="s">
        <v>388</v>
      </c>
      <c r="JN16" t="s">
        <v>388</v>
      </c>
      <c r="JO16" t="s">
        <v>388</v>
      </c>
      <c r="JP16" t="s">
        <v>390</v>
      </c>
      <c r="JQ16" t="s">
        <v>390</v>
      </c>
      <c r="JR16" t="s">
        <v>390</v>
      </c>
      <c r="JS16" t="s">
        <v>388</v>
      </c>
      <c r="JT16" t="s">
        <v>386</v>
      </c>
      <c r="JU16" t="s">
        <v>399</v>
      </c>
      <c r="JV16" t="s">
        <v>390</v>
      </c>
      <c r="JW16" t="s">
        <v>390</v>
      </c>
    </row>
    <row r="17" spans="1:283" x14ac:dyDescent="0.25">
      <c r="A17">
        <v>3</v>
      </c>
      <c r="B17">
        <v>1742533587</v>
      </c>
      <c r="C17">
        <v>331</v>
      </c>
      <c r="D17" t="s">
        <v>420</v>
      </c>
      <c r="E17" t="s">
        <v>421</v>
      </c>
      <c r="F17">
        <v>2</v>
      </c>
      <c r="H17">
        <v>1742533585</v>
      </c>
      <c r="I17">
        <f t="shared" ref="I17:I27" si="0">(J17)/1000</f>
        <v>4.329983678225474E-3</v>
      </c>
      <c r="J17">
        <f t="shared" ref="J17:J27" si="1">1000*DJ17*AH17*(DF17-DG17)/(100*CY17*(1000-AH17*DF17))</f>
        <v>4.3299836782254744</v>
      </c>
      <c r="K17">
        <f t="shared" ref="K17:K27" si="2">DJ17*AH17*(DE17-DD17*(1000-AH17*DG17)/(1000-AH17*DF17))/(100*CY17)</f>
        <v>9.4794060952915746</v>
      </c>
      <c r="L17">
        <f t="shared" ref="L17:L27" si="3">DD17 - IF(AH17&gt;1, K17*CY17*100/(AJ17*DR17), 0)</f>
        <v>195.99799999999999</v>
      </c>
      <c r="M17">
        <f t="shared" ref="M17:M27" si="4">((S17-I17/2)*L17-K17)/(S17+I17/2)</f>
        <v>130.79080093617549</v>
      </c>
      <c r="N17">
        <f t="shared" ref="N17:N27" si="5">M17*(DK17+DL17)/1000</f>
        <v>12.534602436207479</v>
      </c>
      <c r="O17">
        <f t="shared" ref="O17:O27" si="6">(DD17 - IF(AH17&gt;1, K17*CY17*100/(AJ17*DR17), 0))*(DK17+DL17)/1000</f>
        <v>18.783866989931994</v>
      </c>
      <c r="P17">
        <f t="shared" ref="P17:P27" si="7">2/((1/R17-1/Q17)+SIGN(R17)*SQRT((1/R17-1/Q17)*(1/R17-1/Q17) + 4*CZ17/((CZ17+1)*(CZ17+1))*(2*1/R17*1/Q17-1/Q17*1/Q17)))</f>
        <v>0.26019603312432338</v>
      </c>
      <c r="Q17">
        <f t="shared" ref="Q17:Q27" si="8">IF(LEFT(DA17,1)&lt;&gt;"0",IF(LEFT(DA17,1)="1",3,DB17),$D$5+$E$5*(DR17*DK17/($K$5*1000))+$F$5*(DR17*DK17/($K$5*1000))*MAX(MIN(CY17,$J$5),$I$5)*MAX(MIN(CY17,$J$5),$I$5)+$G$5*MAX(MIN(CY17,$J$5),$I$5)*(DR17*DK17/($K$5*1000))+$H$5*(DR17*DK17/($K$5*1000))*(DR17*DK17/($K$5*1000)))</f>
        <v>3.0121865396568621</v>
      </c>
      <c r="R17">
        <f t="shared" ref="R17:R27" si="9">I17*(1000-(1000*0.61365*EXP(17.502*V17/(240.97+V17))/(DK17+DL17)+DF17)/2)/(1000*0.61365*EXP(17.502*V17/(240.97+V17))/(DK17+DL17)-DF17)</f>
        <v>0.24832318492667074</v>
      </c>
      <c r="S17">
        <f t="shared" ref="S17:S27" si="10">1/((CZ17+1)/(P17/1.6)+1/(Q17/1.37)) + CZ17/((CZ17+1)/(P17/1.6) + CZ17/(Q17/1.37))</f>
        <v>0.15622356624244715</v>
      </c>
      <c r="T17">
        <f t="shared" ref="T17:T27" si="11">(CU17*CX17)</f>
        <v>289.57280723805405</v>
      </c>
      <c r="U17">
        <f t="shared" ref="U17:U27" si="12">(DM17+(T17+2*0.95*0.0000000567*(((DM17+$B$7)+273)^4-(DM17+273)^4)-44100*I17)/(1.84*29.3*Q17+8*0.95*0.0000000567*(DM17+273)^3))</f>
        <v>24.485585481833777</v>
      </c>
      <c r="V17">
        <f t="shared" ref="V17:V27" si="13">($C$7*DN17+$D$7*DO17+$E$7*U17)</f>
        <v>24.9841333333333</v>
      </c>
      <c r="W17">
        <f t="shared" ref="W17:W27" si="14">0.61365*EXP(17.502*V17/(240.97+V17))</f>
        <v>3.1766709970216018</v>
      </c>
      <c r="X17">
        <f t="shared" ref="X17:X27" si="15">(Y17/Z17*100)</f>
        <v>51.900849566458632</v>
      </c>
      <c r="Y17">
        <f t="shared" ref="Y17:Y27" si="16">DF17*(DK17+DL17)/1000</f>
        <v>1.5467522265395994</v>
      </c>
      <c r="Z17">
        <f t="shared" ref="Z17:Z27" si="17">0.61365*EXP(17.502*DM17/(240.97+DM17))</f>
        <v>2.9802059878788598</v>
      </c>
      <c r="AA17">
        <f t="shared" ref="AA17:AA27" si="18">(W17-DF17*(DK17+DL17)/1000)</f>
        <v>1.6299187704820024</v>
      </c>
      <c r="AB17">
        <f t="shared" ref="AB17:AB27" si="19">(-I17*44100)</f>
        <v>-190.95228020974341</v>
      </c>
      <c r="AC17">
        <f t="shared" ref="AC17:AC27" si="20">2*29.3*Q17*0.92*(DM17-V17)</f>
        <v>-173.17589597418612</v>
      </c>
      <c r="AD17">
        <f t="shared" ref="AD17:AD27" si="21">2*0.95*0.0000000567*(((DM17+$B$7)+273)^4-(V17+273)^4)</f>
        <v>-12.093839231018427</v>
      </c>
      <c r="AE17">
        <f t="shared" ref="AE17:AE27" si="22">T17+AD17+AB17+AC17</f>
        <v>-86.649208176893893</v>
      </c>
      <c r="AF17">
        <v>0</v>
      </c>
      <c r="AG17">
        <v>0</v>
      </c>
      <c r="AH17">
        <f t="shared" ref="AH17:AH27" si="23">IF(AF17*$H$13&gt;=AJ17,1,(AJ17/(AJ17-AF17*$H$13)))</f>
        <v>1</v>
      </c>
      <c r="AI17">
        <f t="shared" ref="AI17:AI27" si="24">(AH17-1)*100</f>
        <v>0</v>
      </c>
      <c r="AJ17">
        <f t="shared" ref="AJ17:AJ27" si="25">MAX(0,($B$13+$C$13*DR17)/(1+$D$13*DR17)*DK17/(DM17+273)*$E$13)</f>
        <v>51174.108410288027</v>
      </c>
      <c r="AK17" t="s">
        <v>413</v>
      </c>
      <c r="AL17">
        <v>10180.200000000001</v>
      </c>
      <c r="AM17">
        <v>191.60769230769199</v>
      </c>
      <c r="AN17">
        <v>979.671341309485</v>
      </c>
      <c r="AO17">
        <f t="shared" ref="AO17:AO27" si="26">1-AM17/AN17</f>
        <v>0.80441635451785476</v>
      </c>
      <c r="AP17">
        <v>-2.5320139233462702</v>
      </c>
      <c r="AQ17" t="s">
        <v>422</v>
      </c>
      <c r="AR17">
        <v>10129.9</v>
      </c>
      <c r="AS17">
        <v>228.20130769230801</v>
      </c>
      <c r="AT17">
        <v>305.49067644386002</v>
      </c>
      <c r="AU17">
        <f t="shared" ref="AU17:AU27" si="27">1-AS17/AT17</f>
        <v>0.25300074506776471</v>
      </c>
      <c r="AV17">
        <v>0.5</v>
      </c>
      <c r="AW17">
        <f t="shared" ref="AW17:AW27" si="28">CV17</f>
        <v>1513.2207996052068</v>
      </c>
      <c r="AX17">
        <f t="shared" ref="AX17:AX27" si="29">K17</f>
        <v>9.4794060952915746</v>
      </c>
      <c r="AY17">
        <f t="shared" ref="AY17:AY27" si="30">AU17*AV17*AW17</f>
        <v>191.42299487607801</v>
      </c>
      <c r="AZ17">
        <f t="shared" ref="AZ17:AZ27" si="31">(AX17-AP17)/AW17</f>
        <v>7.9376519419846556E-3</v>
      </c>
      <c r="BA17">
        <f t="shared" ref="BA17:BA27" si="32">(AN17-AT17)/AT17</f>
        <v>2.2068780386805651</v>
      </c>
      <c r="BB17">
        <f t="shared" ref="BB17:BB27" si="33">AM17/(AO17+AM17/AT17)</f>
        <v>133.83890560219683</v>
      </c>
      <c r="BC17" t="s">
        <v>414</v>
      </c>
      <c r="BD17">
        <v>0</v>
      </c>
      <c r="BE17">
        <f t="shared" ref="BE17:BE27" si="34">IF(BD17&lt;&gt;0, BD17, BB17)</f>
        <v>133.83890560219683</v>
      </c>
      <c r="BF17">
        <f t="shared" ref="BF17:BF27" si="35">1-BE17/AT17</f>
        <v>0.56188873860183952</v>
      </c>
      <c r="BG17">
        <f t="shared" ref="BG17:BG27" si="36">(AT17-AS17)/(AT17-BE17)</f>
        <v>0.45026840313139604</v>
      </c>
      <c r="BH17">
        <f t="shared" ref="BH17:BH27" si="37">(AN17-AT17)/(AN17-BE17)</f>
        <v>0.79706173043821937</v>
      </c>
      <c r="BI17">
        <f t="shared" ref="BI17:BI27" si="38">(AT17-AS17)/(AT17-AM17)</f>
        <v>0.67867354669191293</v>
      </c>
      <c r="BJ17">
        <f t="shared" ref="BJ17:BJ27" si="39">(AN17-AT17)/(AN17-AM17)</f>
        <v>0.85549011900191207</v>
      </c>
      <c r="BK17">
        <f t="shared" ref="BK17:BK27" si="40">(BG17*BE17/AS17)</f>
        <v>0.26408012693603911</v>
      </c>
      <c r="BL17">
        <f t="shared" ref="BL17:BL27" si="41">(1-BK17)</f>
        <v>0.73591987306396089</v>
      </c>
      <c r="BM17">
        <v>1704</v>
      </c>
      <c r="BN17">
        <v>290</v>
      </c>
      <c r="BO17">
        <v>282.68</v>
      </c>
      <c r="BP17">
        <v>125</v>
      </c>
      <c r="BQ17">
        <v>10129.9</v>
      </c>
      <c r="BR17">
        <v>281.64999999999998</v>
      </c>
      <c r="BS17">
        <v>1.03</v>
      </c>
      <c r="BT17">
        <v>300</v>
      </c>
      <c r="BU17">
        <v>24.2</v>
      </c>
      <c r="BV17">
        <v>305.49067644386002</v>
      </c>
      <c r="BW17">
        <v>1.48151994145552</v>
      </c>
      <c r="BX17">
        <v>-24.145765299979502</v>
      </c>
      <c r="BY17">
        <v>1.33376660970733</v>
      </c>
      <c r="BZ17">
        <v>0.92128963132752595</v>
      </c>
      <c r="CA17">
        <v>-6.8715045606229201E-3</v>
      </c>
      <c r="CB17">
        <v>290</v>
      </c>
      <c r="CC17">
        <v>282.62</v>
      </c>
      <c r="CD17">
        <v>885</v>
      </c>
      <c r="CE17">
        <v>10072.4</v>
      </c>
      <c r="CF17">
        <v>281.52</v>
      </c>
      <c r="CG17">
        <v>1.1000000000000001</v>
      </c>
      <c r="CU17">
        <f t="shared" ref="CU17:CU27" si="42">$B$11*DS17+$C$11*DT17+$F$11*EE17*(1-EH17)</f>
        <v>1800.0433333333301</v>
      </c>
      <c r="CV17">
        <f t="shared" ref="CV17:CV27" si="43">CU17*CW17</f>
        <v>1513.2207996052068</v>
      </c>
      <c r="CW17">
        <f t="shared" ref="CW17:CW27" si="44">($B$11*$D$9+$C$11*$D$9+$F$11*((ER17+EJ17)/MAX(ER17+EJ17+ES17, 0.1)*$I$9+ES17/MAX(ER17+EJ17+ES17, 0.1)*$J$9))/($B$11+$C$11+$F$11)</f>
        <v>0.84065798394031788</v>
      </c>
      <c r="CX17">
        <f t="shared" ref="CX17:CX27" si="45">($B$11*$K$9+$C$11*$K$9+$F$11*((ER17+EJ17)/MAX(ER17+EJ17+ES17, 0.1)*$P$9+ES17/MAX(ER17+EJ17+ES17, 0.1)*$Q$9))/($B$11+$C$11+$F$11)</f>
        <v>0.16086990900481354</v>
      </c>
      <c r="CY17">
        <v>1.9</v>
      </c>
      <c r="CZ17">
        <v>0.5</v>
      </c>
      <c r="DA17" t="s">
        <v>415</v>
      </c>
      <c r="DB17">
        <v>2</v>
      </c>
      <c r="DC17">
        <v>1742533585</v>
      </c>
      <c r="DD17">
        <v>195.99799999999999</v>
      </c>
      <c r="DE17">
        <v>199.922333333333</v>
      </c>
      <c r="DF17">
        <v>16.139399999999998</v>
      </c>
      <c r="DG17">
        <v>14.5207</v>
      </c>
      <c r="DH17">
        <v>195.096</v>
      </c>
      <c r="DI17">
        <v>16.257400000000001</v>
      </c>
      <c r="DJ17">
        <v>500.042666666667</v>
      </c>
      <c r="DK17">
        <v>95.737133333333304</v>
      </c>
      <c r="DL17">
        <v>9.9900666666666693E-2</v>
      </c>
      <c r="DM17">
        <v>23.917733333333299</v>
      </c>
      <c r="DN17">
        <v>24.9841333333333</v>
      </c>
      <c r="DO17">
        <v>999.9</v>
      </c>
      <c r="DP17">
        <v>0</v>
      </c>
      <c r="DQ17">
        <v>0</v>
      </c>
      <c r="DR17">
        <v>10005.200000000001</v>
      </c>
      <c r="DS17">
        <v>0</v>
      </c>
      <c r="DT17">
        <v>1081.7333333333299</v>
      </c>
      <c r="DU17">
        <v>-3.5821200000000002</v>
      </c>
      <c r="DV17">
        <v>199.56633333333301</v>
      </c>
      <c r="DW17">
        <v>202.868333333333</v>
      </c>
      <c r="DX17">
        <v>1.6438633333333299</v>
      </c>
      <c r="DY17">
        <v>199.922333333333</v>
      </c>
      <c r="DZ17">
        <v>14.5207</v>
      </c>
      <c r="EA17">
        <v>1.54755333333333</v>
      </c>
      <c r="EB17">
        <v>1.3901733333333299</v>
      </c>
      <c r="EC17">
        <v>13.4462333333333</v>
      </c>
      <c r="ED17">
        <v>11.810833333333299</v>
      </c>
      <c r="EE17">
        <v>1800.0433333333301</v>
      </c>
      <c r="EF17">
        <v>0.97800666666666702</v>
      </c>
      <c r="EG17">
        <v>2.1993533333333301E-2</v>
      </c>
      <c r="EH17">
        <v>0</v>
      </c>
      <c r="EI17">
        <v>227.96766666666699</v>
      </c>
      <c r="EJ17">
        <v>5.0006000000000004</v>
      </c>
      <c r="EK17">
        <v>4412.8333333333303</v>
      </c>
      <c r="EL17">
        <v>18194.400000000001</v>
      </c>
      <c r="EM17">
        <v>49.125</v>
      </c>
      <c r="EN17">
        <v>49.061999999999998</v>
      </c>
      <c r="EO17">
        <v>49.416333333333299</v>
      </c>
      <c r="EP17">
        <v>48.811999999999998</v>
      </c>
      <c r="EQ17">
        <v>50.436999999999998</v>
      </c>
      <c r="ER17">
        <v>1755.5633333333301</v>
      </c>
      <c r="ES17">
        <v>39.479999999999997</v>
      </c>
      <c r="ET17">
        <v>0</v>
      </c>
      <c r="EU17">
        <v>177.09999990463299</v>
      </c>
      <c r="EV17">
        <v>0</v>
      </c>
      <c r="EW17">
        <v>228.20130769230801</v>
      </c>
      <c r="EX17">
        <v>-0.55049572208506403</v>
      </c>
      <c r="EY17">
        <v>-3.1032478734262399</v>
      </c>
      <c r="EZ17">
        <v>4412.9826923076898</v>
      </c>
      <c r="FA17">
        <v>15</v>
      </c>
      <c r="FB17">
        <v>1742533616</v>
      </c>
      <c r="FC17" t="s">
        <v>423</v>
      </c>
      <c r="FD17">
        <v>1742533614</v>
      </c>
      <c r="FE17">
        <v>1742533616</v>
      </c>
      <c r="FF17">
        <v>17</v>
      </c>
      <c r="FG17">
        <v>-0.34200000000000003</v>
      </c>
      <c r="FH17">
        <v>-2.5999999999999999E-2</v>
      </c>
      <c r="FI17">
        <v>0.90200000000000002</v>
      </c>
      <c r="FJ17">
        <v>-0.11799999999999999</v>
      </c>
      <c r="FK17">
        <v>200</v>
      </c>
      <c r="FL17">
        <v>15</v>
      </c>
      <c r="FM17">
        <v>0.5</v>
      </c>
      <c r="FN17">
        <v>0.2</v>
      </c>
      <c r="FO17">
        <v>-3.62653238095238</v>
      </c>
      <c r="FP17">
        <v>0.34582207792207498</v>
      </c>
      <c r="FQ17">
        <v>5.95152683814964E-2</v>
      </c>
      <c r="FR17">
        <v>1</v>
      </c>
      <c r="FS17">
        <v>228.22191176470599</v>
      </c>
      <c r="FT17">
        <v>-0.36310160023521298</v>
      </c>
      <c r="FU17">
        <v>0.170779935391077</v>
      </c>
      <c r="FV17">
        <v>1</v>
      </c>
      <c r="FW17">
        <v>1.7654228571428601</v>
      </c>
      <c r="FX17">
        <v>-0.64712649350648899</v>
      </c>
      <c r="FY17">
        <v>6.7137397721308195E-2</v>
      </c>
      <c r="FZ17">
        <v>0</v>
      </c>
      <c r="GA17">
        <v>2</v>
      </c>
      <c r="GB17">
        <v>3</v>
      </c>
      <c r="GC17" t="s">
        <v>424</v>
      </c>
      <c r="GD17">
        <v>3.1395900000000001</v>
      </c>
      <c r="GE17">
        <v>2.7468400000000002</v>
      </c>
      <c r="GF17">
        <v>4.6695300000000002E-2</v>
      </c>
      <c r="GG17">
        <v>4.9001200000000002E-2</v>
      </c>
      <c r="GH17">
        <v>8.2773200000000005E-2</v>
      </c>
      <c r="GI17">
        <v>7.8704800000000005E-2</v>
      </c>
      <c r="GJ17">
        <v>25041</v>
      </c>
      <c r="GK17">
        <v>31324.6</v>
      </c>
      <c r="GL17">
        <v>26787.4</v>
      </c>
      <c r="GM17">
        <v>31089.8</v>
      </c>
      <c r="GN17">
        <v>34659.5</v>
      </c>
      <c r="GO17">
        <v>38192.1</v>
      </c>
      <c r="GP17">
        <v>41325.199999999997</v>
      </c>
      <c r="GQ17">
        <v>45083.8</v>
      </c>
      <c r="GR17">
        <v>1.68615</v>
      </c>
      <c r="GS17">
        <v>1.8792</v>
      </c>
      <c r="GT17">
        <v>7.1771399999999999E-2</v>
      </c>
      <c r="GU17">
        <v>0</v>
      </c>
      <c r="GV17">
        <v>23.811900000000001</v>
      </c>
      <c r="GW17">
        <v>999.9</v>
      </c>
      <c r="GX17">
        <v>32.017000000000003</v>
      </c>
      <c r="GY17">
        <v>33.244</v>
      </c>
      <c r="GZ17">
        <v>17.1266</v>
      </c>
      <c r="HA17">
        <v>60.853299999999997</v>
      </c>
      <c r="HB17">
        <v>23.213100000000001</v>
      </c>
      <c r="HC17">
        <v>1</v>
      </c>
      <c r="HD17">
        <v>0.63006099999999998</v>
      </c>
      <c r="HE17">
        <v>7.6112099999999998</v>
      </c>
      <c r="HF17">
        <v>20.014900000000001</v>
      </c>
      <c r="HG17">
        <v>5.2237299999999998</v>
      </c>
      <c r="HH17">
        <v>11.986000000000001</v>
      </c>
      <c r="HI17">
        <v>4.9527999999999999</v>
      </c>
      <c r="HJ17">
        <v>3.2850000000000001</v>
      </c>
      <c r="HK17">
        <v>9999</v>
      </c>
      <c r="HL17">
        <v>9999</v>
      </c>
      <c r="HM17">
        <v>999.9</v>
      </c>
      <c r="HN17">
        <v>9999</v>
      </c>
      <c r="HO17">
        <v>1.85944</v>
      </c>
      <c r="HP17">
        <v>1.8600699999999999</v>
      </c>
      <c r="HQ17">
        <v>1.85565</v>
      </c>
      <c r="HR17">
        <v>1.85846</v>
      </c>
      <c r="HS17">
        <v>1.86252</v>
      </c>
      <c r="HT17">
        <v>1.85806</v>
      </c>
      <c r="HU17">
        <v>1.85497</v>
      </c>
      <c r="HV17">
        <v>1.8623400000000001</v>
      </c>
      <c r="HW17">
        <v>5</v>
      </c>
      <c r="HX17">
        <v>0</v>
      </c>
      <c r="HY17">
        <v>0</v>
      </c>
      <c r="HZ17">
        <v>0</v>
      </c>
      <c r="IA17" t="s">
        <v>417</v>
      </c>
      <c r="IB17" t="s">
        <v>418</v>
      </c>
      <c r="IC17" t="s">
        <v>419</v>
      </c>
      <c r="ID17" t="s">
        <v>419</v>
      </c>
      <c r="IE17" t="s">
        <v>419</v>
      </c>
      <c r="IF17" t="s">
        <v>419</v>
      </c>
      <c r="IG17">
        <v>0</v>
      </c>
      <c r="IH17">
        <v>100</v>
      </c>
      <c r="II17">
        <v>100</v>
      </c>
      <c r="IJ17">
        <v>0.90200000000000002</v>
      </c>
      <c r="IK17">
        <v>-0.11799999999999999</v>
      </c>
      <c r="IL17">
        <v>1.24409090909097</v>
      </c>
      <c r="IM17">
        <v>0</v>
      </c>
      <c r="IN17">
        <v>0</v>
      </c>
      <c r="IO17">
        <v>0</v>
      </c>
      <c r="IP17">
        <v>-9.2839999999997105E-2</v>
      </c>
      <c r="IQ17">
        <v>0</v>
      </c>
      <c r="IR17">
        <v>0</v>
      </c>
      <c r="IS17">
        <v>0</v>
      </c>
      <c r="IT17">
        <v>-1</v>
      </c>
      <c r="IU17">
        <v>-1</v>
      </c>
      <c r="IV17">
        <v>-1</v>
      </c>
      <c r="IW17">
        <v>-1</v>
      </c>
      <c r="IX17">
        <v>2.5</v>
      </c>
      <c r="IY17">
        <v>2.5</v>
      </c>
      <c r="IZ17">
        <v>0.60668900000000003</v>
      </c>
      <c r="JA17">
        <v>2.7441399999999998</v>
      </c>
      <c r="JB17">
        <v>1.69678</v>
      </c>
      <c r="JC17">
        <v>2.3645</v>
      </c>
      <c r="JD17">
        <v>1.4978</v>
      </c>
      <c r="JE17">
        <v>2.4316399999999998</v>
      </c>
      <c r="JF17">
        <v>36.505099999999999</v>
      </c>
      <c r="JG17">
        <v>14.9551</v>
      </c>
      <c r="JH17">
        <v>18</v>
      </c>
      <c r="JI17">
        <v>373.673</v>
      </c>
      <c r="JJ17">
        <v>499.30700000000002</v>
      </c>
      <c r="JK17">
        <v>14.467700000000001</v>
      </c>
      <c r="JL17">
        <v>34.188899999999997</v>
      </c>
      <c r="JM17">
        <v>30.0001</v>
      </c>
      <c r="JN17">
        <v>34.218600000000002</v>
      </c>
      <c r="JO17">
        <v>34.208599999999997</v>
      </c>
      <c r="JP17">
        <v>12.1798</v>
      </c>
      <c r="JQ17">
        <v>10.45</v>
      </c>
      <c r="JR17">
        <v>100</v>
      </c>
      <c r="JS17">
        <v>14.4781</v>
      </c>
      <c r="JT17">
        <v>200</v>
      </c>
      <c r="JU17">
        <v>14.818199999999999</v>
      </c>
      <c r="JV17">
        <v>102.054</v>
      </c>
      <c r="JW17">
        <v>100.08199999999999</v>
      </c>
    </row>
    <row r="18" spans="1:283" x14ac:dyDescent="0.25">
      <c r="A18">
        <v>4</v>
      </c>
      <c r="B18">
        <v>1742533739</v>
      </c>
      <c r="C18">
        <v>483</v>
      </c>
      <c r="D18" t="s">
        <v>425</v>
      </c>
      <c r="E18" t="s">
        <v>426</v>
      </c>
      <c r="F18">
        <v>2</v>
      </c>
      <c r="H18">
        <v>1742533737.5</v>
      </c>
      <c r="I18">
        <f t="shared" si="0"/>
        <v>4.3327524225924858E-3</v>
      </c>
      <c r="J18">
        <f t="shared" si="1"/>
        <v>4.3327524225924856</v>
      </c>
      <c r="K18">
        <f t="shared" si="2"/>
        <v>6.4774905854171649</v>
      </c>
      <c r="L18">
        <f t="shared" si="3"/>
        <v>147.29650000000001</v>
      </c>
      <c r="M18">
        <f t="shared" si="4"/>
        <v>101.89564709304018</v>
      </c>
      <c r="N18">
        <f t="shared" si="5"/>
        <v>9.7648776272082252</v>
      </c>
      <c r="O18">
        <f t="shared" si="6"/>
        <v>14.115738389714975</v>
      </c>
      <c r="P18">
        <f t="shared" si="7"/>
        <v>0.25732641458438005</v>
      </c>
      <c r="Q18">
        <f t="shared" si="8"/>
        <v>3.0103991520184996</v>
      </c>
      <c r="R18">
        <f t="shared" si="9"/>
        <v>0.24570115821682215</v>
      </c>
      <c r="S18">
        <f t="shared" si="10"/>
        <v>0.15456393604106997</v>
      </c>
      <c r="T18">
        <f t="shared" si="11"/>
        <v>289.55950723801931</v>
      </c>
      <c r="U18">
        <f t="shared" si="12"/>
        <v>24.506829234036541</v>
      </c>
      <c r="V18">
        <f t="shared" si="13"/>
        <v>25.0031</v>
      </c>
      <c r="W18">
        <f t="shared" si="14"/>
        <v>3.1802653028489969</v>
      </c>
      <c r="X18">
        <f t="shared" si="15"/>
        <v>51.334979989352632</v>
      </c>
      <c r="Y18">
        <f t="shared" si="16"/>
        <v>1.5318862955564647</v>
      </c>
      <c r="Z18">
        <f t="shared" si="17"/>
        <v>2.9840983591971644</v>
      </c>
      <c r="AA18">
        <f t="shared" si="18"/>
        <v>1.6483790072925322</v>
      </c>
      <c r="AB18">
        <f t="shared" si="19"/>
        <v>-191.07438183632863</v>
      </c>
      <c r="AC18">
        <f t="shared" si="20"/>
        <v>-172.62682016129372</v>
      </c>
      <c r="AD18">
        <f t="shared" si="21"/>
        <v>-12.06512674154895</v>
      </c>
      <c r="AE18">
        <f t="shared" si="22"/>
        <v>-86.206821501152007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51119.268241506485</v>
      </c>
      <c r="AK18" t="s">
        <v>413</v>
      </c>
      <c r="AL18">
        <v>10180.200000000001</v>
      </c>
      <c r="AM18">
        <v>191.60769230769199</v>
      </c>
      <c r="AN18">
        <v>979.671341309485</v>
      </c>
      <c r="AO18">
        <f t="shared" si="26"/>
        <v>0.80441635451785476</v>
      </c>
      <c r="AP18">
        <v>-2.5320139233462702</v>
      </c>
      <c r="AQ18" t="s">
        <v>427</v>
      </c>
      <c r="AR18">
        <v>10121.4</v>
      </c>
      <c r="AS18">
        <v>227.71642307692301</v>
      </c>
      <c r="AT18">
        <v>292.81209481826602</v>
      </c>
      <c r="AU18">
        <f t="shared" si="27"/>
        <v>0.22231210012600289</v>
      </c>
      <c r="AV18">
        <v>0.5</v>
      </c>
      <c r="AW18">
        <f t="shared" si="28"/>
        <v>1513.1507996051912</v>
      </c>
      <c r="AX18">
        <f t="shared" si="29"/>
        <v>6.4774905854171649</v>
      </c>
      <c r="AY18">
        <f t="shared" si="30"/>
        <v>168.19586603378531</v>
      </c>
      <c r="AZ18">
        <f t="shared" si="31"/>
        <v>5.9541352462121949E-3</v>
      </c>
      <c r="BA18">
        <f t="shared" si="32"/>
        <v>2.3457338636148841</v>
      </c>
      <c r="BB18">
        <f t="shared" si="33"/>
        <v>131.34725536744253</v>
      </c>
      <c r="BC18" t="s">
        <v>414</v>
      </c>
      <c r="BD18">
        <v>0</v>
      </c>
      <c r="BE18">
        <f t="shared" si="34"/>
        <v>131.34725536744253</v>
      </c>
      <c r="BF18">
        <f t="shared" si="35"/>
        <v>0.55142817632255503</v>
      </c>
      <c r="BG18">
        <f t="shared" si="36"/>
        <v>0.40315694712698652</v>
      </c>
      <c r="BH18">
        <f t="shared" si="37"/>
        <v>0.80966609091203523</v>
      </c>
      <c r="BI18">
        <f t="shared" si="38"/>
        <v>0.64320988145295055</v>
      </c>
      <c r="BJ18">
        <f t="shared" si="39"/>
        <v>0.87157839009734128</v>
      </c>
      <c r="BK18">
        <f t="shared" si="40"/>
        <v>0.23254167517623014</v>
      </c>
      <c r="BL18">
        <f t="shared" si="41"/>
        <v>0.76745832482376986</v>
      </c>
      <c r="BM18">
        <v>1705</v>
      </c>
      <c r="BN18">
        <v>290</v>
      </c>
      <c r="BO18">
        <v>277.26</v>
      </c>
      <c r="BP18">
        <v>165</v>
      </c>
      <c r="BQ18">
        <v>10121.4</v>
      </c>
      <c r="BR18">
        <v>275.25</v>
      </c>
      <c r="BS18">
        <v>2.0099999999999998</v>
      </c>
      <c r="BT18">
        <v>300</v>
      </c>
      <c r="BU18">
        <v>24.2</v>
      </c>
      <c r="BV18">
        <v>292.81209481826602</v>
      </c>
      <c r="BW18">
        <v>1.2597372626610599</v>
      </c>
      <c r="BX18">
        <v>-17.778044956178601</v>
      </c>
      <c r="BY18">
        <v>1.13410515036159</v>
      </c>
      <c r="BZ18">
        <v>0.89771009281560898</v>
      </c>
      <c r="CA18">
        <v>-6.8716369299221501E-3</v>
      </c>
      <c r="CB18">
        <v>290</v>
      </c>
      <c r="CC18">
        <v>277.32</v>
      </c>
      <c r="CD18">
        <v>865</v>
      </c>
      <c r="CE18">
        <v>10073.200000000001</v>
      </c>
      <c r="CF18">
        <v>275.16000000000003</v>
      </c>
      <c r="CG18">
        <v>2.16</v>
      </c>
      <c r="CU18">
        <f t="shared" si="42"/>
        <v>1799.96</v>
      </c>
      <c r="CV18">
        <f t="shared" si="43"/>
        <v>1513.1507996051912</v>
      </c>
      <c r="CW18">
        <f t="shared" si="44"/>
        <v>0.84065801440320409</v>
      </c>
      <c r="CX18">
        <f t="shared" si="45"/>
        <v>0.16086996779818402</v>
      </c>
      <c r="CY18">
        <v>1.9</v>
      </c>
      <c r="CZ18">
        <v>0.5</v>
      </c>
      <c r="DA18" t="s">
        <v>415</v>
      </c>
      <c r="DB18">
        <v>2</v>
      </c>
      <c r="DC18">
        <v>1742533737.5</v>
      </c>
      <c r="DD18">
        <v>147.29650000000001</v>
      </c>
      <c r="DE18">
        <v>150.00049999999999</v>
      </c>
      <c r="DF18">
        <v>15.985099999999999</v>
      </c>
      <c r="DG18">
        <v>14.36495</v>
      </c>
      <c r="DH18">
        <v>146.52950000000001</v>
      </c>
      <c r="DI18">
        <v>16.110099999999999</v>
      </c>
      <c r="DJ18">
        <v>499.99299999999999</v>
      </c>
      <c r="DK18">
        <v>95.732249999999993</v>
      </c>
      <c r="DL18">
        <v>9.9887149999999994E-2</v>
      </c>
      <c r="DM18">
        <v>23.939450000000001</v>
      </c>
      <c r="DN18">
        <v>25.0031</v>
      </c>
      <c r="DO18">
        <v>999.9</v>
      </c>
      <c r="DP18">
        <v>0</v>
      </c>
      <c r="DQ18">
        <v>0</v>
      </c>
      <c r="DR18">
        <v>9995.3150000000005</v>
      </c>
      <c r="DS18">
        <v>0</v>
      </c>
      <c r="DT18">
        <v>1082.03</v>
      </c>
      <c r="DU18">
        <v>-2.5685449999999999</v>
      </c>
      <c r="DV18">
        <v>149.82749999999999</v>
      </c>
      <c r="DW18">
        <v>152.18600000000001</v>
      </c>
      <c r="DX18">
        <v>1.626755</v>
      </c>
      <c r="DY18">
        <v>150.00049999999999</v>
      </c>
      <c r="DZ18">
        <v>14.36495</v>
      </c>
      <c r="EA18">
        <v>1.5309200000000001</v>
      </c>
      <c r="EB18">
        <v>1.3751850000000001</v>
      </c>
      <c r="EC18">
        <v>13.28055</v>
      </c>
      <c r="ED18">
        <v>11.646800000000001</v>
      </c>
      <c r="EE18">
        <v>1799.96</v>
      </c>
      <c r="EF18">
        <v>0.97800600000000004</v>
      </c>
      <c r="EG18">
        <v>2.19945E-2</v>
      </c>
      <c r="EH18">
        <v>0</v>
      </c>
      <c r="EI18">
        <v>227.62</v>
      </c>
      <c r="EJ18">
        <v>5.0006000000000004</v>
      </c>
      <c r="EK18">
        <v>4402.32</v>
      </c>
      <c r="EL18">
        <v>18193.55</v>
      </c>
      <c r="EM18">
        <v>49.125</v>
      </c>
      <c r="EN18">
        <v>49</v>
      </c>
      <c r="EO18">
        <v>49.375</v>
      </c>
      <c r="EP18">
        <v>48.875</v>
      </c>
      <c r="EQ18">
        <v>50.436999999999998</v>
      </c>
      <c r="ER18">
        <v>1755.48</v>
      </c>
      <c r="ES18">
        <v>39.479999999999997</v>
      </c>
      <c r="ET18">
        <v>0</v>
      </c>
      <c r="EU18">
        <v>150.700000047684</v>
      </c>
      <c r="EV18">
        <v>0</v>
      </c>
      <c r="EW18">
        <v>227.71642307692301</v>
      </c>
      <c r="EX18">
        <v>0.250427353252485</v>
      </c>
      <c r="EY18">
        <v>-3.7524786317268499</v>
      </c>
      <c r="EZ18">
        <v>4402.5384615384601</v>
      </c>
      <c r="FA18">
        <v>15</v>
      </c>
      <c r="FB18">
        <v>1742533773</v>
      </c>
      <c r="FC18" t="s">
        <v>428</v>
      </c>
      <c r="FD18">
        <v>1742533757</v>
      </c>
      <c r="FE18">
        <v>1742533773</v>
      </c>
      <c r="FF18">
        <v>18</v>
      </c>
      <c r="FG18">
        <v>-0.13500000000000001</v>
      </c>
      <c r="FH18">
        <v>-6.0000000000000001E-3</v>
      </c>
      <c r="FI18">
        <v>0.76700000000000002</v>
      </c>
      <c r="FJ18">
        <v>-0.125</v>
      </c>
      <c r="FK18">
        <v>150</v>
      </c>
      <c r="FL18">
        <v>14</v>
      </c>
      <c r="FM18">
        <v>0.22</v>
      </c>
      <c r="FN18">
        <v>0.15</v>
      </c>
      <c r="FO18">
        <v>-2.5227439999999999</v>
      </c>
      <c r="FP18">
        <v>0.19622887218045101</v>
      </c>
      <c r="FQ18">
        <v>4.2720250163125202E-2</v>
      </c>
      <c r="FR18">
        <v>1</v>
      </c>
      <c r="FS18">
        <v>227.75073529411799</v>
      </c>
      <c r="FT18">
        <v>-0.55497325951171905</v>
      </c>
      <c r="FU18">
        <v>0.14240916791859501</v>
      </c>
      <c r="FV18">
        <v>1</v>
      </c>
      <c r="FW18">
        <v>1.634385</v>
      </c>
      <c r="FX18">
        <v>4.4937744360904697E-2</v>
      </c>
      <c r="FY18">
        <v>1.19224370411422E-2</v>
      </c>
      <c r="FZ18">
        <v>1</v>
      </c>
      <c r="GA18">
        <v>3</v>
      </c>
      <c r="GB18">
        <v>3</v>
      </c>
      <c r="GC18" t="s">
        <v>416</v>
      </c>
      <c r="GD18">
        <v>3.1394500000000001</v>
      </c>
      <c r="GE18">
        <v>2.7467000000000001</v>
      </c>
      <c r="GF18">
        <v>3.6055499999999997E-2</v>
      </c>
      <c r="GG18">
        <v>3.7859799999999999E-2</v>
      </c>
      <c r="GH18">
        <v>8.2203499999999999E-2</v>
      </c>
      <c r="GI18">
        <v>7.7870300000000003E-2</v>
      </c>
      <c r="GJ18">
        <v>25320</v>
      </c>
      <c r="GK18">
        <v>31692.1</v>
      </c>
      <c r="GL18">
        <v>26787.3</v>
      </c>
      <c r="GM18">
        <v>31090.9</v>
      </c>
      <c r="GN18">
        <v>34681.1</v>
      </c>
      <c r="GO18">
        <v>38227.800000000003</v>
      </c>
      <c r="GP18">
        <v>41325.300000000003</v>
      </c>
      <c r="GQ18">
        <v>45085.2</v>
      </c>
      <c r="GR18">
        <v>1.6868000000000001</v>
      </c>
      <c r="GS18">
        <v>1.8805499999999999</v>
      </c>
      <c r="GT18">
        <v>7.1845900000000004E-2</v>
      </c>
      <c r="GU18">
        <v>0</v>
      </c>
      <c r="GV18">
        <v>23.82</v>
      </c>
      <c r="GW18">
        <v>999.9</v>
      </c>
      <c r="GX18">
        <v>30.942</v>
      </c>
      <c r="GY18">
        <v>33.213999999999999</v>
      </c>
      <c r="GZ18">
        <v>16.523499999999999</v>
      </c>
      <c r="HA18">
        <v>61.193300000000001</v>
      </c>
      <c r="HB18">
        <v>23.2532</v>
      </c>
      <c r="HC18">
        <v>1</v>
      </c>
      <c r="HD18">
        <v>0.63069399999999998</v>
      </c>
      <c r="HE18">
        <v>7.8005100000000001</v>
      </c>
      <c r="HF18">
        <v>20.006599999999999</v>
      </c>
      <c r="HG18">
        <v>5.2229799999999997</v>
      </c>
      <c r="HH18">
        <v>11.986000000000001</v>
      </c>
      <c r="HI18">
        <v>4.9527999999999999</v>
      </c>
      <c r="HJ18">
        <v>3.2850000000000001</v>
      </c>
      <c r="HK18">
        <v>9999</v>
      </c>
      <c r="HL18">
        <v>9999</v>
      </c>
      <c r="HM18">
        <v>999.9</v>
      </c>
      <c r="HN18">
        <v>9999</v>
      </c>
      <c r="HO18">
        <v>1.85944</v>
      </c>
      <c r="HP18">
        <v>1.86008</v>
      </c>
      <c r="HQ18">
        <v>1.85565</v>
      </c>
      <c r="HR18">
        <v>1.85846</v>
      </c>
      <c r="HS18">
        <v>1.86249</v>
      </c>
      <c r="HT18">
        <v>1.85806</v>
      </c>
      <c r="HU18">
        <v>1.8549599999999999</v>
      </c>
      <c r="HV18">
        <v>1.8623400000000001</v>
      </c>
      <c r="HW18">
        <v>5</v>
      </c>
      <c r="HX18">
        <v>0</v>
      </c>
      <c r="HY18">
        <v>0</v>
      </c>
      <c r="HZ18">
        <v>0</v>
      </c>
      <c r="IA18" t="s">
        <v>417</v>
      </c>
      <c r="IB18" t="s">
        <v>418</v>
      </c>
      <c r="IC18" t="s">
        <v>419</v>
      </c>
      <c r="ID18" t="s">
        <v>419</v>
      </c>
      <c r="IE18" t="s">
        <v>419</v>
      </c>
      <c r="IF18" t="s">
        <v>419</v>
      </c>
      <c r="IG18">
        <v>0</v>
      </c>
      <c r="IH18">
        <v>100</v>
      </c>
      <c r="II18">
        <v>100</v>
      </c>
      <c r="IJ18">
        <v>0.76700000000000002</v>
      </c>
      <c r="IK18">
        <v>-0.125</v>
      </c>
      <c r="IL18">
        <v>0.90209090909087297</v>
      </c>
      <c r="IM18">
        <v>0</v>
      </c>
      <c r="IN18">
        <v>0</v>
      </c>
      <c r="IO18">
        <v>0</v>
      </c>
      <c r="IP18">
        <v>-0.118363636363636</v>
      </c>
      <c r="IQ18">
        <v>0</v>
      </c>
      <c r="IR18">
        <v>0</v>
      </c>
      <c r="IS18">
        <v>0</v>
      </c>
      <c r="IT18">
        <v>-1</v>
      </c>
      <c r="IU18">
        <v>-1</v>
      </c>
      <c r="IV18">
        <v>-1</v>
      </c>
      <c r="IW18">
        <v>-1</v>
      </c>
      <c r="IX18">
        <v>2.1</v>
      </c>
      <c r="IY18">
        <v>2</v>
      </c>
      <c r="IZ18">
        <v>0.49560500000000002</v>
      </c>
      <c r="JA18">
        <v>2.7575699999999999</v>
      </c>
      <c r="JB18">
        <v>1.69678</v>
      </c>
      <c r="JC18">
        <v>2.3645</v>
      </c>
      <c r="JD18">
        <v>1.4978</v>
      </c>
      <c r="JE18">
        <v>2.3864700000000001</v>
      </c>
      <c r="JF18">
        <v>36.387099999999997</v>
      </c>
      <c r="JG18">
        <v>14.9026</v>
      </c>
      <c r="JH18">
        <v>18</v>
      </c>
      <c r="JI18">
        <v>374.03100000000001</v>
      </c>
      <c r="JJ18">
        <v>500.22699999999998</v>
      </c>
      <c r="JK18">
        <v>14.4819</v>
      </c>
      <c r="JL18">
        <v>34.182299999999998</v>
      </c>
      <c r="JM18">
        <v>30.000299999999999</v>
      </c>
      <c r="JN18">
        <v>34.224499999999999</v>
      </c>
      <c r="JO18">
        <v>34.2117</v>
      </c>
      <c r="JP18">
        <v>9.9448699999999999</v>
      </c>
      <c r="JQ18">
        <v>0</v>
      </c>
      <c r="JR18">
        <v>100</v>
      </c>
      <c r="JS18">
        <v>14.475199999999999</v>
      </c>
      <c r="JT18">
        <v>150</v>
      </c>
      <c r="JU18">
        <v>15.3238</v>
      </c>
      <c r="JV18">
        <v>102.054</v>
      </c>
      <c r="JW18">
        <v>100.08499999999999</v>
      </c>
    </row>
    <row r="19" spans="1:283" x14ac:dyDescent="0.25">
      <c r="A19">
        <v>5</v>
      </c>
      <c r="B19">
        <v>1742533925</v>
      </c>
      <c r="C19">
        <v>669</v>
      </c>
      <c r="D19" t="s">
        <v>429</v>
      </c>
      <c r="E19" t="s">
        <v>430</v>
      </c>
      <c r="F19">
        <v>2</v>
      </c>
      <c r="H19">
        <v>1742533923.5</v>
      </c>
      <c r="I19">
        <f t="shared" si="0"/>
        <v>2.6874282176628712E-3</v>
      </c>
      <c r="J19">
        <f t="shared" si="1"/>
        <v>2.687428217662871</v>
      </c>
      <c r="K19">
        <f t="shared" si="2"/>
        <v>3.2045048455243736</v>
      </c>
      <c r="L19">
        <f t="shared" si="3"/>
        <v>98.704800000000006</v>
      </c>
      <c r="M19">
        <f t="shared" si="4"/>
        <v>60.633308854653087</v>
      </c>
      <c r="N19">
        <f t="shared" si="5"/>
        <v>5.8106147072260539</v>
      </c>
      <c r="O19">
        <f t="shared" si="6"/>
        <v>9.4590840148383588</v>
      </c>
      <c r="P19">
        <f t="shared" si="7"/>
        <v>0.14700203890949373</v>
      </c>
      <c r="Q19">
        <f t="shared" si="8"/>
        <v>3.0107179114768856</v>
      </c>
      <c r="R19">
        <f t="shared" si="9"/>
        <v>0.14312784362296399</v>
      </c>
      <c r="S19">
        <f t="shared" si="10"/>
        <v>8.9794478955802934E-2</v>
      </c>
      <c r="T19">
        <f t="shared" si="11"/>
        <v>289.56640608702645</v>
      </c>
      <c r="U19">
        <f t="shared" si="12"/>
        <v>25.001187920817213</v>
      </c>
      <c r="V19">
        <f t="shared" si="13"/>
        <v>25.478349999999999</v>
      </c>
      <c r="W19">
        <f t="shared" si="14"/>
        <v>3.2714960822224972</v>
      </c>
      <c r="X19">
        <f t="shared" si="15"/>
        <v>50.605479109897644</v>
      </c>
      <c r="Y19">
        <f t="shared" si="16"/>
        <v>1.517069377546975</v>
      </c>
      <c r="Z19">
        <f t="shared" si="17"/>
        <v>2.9978362110798789</v>
      </c>
      <c r="AA19">
        <f t="shared" si="18"/>
        <v>1.7544267046755222</v>
      </c>
      <c r="AB19">
        <f t="shared" si="19"/>
        <v>-118.51558439893262</v>
      </c>
      <c r="AC19">
        <f t="shared" si="20"/>
        <v>-237.37585197247788</v>
      </c>
      <c r="AD19">
        <f t="shared" si="21"/>
        <v>-16.635008511338395</v>
      </c>
      <c r="AE19">
        <f t="shared" si="22"/>
        <v>-82.960038795722454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51115.190852802683</v>
      </c>
      <c r="AK19" t="s">
        <v>413</v>
      </c>
      <c r="AL19">
        <v>10180.200000000001</v>
      </c>
      <c r="AM19">
        <v>191.60769230769199</v>
      </c>
      <c r="AN19">
        <v>979.671341309485</v>
      </c>
      <c r="AO19">
        <f t="shared" si="26"/>
        <v>0.80441635451785476</v>
      </c>
      <c r="AP19">
        <v>-2.5320139233462702</v>
      </c>
      <c r="AQ19" t="s">
        <v>431</v>
      </c>
      <c r="AR19">
        <v>10120.4</v>
      </c>
      <c r="AS19">
        <v>226.85651999999999</v>
      </c>
      <c r="AT19">
        <v>285.14975597592797</v>
      </c>
      <c r="AU19">
        <f t="shared" si="27"/>
        <v>0.20443025026067019</v>
      </c>
      <c r="AV19">
        <v>0.5</v>
      </c>
      <c r="AW19">
        <f t="shared" si="28"/>
        <v>1513.1884528948324</v>
      </c>
      <c r="AX19">
        <f t="shared" si="29"/>
        <v>3.2045048455243736</v>
      </c>
      <c r="AY19">
        <f t="shared" si="30"/>
        <v>154.67074705842347</v>
      </c>
      <c r="AZ19">
        <f t="shared" si="31"/>
        <v>3.7910141052796783E-3</v>
      </c>
      <c r="BA19">
        <f t="shared" si="32"/>
        <v>2.4356380139851419</v>
      </c>
      <c r="BB19">
        <f t="shared" si="33"/>
        <v>129.78289146758877</v>
      </c>
      <c r="BC19" t="s">
        <v>414</v>
      </c>
      <c r="BD19">
        <v>0</v>
      </c>
      <c r="BE19">
        <f t="shared" si="34"/>
        <v>129.78289146758877</v>
      </c>
      <c r="BF19">
        <f t="shared" si="35"/>
        <v>0.54486059080287308</v>
      </c>
      <c r="BG19">
        <f t="shared" si="36"/>
        <v>0.37519735086627265</v>
      </c>
      <c r="BH19">
        <f t="shared" si="37"/>
        <v>0.81719146255341879</v>
      </c>
      <c r="BI19">
        <f t="shared" si="38"/>
        <v>0.62317671526550444</v>
      </c>
      <c r="BJ19">
        <f t="shared" si="39"/>
        <v>0.88130138500015609</v>
      </c>
      <c r="BK19">
        <f t="shared" si="40"/>
        <v>0.21464755373310093</v>
      </c>
      <c r="BL19">
        <f t="shared" si="41"/>
        <v>0.78535244626689904</v>
      </c>
      <c r="BM19">
        <v>1706</v>
      </c>
      <c r="BN19">
        <v>290</v>
      </c>
      <c r="BO19">
        <v>269.87</v>
      </c>
      <c r="BP19">
        <v>165</v>
      </c>
      <c r="BQ19">
        <v>10120.4</v>
      </c>
      <c r="BR19">
        <v>268.77</v>
      </c>
      <c r="BS19">
        <v>1.1000000000000001</v>
      </c>
      <c r="BT19">
        <v>300</v>
      </c>
      <c r="BU19">
        <v>24.2</v>
      </c>
      <c r="BV19">
        <v>285.14975597592797</v>
      </c>
      <c r="BW19">
        <v>1.5934898329225999</v>
      </c>
      <c r="BX19">
        <v>-16.5720559476826</v>
      </c>
      <c r="BY19">
        <v>1.43439992323584</v>
      </c>
      <c r="BZ19">
        <v>0.82660261910160304</v>
      </c>
      <c r="CA19">
        <v>-6.8708945494994501E-3</v>
      </c>
      <c r="CB19">
        <v>290</v>
      </c>
      <c r="CC19">
        <v>269.99</v>
      </c>
      <c r="CD19">
        <v>875</v>
      </c>
      <c r="CE19">
        <v>10071.5</v>
      </c>
      <c r="CF19">
        <v>268.7</v>
      </c>
      <c r="CG19">
        <v>1.29</v>
      </c>
      <c r="CU19">
        <f t="shared" si="42"/>
        <v>1800.0050000000001</v>
      </c>
      <c r="CV19">
        <f t="shared" si="43"/>
        <v>1513.1884528948324</v>
      </c>
      <c r="CW19">
        <f t="shared" si="44"/>
        <v>0.8406579164473611</v>
      </c>
      <c r="CX19">
        <f t="shared" si="45"/>
        <v>0.16086977874340708</v>
      </c>
      <c r="CY19">
        <v>1.9</v>
      </c>
      <c r="CZ19">
        <v>0.5</v>
      </c>
      <c r="DA19" t="s">
        <v>415</v>
      </c>
      <c r="DB19">
        <v>2</v>
      </c>
      <c r="DC19">
        <v>1742533923.5</v>
      </c>
      <c r="DD19">
        <v>98.704800000000006</v>
      </c>
      <c r="DE19">
        <v>100.0235</v>
      </c>
      <c r="DF19">
        <v>15.830500000000001</v>
      </c>
      <c r="DG19">
        <v>14.8253</v>
      </c>
      <c r="DH19">
        <v>98.0809</v>
      </c>
      <c r="DI19">
        <v>15.961600000000001</v>
      </c>
      <c r="DJ19">
        <v>499.92849999999999</v>
      </c>
      <c r="DK19">
        <v>95.731849999999994</v>
      </c>
      <c r="DL19">
        <v>0.10020695</v>
      </c>
      <c r="DM19">
        <v>24.015899999999998</v>
      </c>
      <c r="DN19">
        <v>25.478349999999999</v>
      </c>
      <c r="DO19">
        <v>999.9</v>
      </c>
      <c r="DP19">
        <v>0</v>
      </c>
      <c r="DQ19">
        <v>0</v>
      </c>
      <c r="DR19">
        <v>9997.2099999999991</v>
      </c>
      <c r="DS19">
        <v>0</v>
      </c>
      <c r="DT19">
        <v>1091.22</v>
      </c>
      <c r="DU19">
        <v>-1.31907</v>
      </c>
      <c r="DV19">
        <v>100.2925</v>
      </c>
      <c r="DW19">
        <v>101.529</v>
      </c>
      <c r="DX19">
        <v>1.00519</v>
      </c>
      <c r="DY19">
        <v>100.0235</v>
      </c>
      <c r="DZ19">
        <v>14.8253</v>
      </c>
      <c r="EA19">
        <v>1.5154799999999999</v>
      </c>
      <c r="EB19">
        <v>1.4192549999999999</v>
      </c>
      <c r="EC19">
        <v>13.125249999999999</v>
      </c>
      <c r="ED19">
        <v>12.12495</v>
      </c>
      <c r="EE19">
        <v>1800.0050000000001</v>
      </c>
      <c r="EF19">
        <v>0.97800799999999999</v>
      </c>
      <c r="EG19">
        <v>2.19916E-2</v>
      </c>
      <c r="EH19">
        <v>0</v>
      </c>
      <c r="EI19">
        <v>226.70599999999999</v>
      </c>
      <c r="EJ19">
        <v>5.0006000000000004</v>
      </c>
      <c r="EK19">
        <v>4388.835</v>
      </c>
      <c r="EL19">
        <v>18194</v>
      </c>
      <c r="EM19">
        <v>49.280999999999999</v>
      </c>
      <c r="EN19">
        <v>49.186999999999998</v>
      </c>
      <c r="EO19">
        <v>49.5</v>
      </c>
      <c r="EP19">
        <v>49.125</v>
      </c>
      <c r="EQ19">
        <v>50.561999999999998</v>
      </c>
      <c r="ER19">
        <v>1755.5250000000001</v>
      </c>
      <c r="ES19">
        <v>39.475000000000001</v>
      </c>
      <c r="ET19">
        <v>0</v>
      </c>
      <c r="EU19">
        <v>184.700000047684</v>
      </c>
      <c r="EV19">
        <v>0</v>
      </c>
      <c r="EW19">
        <v>226.85651999999999</v>
      </c>
      <c r="EX19">
        <v>-1.16076921965243</v>
      </c>
      <c r="EY19">
        <v>-10.9323076814277</v>
      </c>
      <c r="EZ19">
        <v>4389.6747999999998</v>
      </c>
      <c r="FA19">
        <v>15</v>
      </c>
      <c r="FB19">
        <v>1742533853</v>
      </c>
      <c r="FC19" t="s">
        <v>432</v>
      </c>
      <c r="FD19">
        <v>1742533853</v>
      </c>
      <c r="FE19">
        <v>1742533844</v>
      </c>
      <c r="FF19">
        <v>19</v>
      </c>
      <c r="FG19">
        <v>-0.14299999999999999</v>
      </c>
      <c r="FH19">
        <v>-6.0000000000000001E-3</v>
      </c>
      <c r="FI19">
        <v>0.624</v>
      </c>
      <c r="FJ19">
        <v>-0.13100000000000001</v>
      </c>
      <c r="FK19">
        <v>100</v>
      </c>
      <c r="FL19">
        <v>14</v>
      </c>
      <c r="FM19">
        <v>0.24</v>
      </c>
      <c r="FN19">
        <v>0.09</v>
      </c>
      <c r="FO19">
        <v>-1.3666938095238099</v>
      </c>
      <c r="FP19">
        <v>0.25854311688311699</v>
      </c>
      <c r="FQ19">
        <v>5.3629254319082803E-2</v>
      </c>
      <c r="FR19">
        <v>1</v>
      </c>
      <c r="FS19">
        <v>226.96326470588201</v>
      </c>
      <c r="FT19">
        <v>-1.6328647763887401</v>
      </c>
      <c r="FU19">
        <v>0.25343282075666002</v>
      </c>
      <c r="FV19">
        <v>0</v>
      </c>
      <c r="FW19">
        <v>1.0988800000000001</v>
      </c>
      <c r="FX19">
        <v>-0.42848103896103701</v>
      </c>
      <c r="FY19">
        <v>4.4837098903644901E-2</v>
      </c>
      <c r="FZ19">
        <v>0</v>
      </c>
      <c r="GA19">
        <v>1</v>
      </c>
      <c r="GB19">
        <v>3</v>
      </c>
      <c r="GC19" t="s">
        <v>433</v>
      </c>
      <c r="GD19">
        <v>3.13944</v>
      </c>
      <c r="GE19">
        <v>2.7468699999999999</v>
      </c>
      <c r="GF19">
        <v>2.4733600000000001E-2</v>
      </c>
      <c r="GG19">
        <v>2.5904E-2</v>
      </c>
      <c r="GH19">
        <v>8.1603899999999993E-2</v>
      </c>
      <c r="GI19">
        <v>7.9741800000000002E-2</v>
      </c>
      <c r="GJ19">
        <v>25617</v>
      </c>
      <c r="GK19">
        <v>32082.6</v>
      </c>
      <c r="GL19">
        <v>26787.8</v>
      </c>
      <c r="GM19">
        <v>31088.5</v>
      </c>
      <c r="GN19">
        <v>34704.9</v>
      </c>
      <c r="GO19">
        <v>38147.800000000003</v>
      </c>
      <c r="GP19">
        <v>41326.6</v>
      </c>
      <c r="GQ19">
        <v>45082.2</v>
      </c>
      <c r="GR19">
        <v>1.6862200000000001</v>
      </c>
      <c r="GS19">
        <v>1.8812199999999999</v>
      </c>
      <c r="GT19">
        <v>9.4354199999999999E-2</v>
      </c>
      <c r="GU19">
        <v>0</v>
      </c>
      <c r="GV19">
        <v>23.9331</v>
      </c>
      <c r="GW19">
        <v>999.9</v>
      </c>
      <c r="GX19">
        <v>31.315000000000001</v>
      </c>
      <c r="GY19">
        <v>33.063000000000002</v>
      </c>
      <c r="GZ19">
        <v>16.587</v>
      </c>
      <c r="HA19">
        <v>60.863300000000002</v>
      </c>
      <c r="HB19">
        <v>23.0489</v>
      </c>
      <c r="HC19">
        <v>1</v>
      </c>
      <c r="HD19">
        <v>0.64019800000000004</v>
      </c>
      <c r="HE19">
        <v>9.2810500000000005</v>
      </c>
      <c r="HF19">
        <v>19.927800000000001</v>
      </c>
      <c r="HG19">
        <v>5.2246300000000003</v>
      </c>
      <c r="HH19">
        <v>11.986000000000001</v>
      </c>
      <c r="HI19">
        <v>4.9522000000000004</v>
      </c>
      <c r="HJ19">
        <v>3.2846299999999999</v>
      </c>
      <c r="HK19">
        <v>9999</v>
      </c>
      <c r="HL19">
        <v>9999</v>
      </c>
      <c r="HM19">
        <v>999.9</v>
      </c>
      <c r="HN19">
        <v>9999</v>
      </c>
      <c r="HO19">
        <v>1.85934</v>
      </c>
      <c r="HP19">
        <v>1.86005</v>
      </c>
      <c r="HQ19">
        <v>1.85562</v>
      </c>
      <c r="HR19">
        <v>1.8583700000000001</v>
      </c>
      <c r="HS19">
        <v>1.8624700000000001</v>
      </c>
      <c r="HT19">
        <v>1.8580000000000001</v>
      </c>
      <c r="HU19">
        <v>1.85486</v>
      </c>
      <c r="HV19">
        <v>1.8623400000000001</v>
      </c>
      <c r="HW19">
        <v>5</v>
      </c>
      <c r="HX19">
        <v>0</v>
      </c>
      <c r="HY19">
        <v>0</v>
      </c>
      <c r="HZ19">
        <v>0</v>
      </c>
      <c r="IA19" t="s">
        <v>417</v>
      </c>
      <c r="IB19" t="s">
        <v>418</v>
      </c>
      <c r="IC19" t="s">
        <v>419</v>
      </c>
      <c r="ID19" t="s">
        <v>419</v>
      </c>
      <c r="IE19" t="s">
        <v>419</v>
      </c>
      <c r="IF19" t="s">
        <v>419</v>
      </c>
      <c r="IG19">
        <v>0</v>
      </c>
      <c r="IH19">
        <v>100</v>
      </c>
      <c r="II19">
        <v>100</v>
      </c>
      <c r="IJ19">
        <v>0.624</v>
      </c>
      <c r="IK19">
        <v>-0.13109999999999999</v>
      </c>
      <c r="IL19">
        <v>0.62389090909090295</v>
      </c>
      <c r="IM19">
        <v>0</v>
      </c>
      <c r="IN19">
        <v>0</v>
      </c>
      <c r="IO19">
        <v>0</v>
      </c>
      <c r="IP19">
        <v>-0.13109999999999999</v>
      </c>
      <c r="IQ19">
        <v>0</v>
      </c>
      <c r="IR19">
        <v>0</v>
      </c>
      <c r="IS19">
        <v>0</v>
      </c>
      <c r="IT19">
        <v>-1</v>
      </c>
      <c r="IU19">
        <v>-1</v>
      </c>
      <c r="IV19">
        <v>-1</v>
      </c>
      <c r="IW19">
        <v>-1</v>
      </c>
      <c r="IX19">
        <v>1.2</v>
      </c>
      <c r="IY19">
        <v>1.4</v>
      </c>
      <c r="IZ19">
        <v>0.38207999999999998</v>
      </c>
      <c r="JA19">
        <v>2.7587899999999999</v>
      </c>
      <c r="JB19">
        <v>1.69678</v>
      </c>
      <c r="JC19">
        <v>2.36572</v>
      </c>
      <c r="JD19">
        <v>1.4978</v>
      </c>
      <c r="JE19">
        <v>2.4047900000000002</v>
      </c>
      <c r="JF19">
        <v>36.387099999999997</v>
      </c>
      <c r="JG19">
        <v>14.78</v>
      </c>
      <c r="JH19">
        <v>18</v>
      </c>
      <c r="JI19">
        <v>373.83600000000001</v>
      </c>
      <c r="JJ19">
        <v>500.84</v>
      </c>
      <c r="JK19">
        <v>14.141400000000001</v>
      </c>
      <c r="JL19">
        <v>34.222099999999998</v>
      </c>
      <c r="JM19">
        <v>30.002800000000001</v>
      </c>
      <c r="JN19">
        <v>34.244100000000003</v>
      </c>
      <c r="JO19">
        <v>34.233400000000003</v>
      </c>
      <c r="JP19">
        <v>7.6779099999999998</v>
      </c>
      <c r="JQ19">
        <v>0</v>
      </c>
      <c r="JR19">
        <v>100</v>
      </c>
      <c r="JS19">
        <v>13.667899999999999</v>
      </c>
      <c r="JT19">
        <v>100</v>
      </c>
      <c r="JU19">
        <v>15.3238</v>
      </c>
      <c r="JV19">
        <v>102.057</v>
      </c>
      <c r="JW19">
        <v>100.078</v>
      </c>
    </row>
    <row r="20" spans="1:283" x14ac:dyDescent="0.25">
      <c r="A20">
        <v>6</v>
      </c>
      <c r="B20">
        <v>1742534078</v>
      </c>
      <c r="C20">
        <v>822</v>
      </c>
      <c r="D20" t="s">
        <v>434</v>
      </c>
      <c r="E20" t="s">
        <v>435</v>
      </c>
      <c r="F20">
        <v>2</v>
      </c>
      <c r="H20">
        <v>1742534076.5</v>
      </c>
      <c r="I20">
        <f t="shared" si="0"/>
        <v>4.5681829338844416E-3</v>
      </c>
      <c r="J20">
        <f t="shared" si="1"/>
        <v>4.568182933884442</v>
      </c>
      <c r="K20">
        <f t="shared" si="2"/>
        <v>1.4171773825559097</v>
      </c>
      <c r="L20">
        <f t="shared" si="3"/>
        <v>75.030799999999999</v>
      </c>
      <c r="M20">
        <f t="shared" si="4"/>
        <v>63.880438345086475</v>
      </c>
      <c r="N20">
        <f t="shared" si="5"/>
        <v>6.1214193096015146</v>
      </c>
      <c r="O20">
        <f t="shared" si="6"/>
        <v>7.1899160342905999</v>
      </c>
      <c r="P20">
        <f t="shared" si="7"/>
        <v>0.25903515679624733</v>
      </c>
      <c r="Q20">
        <f t="shared" si="8"/>
        <v>3.0114006291733264</v>
      </c>
      <c r="R20">
        <f t="shared" si="9"/>
        <v>0.24726251792732282</v>
      </c>
      <c r="S20">
        <f t="shared" si="10"/>
        <v>0.15555220632310054</v>
      </c>
      <c r="T20">
        <f t="shared" si="11"/>
        <v>289.57742323767781</v>
      </c>
      <c r="U20">
        <f t="shared" si="12"/>
        <v>24.266520519579569</v>
      </c>
      <c r="V20">
        <f t="shared" si="13"/>
        <v>25.31325</v>
      </c>
      <c r="W20">
        <f t="shared" si="14"/>
        <v>3.2395470331615446</v>
      </c>
      <c r="X20">
        <f t="shared" si="15"/>
        <v>51.257390565703616</v>
      </c>
      <c r="Y20">
        <f t="shared" si="16"/>
        <v>1.5130572806772</v>
      </c>
      <c r="Z20">
        <f t="shared" si="17"/>
        <v>2.9518812096720124</v>
      </c>
      <c r="AA20">
        <f t="shared" si="18"/>
        <v>1.7264897524843446</v>
      </c>
      <c r="AB20">
        <f t="shared" si="19"/>
        <v>-201.45686738430388</v>
      </c>
      <c r="AC20">
        <f t="shared" si="20"/>
        <v>-252.34158532808436</v>
      </c>
      <c r="AD20">
        <f t="shared" si="21"/>
        <v>-17.642229179978177</v>
      </c>
      <c r="AE20">
        <f t="shared" si="22"/>
        <v>-181.86325865468862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51178.790636245496</v>
      </c>
      <c r="AK20" t="s">
        <v>413</v>
      </c>
      <c r="AL20">
        <v>10180.200000000001</v>
      </c>
      <c r="AM20">
        <v>191.60769230769199</v>
      </c>
      <c r="AN20">
        <v>979.671341309485</v>
      </c>
      <c r="AO20">
        <f t="shared" si="26"/>
        <v>0.80441635451785476</v>
      </c>
      <c r="AP20">
        <v>-2.5320139233462702</v>
      </c>
      <c r="AQ20" t="s">
        <v>436</v>
      </c>
      <c r="AR20">
        <v>10111</v>
      </c>
      <c r="AS20">
        <v>226.5908</v>
      </c>
      <c r="AT20">
        <v>280.59251618676097</v>
      </c>
      <c r="AU20">
        <f t="shared" si="27"/>
        <v>0.19245601030505644</v>
      </c>
      <c r="AV20">
        <v>0.5</v>
      </c>
      <c r="AW20">
        <f t="shared" si="28"/>
        <v>1513.2395996050145</v>
      </c>
      <c r="AX20">
        <f t="shared" si="29"/>
        <v>1.4171773825559097</v>
      </c>
      <c r="AY20">
        <f t="shared" si="30"/>
        <v>145.61602798780106</v>
      </c>
      <c r="AZ20">
        <f t="shared" si="31"/>
        <v>2.609759424041637E-3</v>
      </c>
      <c r="BA20">
        <f t="shared" si="32"/>
        <v>2.4914378851694701</v>
      </c>
      <c r="BB20">
        <f t="shared" si="33"/>
        <v>128.83055782727902</v>
      </c>
      <c r="BC20" t="s">
        <v>414</v>
      </c>
      <c r="BD20">
        <v>0</v>
      </c>
      <c r="BE20">
        <f t="shared" si="34"/>
        <v>128.83055782727902</v>
      </c>
      <c r="BF20">
        <f t="shared" si="35"/>
        <v>0.54086245927696075</v>
      </c>
      <c r="BG20">
        <f t="shared" si="36"/>
        <v>0.35583170361340422</v>
      </c>
      <c r="BH20">
        <f t="shared" si="37"/>
        <v>0.82163295259734603</v>
      </c>
      <c r="BI20">
        <f t="shared" si="38"/>
        <v>0.6068643374532009</v>
      </c>
      <c r="BJ20">
        <f t="shared" si="39"/>
        <v>0.88708421712918462</v>
      </c>
      <c r="BK20">
        <f t="shared" si="40"/>
        <v>0.20231181879028576</v>
      </c>
      <c r="BL20">
        <f t="shared" si="41"/>
        <v>0.7976881812097143</v>
      </c>
      <c r="BM20">
        <v>1707</v>
      </c>
      <c r="BN20">
        <v>290</v>
      </c>
      <c r="BO20">
        <v>265.64</v>
      </c>
      <c r="BP20">
        <v>215</v>
      </c>
      <c r="BQ20">
        <v>10111</v>
      </c>
      <c r="BR20">
        <v>265.25</v>
      </c>
      <c r="BS20">
        <v>0.39</v>
      </c>
      <c r="BT20">
        <v>300</v>
      </c>
      <c r="BU20">
        <v>24.2</v>
      </c>
      <c r="BV20">
        <v>280.59251618676097</v>
      </c>
      <c r="BW20">
        <v>1.40596527817929</v>
      </c>
      <c r="BX20">
        <v>-15.5098910511777</v>
      </c>
      <c r="BY20">
        <v>1.2655475493928401</v>
      </c>
      <c r="BZ20">
        <v>0.84287031795495204</v>
      </c>
      <c r="CA20">
        <v>-6.8704387096774197E-3</v>
      </c>
      <c r="CB20">
        <v>290</v>
      </c>
      <c r="CC20">
        <v>266</v>
      </c>
      <c r="CD20">
        <v>845</v>
      </c>
      <c r="CE20">
        <v>10072.299999999999</v>
      </c>
      <c r="CF20">
        <v>265.19</v>
      </c>
      <c r="CG20">
        <v>0.81</v>
      </c>
      <c r="CU20">
        <f t="shared" si="42"/>
        <v>1800.0650000000001</v>
      </c>
      <c r="CV20">
        <f t="shared" si="43"/>
        <v>1513.2395996050145</v>
      </c>
      <c r="CW20">
        <f t="shared" si="44"/>
        <v>0.84065830934161512</v>
      </c>
      <c r="CX20">
        <f t="shared" si="45"/>
        <v>0.16087053702931717</v>
      </c>
      <c r="CY20">
        <v>1.9</v>
      </c>
      <c r="CZ20">
        <v>0.5</v>
      </c>
      <c r="DA20" t="s">
        <v>415</v>
      </c>
      <c r="DB20">
        <v>2</v>
      </c>
      <c r="DC20">
        <v>1742534076.5</v>
      </c>
      <c r="DD20">
        <v>75.030799999999999</v>
      </c>
      <c r="DE20">
        <v>75.699299999999994</v>
      </c>
      <c r="DF20">
        <v>15.7896</v>
      </c>
      <c r="DG20">
        <v>14.081799999999999</v>
      </c>
      <c r="DH20">
        <v>74.369799999999998</v>
      </c>
      <c r="DI20">
        <v>15.9206</v>
      </c>
      <c r="DJ20">
        <v>500.20499999999998</v>
      </c>
      <c r="DK20">
        <v>95.725200000000001</v>
      </c>
      <c r="DL20">
        <v>0.1009945</v>
      </c>
      <c r="DM20">
        <v>23.758949999999999</v>
      </c>
      <c r="DN20">
        <v>25.31325</v>
      </c>
      <c r="DO20">
        <v>999.9</v>
      </c>
      <c r="DP20">
        <v>0</v>
      </c>
      <c r="DQ20">
        <v>0</v>
      </c>
      <c r="DR20">
        <v>10001.875</v>
      </c>
      <c r="DS20">
        <v>0</v>
      </c>
      <c r="DT20">
        <v>1097.93</v>
      </c>
      <c r="DU20">
        <v>-0.70559700000000003</v>
      </c>
      <c r="DV20">
        <v>76.196849999999998</v>
      </c>
      <c r="DW20">
        <v>76.780500000000004</v>
      </c>
      <c r="DX20">
        <v>1.707735</v>
      </c>
      <c r="DY20">
        <v>75.699299999999994</v>
      </c>
      <c r="DZ20">
        <v>14.081799999999999</v>
      </c>
      <c r="EA20">
        <v>1.511455</v>
      </c>
      <c r="EB20">
        <v>1.347985</v>
      </c>
      <c r="EC20">
        <v>13.08455</v>
      </c>
      <c r="ED20">
        <v>11.344799999999999</v>
      </c>
      <c r="EE20">
        <v>1800.0650000000001</v>
      </c>
      <c r="EF20">
        <v>0.977993</v>
      </c>
      <c r="EG20">
        <v>2.2006600000000001E-2</v>
      </c>
      <c r="EH20">
        <v>0</v>
      </c>
      <c r="EI20">
        <v>226.3605</v>
      </c>
      <c r="EJ20">
        <v>5.0006000000000004</v>
      </c>
      <c r="EK20">
        <v>4389.7349999999997</v>
      </c>
      <c r="EL20">
        <v>18194.55</v>
      </c>
      <c r="EM20">
        <v>49.436999999999998</v>
      </c>
      <c r="EN20">
        <v>49.311999999999998</v>
      </c>
      <c r="EO20">
        <v>49.686999999999998</v>
      </c>
      <c r="EP20">
        <v>49.25</v>
      </c>
      <c r="EQ20">
        <v>50.780999999999999</v>
      </c>
      <c r="ER20">
        <v>1755.5650000000001</v>
      </c>
      <c r="ES20">
        <v>39.5</v>
      </c>
      <c r="ET20">
        <v>0</v>
      </c>
      <c r="EU20">
        <v>151.5</v>
      </c>
      <c r="EV20">
        <v>0</v>
      </c>
      <c r="EW20">
        <v>226.5908</v>
      </c>
      <c r="EX20">
        <v>-0.89838462856649803</v>
      </c>
      <c r="EY20">
        <v>-3.8146153875865498</v>
      </c>
      <c r="EZ20">
        <v>4389.9312</v>
      </c>
      <c r="FA20">
        <v>15</v>
      </c>
      <c r="FB20">
        <v>1742534107</v>
      </c>
      <c r="FC20" t="s">
        <v>437</v>
      </c>
      <c r="FD20">
        <v>1742534102</v>
      </c>
      <c r="FE20">
        <v>1742534107</v>
      </c>
      <c r="FF20">
        <v>20</v>
      </c>
      <c r="FG20">
        <v>3.6999999999999998E-2</v>
      </c>
      <c r="FH20">
        <v>0</v>
      </c>
      <c r="FI20">
        <v>0.66100000000000003</v>
      </c>
      <c r="FJ20">
        <v>-0.13100000000000001</v>
      </c>
      <c r="FK20">
        <v>73</v>
      </c>
      <c r="FL20">
        <v>14</v>
      </c>
      <c r="FM20">
        <v>0.2</v>
      </c>
      <c r="FN20">
        <v>0.15</v>
      </c>
      <c r="FO20">
        <v>-0.73328119999999997</v>
      </c>
      <c r="FP20">
        <v>-0.47057639097744203</v>
      </c>
      <c r="FQ20">
        <v>0.10331220662467699</v>
      </c>
      <c r="FR20">
        <v>1</v>
      </c>
      <c r="FS20">
        <v>226.58844117647101</v>
      </c>
      <c r="FT20">
        <v>-0.45330787390841798</v>
      </c>
      <c r="FU20">
        <v>0.18157095374997201</v>
      </c>
      <c r="FV20">
        <v>1</v>
      </c>
      <c r="FW20">
        <v>1.4517975000000001</v>
      </c>
      <c r="FX20">
        <v>1.7528025563909799</v>
      </c>
      <c r="FY20">
        <v>0.168606722608412</v>
      </c>
      <c r="FZ20">
        <v>0</v>
      </c>
      <c r="GA20">
        <v>2</v>
      </c>
      <c r="GB20">
        <v>3</v>
      </c>
      <c r="GC20" t="s">
        <v>424</v>
      </c>
      <c r="GD20">
        <v>3.1395400000000002</v>
      </c>
      <c r="GE20">
        <v>2.7479100000000001</v>
      </c>
      <c r="GF20">
        <v>1.8936399999999999E-2</v>
      </c>
      <c r="GG20">
        <v>1.9825200000000001E-2</v>
      </c>
      <c r="GH20">
        <v>8.1493800000000005E-2</v>
      </c>
      <c r="GI20">
        <v>7.6567800000000005E-2</v>
      </c>
      <c r="GJ20">
        <v>25765.5</v>
      </c>
      <c r="GK20">
        <v>32276.400000000001</v>
      </c>
      <c r="GL20">
        <v>26784.799999999999</v>
      </c>
      <c r="GM20">
        <v>31083.3</v>
      </c>
      <c r="GN20">
        <v>34705.9</v>
      </c>
      <c r="GO20">
        <v>38273.4</v>
      </c>
      <c r="GP20">
        <v>41322.6</v>
      </c>
      <c r="GQ20">
        <v>45074.7</v>
      </c>
      <c r="GR20">
        <v>1.6867700000000001</v>
      </c>
      <c r="GS20">
        <v>1.8752500000000001</v>
      </c>
      <c r="GT20">
        <v>8.9235599999999998E-2</v>
      </c>
      <c r="GU20">
        <v>0</v>
      </c>
      <c r="GV20">
        <v>23.848600000000001</v>
      </c>
      <c r="GW20">
        <v>999.9</v>
      </c>
      <c r="GX20">
        <v>32.389000000000003</v>
      </c>
      <c r="GY20">
        <v>33.103000000000002</v>
      </c>
      <c r="GZ20">
        <v>17.192299999999999</v>
      </c>
      <c r="HA20">
        <v>61.013399999999997</v>
      </c>
      <c r="HB20">
        <v>22.8886</v>
      </c>
      <c r="HC20">
        <v>1</v>
      </c>
      <c r="HD20">
        <v>0.64934999999999998</v>
      </c>
      <c r="HE20">
        <v>8.8180300000000003</v>
      </c>
      <c r="HF20">
        <v>19.9573</v>
      </c>
      <c r="HG20">
        <v>5.2268699999999999</v>
      </c>
      <c r="HH20">
        <v>11.986000000000001</v>
      </c>
      <c r="HI20">
        <v>4.9530500000000002</v>
      </c>
      <c r="HJ20">
        <v>3.2850000000000001</v>
      </c>
      <c r="HK20">
        <v>9999</v>
      </c>
      <c r="HL20">
        <v>9999</v>
      </c>
      <c r="HM20">
        <v>999.9</v>
      </c>
      <c r="HN20">
        <v>9999</v>
      </c>
      <c r="HO20">
        <v>1.85937</v>
      </c>
      <c r="HP20">
        <v>1.86005</v>
      </c>
      <c r="HQ20">
        <v>1.85562</v>
      </c>
      <c r="HR20">
        <v>1.8583700000000001</v>
      </c>
      <c r="HS20">
        <v>1.86249</v>
      </c>
      <c r="HT20">
        <v>1.85795</v>
      </c>
      <c r="HU20">
        <v>1.85487</v>
      </c>
      <c r="HV20">
        <v>1.8623400000000001</v>
      </c>
      <c r="HW20">
        <v>5</v>
      </c>
      <c r="HX20">
        <v>0</v>
      </c>
      <c r="HY20">
        <v>0</v>
      </c>
      <c r="HZ20">
        <v>0</v>
      </c>
      <c r="IA20" t="s">
        <v>417</v>
      </c>
      <c r="IB20" t="s">
        <v>418</v>
      </c>
      <c r="IC20" t="s">
        <v>419</v>
      </c>
      <c r="ID20" t="s">
        <v>419</v>
      </c>
      <c r="IE20" t="s">
        <v>419</v>
      </c>
      <c r="IF20" t="s">
        <v>419</v>
      </c>
      <c r="IG20">
        <v>0</v>
      </c>
      <c r="IH20">
        <v>100</v>
      </c>
      <c r="II20">
        <v>100</v>
      </c>
      <c r="IJ20">
        <v>0.66100000000000003</v>
      </c>
      <c r="IK20">
        <v>-0.13100000000000001</v>
      </c>
      <c r="IL20">
        <v>0.62389090909090295</v>
      </c>
      <c r="IM20">
        <v>0</v>
      </c>
      <c r="IN20">
        <v>0</v>
      </c>
      <c r="IO20">
        <v>0</v>
      </c>
      <c r="IP20">
        <v>-0.13109999999999999</v>
      </c>
      <c r="IQ20">
        <v>0</v>
      </c>
      <c r="IR20">
        <v>0</v>
      </c>
      <c r="IS20">
        <v>0</v>
      </c>
      <c r="IT20">
        <v>-1</v>
      </c>
      <c r="IU20">
        <v>-1</v>
      </c>
      <c r="IV20">
        <v>-1</v>
      </c>
      <c r="IW20">
        <v>-1</v>
      </c>
      <c r="IX20">
        <v>3.8</v>
      </c>
      <c r="IY20">
        <v>3.9</v>
      </c>
      <c r="IZ20">
        <v>0.318604</v>
      </c>
      <c r="JA20">
        <v>2.7636699999999998</v>
      </c>
      <c r="JB20">
        <v>1.69678</v>
      </c>
      <c r="JC20">
        <v>2.36572</v>
      </c>
      <c r="JD20">
        <v>1.4978</v>
      </c>
      <c r="JE20">
        <v>2.4182100000000002</v>
      </c>
      <c r="JF20">
        <v>36.7654</v>
      </c>
      <c r="JG20">
        <v>14.744899999999999</v>
      </c>
      <c r="JH20">
        <v>18</v>
      </c>
      <c r="JI20">
        <v>374.553</v>
      </c>
      <c r="JJ20">
        <v>497.47500000000002</v>
      </c>
      <c r="JK20">
        <v>13.5906</v>
      </c>
      <c r="JL20">
        <v>34.359000000000002</v>
      </c>
      <c r="JM20">
        <v>30.000699999999998</v>
      </c>
      <c r="JN20">
        <v>34.332500000000003</v>
      </c>
      <c r="JO20">
        <v>34.312899999999999</v>
      </c>
      <c r="JP20">
        <v>6.4002400000000002</v>
      </c>
      <c r="JQ20">
        <v>23.020299999999999</v>
      </c>
      <c r="JR20">
        <v>100</v>
      </c>
      <c r="JS20">
        <v>13.5852</v>
      </c>
      <c r="JT20">
        <v>75</v>
      </c>
      <c r="JU20">
        <v>13.7538</v>
      </c>
      <c r="JV20">
        <v>102.04600000000001</v>
      </c>
      <c r="JW20">
        <v>100.06100000000001</v>
      </c>
    </row>
    <row r="21" spans="1:283" x14ac:dyDescent="0.25">
      <c r="A21">
        <v>11</v>
      </c>
      <c r="B21">
        <v>1742534814.0999999</v>
      </c>
      <c r="C21">
        <v>1558.0999999046301</v>
      </c>
      <c r="D21" t="s">
        <v>438</v>
      </c>
      <c r="E21" t="s">
        <v>439</v>
      </c>
      <c r="F21">
        <v>2</v>
      </c>
      <c r="H21">
        <v>1742534812.5999999</v>
      </c>
      <c r="I21">
        <f t="shared" si="0"/>
        <v>3.8226960717093867E-3</v>
      </c>
      <c r="J21">
        <f t="shared" si="1"/>
        <v>3.8226960717093865</v>
      </c>
      <c r="K21">
        <f t="shared" si="2"/>
        <v>21.939990266036784</v>
      </c>
      <c r="L21">
        <f t="shared" si="3"/>
        <v>391.2355</v>
      </c>
      <c r="M21">
        <f t="shared" si="4"/>
        <v>214.49552057728997</v>
      </c>
      <c r="N21">
        <f t="shared" si="5"/>
        <v>20.551681744926722</v>
      </c>
      <c r="O21">
        <f t="shared" si="6"/>
        <v>37.485852672713506</v>
      </c>
      <c r="P21">
        <f t="shared" si="7"/>
        <v>0.2162244393118917</v>
      </c>
      <c r="Q21">
        <f t="shared" si="8"/>
        <v>3.0109683594813723</v>
      </c>
      <c r="R21">
        <f t="shared" si="9"/>
        <v>0.20795364369868238</v>
      </c>
      <c r="S21">
        <f t="shared" si="10"/>
        <v>0.13068776593681958</v>
      </c>
      <c r="T21">
        <f t="shared" si="11"/>
        <v>289.56668923803835</v>
      </c>
      <c r="U21">
        <f t="shared" si="12"/>
        <v>24.210228671730587</v>
      </c>
      <c r="V21">
        <f t="shared" si="13"/>
        <v>24.992850000000001</v>
      </c>
      <c r="W21">
        <f t="shared" si="14"/>
        <v>3.1783224205690002</v>
      </c>
      <c r="X21">
        <f t="shared" si="15"/>
        <v>50.185867528629181</v>
      </c>
      <c r="Y21">
        <f t="shared" si="16"/>
        <v>1.45965499316725</v>
      </c>
      <c r="Z21">
        <f t="shared" si="17"/>
        <v>2.9084980793339299</v>
      </c>
      <c r="AA21">
        <f t="shared" si="18"/>
        <v>1.7186674274017502</v>
      </c>
      <c r="AB21">
        <f t="shared" si="19"/>
        <v>-168.58089676238396</v>
      </c>
      <c r="AC21">
        <f t="shared" si="20"/>
        <v>-240.19574457275371</v>
      </c>
      <c r="AD21">
        <f t="shared" si="21"/>
        <v>-16.747568182536135</v>
      </c>
      <c r="AE21">
        <f t="shared" si="22"/>
        <v>-135.95752027963547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51208.602836160513</v>
      </c>
      <c r="AK21" t="s">
        <v>413</v>
      </c>
      <c r="AL21">
        <v>10180.200000000001</v>
      </c>
      <c r="AM21">
        <v>191.60769230769199</v>
      </c>
      <c r="AN21">
        <v>979.671341309485</v>
      </c>
      <c r="AO21">
        <f t="shared" si="26"/>
        <v>0.80441635451785476</v>
      </c>
      <c r="AP21">
        <v>-2.5320139233462702</v>
      </c>
      <c r="AQ21" t="s">
        <v>440</v>
      </c>
      <c r="AR21">
        <v>10117.5</v>
      </c>
      <c r="AS21">
        <v>229.16515999999999</v>
      </c>
      <c r="AT21">
        <v>320.86101621306602</v>
      </c>
      <c r="AU21">
        <f t="shared" si="27"/>
        <v>0.28578060773882208</v>
      </c>
      <c r="AV21">
        <v>0.5</v>
      </c>
      <c r="AW21">
        <f t="shared" si="28"/>
        <v>1513.1885996052013</v>
      </c>
      <c r="AX21">
        <f t="shared" si="29"/>
        <v>21.939990266036784</v>
      </c>
      <c r="AY21">
        <f t="shared" si="30"/>
        <v>216.21997880931576</v>
      </c>
      <c r="AZ21">
        <f t="shared" si="31"/>
        <v>1.6172474598188175E-2</v>
      </c>
      <c r="BA21">
        <f t="shared" si="32"/>
        <v>2.0532576156242661</v>
      </c>
      <c r="BB21">
        <f t="shared" si="33"/>
        <v>136.70800014949805</v>
      </c>
      <c r="BC21" t="s">
        <v>414</v>
      </c>
      <c r="BD21">
        <v>0</v>
      </c>
      <c r="BE21">
        <f t="shared" si="34"/>
        <v>136.70800014949805</v>
      </c>
      <c r="BF21">
        <f t="shared" si="35"/>
        <v>0.57393390520611631</v>
      </c>
      <c r="BG21">
        <f t="shared" si="36"/>
        <v>0.49793295908557611</v>
      </c>
      <c r="BH21">
        <f t="shared" si="37"/>
        <v>0.78154089617923561</v>
      </c>
      <c r="BI21">
        <f t="shared" si="38"/>
        <v>0.70942745178604694</v>
      </c>
      <c r="BJ21">
        <f t="shared" si="39"/>
        <v>0.83598618706865391</v>
      </c>
      <c r="BK21">
        <f t="shared" si="40"/>
        <v>0.29704087237829235</v>
      </c>
      <c r="BL21">
        <f t="shared" si="41"/>
        <v>0.70295912762170765</v>
      </c>
      <c r="BM21">
        <v>1712</v>
      </c>
      <c r="BN21">
        <v>290</v>
      </c>
      <c r="BO21">
        <v>286.31</v>
      </c>
      <c r="BP21">
        <v>185</v>
      </c>
      <c r="BQ21">
        <v>10117.5</v>
      </c>
      <c r="BR21">
        <v>285.58</v>
      </c>
      <c r="BS21">
        <v>0.73</v>
      </c>
      <c r="BT21">
        <v>300</v>
      </c>
      <c r="BU21">
        <v>24.2</v>
      </c>
      <c r="BV21">
        <v>320.86101621306602</v>
      </c>
      <c r="BW21">
        <v>1.3355297374441499</v>
      </c>
      <c r="BX21">
        <v>-35.694172081963899</v>
      </c>
      <c r="BY21">
        <v>1.20230502344926</v>
      </c>
      <c r="BZ21">
        <v>0.96920993636544905</v>
      </c>
      <c r="CA21">
        <v>-6.8715659621802101E-3</v>
      </c>
      <c r="CB21">
        <v>290</v>
      </c>
      <c r="CC21">
        <v>282.89</v>
      </c>
      <c r="CD21">
        <v>715</v>
      </c>
      <c r="CE21">
        <v>10081</v>
      </c>
      <c r="CF21">
        <v>285.45</v>
      </c>
      <c r="CG21">
        <v>-2.56</v>
      </c>
      <c r="CU21">
        <f t="shared" si="42"/>
        <v>1800.0050000000001</v>
      </c>
      <c r="CV21">
        <f t="shared" si="43"/>
        <v>1513.1885996052013</v>
      </c>
      <c r="CW21">
        <f t="shared" si="44"/>
        <v>0.8406579979528952</v>
      </c>
      <c r="CX21">
        <f t="shared" si="45"/>
        <v>0.16086993604908784</v>
      </c>
      <c r="CY21">
        <v>1.9</v>
      </c>
      <c r="CZ21">
        <v>0.5</v>
      </c>
      <c r="DA21" t="s">
        <v>415</v>
      </c>
      <c r="DB21">
        <v>2</v>
      </c>
      <c r="DC21">
        <v>1742534812.5999999</v>
      </c>
      <c r="DD21">
        <v>391.2355</v>
      </c>
      <c r="DE21">
        <v>400.137</v>
      </c>
      <c r="DF21">
        <v>15.234249999999999</v>
      </c>
      <c r="DG21">
        <v>13.804399999999999</v>
      </c>
      <c r="DH21">
        <v>389.67450000000002</v>
      </c>
      <c r="DI21">
        <v>15.36285</v>
      </c>
      <c r="DJ21">
        <v>500.22550000000001</v>
      </c>
      <c r="DK21">
        <v>95.713099999999997</v>
      </c>
      <c r="DL21">
        <v>0.100937</v>
      </c>
      <c r="DM21">
        <v>23.51315</v>
      </c>
      <c r="DN21">
        <v>24.992850000000001</v>
      </c>
      <c r="DO21">
        <v>999.9</v>
      </c>
      <c r="DP21">
        <v>0</v>
      </c>
      <c r="DQ21">
        <v>0</v>
      </c>
      <c r="DR21">
        <v>10000.625</v>
      </c>
      <c r="DS21">
        <v>0</v>
      </c>
      <c r="DT21">
        <v>1132.1199999999999</v>
      </c>
      <c r="DU21">
        <v>-8.9017949999999999</v>
      </c>
      <c r="DV21">
        <v>397.28800000000001</v>
      </c>
      <c r="DW21">
        <v>405.73849999999999</v>
      </c>
      <c r="DX21">
        <v>1.4298150000000001</v>
      </c>
      <c r="DY21">
        <v>400.137</v>
      </c>
      <c r="DZ21">
        <v>13.804399999999999</v>
      </c>
      <c r="EA21">
        <v>1.458115</v>
      </c>
      <c r="EB21">
        <v>1.3212649999999999</v>
      </c>
      <c r="EC21">
        <v>12.5359</v>
      </c>
      <c r="ED21">
        <v>11.042899999999999</v>
      </c>
      <c r="EE21">
        <v>1800.0050000000001</v>
      </c>
      <c r="EF21">
        <v>0.97800600000000004</v>
      </c>
      <c r="EG21">
        <v>2.19945E-2</v>
      </c>
      <c r="EH21">
        <v>0</v>
      </c>
      <c r="EI21">
        <v>229.44550000000001</v>
      </c>
      <c r="EJ21">
        <v>5.0006000000000004</v>
      </c>
      <c r="EK21">
        <v>4444.42</v>
      </c>
      <c r="EL21">
        <v>18194</v>
      </c>
      <c r="EM21">
        <v>49.375</v>
      </c>
      <c r="EN21">
        <v>49.25</v>
      </c>
      <c r="EO21">
        <v>49.625</v>
      </c>
      <c r="EP21">
        <v>49.061999999999998</v>
      </c>
      <c r="EQ21">
        <v>50.625</v>
      </c>
      <c r="ER21">
        <v>1755.5250000000001</v>
      </c>
      <c r="ES21">
        <v>39.479999999999997</v>
      </c>
      <c r="ET21">
        <v>0</v>
      </c>
      <c r="EU21">
        <v>151.90000009536701</v>
      </c>
      <c r="EV21">
        <v>0</v>
      </c>
      <c r="EW21">
        <v>229.16515999999999</v>
      </c>
      <c r="EX21">
        <v>5.4759230848765297</v>
      </c>
      <c r="EY21">
        <v>82.633846137163999</v>
      </c>
      <c r="EZ21">
        <v>4437.2664000000004</v>
      </c>
      <c r="FA21">
        <v>15</v>
      </c>
      <c r="FB21">
        <v>1742534764.0999999</v>
      </c>
      <c r="FC21" t="s">
        <v>441</v>
      </c>
      <c r="FD21">
        <v>1742534763.0999999</v>
      </c>
      <c r="FE21">
        <v>1742534764.0999999</v>
      </c>
      <c r="FF21">
        <v>25</v>
      </c>
      <c r="FG21">
        <v>1.1240000000000001</v>
      </c>
      <c r="FH21">
        <v>5.0000000000000001E-3</v>
      </c>
      <c r="FI21">
        <v>1.5609999999999999</v>
      </c>
      <c r="FJ21">
        <v>-0.129</v>
      </c>
      <c r="FK21">
        <v>401</v>
      </c>
      <c r="FL21">
        <v>14</v>
      </c>
      <c r="FM21">
        <v>0.36</v>
      </c>
      <c r="FN21">
        <v>0.1</v>
      </c>
      <c r="FO21">
        <v>-8.8680944999999998</v>
      </c>
      <c r="FP21">
        <v>-0.32979203007517999</v>
      </c>
      <c r="FQ21">
        <v>6.45549236290308E-2</v>
      </c>
      <c r="FR21">
        <v>1</v>
      </c>
      <c r="FS21">
        <v>228.767529411765</v>
      </c>
      <c r="FT21">
        <v>5.9128495078751699</v>
      </c>
      <c r="FU21">
        <v>0.612925829659968</v>
      </c>
      <c r="FV21">
        <v>0</v>
      </c>
      <c r="FW21">
        <v>1.5438780000000001</v>
      </c>
      <c r="FX21">
        <v>-0.83396661654135296</v>
      </c>
      <c r="FY21">
        <v>8.0501611077046203E-2</v>
      </c>
      <c r="FZ21">
        <v>0</v>
      </c>
      <c r="GA21">
        <v>1</v>
      </c>
      <c r="GB21">
        <v>3</v>
      </c>
      <c r="GC21" t="s">
        <v>433</v>
      </c>
      <c r="GD21">
        <v>3.1396899999999999</v>
      </c>
      <c r="GE21">
        <v>2.74796</v>
      </c>
      <c r="GF21">
        <v>8.2786999999999999E-2</v>
      </c>
      <c r="GG21">
        <v>8.6664099999999994E-2</v>
      </c>
      <c r="GH21">
        <v>7.9285999999999995E-2</v>
      </c>
      <c r="GI21">
        <v>7.5608099999999998E-2</v>
      </c>
      <c r="GJ21">
        <v>24085.7</v>
      </c>
      <c r="GK21">
        <v>30063.3</v>
      </c>
      <c r="GL21">
        <v>26780.3</v>
      </c>
      <c r="GM21">
        <v>31068.799999999999</v>
      </c>
      <c r="GN21">
        <v>34784.300000000003</v>
      </c>
      <c r="GO21">
        <v>38296.9</v>
      </c>
      <c r="GP21">
        <v>41315.9</v>
      </c>
      <c r="GQ21">
        <v>45054</v>
      </c>
      <c r="GR21">
        <v>1.68493</v>
      </c>
      <c r="GS21">
        <v>1.8658300000000001</v>
      </c>
      <c r="GT21">
        <v>8.67285E-2</v>
      </c>
      <c r="GU21">
        <v>0</v>
      </c>
      <c r="GV21">
        <v>23.568100000000001</v>
      </c>
      <c r="GW21">
        <v>999.9</v>
      </c>
      <c r="GX21">
        <v>31.443000000000001</v>
      </c>
      <c r="GY21">
        <v>33.948999999999998</v>
      </c>
      <c r="GZ21">
        <v>17.502099999999999</v>
      </c>
      <c r="HA21">
        <v>61.229900000000001</v>
      </c>
      <c r="HB21">
        <v>23.0609</v>
      </c>
      <c r="HC21">
        <v>1</v>
      </c>
      <c r="HD21">
        <v>0.67457100000000003</v>
      </c>
      <c r="HE21">
        <v>8.9556299999999993</v>
      </c>
      <c r="HF21">
        <v>19.9498</v>
      </c>
      <c r="HG21">
        <v>5.2270200000000004</v>
      </c>
      <c r="HH21">
        <v>11.9894</v>
      </c>
      <c r="HI21">
        <v>4.9528999999999996</v>
      </c>
      <c r="HJ21">
        <v>3.2850000000000001</v>
      </c>
      <c r="HK21">
        <v>9999</v>
      </c>
      <c r="HL21">
        <v>9999</v>
      </c>
      <c r="HM21">
        <v>999.9</v>
      </c>
      <c r="HN21">
        <v>9999</v>
      </c>
      <c r="HO21">
        <v>1.85937</v>
      </c>
      <c r="HP21">
        <v>1.86005</v>
      </c>
      <c r="HQ21">
        <v>1.85562</v>
      </c>
      <c r="HR21">
        <v>1.8583799999999999</v>
      </c>
      <c r="HS21">
        <v>1.86249</v>
      </c>
      <c r="HT21">
        <v>1.8579399999999999</v>
      </c>
      <c r="HU21">
        <v>1.85486</v>
      </c>
      <c r="HV21">
        <v>1.8622700000000001</v>
      </c>
      <c r="HW21">
        <v>5</v>
      </c>
      <c r="HX21">
        <v>0</v>
      </c>
      <c r="HY21">
        <v>0</v>
      </c>
      <c r="HZ21">
        <v>0</v>
      </c>
      <c r="IA21" t="s">
        <v>417</v>
      </c>
      <c r="IB21" t="s">
        <v>418</v>
      </c>
      <c r="IC21" t="s">
        <v>419</v>
      </c>
      <c r="ID21" t="s">
        <v>419</v>
      </c>
      <c r="IE21" t="s">
        <v>419</v>
      </c>
      <c r="IF21" t="s">
        <v>419</v>
      </c>
      <c r="IG21">
        <v>0</v>
      </c>
      <c r="IH21">
        <v>100</v>
      </c>
      <c r="II21">
        <v>100</v>
      </c>
      <c r="IJ21">
        <v>1.5609999999999999</v>
      </c>
      <c r="IK21">
        <v>-0.12859999999999999</v>
      </c>
      <c r="IL21">
        <v>1.5610909090909799</v>
      </c>
      <c r="IM21">
        <v>0</v>
      </c>
      <c r="IN21">
        <v>0</v>
      </c>
      <c r="IO21">
        <v>0</v>
      </c>
      <c r="IP21">
        <v>-0.12860000000000199</v>
      </c>
      <c r="IQ21">
        <v>0</v>
      </c>
      <c r="IR21">
        <v>0</v>
      </c>
      <c r="IS21">
        <v>0</v>
      </c>
      <c r="IT21">
        <v>-1</v>
      </c>
      <c r="IU21">
        <v>-1</v>
      </c>
      <c r="IV21">
        <v>-1</v>
      </c>
      <c r="IW21">
        <v>-1</v>
      </c>
      <c r="IX21">
        <v>0.8</v>
      </c>
      <c r="IY21">
        <v>0.8</v>
      </c>
      <c r="IZ21">
        <v>1.0376000000000001</v>
      </c>
      <c r="JA21">
        <v>2.7685499999999998</v>
      </c>
      <c r="JB21">
        <v>1.69678</v>
      </c>
      <c r="JC21">
        <v>2.36572</v>
      </c>
      <c r="JD21">
        <v>1.4978</v>
      </c>
      <c r="JE21">
        <v>2.3559600000000001</v>
      </c>
      <c r="JF21">
        <v>37.722799999999999</v>
      </c>
      <c r="JG21">
        <v>14.456</v>
      </c>
      <c r="JH21">
        <v>18</v>
      </c>
      <c r="JI21">
        <v>375.15899999999999</v>
      </c>
      <c r="JJ21">
        <v>493.57600000000002</v>
      </c>
      <c r="JK21">
        <v>13.337199999999999</v>
      </c>
      <c r="JL21">
        <v>34.643099999999997</v>
      </c>
      <c r="JM21">
        <v>29.999500000000001</v>
      </c>
      <c r="JN21">
        <v>34.645600000000002</v>
      </c>
      <c r="JO21">
        <v>34.624600000000001</v>
      </c>
      <c r="JP21">
        <v>20.782800000000002</v>
      </c>
      <c r="JQ21">
        <v>21.914200000000001</v>
      </c>
      <c r="JR21">
        <v>100</v>
      </c>
      <c r="JS21">
        <v>13.4575</v>
      </c>
      <c r="JT21">
        <v>400</v>
      </c>
      <c r="JU21">
        <v>13.8162</v>
      </c>
      <c r="JV21">
        <v>102.029</v>
      </c>
      <c r="JW21">
        <v>100.015</v>
      </c>
    </row>
    <row r="22" spans="1:283" x14ac:dyDescent="0.25">
      <c r="A22">
        <v>12</v>
      </c>
      <c r="B22">
        <v>1742534959.0999999</v>
      </c>
      <c r="C22">
        <v>1703.0999999046301</v>
      </c>
      <c r="D22" t="s">
        <v>442</v>
      </c>
      <c r="E22" t="s">
        <v>443</v>
      </c>
      <c r="F22">
        <v>2</v>
      </c>
      <c r="H22">
        <v>1742534957.0999999</v>
      </c>
      <c r="I22">
        <f t="shared" si="0"/>
        <v>2.8892754616006628E-3</v>
      </c>
      <c r="J22">
        <f t="shared" si="1"/>
        <v>2.8892754616006626</v>
      </c>
      <c r="K22">
        <f t="shared" si="2"/>
        <v>20.9759009402269</v>
      </c>
      <c r="L22">
        <f t="shared" si="3"/>
        <v>391.60233333333298</v>
      </c>
      <c r="M22">
        <f t="shared" si="4"/>
        <v>168.01331470657257</v>
      </c>
      <c r="N22">
        <f t="shared" si="5"/>
        <v>16.096707094637519</v>
      </c>
      <c r="O22">
        <f t="shared" si="6"/>
        <v>37.517907841125876</v>
      </c>
      <c r="P22">
        <f t="shared" si="7"/>
        <v>0.15981668551841788</v>
      </c>
      <c r="Q22">
        <f t="shared" si="8"/>
        <v>3.0109767345235161</v>
      </c>
      <c r="R22">
        <f t="shared" si="9"/>
        <v>0.15524927813444941</v>
      </c>
      <c r="S22">
        <f t="shared" si="10"/>
        <v>9.7430289528201153E-2</v>
      </c>
      <c r="T22">
        <f t="shared" si="11"/>
        <v>289.56376323803113</v>
      </c>
      <c r="U22">
        <f t="shared" si="12"/>
        <v>24.361450630997059</v>
      </c>
      <c r="V22">
        <f t="shared" si="13"/>
        <v>25.0217666666667</v>
      </c>
      <c r="W22">
        <f t="shared" si="14"/>
        <v>3.1838062262509257</v>
      </c>
      <c r="X22">
        <f t="shared" si="15"/>
        <v>49.900989722822672</v>
      </c>
      <c r="Y22">
        <f t="shared" si="16"/>
        <v>1.4438623955364482</v>
      </c>
      <c r="Z22">
        <f t="shared" si="17"/>
        <v>2.8934544255664023</v>
      </c>
      <c r="AA22">
        <f t="shared" si="18"/>
        <v>1.7399438307144774</v>
      </c>
      <c r="AB22">
        <f t="shared" si="19"/>
        <v>-127.41704785658924</v>
      </c>
      <c r="AC22">
        <f t="shared" si="20"/>
        <v>-258.8478743389681</v>
      </c>
      <c r="AD22">
        <f t="shared" si="21"/>
        <v>-18.04285277040864</v>
      </c>
      <c r="AE22">
        <f t="shared" si="22"/>
        <v>-114.74401172793483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51223.535472484058</v>
      </c>
      <c r="AK22" t="s">
        <v>413</v>
      </c>
      <c r="AL22">
        <v>10180.200000000001</v>
      </c>
      <c r="AM22">
        <v>191.60769230769199</v>
      </c>
      <c r="AN22">
        <v>979.671341309485</v>
      </c>
      <c r="AO22">
        <f t="shared" si="26"/>
        <v>0.80441635451785476</v>
      </c>
      <c r="AP22">
        <v>-2.5320139233462702</v>
      </c>
      <c r="AQ22" t="s">
        <v>444</v>
      </c>
      <c r="AR22">
        <v>10116.299999999999</v>
      </c>
      <c r="AS22">
        <v>229.59888000000001</v>
      </c>
      <c r="AT22">
        <v>322.22447626080401</v>
      </c>
      <c r="AU22">
        <f t="shared" si="27"/>
        <v>0.28745673617243817</v>
      </c>
      <c r="AV22">
        <v>0.5</v>
      </c>
      <c r="AW22">
        <f t="shared" si="28"/>
        <v>1513.1731996052001</v>
      </c>
      <c r="AX22">
        <f t="shared" si="29"/>
        <v>20.9759009402269</v>
      </c>
      <c r="AY22">
        <f t="shared" si="30"/>
        <v>217.48591461105806</v>
      </c>
      <c r="AZ22">
        <f t="shared" si="31"/>
        <v>1.5535508340820858E-2</v>
      </c>
      <c r="BA22">
        <f t="shared" si="32"/>
        <v>2.0403380670453872</v>
      </c>
      <c r="BB22">
        <f t="shared" si="33"/>
        <v>136.95491003199061</v>
      </c>
      <c r="BC22" t="s">
        <v>414</v>
      </c>
      <c r="BD22">
        <v>0</v>
      </c>
      <c r="BE22">
        <f t="shared" si="34"/>
        <v>136.95491003199061</v>
      </c>
      <c r="BF22">
        <f t="shared" si="35"/>
        <v>0.57497049379594234</v>
      </c>
      <c r="BG22">
        <f t="shared" si="36"/>
        <v>0.49995041358497405</v>
      </c>
      <c r="BH22">
        <f t="shared" si="37"/>
        <v>0.78015194749678884</v>
      </c>
      <c r="BI22">
        <f t="shared" si="38"/>
        <v>0.70914007723581796</v>
      </c>
      <c r="BJ22">
        <f t="shared" si="39"/>
        <v>0.8342560475685451</v>
      </c>
      <c r="BK22">
        <f t="shared" si="40"/>
        <v>0.29821863204640459</v>
      </c>
      <c r="BL22">
        <f t="shared" si="41"/>
        <v>0.70178136795359536</v>
      </c>
      <c r="BM22">
        <v>1713</v>
      </c>
      <c r="BN22">
        <v>290</v>
      </c>
      <c r="BO22">
        <v>292.27999999999997</v>
      </c>
      <c r="BP22">
        <v>195</v>
      </c>
      <c r="BQ22">
        <v>10116.299999999999</v>
      </c>
      <c r="BR22">
        <v>290.83999999999997</v>
      </c>
      <c r="BS22">
        <v>1.44</v>
      </c>
      <c r="BT22">
        <v>300</v>
      </c>
      <c r="BU22">
        <v>24.2</v>
      </c>
      <c r="BV22">
        <v>322.22447626080401</v>
      </c>
      <c r="BW22">
        <v>1.20486435914321</v>
      </c>
      <c r="BX22">
        <v>-31.752455263896401</v>
      </c>
      <c r="BY22">
        <v>1.0847332322018399</v>
      </c>
      <c r="BZ22">
        <v>0.968356496102728</v>
      </c>
      <c r="CA22">
        <v>-6.87191924360401E-3</v>
      </c>
      <c r="CB22">
        <v>290</v>
      </c>
      <c r="CC22">
        <v>289.70999999999998</v>
      </c>
      <c r="CD22">
        <v>685</v>
      </c>
      <c r="CE22">
        <v>10083.799999999999</v>
      </c>
      <c r="CF22">
        <v>290.74</v>
      </c>
      <c r="CG22">
        <v>-1.03</v>
      </c>
      <c r="CU22">
        <f t="shared" si="42"/>
        <v>1799.9866666666701</v>
      </c>
      <c r="CV22">
        <f t="shared" si="43"/>
        <v>1513.1731996052001</v>
      </c>
      <c r="CW22">
        <f t="shared" si="44"/>
        <v>0.84065800465477369</v>
      </c>
      <c r="CX22">
        <f t="shared" si="45"/>
        <v>0.16086994898371318</v>
      </c>
      <c r="CY22">
        <v>1.9</v>
      </c>
      <c r="CZ22">
        <v>0.5</v>
      </c>
      <c r="DA22" t="s">
        <v>415</v>
      </c>
      <c r="DB22">
        <v>2</v>
      </c>
      <c r="DC22">
        <v>1742534957.0999999</v>
      </c>
      <c r="DD22">
        <v>391.60233333333298</v>
      </c>
      <c r="DE22">
        <v>400.00200000000001</v>
      </c>
      <c r="DF22">
        <v>15.0706666666667</v>
      </c>
      <c r="DG22">
        <v>13.989433333333301</v>
      </c>
      <c r="DH22">
        <v>390.03133333333301</v>
      </c>
      <c r="DI22">
        <v>15.1965</v>
      </c>
      <c r="DJ22">
        <v>500.06700000000001</v>
      </c>
      <c r="DK22">
        <v>95.705766666666705</v>
      </c>
      <c r="DL22">
        <v>0.100373</v>
      </c>
      <c r="DM22">
        <v>23.4271666666667</v>
      </c>
      <c r="DN22">
        <v>25.0217666666667</v>
      </c>
      <c r="DO22">
        <v>999.9</v>
      </c>
      <c r="DP22">
        <v>0</v>
      </c>
      <c r="DQ22">
        <v>0</v>
      </c>
      <c r="DR22">
        <v>10001.44</v>
      </c>
      <c r="DS22">
        <v>0</v>
      </c>
      <c r="DT22">
        <v>1148.9066666666699</v>
      </c>
      <c r="DU22">
        <v>-8.3997600000000006</v>
      </c>
      <c r="DV22">
        <v>397.594333333333</v>
      </c>
      <c r="DW22">
        <v>405.67700000000002</v>
      </c>
      <c r="DX22">
        <v>1.0812233333333301</v>
      </c>
      <c r="DY22">
        <v>400.00200000000001</v>
      </c>
      <c r="DZ22">
        <v>13.989433333333301</v>
      </c>
      <c r="EA22">
        <v>1.44234666666667</v>
      </c>
      <c r="EB22">
        <v>1.33886666666667</v>
      </c>
      <c r="EC22">
        <v>12.3703</v>
      </c>
      <c r="ED22">
        <v>11.242433333333301</v>
      </c>
      <c r="EE22">
        <v>1799.9866666666701</v>
      </c>
      <c r="EF22">
        <v>0.97800500000000001</v>
      </c>
      <c r="EG22">
        <v>2.19954333333333E-2</v>
      </c>
      <c r="EH22">
        <v>0</v>
      </c>
      <c r="EI22">
        <v>229.529333333333</v>
      </c>
      <c r="EJ22">
        <v>5.0006000000000004</v>
      </c>
      <c r="EK22">
        <v>4440.7700000000004</v>
      </c>
      <c r="EL22">
        <v>18193.866666666701</v>
      </c>
      <c r="EM22">
        <v>49.25</v>
      </c>
      <c r="EN22">
        <v>49.186999999999998</v>
      </c>
      <c r="EO22">
        <v>49.561999999999998</v>
      </c>
      <c r="EP22">
        <v>49</v>
      </c>
      <c r="EQ22">
        <v>50.561999999999998</v>
      </c>
      <c r="ER22">
        <v>1755.5066666666701</v>
      </c>
      <c r="ES22">
        <v>39.479999999999997</v>
      </c>
      <c r="ET22">
        <v>0</v>
      </c>
      <c r="EU22">
        <v>143.90000009536701</v>
      </c>
      <c r="EV22">
        <v>0</v>
      </c>
      <c r="EW22">
        <v>229.59888000000001</v>
      </c>
      <c r="EX22">
        <v>0.27307691072805301</v>
      </c>
      <c r="EY22">
        <v>5.7023076839886198</v>
      </c>
      <c r="EZ22">
        <v>4440.3663999999999</v>
      </c>
      <c r="FA22">
        <v>15</v>
      </c>
      <c r="FB22">
        <v>1742534888.0999999</v>
      </c>
      <c r="FC22" t="s">
        <v>445</v>
      </c>
      <c r="FD22">
        <v>1742534888.0999999</v>
      </c>
      <c r="FE22">
        <v>1742534877.0999999</v>
      </c>
      <c r="FF22">
        <v>26</v>
      </c>
      <c r="FG22">
        <v>0.01</v>
      </c>
      <c r="FH22">
        <v>3.0000000000000001E-3</v>
      </c>
      <c r="FI22">
        <v>1.571</v>
      </c>
      <c r="FJ22">
        <v>-0.126</v>
      </c>
      <c r="FK22">
        <v>401</v>
      </c>
      <c r="FL22">
        <v>14</v>
      </c>
      <c r="FM22">
        <v>0.43</v>
      </c>
      <c r="FN22">
        <v>0.17</v>
      </c>
      <c r="FO22">
        <v>-8.5095644999999998</v>
      </c>
      <c r="FP22">
        <v>0.30893729323310198</v>
      </c>
      <c r="FQ22">
        <v>5.2920725002119903E-2</v>
      </c>
      <c r="FR22">
        <v>1</v>
      </c>
      <c r="FS22">
        <v>229.589823529412</v>
      </c>
      <c r="FT22">
        <v>0.52528647324289102</v>
      </c>
      <c r="FU22">
        <v>0.190678428186773</v>
      </c>
      <c r="FV22">
        <v>1</v>
      </c>
      <c r="FW22">
        <v>1.0785214999999999</v>
      </c>
      <c r="FX22">
        <v>8.3078345864662506E-2</v>
      </c>
      <c r="FY22">
        <v>1.0361314721115299E-2</v>
      </c>
      <c r="FZ22">
        <v>1</v>
      </c>
      <c r="GA22">
        <v>3</v>
      </c>
      <c r="GB22">
        <v>3</v>
      </c>
      <c r="GC22" t="s">
        <v>416</v>
      </c>
      <c r="GD22">
        <v>3.13931</v>
      </c>
      <c r="GE22">
        <v>2.7470500000000002</v>
      </c>
      <c r="GF22">
        <v>8.2833599999999993E-2</v>
      </c>
      <c r="GG22">
        <v>8.6642800000000006E-2</v>
      </c>
      <c r="GH22">
        <v>7.8690700000000002E-2</v>
      </c>
      <c r="GI22">
        <v>7.6305499999999998E-2</v>
      </c>
      <c r="GJ22">
        <v>24086.5</v>
      </c>
      <c r="GK22">
        <v>30067.7</v>
      </c>
      <c r="GL22">
        <v>26782.5</v>
      </c>
      <c r="GM22">
        <v>31072.6</v>
      </c>
      <c r="GN22">
        <v>34809.599999999999</v>
      </c>
      <c r="GO22">
        <v>38272.6</v>
      </c>
      <c r="GP22">
        <v>41319.300000000003</v>
      </c>
      <c r="GQ22">
        <v>45059.5</v>
      </c>
      <c r="GR22">
        <v>1.6849499999999999</v>
      </c>
      <c r="GS22">
        <v>1.8662300000000001</v>
      </c>
      <c r="GT22">
        <v>8.8740100000000002E-2</v>
      </c>
      <c r="GU22">
        <v>0</v>
      </c>
      <c r="GV22">
        <v>23.563800000000001</v>
      </c>
      <c r="GW22">
        <v>999.9</v>
      </c>
      <c r="GX22">
        <v>31.565000000000001</v>
      </c>
      <c r="GY22">
        <v>34.049999999999997</v>
      </c>
      <c r="GZ22">
        <v>17.671800000000001</v>
      </c>
      <c r="HA22">
        <v>60.919899999999998</v>
      </c>
      <c r="HB22">
        <v>23.084900000000001</v>
      </c>
      <c r="HC22">
        <v>1</v>
      </c>
      <c r="HD22">
        <v>0.67188000000000003</v>
      </c>
      <c r="HE22">
        <v>9.2810500000000005</v>
      </c>
      <c r="HF22">
        <v>19.933599999999998</v>
      </c>
      <c r="HG22">
        <v>5.2235800000000001</v>
      </c>
      <c r="HH22">
        <v>11.9915</v>
      </c>
      <c r="HI22">
        <v>4.9519000000000002</v>
      </c>
      <c r="HJ22">
        <v>3.2850000000000001</v>
      </c>
      <c r="HK22">
        <v>9999</v>
      </c>
      <c r="HL22">
        <v>9999</v>
      </c>
      <c r="HM22">
        <v>999.9</v>
      </c>
      <c r="HN22">
        <v>9999</v>
      </c>
      <c r="HO22">
        <v>1.8593200000000001</v>
      </c>
      <c r="HP22">
        <v>1.86005</v>
      </c>
      <c r="HQ22">
        <v>1.85562</v>
      </c>
      <c r="HR22">
        <v>1.8583799999999999</v>
      </c>
      <c r="HS22">
        <v>1.8624499999999999</v>
      </c>
      <c r="HT22">
        <v>1.8579300000000001</v>
      </c>
      <c r="HU22">
        <v>1.85487</v>
      </c>
      <c r="HV22">
        <v>1.86225</v>
      </c>
      <c r="HW22">
        <v>5</v>
      </c>
      <c r="HX22">
        <v>0</v>
      </c>
      <c r="HY22">
        <v>0</v>
      </c>
      <c r="HZ22">
        <v>0</v>
      </c>
      <c r="IA22" t="s">
        <v>417</v>
      </c>
      <c r="IB22" t="s">
        <v>418</v>
      </c>
      <c r="IC22" t="s">
        <v>419</v>
      </c>
      <c r="ID22" t="s">
        <v>419</v>
      </c>
      <c r="IE22" t="s">
        <v>419</v>
      </c>
      <c r="IF22" t="s">
        <v>419</v>
      </c>
      <c r="IG22">
        <v>0</v>
      </c>
      <c r="IH22">
        <v>100</v>
      </c>
      <c r="II22">
        <v>100</v>
      </c>
      <c r="IJ22">
        <v>1.5720000000000001</v>
      </c>
      <c r="IK22">
        <v>-0.1258</v>
      </c>
      <c r="IL22">
        <v>1.57118181818186</v>
      </c>
      <c r="IM22">
        <v>0</v>
      </c>
      <c r="IN22">
        <v>0</v>
      </c>
      <c r="IO22">
        <v>0</v>
      </c>
      <c r="IP22">
        <v>-0.12587000000000401</v>
      </c>
      <c r="IQ22">
        <v>0</v>
      </c>
      <c r="IR22">
        <v>0</v>
      </c>
      <c r="IS22">
        <v>0</v>
      </c>
      <c r="IT22">
        <v>-1</v>
      </c>
      <c r="IU22">
        <v>-1</v>
      </c>
      <c r="IV22">
        <v>-1</v>
      </c>
      <c r="IW22">
        <v>-1</v>
      </c>
      <c r="IX22">
        <v>1.2</v>
      </c>
      <c r="IY22">
        <v>1.4</v>
      </c>
      <c r="IZ22">
        <v>1.0339400000000001</v>
      </c>
      <c r="JA22">
        <v>2.7648899999999998</v>
      </c>
      <c r="JB22">
        <v>1.69678</v>
      </c>
      <c r="JC22">
        <v>2.36572</v>
      </c>
      <c r="JD22">
        <v>1.4978</v>
      </c>
      <c r="JE22">
        <v>2.34741</v>
      </c>
      <c r="JF22">
        <v>37.916400000000003</v>
      </c>
      <c r="JG22">
        <v>14.3772</v>
      </c>
      <c r="JH22">
        <v>18</v>
      </c>
      <c r="JI22">
        <v>375.11</v>
      </c>
      <c r="JJ22">
        <v>493.77100000000002</v>
      </c>
      <c r="JK22">
        <v>13.069000000000001</v>
      </c>
      <c r="JL22">
        <v>34.622100000000003</v>
      </c>
      <c r="JM22">
        <v>30</v>
      </c>
      <c r="JN22">
        <v>34.633000000000003</v>
      </c>
      <c r="JO22">
        <v>34.615299999999998</v>
      </c>
      <c r="JP22">
        <v>20.716000000000001</v>
      </c>
      <c r="JQ22">
        <v>23.187899999999999</v>
      </c>
      <c r="JR22">
        <v>100</v>
      </c>
      <c r="JS22">
        <v>12.8703</v>
      </c>
      <c r="JT22">
        <v>400</v>
      </c>
      <c r="JU22">
        <v>13.8543</v>
      </c>
      <c r="JV22">
        <v>102.038</v>
      </c>
      <c r="JW22">
        <v>100.027</v>
      </c>
    </row>
    <row r="23" spans="1:283" x14ac:dyDescent="0.25">
      <c r="A23">
        <v>13</v>
      </c>
      <c r="B23">
        <v>1742535112.0999999</v>
      </c>
      <c r="C23">
        <v>1856.0999999046301</v>
      </c>
      <c r="D23" t="s">
        <v>446</v>
      </c>
      <c r="E23" t="s">
        <v>447</v>
      </c>
      <c r="F23">
        <v>2</v>
      </c>
      <c r="H23">
        <v>1742535110.5999999</v>
      </c>
      <c r="I23">
        <f t="shared" si="0"/>
        <v>3.1730019476355668E-3</v>
      </c>
      <c r="J23">
        <f t="shared" si="1"/>
        <v>3.1730019476355666</v>
      </c>
      <c r="K23">
        <f t="shared" si="2"/>
        <v>30.521746259614222</v>
      </c>
      <c r="L23">
        <f t="shared" si="3"/>
        <v>587.67150000000004</v>
      </c>
      <c r="M23">
        <f t="shared" si="4"/>
        <v>287.86451404646431</v>
      </c>
      <c r="N23">
        <f t="shared" si="5"/>
        <v>27.575459080784825</v>
      </c>
      <c r="O23">
        <f t="shared" si="6"/>
        <v>56.294925600234755</v>
      </c>
      <c r="P23">
        <f t="shared" si="7"/>
        <v>0.17499756907502972</v>
      </c>
      <c r="Q23">
        <f t="shared" si="8"/>
        <v>3.0116256591457913</v>
      </c>
      <c r="R23">
        <f t="shared" si="9"/>
        <v>0.1695383351097583</v>
      </c>
      <c r="S23">
        <f t="shared" si="10"/>
        <v>0.10643776327299134</v>
      </c>
      <c r="T23">
        <f t="shared" si="11"/>
        <v>289.564295238032</v>
      </c>
      <c r="U23">
        <f t="shared" si="12"/>
        <v>24.30565829008512</v>
      </c>
      <c r="V23">
        <f t="shared" si="13"/>
        <v>25.042400000000001</v>
      </c>
      <c r="W23">
        <f t="shared" si="14"/>
        <v>3.1877242195447204</v>
      </c>
      <c r="X23">
        <f t="shared" si="15"/>
        <v>49.655580766519741</v>
      </c>
      <c r="Y23">
        <f t="shared" si="16"/>
        <v>1.4381910055177503</v>
      </c>
      <c r="Z23">
        <f t="shared" si="17"/>
        <v>2.8963330673345986</v>
      </c>
      <c r="AA23">
        <f t="shared" si="18"/>
        <v>1.7495332140269702</v>
      </c>
      <c r="AB23">
        <f t="shared" si="19"/>
        <v>-139.9293858907285</v>
      </c>
      <c r="AC23">
        <f t="shared" si="20"/>
        <v>-259.57746660421867</v>
      </c>
      <c r="AD23">
        <f t="shared" si="21"/>
        <v>-18.093199290903673</v>
      </c>
      <c r="AE23">
        <f t="shared" si="22"/>
        <v>-128.03575654781883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51238.948914794666</v>
      </c>
      <c r="AK23" t="s">
        <v>413</v>
      </c>
      <c r="AL23">
        <v>10180.200000000001</v>
      </c>
      <c r="AM23">
        <v>191.60769230769199</v>
      </c>
      <c r="AN23">
        <v>979.671341309485</v>
      </c>
      <c r="AO23">
        <f t="shared" si="26"/>
        <v>0.80441635451785476</v>
      </c>
      <c r="AP23">
        <v>-2.5320139233462702</v>
      </c>
      <c r="AQ23" t="s">
        <v>448</v>
      </c>
      <c r="AR23">
        <v>10115.9</v>
      </c>
      <c r="AS23">
        <v>239.68619230769201</v>
      </c>
      <c r="AT23">
        <v>360.473310912226</v>
      </c>
      <c r="AU23">
        <f t="shared" si="27"/>
        <v>0.33507922763786868</v>
      </c>
      <c r="AV23">
        <v>0.5</v>
      </c>
      <c r="AW23">
        <f t="shared" si="28"/>
        <v>1513.1759996051981</v>
      </c>
      <c r="AX23">
        <f t="shared" si="29"/>
        <v>30.521746259614222</v>
      </c>
      <c r="AY23">
        <f t="shared" si="30"/>
        <v>253.51692261393484</v>
      </c>
      <c r="AZ23">
        <f t="shared" si="31"/>
        <v>2.184396275884929E-2</v>
      </c>
      <c r="BA23">
        <f t="shared" si="32"/>
        <v>1.7177361309504313</v>
      </c>
      <c r="BB23">
        <f t="shared" si="33"/>
        <v>143.42310797908291</v>
      </c>
      <c r="BC23" t="s">
        <v>414</v>
      </c>
      <c r="BD23">
        <v>0</v>
      </c>
      <c r="BE23">
        <f t="shared" si="34"/>
        <v>143.42310797908291</v>
      </c>
      <c r="BF23">
        <f t="shared" si="35"/>
        <v>0.60212558423220974</v>
      </c>
      <c r="BG23">
        <f t="shared" si="36"/>
        <v>0.55649392155481858</v>
      </c>
      <c r="BH23">
        <f t="shared" si="37"/>
        <v>0.74044763949009573</v>
      </c>
      <c r="BI23">
        <f t="shared" si="38"/>
        <v>0.7152854417772575</v>
      </c>
      <c r="BJ23">
        <f t="shared" si="39"/>
        <v>0.78572083762722855</v>
      </c>
      <c r="BK23">
        <f t="shared" si="40"/>
        <v>0.33299409962840248</v>
      </c>
      <c r="BL23">
        <f t="shared" si="41"/>
        <v>0.66700590037159757</v>
      </c>
      <c r="BM23">
        <v>1714</v>
      </c>
      <c r="BN23">
        <v>290</v>
      </c>
      <c r="BO23">
        <v>321.68</v>
      </c>
      <c r="BP23">
        <v>195</v>
      </c>
      <c r="BQ23">
        <v>10115.9</v>
      </c>
      <c r="BR23">
        <v>320.47000000000003</v>
      </c>
      <c r="BS23">
        <v>1.21</v>
      </c>
      <c r="BT23">
        <v>300</v>
      </c>
      <c r="BU23">
        <v>24.2</v>
      </c>
      <c r="BV23">
        <v>360.473310912226</v>
      </c>
      <c r="BW23">
        <v>1.4739648645283101</v>
      </c>
      <c r="BX23">
        <v>-40.464210953777702</v>
      </c>
      <c r="BY23">
        <v>1.32694760668959</v>
      </c>
      <c r="BZ23">
        <v>0.97076928380262795</v>
      </c>
      <c r="CA23">
        <v>-6.8717708565072203E-3</v>
      </c>
      <c r="CB23">
        <v>290</v>
      </c>
      <c r="CC23">
        <v>319.2</v>
      </c>
      <c r="CD23">
        <v>775</v>
      </c>
      <c r="CE23">
        <v>10077.299999999999</v>
      </c>
      <c r="CF23">
        <v>320.32</v>
      </c>
      <c r="CG23">
        <v>-1.1200000000000001</v>
      </c>
      <c r="CU23">
        <f t="shared" si="42"/>
        <v>1799.99</v>
      </c>
      <c r="CV23">
        <f t="shared" si="43"/>
        <v>1513.1759996051981</v>
      </c>
      <c r="CW23">
        <f t="shared" si="44"/>
        <v>0.8406580034362402</v>
      </c>
      <c r="CX23">
        <f t="shared" si="45"/>
        <v>0.16086994663194351</v>
      </c>
      <c r="CY23">
        <v>1.9</v>
      </c>
      <c r="CZ23">
        <v>0.5</v>
      </c>
      <c r="DA23" t="s">
        <v>415</v>
      </c>
      <c r="DB23">
        <v>2</v>
      </c>
      <c r="DC23">
        <v>1742535110.5999999</v>
      </c>
      <c r="DD23">
        <v>587.67150000000004</v>
      </c>
      <c r="DE23">
        <v>599.97950000000003</v>
      </c>
      <c r="DF23">
        <v>15.013500000000001</v>
      </c>
      <c r="DG23">
        <v>13.825749999999999</v>
      </c>
      <c r="DH23">
        <v>585.34349999999995</v>
      </c>
      <c r="DI23">
        <v>15.145200000000001</v>
      </c>
      <c r="DJ23">
        <v>499.95299999999997</v>
      </c>
      <c r="DK23">
        <v>95.692999999999998</v>
      </c>
      <c r="DL23">
        <v>0.1001865</v>
      </c>
      <c r="DM23">
        <v>23.443650000000002</v>
      </c>
      <c r="DN23">
        <v>25.042400000000001</v>
      </c>
      <c r="DO23">
        <v>999.9</v>
      </c>
      <c r="DP23">
        <v>0</v>
      </c>
      <c r="DQ23">
        <v>0</v>
      </c>
      <c r="DR23">
        <v>10006.549999999999</v>
      </c>
      <c r="DS23">
        <v>0</v>
      </c>
      <c r="DT23">
        <v>1145.2249999999999</v>
      </c>
      <c r="DU23">
        <v>-12.308</v>
      </c>
      <c r="DV23">
        <v>596.62900000000002</v>
      </c>
      <c r="DW23">
        <v>608.39099999999996</v>
      </c>
      <c r="DX23">
        <v>1.18773</v>
      </c>
      <c r="DY23">
        <v>599.97950000000003</v>
      </c>
      <c r="DZ23">
        <v>13.825749999999999</v>
      </c>
      <c r="EA23">
        <v>1.43669</v>
      </c>
      <c r="EB23">
        <v>1.3230299999999999</v>
      </c>
      <c r="EC23">
        <v>12.310449999999999</v>
      </c>
      <c r="ED23">
        <v>11.06305</v>
      </c>
      <c r="EE23">
        <v>1799.99</v>
      </c>
      <c r="EF23">
        <v>0.97800600000000004</v>
      </c>
      <c r="EG23">
        <v>2.19945E-2</v>
      </c>
      <c r="EH23">
        <v>0</v>
      </c>
      <c r="EI23">
        <v>239.553</v>
      </c>
      <c r="EJ23">
        <v>5.0006000000000004</v>
      </c>
      <c r="EK23">
        <v>4621.4399999999996</v>
      </c>
      <c r="EL23">
        <v>18193.849999999999</v>
      </c>
      <c r="EM23">
        <v>49.375</v>
      </c>
      <c r="EN23">
        <v>49.311999999999998</v>
      </c>
      <c r="EO23">
        <v>49.625</v>
      </c>
      <c r="EP23">
        <v>49.125</v>
      </c>
      <c r="EQ23">
        <v>50.625</v>
      </c>
      <c r="ER23">
        <v>1755.51</v>
      </c>
      <c r="ES23">
        <v>39.479999999999997</v>
      </c>
      <c r="ET23">
        <v>0</v>
      </c>
      <c r="EU23">
        <v>151.700000047684</v>
      </c>
      <c r="EV23">
        <v>0</v>
      </c>
      <c r="EW23">
        <v>239.68619230769201</v>
      </c>
      <c r="EX23">
        <v>-1.6336068320908499</v>
      </c>
      <c r="EY23">
        <v>-32.1114529495214</v>
      </c>
      <c r="EZ23">
        <v>4624.6438461538501</v>
      </c>
      <c r="FA23">
        <v>15</v>
      </c>
      <c r="FB23">
        <v>1742535042.0999999</v>
      </c>
      <c r="FC23" t="s">
        <v>449</v>
      </c>
      <c r="FD23">
        <v>1742535042.0999999</v>
      </c>
      <c r="FE23">
        <v>1742535031.0999999</v>
      </c>
      <c r="FF23">
        <v>27</v>
      </c>
      <c r="FG23">
        <v>0.75700000000000001</v>
      </c>
      <c r="FH23">
        <v>-6.0000000000000001E-3</v>
      </c>
      <c r="FI23">
        <v>2.3279999999999998</v>
      </c>
      <c r="FJ23">
        <v>-0.13200000000000001</v>
      </c>
      <c r="FK23">
        <v>600</v>
      </c>
      <c r="FL23">
        <v>14</v>
      </c>
      <c r="FM23">
        <v>0.24</v>
      </c>
      <c r="FN23">
        <v>0.17</v>
      </c>
      <c r="FO23">
        <v>-12.4552333333333</v>
      </c>
      <c r="FP23">
        <v>0.41421818181818898</v>
      </c>
      <c r="FQ23">
        <v>7.3637007604117705E-2</v>
      </c>
      <c r="FR23">
        <v>1</v>
      </c>
      <c r="FS23">
        <v>239.76155882352899</v>
      </c>
      <c r="FT23">
        <v>-1.49865546568741</v>
      </c>
      <c r="FU23">
        <v>0.224975709953776</v>
      </c>
      <c r="FV23">
        <v>0</v>
      </c>
      <c r="FW23">
        <v>1.2025842857142901</v>
      </c>
      <c r="FX23">
        <v>-0.10439142857142999</v>
      </c>
      <c r="FY23">
        <v>1.1065499180283E-2</v>
      </c>
      <c r="FZ23">
        <v>0</v>
      </c>
      <c r="GA23">
        <v>1</v>
      </c>
      <c r="GB23">
        <v>3</v>
      </c>
      <c r="GC23" t="s">
        <v>433</v>
      </c>
      <c r="GD23">
        <v>3.1391100000000001</v>
      </c>
      <c r="GE23">
        <v>2.7471399999999999</v>
      </c>
      <c r="GF23">
        <v>0.11179600000000001</v>
      </c>
      <c r="GG23">
        <v>0.116601</v>
      </c>
      <c r="GH23">
        <v>7.8465499999999994E-2</v>
      </c>
      <c r="GI23">
        <v>7.5647300000000001E-2</v>
      </c>
      <c r="GJ23">
        <v>23324.7</v>
      </c>
      <c r="GK23">
        <v>29078.1</v>
      </c>
      <c r="GL23">
        <v>26781.4</v>
      </c>
      <c r="GM23">
        <v>31069.4</v>
      </c>
      <c r="GN23">
        <v>34817.199999999997</v>
      </c>
      <c r="GO23">
        <v>38296.300000000003</v>
      </c>
      <c r="GP23">
        <v>41318</v>
      </c>
      <c r="GQ23">
        <v>45054.9</v>
      </c>
      <c r="GR23">
        <v>1.6840999999999999</v>
      </c>
      <c r="GS23">
        <v>1.86392</v>
      </c>
      <c r="GT23">
        <v>8.7678400000000004E-2</v>
      </c>
      <c r="GU23">
        <v>0</v>
      </c>
      <c r="GV23">
        <v>23.601900000000001</v>
      </c>
      <c r="GW23">
        <v>999.9</v>
      </c>
      <c r="GX23">
        <v>31.791</v>
      </c>
      <c r="GY23">
        <v>34.250999999999998</v>
      </c>
      <c r="GZ23">
        <v>17.997800000000002</v>
      </c>
      <c r="HA23">
        <v>61.07</v>
      </c>
      <c r="HB23">
        <v>23.3093</v>
      </c>
      <c r="HC23">
        <v>1</v>
      </c>
      <c r="HD23">
        <v>0.67673000000000005</v>
      </c>
      <c r="HE23">
        <v>9.2810500000000005</v>
      </c>
      <c r="HF23">
        <v>19.932500000000001</v>
      </c>
      <c r="HG23">
        <v>5.2285199999999996</v>
      </c>
      <c r="HH23">
        <v>11.992000000000001</v>
      </c>
      <c r="HI23">
        <v>4.9534000000000002</v>
      </c>
      <c r="HJ23">
        <v>3.2850000000000001</v>
      </c>
      <c r="HK23">
        <v>9999</v>
      </c>
      <c r="HL23">
        <v>9999</v>
      </c>
      <c r="HM23">
        <v>999.9</v>
      </c>
      <c r="HN23">
        <v>9999</v>
      </c>
      <c r="HO23">
        <v>1.85934</v>
      </c>
      <c r="HP23">
        <v>1.86005</v>
      </c>
      <c r="HQ23">
        <v>1.85562</v>
      </c>
      <c r="HR23">
        <v>1.8583799999999999</v>
      </c>
      <c r="HS23">
        <v>1.86249</v>
      </c>
      <c r="HT23">
        <v>1.8579300000000001</v>
      </c>
      <c r="HU23">
        <v>1.8548800000000001</v>
      </c>
      <c r="HV23">
        <v>1.8622700000000001</v>
      </c>
      <c r="HW23">
        <v>5</v>
      </c>
      <c r="HX23">
        <v>0</v>
      </c>
      <c r="HY23">
        <v>0</v>
      </c>
      <c r="HZ23">
        <v>0</v>
      </c>
      <c r="IA23" t="s">
        <v>417</v>
      </c>
      <c r="IB23" t="s">
        <v>418</v>
      </c>
      <c r="IC23" t="s">
        <v>419</v>
      </c>
      <c r="ID23" t="s">
        <v>419</v>
      </c>
      <c r="IE23" t="s">
        <v>419</v>
      </c>
      <c r="IF23" t="s">
        <v>419</v>
      </c>
      <c r="IG23">
        <v>0</v>
      </c>
      <c r="IH23">
        <v>100</v>
      </c>
      <c r="II23">
        <v>100</v>
      </c>
      <c r="IJ23">
        <v>2.3279999999999998</v>
      </c>
      <c r="IK23">
        <v>-0.13170000000000001</v>
      </c>
      <c r="IL23">
        <v>2.3279999999997498</v>
      </c>
      <c r="IM23">
        <v>0</v>
      </c>
      <c r="IN23">
        <v>0</v>
      </c>
      <c r="IO23">
        <v>0</v>
      </c>
      <c r="IP23">
        <v>-0.131720000000001</v>
      </c>
      <c r="IQ23">
        <v>0</v>
      </c>
      <c r="IR23">
        <v>0</v>
      </c>
      <c r="IS23">
        <v>0</v>
      </c>
      <c r="IT23">
        <v>-1</v>
      </c>
      <c r="IU23">
        <v>-1</v>
      </c>
      <c r="IV23">
        <v>-1</v>
      </c>
      <c r="IW23">
        <v>-1</v>
      </c>
      <c r="IX23">
        <v>1.2</v>
      </c>
      <c r="IY23">
        <v>1.4</v>
      </c>
      <c r="IZ23">
        <v>1.42822</v>
      </c>
      <c r="JA23">
        <v>2.7673299999999998</v>
      </c>
      <c r="JB23">
        <v>1.69678</v>
      </c>
      <c r="JC23">
        <v>2.36572</v>
      </c>
      <c r="JD23">
        <v>1.4978</v>
      </c>
      <c r="JE23">
        <v>2.4267599999999998</v>
      </c>
      <c r="JF23">
        <v>38.207999999999998</v>
      </c>
      <c r="JG23">
        <v>14.3247</v>
      </c>
      <c r="JH23">
        <v>18</v>
      </c>
      <c r="JI23">
        <v>374.88</v>
      </c>
      <c r="JJ23">
        <v>492.55700000000002</v>
      </c>
      <c r="JK23">
        <v>13.126300000000001</v>
      </c>
      <c r="JL23">
        <v>34.682000000000002</v>
      </c>
      <c r="JM23">
        <v>30.000299999999999</v>
      </c>
      <c r="JN23">
        <v>34.674100000000003</v>
      </c>
      <c r="JO23">
        <v>34.655999999999999</v>
      </c>
      <c r="JP23">
        <v>28.593299999999999</v>
      </c>
      <c r="JQ23">
        <v>26.638400000000001</v>
      </c>
      <c r="JR23">
        <v>100</v>
      </c>
      <c r="JS23">
        <v>12.836399999999999</v>
      </c>
      <c r="JT23">
        <v>600</v>
      </c>
      <c r="JU23">
        <v>13.7941</v>
      </c>
      <c r="JV23">
        <v>102.03400000000001</v>
      </c>
      <c r="JW23">
        <v>100.017</v>
      </c>
    </row>
    <row r="24" spans="1:283" x14ac:dyDescent="0.25">
      <c r="A24">
        <v>14</v>
      </c>
      <c r="B24">
        <v>1742535235.0999999</v>
      </c>
      <c r="C24">
        <v>1979.0999999046301</v>
      </c>
      <c r="D24" t="s">
        <v>450</v>
      </c>
      <c r="E24" t="s">
        <v>451</v>
      </c>
      <c r="F24">
        <v>2</v>
      </c>
      <c r="H24">
        <v>1742535233.0999999</v>
      </c>
      <c r="I24">
        <f t="shared" si="0"/>
        <v>2.7436245371759509E-3</v>
      </c>
      <c r="J24">
        <f t="shared" si="1"/>
        <v>2.7436245371759509</v>
      </c>
      <c r="K24">
        <f t="shared" si="2"/>
        <v>37.592406650263435</v>
      </c>
      <c r="L24">
        <f t="shared" si="3"/>
        <v>785.11300000000006</v>
      </c>
      <c r="M24">
        <f t="shared" si="4"/>
        <v>355.43851552555736</v>
      </c>
      <c r="N24">
        <f t="shared" si="5"/>
        <v>34.049158189641503</v>
      </c>
      <c r="O24">
        <f t="shared" si="6"/>
        <v>75.209735484678646</v>
      </c>
      <c r="P24">
        <f t="shared" si="7"/>
        <v>0.1492470240768477</v>
      </c>
      <c r="Q24">
        <f t="shared" si="8"/>
        <v>3.0071574732950213</v>
      </c>
      <c r="R24">
        <f t="shared" si="9"/>
        <v>0.14525073374486397</v>
      </c>
      <c r="S24">
        <f t="shared" si="10"/>
        <v>9.1131846612006767E-2</v>
      </c>
      <c r="T24">
        <f t="shared" si="11"/>
        <v>289.57014723804809</v>
      </c>
      <c r="U24">
        <f t="shared" si="12"/>
        <v>24.446255091992416</v>
      </c>
      <c r="V24">
        <f t="shared" si="13"/>
        <v>25.112500000000001</v>
      </c>
      <c r="W24">
        <f t="shared" si="14"/>
        <v>3.2010667601735268</v>
      </c>
      <c r="X24">
        <f t="shared" si="15"/>
        <v>49.469130257145217</v>
      </c>
      <c r="Y24">
        <f t="shared" si="16"/>
        <v>1.4353987228283995</v>
      </c>
      <c r="Z24">
        <f t="shared" si="17"/>
        <v>2.9016049309277547</v>
      </c>
      <c r="AA24">
        <f t="shared" si="18"/>
        <v>1.7656680373451272</v>
      </c>
      <c r="AB24">
        <f t="shared" si="19"/>
        <v>-120.99384208945943</v>
      </c>
      <c r="AC24">
        <f t="shared" si="20"/>
        <v>-265.66911443265076</v>
      </c>
      <c r="AD24">
        <f t="shared" si="21"/>
        <v>-18.554707463212104</v>
      </c>
      <c r="AE24">
        <f t="shared" si="22"/>
        <v>-115.64751674727418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51106.194880954725</v>
      </c>
      <c r="AK24" t="s">
        <v>413</v>
      </c>
      <c r="AL24">
        <v>10180.200000000001</v>
      </c>
      <c r="AM24">
        <v>191.60769230769199</v>
      </c>
      <c r="AN24">
        <v>979.671341309485</v>
      </c>
      <c r="AO24">
        <f t="shared" si="26"/>
        <v>0.80441635451785476</v>
      </c>
      <c r="AP24">
        <v>-2.5320139233462702</v>
      </c>
      <c r="AQ24" t="s">
        <v>452</v>
      </c>
      <c r="AR24">
        <v>10109</v>
      </c>
      <c r="AS24">
        <v>247.78157692307701</v>
      </c>
      <c r="AT24">
        <v>381.71488922273301</v>
      </c>
      <c r="AU24">
        <f t="shared" si="27"/>
        <v>0.35087264364347359</v>
      </c>
      <c r="AV24">
        <v>0.5</v>
      </c>
      <c r="AW24">
        <f t="shared" si="28"/>
        <v>1513.2067996052087</v>
      </c>
      <c r="AX24">
        <f t="shared" si="29"/>
        <v>37.592406650263435</v>
      </c>
      <c r="AY24">
        <f t="shared" si="30"/>
        <v>265.47143507837978</v>
      </c>
      <c r="AZ24">
        <f t="shared" si="31"/>
        <v>2.6516151383986677E-2</v>
      </c>
      <c r="BA24">
        <f t="shared" si="32"/>
        <v>1.566500204653638</v>
      </c>
      <c r="BB24">
        <f t="shared" si="33"/>
        <v>146.67051337926273</v>
      </c>
      <c r="BC24" t="s">
        <v>414</v>
      </c>
      <c r="BD24">
        <v>0</v>
      </c>
      <c r="BE24">
        <f t="shared" si="34"/>
        <v>146.67051337926273</v>
      </c>
      <c r="BF24">
        <f t="shared" si="35"/>
        <v>0.61575899311153259</v>
      </c>
      <c r="BG24">
        <f t="shared" si="36"/>
        <v>0.56982138721264264</v>
      </c>
      <c r="BH24">
        <f t="shared" si="37"/>
        <v>0.71783416298938052</v>
      </c>
      <c r="BI24">
        <f t="shared" si="38"/>
        <v>0.70451468683487484</v>
      </c>
      <c r="BJ24">
        <f t="shared" si="39"/>
        <v>0.75876669713691058</v>
      </c>
      <c r="BK24">
        <f t="shared" si="40"/>
        <v>0.337297051842187</v>
      </c>
      <c r="BL24">
        <f t="shared" si="41"/>
        <v>0.66270294815781305</v>
      </c>
      <c r="BM24">
        <v>1715</v>
      </c>
      <c r="BN24">
        <v>290</v>
      </c>
      <c r="BO24">
        <v>343</v>
      </c>
      <c r="BP24">
        <v>235</v>
      </c>
      <c r="BQ24">
        <v>10109</v>
      </c>
      <c r="BR24">
        <v>341.78</v>
      </c>
      <c r="BS24">
        <v>1.22</v>
      </c>
      <c r="BT24">
        <v>300</v>
      </c>
      <c r="BU24">
        <v>24.2</v>
      </c>
      <c r="BV24">
        <v>381.71488922273301</v>
      </c>
      <c r="BW24">
        <v>1.2940096860049899</v>
      </c>
      <c r="BX24">
        <v>-40.368804144012699</v>
      </c>
      <c r="BY24">
        <v>1.16490873709141</v>
      </c>
      <c r="BZ24">
        <v>0.977215453238922</v>
      </c>
      <c r="CA24">
        <v>-6.8717348164627403E-3</v>
      </c>
      <c r="CB24">
        <v>290</v>
      </c>
      <c r="CC24">
        <v>342.23</v>
      </c>
      <c r="CD24">
        <v>855</v>
      </c>
      <c r="CE24">
        <v>10073</v>
      </c>
      <c r="CF24">
        <v>341.64</v>
      </c>
      <c r="CG24">
        <v>0.59</v>
      </c>
      <c r="CU24">
        <f t="shared" si="42"/>
        <v>1800.0266666666701</v>
      </c>
      <c r="CV24">
        <f t="shared" si="43"/>
        <v>1513.2067996052087</v>
      </c>
      <c r="CW24">
        <f t="shared" si="44"/>
        <v>0.8406579900326695</v>
      </c>
      <c r="CX24">
        <f t="shared" si="45"/>
        <v>0.16086992076305215</v>
      </c>
      <c r="CY24">
        <v>1.9</v>
      </c>
      <c r="CZ24">
        <v>0.5</v>
      </c>
      <c r="DA24" t="s">
        <v>415</v>
      </c>
      <c r="DB24">
        <v>2</v>
      </c>
      <c r="DC24">
        <v>1742535233.0999999</v>
      </c>
      <c r="DD24">
        <v>785.11300000000006</v>
      </c>
      <c r="DE24">
        <v>800.21633333333295</v>
      </c>
      <c r="DF24">
        <v>14.9841</v>
      </c>
      <c r="DG24">
        <v>13.9571666666667</v>
      </c>
      <c r="DH24">
        <v>782.18033333333301</v>
      </c>
      <c r="DI24">
        <v>15.1152</v>
      </c>
      <c r="DJ24">
        <v>500.01066666666702</v>
      </c>
      <c r="DK24">
        <v>95.694533333333297</v>
      </c>
      <c r="DL24">
        <v>0.100257333333333</v>
      </c>
      <c r="DM24">
        <v>23.473800000000001</v>
      </c>
      <c r="DN24">
        <v>25.112500000000001</v>
      </c>
      <c r="DO24">
        <v>999.9</v>
      </c>
      <c r="DP24">
        <v>0</v>
      </c>
      <c r="DQ24">
        <v>0</v>
      </c>
      <c r="DR24">
        <v>9980.4166666666697</v>
      </c>
      <c r="DS24">
        <v>0</v>
      </c>
      <c r="DT24">
        <v>1152.80666666667</v>
      </c>
      <c r="DU24">
        <v>-15.1033333333333</v>
      </c>
      <c r="DV24">
        <v>797.05633333333299</v>
      </c>
      <c r="DW24">
        <v>811.54300000000001</v>
      </c>
      <c r="DX24">
        <v>1.02695</v>
      </c>
      <c r="DY24">
        <v>800.21633333333295</v>
      </c>
      <c r="DZ24">
        <v>13.9571666666667</v>
      </c>
      <c r="EA24">
        <v>1.4338966666666699</v>
      </c>
      <c r="EB24">
        <v>1.3356266666666701</v>
      </c>
      <c r="EC24">
        <v>12.2809666666667</v>
      </c>
      <c r="ED24">
        <v>11.205866666666701</v>
      </c>
      <c r="EE24">
        <v>1800.0266666666701</v>
      </c>
      <c r="EF24">
        <v>0.97800666666666702</v>
      </c>
      <c r="EG24">
        <v>2.1993533333333301E-2</v>
      </c>
      <c r="EH24">
        <v>0</v>
      </c>
      <c r="EI24">
        <v>247.58633333333299</v>
      </c>
      <c r="EJ24">
        <v>5.0006000000000004</v>
      </c>
      <c r="EK24">
        <v>4773.4233333333304</v>
      </c>
      <c r="EL24">
        <v>18194.233333333301</v>
      </c>
      <c r="EM24">
        <v>49.436999999999998</v>
      </c>
      <c r="EN24">
        <v>49.375</v>
      </c>
      <c r="EO24">
        <v>49.686999999999998</v>
      </c>
      <c r="EP24">
        <v>49.186999999999998</v>
      </c>
      <c r="EQ24">
        <v>50.686999999999998</v>
      </c>
      <c r="ER24">
        <v>1755.54666666667</v>
      </c>
      <c r="ES24">
        <v>39.479999999999997</v>
      </c>
      <c r="ET24">
        <v>0</v>
      </c>
      <c r="EU24">
        <v>122.10000014305101</v>
      </c>
      <c r="EV24">
        <v>0</v>
      </c>
      <c r="EW24">
        <v>247.78157692307701</v>
      </c>
      <c r="EX24">
        <v>-1.03271795610384</v>
      </c>
      <c r="EY24">
        <v>-14.648888876129</v>
      </c>
      <c r="EZ24">
        <v>4774.4253846153797</v>
      </c>
      <c r="FA24">
        <v>15</v>
      </c>
      <c r="FB24">
        <v>1742535184.0999999</v>
      </c>
      <c r="FC24" t="s">
        <v>453</v>
      </c>
      <c r="FD24">
        <v>1742535177.0999999</v>
      </c>
      <c r="FE24">
        <v>1742535184.0999999</v>
      </c>
      <c r="FF24">
        <v>28</v>
      </c>
      <c r="FG24">
        <v>0.60499999999999998</v>
      </c>
      <c r="FH24">
        <v>1E-3</v>
      </c>
      <c r="FI24">
        <v>2.9319999999999999</v>
      </c>
      <c r="FJ24">
        <v>-0.13100000000000001</v>
      </c>
      <c r="FK24">
        <v>800</v>
      </c>
      <c r="FL24">
        <v>14</v>
      </c>
      <c r="FM24">
        <v>0.17</v>
      </c>
      <c r="FN24">
        <v>0.12</v>
      </c>
      <c r="FO24">
        <v>-15.083657142857099</v>
      </c>
      <c r="FP24">
        <v>-0.38294025974027301</v>
      </c>
      <c r="FQ24">
        <v>7.6666274769776194E-2</v>
      </c>
      <c r="FR24">
        <v>1</v>
      </c>
      <c r="FS24">
        <v>247.77897058823501</v>
      </c>
      <c r="FT24">
        <v>-0.23564552956356599</v>
      </c>
      <c r="FU24">
        <v>0.20883267792719101</v>
      </c>
      <c r="FV24">
        <v>1</v>
      </c>
      <c r="FW24">
        <v>0.99417900000000003</v>
      </c>
      <c r="FX24">
        <v>0.10575685714286</v>
      </c>
      <c r="FY24">
        <v>1.5222413390411299E-2</v>
      </c>
      <c r="FZ24">
        <v>0</v>
      </c>
      <c r="GA24">
        <v>2</v>
      </c>
      <c r="GB24">
        <v>3</v>
      </c>
      <c r="GC24" t="s">
        <v>424</v>
      </c>
      <c r="GD24">
        <v>3.1392500000000001</v>
      </c>
      <c r="GE24">
        <v>2.7470500000000002</v>
      </c>
      <c r="GF24">
        <v>0.13639100000000001</v>
      </c>
      <c r="GG24">
        <v>0.14183299999999999</v>
      </c>
      <c r="GH24">
        <v>7.8342099999999998E-2</v>
      </c>
      <c r="GI24">
        <v>7.6090000000000005E-2</v>
      </c>
      <c r="GJ24">
        <v>22676.1</v>
      </c>
      <c r="GK24">
        <v>28243.5</v>
      </c>
      <c r="GL24">
        <v>26779.1</v>
      </c>
      <c r="GM24">
        <v>31066.1</v>
      </c>
      <c r="GN24">
        <v>34819.699999999997</v>
      </c>
      <c r="GO24">
        <v>38274.6</v>
      </c>
      <c r="GP24">
        <v>41315.300000000003</v>
      </c>
      <c r="GQ24">
        <v>45050.5</v>
      </c>
      <c r="GR24">
        <v>1.6838500000000001</v>
      </c>
      <c r="GS24">
        <v>1.86175</v>
      </c>
      <c r="GT24">
        <v>9.0986499999999998E-2</v>
      </c>
      <c r="GU24">
        <v>0</v>
      </c>
      <c r="GV24">
        <v>23.617799999999999</v>
      </c>
      <c r="GW24">
        <v>999.9</v>
      </c>
      <c r="GX24">
        <v>31.718</v>
      </c>
      <c r="GY24">
        <v>34.432000000000002</v>
      </c>
      <c r="GZ24">
        <v>18.139700000000001</v>
      </c>
      <c r="HA24">
        <v>61.28</v>
      </c>
      <c r="HB24">
        <v>23.229199999999999</v>
      </c>
      <c r="HC24">
        <v>1</v>
      </c>
      <c r="HD24">
        <v>0.68096000000000001</v>
      </c>
      <c r="HE24">
        <v>9.2810500000000005</v>
      </c>
      <c r="HF24">
        <v>19.932400000000001</v>
      </c>
      <c r="HG24">
        <v>5.2282200000000003</v>
      </c>
      <c r="HH24">
        <v>11.9918</v>
      </c>
      <c r="HI24">
        <v>4.9531000000000001</v>
      </c>
      <c r="HJ24">
        <v>3.2850000000000001</v>
      </c>
      <c r="HK24">
        <v>9999</v>
      </c>
      <c r="HL24">
        <v>9999</v>
      </c>
      <c r="HM24">
        <v>999.9</v>
      </c>
      <c r="HN24">
        <v>9999</v>
      </c>
      <c r="HO24">
        <v>1.8593299999999999</v>
      </c>
      <c r="HP24">
        <v>1.86005</v>
      </c>
      <c r="HQ24">
        <v>1.85562</v>
      </c>
      <c r="HR24">
        <v>1.8583799999999999</v>
      </c>
      <c r="HS24">
        <v>1.8624400000000001</v>
      </c>
      <c r="HT24">
        <v>1.8579300000000001</v>
      </c>
      <c r="HU24">
        <v>1.85486</v>
      </c>
      <c r="HV24">
        <v>1.86229</v>
      </c>
      <c r="HW24">
        <v>5</v>
      </c>
      <c r="HX24">
        <v>0</v>
      </c>
      <c r="HY24">
        <v>0</v>
      </c>
      <c r="HZ24">
        <v>0</v>
      </c>
      <c r="IA24" t="s">
        <v>417</v>
      </c>
      <c r="IB24" t="s">
        <v>418</v>
      </c>
      <c r="IC24" t="s">
        <v>419</v>
      </c>
      <c r="ID24" t="s">
        <v>419</v>
      </c>
      <c r="IE24" t="s">
        <v>419</v>
      </c>
      <c r="IF24" t="s">
        <v>419</v>
      </c>
      <c r="IG24">
        <v>0</v>
      </c>
      <c r="IH24">
        <v>100</v>
      </c>
      <c r="II24">
        <v>100</v>
      </c>
      <c r="IJ24">
        <v>2.9319999999999999</v>
      </c>
      <c r="IK24">
        <v>-0.13100000000000001</v>
      </c>
      <c r="IL24">
        <v>2.9324545454545601</v>
      </c>
      <c r="IM24">
        <v>0</v>
      </c>
      <c r="IN24">
        <v>0</v>
      </c>
      <c r="IO24">
        <v>0</v>
      </c>
      <c r="IP24">
        <v>-0.13106000000000001</v>
      </c>
      <c r="IQ24">
        <v>0</v>
      </c>
      <c r="IR24">
        <v>0</v>
      </c>
      <c r="IS24">
        <v>0</v>
      </c>
      <c r="IT24">
        <v>-1</v>
      </c>
      <c r="IU24">
        <v>-1</v>
      </c>
      <c r="IV24">
        <v>-1</v>
      </c>
      <c r="IW24">
        <v>-1</v>
      </c>
      <c r="IX24">
        <v>1</v>
      </c>
      <c r="IY24">
        <v>0.8</v>
      </c>
      <c r="IZ24">
        <v>1.80054</v>
      </c>
      <c r="JA24">
        <v>2.7685499999999998</v>
      </c>
      <c r="JB24">
        <v>1.69678</v>
      </c>
      <c r="JC24">
        <v>2.36572</v>
      </c>
      <c r="JD24">
        <v>1.4978</v>
      </c>
      <c r="JE24">
        <v>2.3767100000000001</v>
      </c>
      <c r="JF24">
        <v>38.452399999999997</v>
      </c>
      <c r="JG24">
        <v>14.2721</v>
      </c>
      <c r="JH24">
        <v>18</v>
      </c>
      <c r="JI24">
        <v>374.96300000000002</v>
      </c>
      <c r="JJ24">
        <v>491.416</v>
      </c>
      <c r="JK24">
        <v>13.1472</v>
      </c>
      <c r="JL24">
        <v>34.733699999999999</v>
      </c>
      <c r="JM24">
        <v>30.000299999999999</v>
      </c>
      <c r="JN24">
        <v>34.716799999999999</v>
      </c>
      <c r="JO24">
        <v>34.695399999999999</v>
      </c>
      <c r="JP24">
        <v>36.051499999999997</v>
      </c>
      <c r="JQ24">
        <v>26.0212</v>
      </c>
      <c r="JR24">
        <v>100</v>
      </c>
      <c r="JS24">
        <v>12.784700000000001</v>
      </c>
      <c r="JT24">
        <v>800</v>
      </c>
      <c r="JU24">
        <v>13.968</v>
      </c>
      <c r="JV24">
        <v>102.027</v>
      </c>
      <c r="JW24">
        <v>100.00700000000001</v>
      </c>
    </row>
    <row r="25" spans="1:283" x14ac:dyDescent="0.25">
      <c r="A25">
        <v>15</v>
      </c>
      <c r="B25">
        <v>1742535358.0999999</v>
      </c>
      <c r="C25">
        <v>2102.0999999046298</v>
      </c>
      <c r="D25" t="s">
        <v>454</v>
      </c>
      <c r="E25" t="s">
        <v>455</v>
      </c>
      <c r="F25">
        <v>2</v>
      </c>
      <c r="H25">
        <v>1742535356.5999999</v>
      </c>
      <c r="I25">
        <f t="shared" si="0"/>
        <v>2.2938506026924954E-3</v>
      </c>
      <c r="J25">
        <f t="shared" si="1"/>
        <v>2.2938506026924954</v>
      </c>
      <c r="K25">
        <f t="shared" si="2"/>
        <v>41.365107826599427</v>
      </c>
      <c r="L25">
        <f t="shared" si="3"/>
        <v>983.36</v>
      </c>
      <c r="M25">
        <f t="shared" si="4"/>
        <v>410.76195982216899</v>
      </c>
      <c r="N25">
        <f t="shared" si="5"/>
        <v>39.348089445793264</v>
      </c>
      <c r="O25">
        <f t="shared" si="6"/>
        <v>94.198930334655998</v>
      </c>
      <c r="P25">
        <f t="shared" si="7"/>
        <v>0.12237226744225269</v>
      </c>
      <c r="Q25">
        <f t="shared" si="8"/>
        <v>3.0095369029862069</v>
      </c>
      <c r="R25">
        <f t="shared" si="9"/>
        <v>0.11967367161744109</v>
      </c>
      <c r="S25">
        <f t="shared" si="10"/>
        <v>7.5033546328832357E-2</v>
      </c>
      <c r="T25">
        <f t="shared" si="11"/>
        <v>289.58083423788133</v>
      </c>
      <c r="U25">
        <f t="shared" si="12"/>
        <v>24.598606509637364</v>
      </c>
      <c r="V25">
        <f t="shared" si="13"/>
        <v>25.254149999999999</v>
      </c>
      <c r="W25">
        <f t="shared" si="14"/>
        <v>3.2281768393587384</v>
      </c>
      <c r="X25">
        <f t="shared" si="15"/>
        <v>49.400948747297882</v>
      </c>
      <c r="Y25">
        <f t="shared" si="16"/>
        <v>1.43676933819802</v>
      </c>
      <c r="Z25">
        <f t="shared" si="17"/>
        <v>2.9083840991547922</v>
      </c>
      <c r="AA25">
        <f t="shared" si="18"/>
        <v>1.7914075011607185</v>
      </c>
      <c r="AB25">
        <f t="shared" si="19"/>
        <v>-101.15881157873905</v>
      </c>
      <c r="AC25">
        <f t="shared" si="20"/>
        <v>-282.5829798672965</v>
      </c>
      <c r="AD25">
        <f t="shared" si="21"/>
        <v>-19.738361475237266</v>
      </c>
      <c r="AE25">
        <f t="shared" si="22"/>
        <v>-113.89931868339147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51167.403554356104</v>
      </c>
      <c r="AK25" t="s">
        <v>413</v>
      </c>
      <c r="AL25">
        <v>10180.200000000001</v>
      </c>
      <c r="AM25">
        <v>191.60769230769199</v>
      </c>
      <c r="AN25">
        <v>979.671341309485</v>
      </c>
      <c r="AO25">
        <f t="shared" si="26"/>
        <v>0.80441635451785476</v>
      </c>
      <c r="AP25">
        <v>-2.5320139233462702</v>
      </c>
      <c r="AQ25" t="s">
        <v>456</v>
      </c>
      <c r="AR25">
        <v>10118.5</v>
      </c>
      <c r="AS25">
        <v>250.74700000000001</v>
      </c>
      <c r="AT25">
        <v>395.512883792531</v>
      </c>
      <c r="AU25">
        <f t="shared" si="27"/>
        <v>0.36602065248642801</v>
      </c>
      <c r="AV25">
        <v>0.5</v>
      </c>
      <c r="AW25">
        <f t="shared" si="28"/>
        <v>1513.2602996051196</v>
      </c>
      <c r="AX25">
        <f t="shared" si="29"/>
        <v>41.365107826599427</v>
      </c>
      <c r="AY25">
        <f t="shared" si="30"/>
        <v>276.9422611216367</v>
      </c>
      <c r="AZ25">
        <f t="shared" si="31"/>
        <v>2.9008308591324646E-2</v>
      </c>
      <c r="BA25">
        <f t="shared" si="32"/>
        <v>1.4769644212737667</v>
      </c>
      <c r="BB25">
        <f t="shared" si="33"/>
        <v>148.66330937821834</v>
      </c>
      <c r="BC25" t="s">
        <v>414</v>
      </c>
      <c r="BD25">
        <v>0</v>
      </c>
      <c r="BE25">
        <f t="shared" si="34"/>
        <v>148.66330937821834</v>
      </c>
      <c r="BF25">
        <f t="shared" si="35"/>
        <v>0.62412524226087984</v>
      </c>
      <c r="BG25">
        <f t="shared" si="36"/>
        <v>0.58645385205143485</v>
      </c>
      <c r="BH25">
        <f t="shared" si="37"/>
        <v>0.7029516383365958</v>
      </c>
      <c r="BI25">
        <f t="shared" si="38"/>
        <v>0.7099666405663575</v>
      </c>
      <c r="BJ25">
        <f t="shared" si="39"/>
        <v>0.74125796597379279</v>
      </c>
      <c r="BK25">
        <f t="shared" si="40"/>
        <v>0.3476977608648173</v>
      </c>
      <c r="BL25">
        <f t="shared" si="41"/>
        <v>0.6523022391351827</v>
      </c>
      <c r="BM25">
        <v>1716</v>
      </c>
      <c r="BN25">
        <v>290</v>
      </c>
      <c r="BO25">
        <v>353.63</v>
      </c>
      <c r="BP25">
        <v>175</v>
      </c>
      <c r="BQ25">
        <v>10118.5</v>
      </c>
      <c r="BR25">
        <v>352.58</v>
      </c>
      <c r="BS25">
        <v>1.05</v>
      </c>
      <c r="BT25">
        <v>300</v>
      </c>
      <c r="BU25">
        <v>24.2</v>
      </c>
      <c r="BV25">
        <v>395.512883792531</v>
      </c>
      <c r="BW25">
        <v>1.7063832226698601</v>
      </c>
      <c r="BX25">
        <v>-43.446160394482497</v>
      </c>
      <c r="BY25">
        <v>1.5360027632592499</v>
      </c>
      <c r="BZ25">
        <v>0.966185743107566</v>
      </c>
      <c r="CA25">
        <v>-6.8712022246941199E-3</v>
      </c>
      <c r="CB25">
        <v>290</v>
      </c>
      <c r="CC25">
        <v>353.05</v>
      </c>
      <c r="CD25">
        <v>865</v>
      </c>
      <c r="CE25">
        <v>10071.6</v>
      </c>
      <c r="CF25">
        <v>352.38</v>
      </c>
      <c r="CG25">
        <v>0.67</v>
      </c>
      <c r="CU25">
        <f t="shared" si="42"/>
        <v>1800.09</v>
      </c>
      <c r="CV25">
        <f t="shared" si="43"/>
        <v>1513.2602996051196</v>
      </c>
      <c r="CW25">
        <f t="shared" si="44"/>
        <v>0.8406581335406117</v>
      </c>
      <c r="CX25">
        <f t="shared" si="45"/>
        <v>0.16087019773338074</v>
      </c>
      <c r="CY25">
        <v>1.9</v>
      </c>
      <c r="CZ25">
        <v>0.5</v>
      </c>
      <c r="DA25" t="s">
        <v>415</v>
      </c>
      <c r="DB25">
        <v>2</v>
      </c>
      <c r="DC25">
        <v>1742535356.5999999</v>
      </c>
      <c r="DD25">
        <v>983.36</v>
      </c>
      <c r="DE25">
        <v>999.93899999999996</v>
      </c>
      <c r="DF25">
        <v>14.998699999999999</v>
      </c>
      <c r="DG25">
        <v>14.139950000000001</v>
      </c>
      <c r="DH25">
        <v>979.76800000000003</v>
      </c>
      <c r="DI25">
        <v>15.121700000000001</v>
      </c>
      <c r="DJ25">
        <v>499.90649999999999</v>
      </c>
      <c r="DK25">
        <v>95.693250000000006</v>
      </c>
      <c r="DL25">
        <v>9.9674600000000002E-2</v>
      </c>
      <c r="DM25">
        <v>23.512499999999999</v>
      </c>
      <c r="DN25">
        <v>25.254149999999999</v>
      </c>
      <c r="DO25">
        <v>999.9</v>
      </c>
      <c r="DP25">
        <v>0</v>
      </c>
      <c r="DQ25">
        <v>0</v>
      </c>
      <c r="DR25">
        <v>9994.375</v>
      </c>
      <c r="DS25">
        <v>0</v>
      </c>
      <c r="DT25">
        <v>1161.9349999999999</v>
      </c>
      <c r="DU25">
        <v>-17.238499999999998</v>
      </c>
      <c r="DV25">
        <v>997.65599999999995</v>
      </c>
      <c r="DW25">
        <v>1014.28</v>
      </c>
      <c r="DX25">
        <v>0.850742</v>
      </c>
      <c r="DY25">
        <v>999.93899999999996</v>
      </c>
      <c r="DZ25">
        <v>14.139950000000001</v>
      </c>
      <c r="EA25">
        <v>1.4345049999999999</v>
      </c>
      <c r="EB25">
        <v>1.3530899999999999</v>
      </c>
      <c r="EC25">
        <v>12.28735</v>
      </c>
      <c r="ED25">
        <v>11.401949999999999</v>
      </c>
      <c r="EE25">
        <v>1800.09</v>
      </c>
      <c r="EF25">
        <v>0.97800100000000001</v>
      </c>
      <c r="EG25">
        <v>2.199895E-2</v>
      </c>
      <c r="EH25">
        <v>0</v>
      </c>
      <c r="EI25">
        <v>250.75899999999999</v>
      </c>
      <c r="EJ25">
        <v>5.0006000000000004</v>
      </c>
      <c r="EK25">
        <v>4833.0200000000004</v>
      </c>
      <c r="EL25">
        <v>18194.849999999999</v>
      </c>
      <c r="EM25">
        <v>49.561999999999998</v>
      </c>
      <c r="EN25">
        <v>49.561999999999998</v>
      </c>
      <c r="EO25">
        <v>49.811999999999998</v>
      </c>
      <c r="EP25">
        <v>49.375</v>
      </c>
      <c r="EQ25">
        <v>50.843499999999999</v>
      </c>
      <c r="ER25">
        <v>1755.6</v>
      </c>
      <c r="ES25">
        <v>39.49</v>
      </c>
      <c r="ET25">
        <v>0</v>
      </c>
      <c r="EU25">
        <v>121.90000009536701</v>
      </c>
      <c r="EV25">
        <v>0</v>
      </c>
      <c r="EW25">
        <v>250.74700000000001</v>
      </c>
      <c r="EX25">
        <v>0.82577776776513001</v>
      </c>
      <c r="EY25">
        <v>1.41264958407103</v>
      </c>
      <c r="EZ25">
        <v>4832.8607692307696</v>
      </c>
      <c r="FA25">
        <v>15</v>
      </c>
      <c r="FB25">
        <v>1742535393.0999999</v>
      </c>
      <c r="FC25" t="s">
        <v>457</v>
      </c>
      <c r="FD25">
        <v>1742535393.0999999</v>
      </c>
      <c r="FE25">
        <v>1742535381.0999999</v>
      </c>
      <c r="FF25">
        <v>29</v>
      </c>
      <c r="FG25">
        <v>0.66</v>
      </c>
      <c r="FH25">
        <v>8.0000000000000002E-3</v>
      </c>
      <c r="FI25">
        <v>3.5920000000000001</v>
      </c>
      <c r="FJ25">
        <v>-0.123</v>
      </c>
      <c r="FK25">
        <v>1000</v>
      </c>
      <c r="FL25">
        <v>14</v>
      </c>
      <c r="FM25">
        <v>0.13</v>
      </c>
      <c r="FN25">
        <v>0.34</v>
      </c>
      <c r="FO25">
        <v>-17.24156</v>
      </c>
      <c r="FP25">
        <v>0.19478796992483699</v>
      </c>
      <c r="FQ25">
        <v>7.1662922072715005E-2</v>
      </c>
      <c r="FR25">
        <v>1</v>
      </c>
      <c r="FS25">
        <v>250.716970588235</v>
      </c>
      <c r="FT25">
        <v>0.50268907237931904</v>
      </c>
      <c r="FU25">
        <v>0.22388921699780301</v>
      </c>
      <c r="FV25">
        <v>1</v>
      </c>
      <c r="FW25">
        <v>0.84231160000000005</v>
      </c>
      <c r="FX25">
        <v>3.23857443609014E-2</v>
      </c>
      <c r="FY25">
        <v>4.8786424997123998E-3</v>
      </c>
      <c r="FZ25">
        <v>1</v>
      </c>
      <c r="GA25">
        <v>3</v>
      </c>
      <c r="GB25">
        <v>3</v>
      </c>
      <c r="GC25" t="s">
        <v>416</v>
      </c>
      <c r="GD25">
        <v>3.1390500000000001</v>
      </c>
      <c r="GE25">
        <v>2.7463700000000002</v>
      </c>
      <c r="GF25">
        <v>0.157943</v>
      </c>
      <c r="GG25">
        <v>0.163852</v>
      </c>
      <c r="GH25">
        <v>7.8367000000000006E-2</v>
      </c>
      <c r="GI25">
        <v>7.6902100000000001E-2</v>
      </c>
      <c r="GJ25">
        <v>22107.200000000001</v>
      </c>
      <c r="GK25">
        <v>27513.7</v>
      </c>
      <c r="GL25">
        <v>26777</v>
      </c>
      <c r="GM25">
        <v>31062.1</v>
      </c>
      <c r="GN25">
        <v>34816.400000000001</v>
      </c>
      <c r="GO25">
        <v>38236.1</v>
      </c>
      <c r="GP25">
        <v>41312.300000000003</v>
      </c>
      <c r="GQ25">
        <v>45044.4</v>
      </c>
      <c r="GR25">
        <v>1.6836500000000001</v>
      </c>
      <c r="GS25">
        <v>1.8624499999999999</v>
      </c>
      <c r="GT25">
        <v>9.7960199999999997E-2</v>
      </c>
      <c r="GU25">
        <v>0</v>
      </c>
      <c r="GV25">
        <v>23.652200000000001</v>
      </c>
      <c r="GW25">
        <v>999.9</v>
      </c>
      <c r="GX25">
        <v>30.466000000000001</v>
      </c>
      <c r="GY25">
        <v>34.573</v>
      </c>
      <c r="GZ25">
        <v>17.561599999999999</v>
      </c>
      <c r="HA25">
        <v>60.740099999999998</v>
      </c>
      <c r="HB25">
        <v>23.173100000000002</v>
      </c>
      <c r="HC25">
        <v>1</v>
      </c>
      <c r="HD25">
        <v>0.68635699999999999</v>
      </c>
      <c r="HE25">
        <v>9.2810500000000005</v>
      </c>
      <c r="HF25">
        <v>19.932700000000001</v>
      </c>
      <c r="HG25">
        <v>5.2280699999999998</v>
      </c>
      <c r="HH25">
        <v>11.992000000000001</v>
      </c>
      <c r="HI25">
        <v>4.9530000000000003</v>
      </c>
      <c r="HJ25">
        <v>3.2850000000000001</v>
      </c>
      <c r="HK25">
        <v>9999</v>
      </c>
      <c r="HL25">
        <v>9999</v>
      </c>
      <c r="HM25">
        <v>999.9</v>
      </c>
      <c r="HN25">
        <v>9999</v>
      </c>
      <c r="HO25">
        <v>1.8592900000000001</v>
      </c>
      <c r="HP25">
        <v>1.8600399999999999</v>
      </c>
      <c r="HQ25">
        <v>1.85562</v>
      </c>
      <c r="HR25">
        <v>1.8583799999999999</v>
      </c>
      <c r="HS25">
        <v>1.8624700000000001</v>
      </c>
      <c r="HT25">
        <v>1.8579399999999999</v>
      </c>
      <c r="HU25">
        <v>1.85487</v>
      </c>
      <c r="HV25">
        <v>1.86222</v>
      </c>
      <c r="HW25">
        <v>5</v>
      </c>
      <c r="HX25">
        <v>0</v>
      </c>
      <c r="HY25">
        <v>0</v>
      </c>
      <c r="HZ25">
        <v>0</v>
      </c>
      <c r="IA25" t="s">
        <v>417</v>
      </c>
      <c r="IB25" t="s">
        <v>418</v>
      </c>
      <c r="IC25" t="s">
        <v>419</v>
      </c>
      <c r="ID25" t="s">
        <v>419</v>
      </c>
      <c r="IE25" t="s">
        <v>419</v>
      </c>
      <c r="IF25" t="s">
        <v>419</v>
      </c>
      <c r="IG25">
        <v>0</v>
      </c>
      <c r="IH25">
        <v>100</v>
      </c>
      <c r="II25">
        <v>100</v>
      </c>
      <c r="IJ25">
        <v>3.5920000000000001</v>
      </c>
      <c r="IK25">
        <v>-0.123</v>
      </c>
      <c r="IL25">
        <v>2.9324545454545601</v>
      </c>
      <c r="IM25">
        <v>0</v>
      </c>
      <c r="IN25">
        <v>0</v>
      </c>
      <c r="IO25">
        <v>0</v>
      </c>
      <c r="IP25">
        <v>-0.13106000000000001</v>
      </c>
      <c r="IQ25">
        <v>0</v>
      </c>
      <c r="IR25">
        <v>0</v>
      </c>
      <c r="IS25">
        <v>0</v>
      </c>
      <c r="IT25">
        <v>-1</v>
      </c>
      <c r="IU25">
        <v>-1</v>
      </c>
      <c r="IV25">
        <v>-1</v>
      </c>
      <c r="IW25">
        <v>-1</v>
      </c>
      <c r="IX25">
        <v>3</v>
      </c>
      <c r="IY25">
        <v>2.9</v>
      </c>
      <c r="IZ25">
        <v>2.1594199999999999</v>
      </c>
      <c r="JA25">
        <v>2.7612299999999999</v>
      </c>
      <c r="JB25">
        <v>1.69678</v>
      </c>
      <c r="JC25">
        <v>2.36572</v>
      </c>
      <c r="JD25">
        <v>1.4978</v>
      </c>
      <c r="JE25">
        <v>2.4340799999999998</v>
      </c>
      <c r="JF25">
        <v>38.476900000000001</v>
      </c>
      <c r="JG25">
        <v>14.2371</v>
      </c>
      <c r="JH25">
        <v>18</v>
      </c>
      <c r="JI25">
        <v>375.14800000000002</v>
      </c>
      <c r="JJ25">
        <v>492.31799999999998</v>
      </c>
      <c r="JK25">
        <v>13.179399999999999</v>
      </c>
      <c r="JL25">
        <v>34.8018</v>
      </c>
      <c r="JM25">
        <v>30.000299999999999</v>
      </c>
      <c r="JN25">
        <v>34.774900000000002</v>
      </c>
      <c r="JO25">
        <v>34.755200000000002</v>
      </c>
      <c r="JP25">
        <v>43.220199999999998</v>
      </c>
      <c r="JQ25">
        <v>17.319800000000001</v>
      </c>
      <c r="JR25">
        <v>100</v>
      </c>
      <c r="JS25">
        <v>12.7882</v>
      </c>
      <c r="JT25">
        <v>1000</v>
      </c>
      <c r="JU25">
        <v>14.253299999999999</v>
      </c>
      <c r="JV25">
        <v>102.01900000000001</v>
      </c>
      <c r="JW25">
        <v>99.993600000000001</v>
      </c>
    </row>
    <row r="26" spans="1:283" x14ac:dyDescent="0.25">
      <c r="A26">
        <v>16</v>
      </c>
      <c r="B26">
        <v>1742535528.0999999</v>
      </c>
      <c r="C26">
        <v>2272.0999999046298</v>
      </c>
      <c r="D26" t="s">
        <v>458</v>
      </c>
      <c r="E26" t="s">
        <v>459</v>
      </c>
      <c r="F26">
        <v>2</v>
      </c>
      <c r="H26">
        <v>1742535526.0999999</v>
      </c>
      <c r="I26">
        <f t="shared" si="0"/>
        <v>1.9455058032408661E-3</v>
      </c>
      <c r="J26">
        <f t="shared" si="1"/>
        <v>1.9455058032408661</v>
      </c>
      <c r="K26">
        <f t="shared" si="2"/>
        <v>43.492345378412615</v>
      </c>
      <c r="L26">
        <f t="shared" si="3"/>
        <v>1182.57666666667</v>
      </c>
      <c r="M26">
        <f t="shared" si="4"/>
        <v>463.53226180942045</v>
      </c>
      <c r="N26">
        <f t="shared" si="5"/>
        <v>44.402898537439533</v>
      </c>
      <c r="O26">
        <f t="shared" si="6"/>
        <v>113.28193540999487</v>
      </c>
      <c r="P26">
        <f t="shared" si="7"/>
        <v>0.10195535393950973</v>
      </c>
      <c r="Q26">
        <f t="shared" si="8"/>
        <v>3.0110237329132881</v>
      </c>
      <c r="R26">
        <f t="shared" si="9"/>
        <v>0.10007557372000542</v>
      </c>
      <c r="S26">
        <f t="shared" si="10"/>
        <v>6.2713237611414799E-2</v>
      </c>
      <c r="T26">
        <f t="shared" si="11"/>
        <v>289.58034923768503</v>
      </c>
      <c r="U26">
        <f t="shared" si="12"/>
        <v>24.82723632644419</v>
      </c>
      <c r="V26">
        <f t="shared" si="13"/>
        <v>25.463533333333299</v>
      </c>
      <c r="W26">
        <f t="shared" si="14"/>
        <v>3.2686176598205852</v>
      </c>
      <c r="X26">
        <f t="shared" si="15"/>
        <v>49.512063603634779</v>
      </c>
      <c r="Y26">
        <f t="shared" si="16"/>
        <v>1.4522648774126543</v>
      </c>
      <c r="Z26">
        <f t="shared" si="17"/>
        <v>2.9331536028040661</v>
      </c>
      <c r="AA26">
        <f t="shared" si="18"/>
        <v>1.8163527824079309</v>
      </c>
      <c r="AB26">
        <f t="shared" si="19"/>
        <v>-85.796805922922189</v>
      </c>
      <c r="AC26">
        <f t="shared" si="20"/>
        <v>-293.86656288821268</v>
      </c>
      <c r="AD26">
        <f t="shared" si="21"/>
        <v>-20.552648397511703</v>
      </c>
      <c r="AE26">
        <f t="shared" si="22"/>
        <v>-110.63566797096155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51185.551612164119</v>
      </c>
      <c r="AK26" t="s">
        <v>413</v>
      </c>
      <c r="AL26">
        <v>10180.200000000001</v>
      </c>
      <c r="AM26">
        <v>191.60769230769199</v>
      </c>
      <c r="AN26">
        <v>979.671341309485</v>
      </c>
      <c r="AO26">
        <f t="shared" si="26"/>
        <v>0.80441635451785476</v>
      </c>
      <c r="AP26">
        <v>-2.5320139233462702</v>
      </c>
      <c r="AQ26" t="s">
        <v>460</v>
      </c>
      <c r="AR26">
        <v>10121.1</v>
      </c>
      <c r="AS26">
        <v>250.47176923076901</v>
      </c>
      <c r="AT26">
        <v>397.38869639636499</v>
      </c>
      <c r="AU26">
        <f t="shared" si="27"/>
        <v>0.3697058534827008</v>
      </c>
      <c r="AV26">
        <v>0.5</v>
      </c>
      <c r="AW26">
        <f t="shared" si="28"/>
        <v>1513.2549996050157</v>
      </c>
      <c r="AX26">
        <f t="shared" si="29"/>
        <v>43.492345378412615</v>
      </c>
      <c r="AY26">
        <f t="shared" si="30"/>
        <v>279.72961558296817</v>
      </c>
      <c r="AZ26">
        <f t="shared" si="31"/>
        <v>3.0414146534306508E-2</v>
      </c>
      <c r="BA26">
        <f t="shared" si="32"/>
        <v>1.4652722893062298</v>
      </c>
      <c r="BB26">
        <f t="shared" si="33"/>
        <v>148.92754546743618</v>
      </c>
      <c r="BC26" t="s">
        <v>414</v>
      </c>
      <c r="BD26">
        <v>0</v>
      </c>
      <c r="BE26">
        <f t="shared" si="34"/>
        <v>148.92754546743618</v>
      </c>
      <c r="BF26">
        <f t="shared" si="35"/>
        <v>0.62523457054024434</v>
      </c>
      <c r="BG26">
        <f t="shared" si="36"/>
        <v>0.59130744028317284</v>
      </c>
      <c r="BH26">
        <f t="shared" si="37"/>
        <v>0.70091723564774089</v>
      </c>
      <c r="BI26">
        <f t="shared" si="38"/>
        <v>0.71394795557654134</v>
      </c>
      <c r="BJ26">
        <f t="shared" si="39"/>
        <v>0.73887768538832233</v>
      </c>
      <c r="BK26">
        <f t="shared" si="40"/>
        <v>0.35158439599183228</v>
      </c>
      <c r="BL26">
        <f t="shared" si="41"/>
        <v>0.64841560400816767</v>
      </c>
      <c r="BM26">
        <v>1717</v>
      </c>
      <c r="BN26">
        <v>290</v>
      </c>
      <c r="BO26">
        <v>357.57</v>
      </c>
      <c r="BP26">
        <v>155</v>
      </c>
      <c r="BQ26">
        <v>10121.1</v>
      </c>
      <c r="BR26">
        <v>356.18</v>
      </c>
      <c r="BS26">
        <v>1.39</v>
      </c>
      <c r="BT26">
        <v>300</v>
      </c>
      <c r="BU26">
        <v>24.2</v>
      </c>
      <c r="BV26">
        <v>397.38869639636499</v>
      </c>
      <c r="BW26">
        <v>1.7204780087493099</v>
      </c>
      <c r="BX26">
        <v>-41.711274662243802</v>
      </c>
      <c r="BY26">
        <v>1.5484599561471899</v>
      </c>
      <c r="BZ26">
        <v>0.96284580896027705</v>
      </c>
      <c r="CA26">
        <v>-6.8703172413793296E-3</v>
      </c>
      <c r="CB26">
        <v>290</v>
      </c>
      <c r="CC26">
        <v>356.81</v>
      </c>
      <c r="CD26">
        <v>845</v>
      </c>
      <c r="CE26">
        <v>10071</v>
      </c>
      <c r="CF26">
        <v>355.97</v>
      </c>
      <c r="CG26">
        <v>0.84</v>
      </c>
      <c r="CU26">
        <f t="shared" si="42"/>
        <v>1800.0833333333301</v>
      </c>
      <c r="CV26">
        <f t="shared" si="43"/>
        <v>1513.2549996050157</v>
      </c>
      <c r="CW26">
        <f t="shared" si="44"/>
        <v>0.8406583026369252</v>
      </c>
      <c r="CX26">
        <f t="shared" si="45"/>
        <v>0.16087052408926561</v>
      </c>
      <c r="CY26">
        <v>1.9</v>
      </c>
      <c r="CZ26">
        <v>0.5</v>
      </c>
      <c r="DA26" t="s">
        <v>415</v>
      </c>
      <c r="DB26">
        <v>2</v>
      </c>
      <c r="DC26">
        <v>1742535526.0999999</v>
      </c>
      <c r="DD26">
        <v>1182.57666666667</v>
      </c>
      <c r="DE26">
        <v>1199.98</v>
      </c>
      <c r="DF26">
        <v>15.1605333333333</v>
      </c>
      <c r="DG26">
        <v>14.432366666666701</v>
      </c>
      <c r="DH26">
        <v>1178.2</v>
      </c>
      <c r="DI26">
        <v>15.2771333333333</v>
      </c>
      <c r="DJ26">
        <v>499.94333333333299</v>
      </c>
      <c r="DK26">
        <v>95.692499999999995</v>
      </c>
      <c r="DL26">
        <v>9.9966233333333293E-2</v>
      </c>
      <c r="DM26">
        <v>23.653233333333301</v>
      </c>
      <c r="DN26">
        <v>25.463533333333299</v>
      </c>
      <c r="DO26">
        <v>999.9</v>
      </c>
      <c r="DP26">
        <v>0</v>
      </c>
      <c r="DQ26">
        <v>0</v>
      </c>
      <c r="DR26">
        <v>10003.1</v>
      </c>
      <c r="DS26">
        <v>0</v>
      </c>
      <c r="DT26">
        <v>1150.24</v>
      </c>
      <c r="DU26">
        <v>-17.4059666666667</v>
      </c>
      <c r="DV26">
        <v>1200.78</v>
      </c>
      <c r="DW26">
        <v>1217.5533333333301</v>
      </c>
      <c r="DX26">
        <v>0.72813733333333297</v>
      </c>
      <c r="DY26">
        <v>1199.98</v>
      </c>
      <c r="DZ26">
        <v>14.432366666666701</v>
      </c>
      <c r="EA26">
        <v>1.45075</v>
      </c>
      <c r="EB26">
        <v>1.38107333333333</v>
      </c>
      <c r="EC26">
        <v>12.458733333333299</v>
      </c>
      <c r="ED26">
        <v>11.7113666666667</v>
      </c>
      <c r="EE26">
        <v>1800.0833333333301</v>
      </c>
      <c r="EF26">
        <v>0.97799599999999998</v>
      </c>
      <c r="EG26">
        <v>2.2003766666666699E-2</v>
      </c>
      <c r="EH26">
        <v>0</v>
      </c>
      <c r="EI26">
        <v>250.464333333333</v>
      </c>
      <c r="EJ26">
        <v>5.0006000000000004</v>
      </c>
      <c r="EK26">
        <v>4835.5066666666698</v>
      </c>
      <c r="EL26">
        <v>18194.766666666699</v>
      </c>
      <c r="EM26">
        <v>49.75</v>
      </c>
      <c r="EN26">
        <v>49.832999999999998</v>
      </c>
      <c r="EO26">
        <v>50.061999999999998</v>
      </c>
      <c r="EP26">
        <v>49.645666666666699</v>
      </c>
      <c r="EQ26">
        <v>51</v>
      </c>
      <c r="ER26">
        <v>1755.5833333333301</v>
      </c>
      <c r="ES26">
        <v>39.5</v>
      </c>
      <c r="ET26">
        <v>0</v>
      </c>
      <c r="EU26">
        <v>168.5</v>
      </c>
      <c r="EV26">
        <v>0</v>
      </c>
      <c r="EW26">
        <v>250.47176923076901</v>
      </c>
      <c r="EX26">
        <v>-3.0290604843237999E-2</v>
      </c>
      <c r="EY26">
        <v>5.8871794762735696</v>
      </c>
      <c r="EZ26">
        <v>4834.6730769230799</v>
      </c>
      <c r="FA26">
        <v>15</v>
      </c>
      <c r="FB26">
        <v>1742535467.0999999</v>
      </c>
      <c r="FC26" t="s">
        <v>461</v>
      </c>
      <c r="FD26">
        <v>1742535467.0999999</v>
      </c>
      <c r="FE26">
        <v>1742535460.0999999</v>
      </c>
      <c r="FF26">
        <v>30</v>
      </c>
      <c r="FG26">
        <v>0.78300000000000003</v>
      </c>
      <c r="FH26">
        <v>6.0000000000000001E-3</v>
      </c>
      <c r="FI26">
        <v>4.375</v>
      </c>
      <c r="FJ26">
        <v>-0.11700000000000001</v>
      </c>
      <c r="FK26">
        <v>1200</v>
      </c>
      <c r="FL26">
        <v>14</v>
      </c>
      <c r="FM26">
        <v>0.16</v>
      </c>
      <c r="FN26">
        <v>0.31</v>
      </c>
      <c r="FO26">
        <v>-17.406176190476199</v>
      </c>
      <c r="FP26">
        <v>0.439394805194817</v>
      </c>
      <c r="FQ26">
        <v>7.7103578477648899E-2</v>
      </c>
      <c r="FR26">
        <v>1</v>
      </c>
      <c r="FS26">
        <v>250.449441176471</v>
      </c>
      <c r="FT26">
        <v>0.25951107601537399</v>
      </c>
      <c r="FU26">
        <v>0.233763604973871</v>
      </c>
      <c r="FV26">
        <v>1</v>
      </c>
      <c r="FW26">
        <v>0.72747919047619003</v>
      </c>
      <c r="FX26">
        <v>5.4759038961037398E-2</v>
      </c>
      <c r="FY26">
        <v>7.7333222000271597E-3</v>
      </c>
      <c r="FZ26">
        <v>1</v>
      </c>
      <c r="GA26">
        <v>3</v>
      </c>
      <c r="GB26">
        <v>3</v>
      </c>
      <c r="GC26" t="s">
        <v>416</v>
      </c>
      <c r="GD26">
        <v>3.1392799999999998</v>
      </c>
      <c r="GE26">
        <v>2.7471800000000002</v>
      </c>
      <c r="GF26">
        <v>0.17730499999999999</v>
      </c>
      <c r="GG26">
        <v>0.183585</v>
      </c>
      <c r="GH26">
        <v>7.8938499999999995E-2</v>
      </c>
      <c r="GI26">
        <v>7.8027399999999997E-2</v>
      </c>
      <c r="GJ26">
        <v>21593.200000000001</v>
      </c>
      <c r="GK26">
        <v>26854.7</v>
      </c>
      <c r="GL26">
        <v>26772.3</v>
      </c>
      <c r="GM26">
        <v>31053.4</v>
      </c>
      <c r="GN26">
        <v>34788.9</v>
      </c>
      <c r="GO26">
        <v>38179.300000000003</v>
      </c>
      <c r="GP26">
        <v>41304.9</v>
      </c>
      <c r="GQ26">
        <v>45031.7</v>
      </c>
      <c r="GR26">
        <v>1.6818299999999999</v>
      </c>
      <c r="GS26">
        <v>1.8623799999999999</v>
      </c>
      <c r="GT26">
        <v>0.101879</v>
      </c>
      <c r="GU26">
        <v>0</v>
      </c>
      <c r="GV26">
        <v>23.795100000000001</v>
      </c>
      <c r="GW26">
        <v>999.9</v>
      </c>
      <c r="GX26">
        <v>29.294</v>
      </c>
      <c r="GY26">
        <v>34.643999999999998</v>
      </c>
      <c r="GZ26">
        <v>16.953499999999998</v>
      </c>
      <c r="HA26">
        <v>61.0501</v>
      </c>
      <c r="HB26">
        <v>23.301300000000001</v>
      </c>
      <c r="HC26">
        <v>1</v>
      </c>
      <c r="HD26">
        <v>0.69753100000000001</v>
      </c>
      <c r="HE26">
        <v>9.2810500000000005</v>
      </c>
      <c r="HF26">
        <v>19.932500000000001</v>
      </c>
      <c r="HG26">
        <v>5.2217799999999999</v>
      </c>
      <c r="HH26">
        <v>11.9918</v>
      </c>
      <c r="HI26">
        <v>4.94895</v>
      </c>
      <c r="HJ26">
        <v>3.2850000000000001</v>
      </c>
      <c r="HK26">
        <v>9999</v>
      </c>
      <c r="HL26">
        <v>9999</v>
      </c>
      <c r="HM26">
        <v>999.9</v>
      </c>
      <c r="HN26">
        <v>9999</v>
      </c>
      <c r="HO26">
        <v>1.8593</v>
      </c>
      <c r="HP26">
        <v>1.86005</v>
      </c>
      <c r="HQ26">
        <v>1.85562</v>
      </c>
      <c r="HR26">
        <v>1.8583700000000001</v>
      </c>
      <c r="HS26">
        <v>1.86243</v>
      </c>
      <c r="HT26">
        <v>1.8579300000000001</v>
      </c>
      <c r="HU26">
        <v>1.85486</v>
      </c>
      <c r="HV26">
        <v>1.8622399999999999</v>
      </c>
      <c r="HW26">
        <v>5</v>
      </c>
      <c r="HX26">
        <v>0</v>
      </c>
      <c r="HY26">
        <v>0</v>
      </c>
      <c r="HZ26">
        <v>0</v>
      </c>
      <c r="IA26" t="s">
        <v>417</v>
      </c>
      <c r="IB26" t="s">
        <v>418</v>
      </c>
      <c r="IC26" t="s">
        <v>419</v>
      </c>
      <c r="ID26" t="s">
        <v>419</v>
      </c>
      <c r="IE26" t="s">
        <v>419</v>
      </c>
      <c r="IF26" t="s">
        <v>419</v>
      </c>
      <c r="IG26">
        <v>0</v>
      </c>
      <c r="IH26">
        <v>100</v>
      </c>
      <c r="II26">
        <v>100</v>
      </c>
      <c r="IJ26">
        <v>4.37</v>
      </c>
      <c r="IK26">
        <v>-0.1166</v>
      </c>
      <c r="IL26">
        <v>4.3745454545453404</v>
      </c>
      <c r="IM26">
        <v>0</v>
      </c>
      <c r="IN26">
        <v>0</v>
      </c>
      <c r="IO26">
        <v>0</v>
      </c>
      <c r="IP26">
        <v>-0.116620000000003</v>
      </c>
      <c r="IQ26">
        <v>0</v>
      </c>
      <c r="IR26">
        <v>0</v>
      </c>
      <c r="IS26">
        <v>0</v>
      </c>
      <c r="IT26">
        <v>-1</v>
      </c>
      <c r="IU26">
        <v>-1</v>
      </c>
      <c r="IV26">
        <v>-1</v>
      </c>
      <c r="IW26">
        <v>-1</v>
      </c>
      <c r="IX26">
        <v>1</v>
      </c>
      <c r="IY26">
        <v>1.1000000000000001</v>
      </c>
      <c r="IZ26">
        <v>2.50488</v>
      </c>
      <c r="JA26">
        <v>2.7502399999999998</v>
      </c>
      <c r="JB26">
        <v>1.69678</v>
      </c>
      <c r="JC26">
        <v>2.3645</v>
      </c>
      <c r="JD26">
        <v>1.4978</v>
      </c>
      <c r="JE26">
        <v>2.4011200000000001</v>
      </c>
      <c r="JF26">
        <v>38.354500000000002</v>
      </c>
      <c r="JG26">
        <v>14.1671</v>
      </c>
      <c r="JH26">
        <v>18</v>
      </c>
      <c r="JI26">
        <v>374.78500000000003</v>
      </c>
      <c r="JJ26">
        <v>493.101</v>
      </c>
      <c r="JK26">
        <v>13.3421</v>
      </c>
      <c r="JL26">
        <v>34.940199999999997</v>
      </c>
      <c r="JM26">
        <v>30.000399999999999</v>
      </c>
      <c r="JN26">
        <v>34.8902</v>
      </c>
      <c r="JO26">
        <v>34.868000000000002</v>
      </c>
      <c r="JP26">
        <v>50.140999999999998</v>
      </c>
      <c r="JQ26">
        <v>6.9848600000000003</v>
      </c>
      <c r="JR26">
        <v>100</v>
      </c>
      <c r="JS26">
        <v>12.9598</v>
      </c>
      <c r="JT26">
        <v>1200</v>
      </c>
      <c r="JU26">
        <v>14.553699999999999</v>
      </c>
      <c r="JV26">
        <v>102.001</v>
      </c>
      <c r="JW26">
        <v>99.965599999999995</v>
      </c>
    </row>
    <row r="27" spans="1:283" x14ac:dyDescent="0.25">
      <c r="A27">
        <v>17</v>
      </c>
      <c r="B27">
        <v>1742535682.0999999</v>
      </c>
      <c r="C27">
        <v>2426.0999999046298</v>
      </c>
      <c r="D27" t="s">
        <v>462</v>
      </c>
      <c r="E27" t="s">
        <v>463</v>
      </c>
      <c r="F27">
        <v>2</v>
      </c>
      <c r="H27">
        <v>1742535680.5999999</v>
      </c>
      <c r="I27">
        <f t="shared" si="0"/>
        <v>2.0644225132673191E-3</v>
      </c>
      <c r="J27">
        <f t="shared" si="1"/>
        <v>2.0644225132673188</v>
      </c>
      <c r="K27">
        <f t="shared" si="2"/>
        <v>46.711130395848464</v>
      </c>
      <c r="L27">
        <f t="shared" si="3"/>
        <v>1481.0740000000001</v>
      </c>
      <c r="M27">
        <f t="shared" si="4"/>
        <v>723.1667547402368</v>
      </c>
      <c r="N27">
        <f t="shared" si="5"/>
        <v>69.277193093065605</v>
      </c>
      <c r="O27">
        <f t="shared" si="6"/>
        <v>141.88242035541981</v>
      </c>
      <c r="P27">
        <f t="shared" si="7"/>
        <v>0.10512983275824275</v>
      </c>
      <c r="Q27">
        <f t="shared" si="8"/>
        <v>3.0100957511017481</v>
      </c>
      <c r="R27">
        <f t="shared" si="9"/>
        <v>0.10313180536290108</v>
      </c>
      <c r="S27">
        <f t="shared" si="10"/>
        <v>6.4633730343127346E-2</v>
      </c>
      <c r="T27">
        <f t="shared" si="11"/>
        <v>289.54812894128492</v>
      </c>
      <c r="U27">
        <f t="shared" si="12"/>
        <v>24.962610705475814</v>
      </c>
      <c r="V27">
        <f t="shared" si="13"/>
        <v>25.674299999999999</v>
      </c>
      <c r="W27">
        <f t="shared" si="14"/>
        <v>3.3097719700319872</v>
      </c>
      <c r="X27">
        <f t="shared" si="15"/>
        <v>48.597278979288561</v>
      </c>
      <c r="Y27">
        <f t="shared" si="16"/>
        <v>1.4397089037526249</v>
      </c>
      <c r="Z27">
        <f t="shared" si="17"/>
        <v>2.9625298658515584</v>
      </c>
      <c r="AA27">
        <f t="shared" si="18"/>
        <v>1.8700630662793623</v>
      </c>
      <c r="AB27">
        <f t="shared" si="19"/>
        <v>-91.041032835088771</v>
      </c>
      <c r="AC27">
        <f t="shared" si="20"/>
        <v>-301.11106349851889</v>
      </c>
      <c r="AD27">
        <f t="shared" si="21"/>
        <v>-21.105810784847943</v>
      </c>
      <c r="AE27">
        <f t="shared" si="22"/>
        <v>-123.7097781771707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51130.6354084224</v>
      </c>
      <c r="AK27" t="s">
        <v>413</v>
      </c>
      <c r="AL27">
        <v>10180.200000000001</v>
      </c>
      <c r="AM27">
        <v>191.60769230769199</v>
      </c>
      <c r="AN27">
        <v>979.671341309485</v>
      </c>
      <c r="AO27">
        <f t="shared" si="26"/>
        <v>0.80441635451785476</v>
      </c>
      <c r="AP27">
        <v>-2.5320139233462702</v>
      </c>
      <c r="AQ27" t="s">
        <v>464</v>
      </c>
      <c r="AR27">
        <v>10115.700000000001</v>
      </c>
      <c r="AS27">
        <v>248.83248</v>
      </c>
      <c r="AT27">
        <v>399.23374001853</v>
      </c>
      <c r="AU27">
        <f t="shared" si="27"/>
        <v>0.37672482293593046</v>
      </c>
      <c r="AV27">
        <v>0.5</v>
      </c>
      <c r="AW27">
        <f t="shared" si="28"/>
        <v>1513.0881061871942</v>
      </c>
      <c r="AX27">
        <f t="shared" si="29"/>
        <v>46.711130395848464</v>
      </c>
      <c r="AY27">
        <f t="shared" si="30"/>
        <v>285.00892444491654</v>
      </c>
      <c r="AZ27">
        <f t="shared" si="31"/>
        <v>3.2544796378898067E-2</v>
      </c>
      <c r="BA27">
        <f t="shared" si="32"/>
        <v>1.4538791267091167</v>
      </c>
      <c r="BB27">
        <f t="shared" si="33"/>
        <v>149.18593016520742</v>
      </c>
      <c r="BC27" t="s">
        <v>414</v>
      </c>
      <c r="BD27">
        <v>0</v>
      </c>
      <c r="BE27">
        <f t="shared" si="34"/>
        <v>149.18593016520742</v>
      </c>
      <c r="BF27">
        <f t="shared" si="35"/>
        <v>0.62631933323500388</v>
      </c>
      <c r="BG27">
        <f t="shared" si="36"/>
        <v>0.60149001147722514</v>
      </c>
      <c r="BH27">
        <f t="shared" si="37"/>
        <v>0.69891366362619634</v>
      </c>
      <c r="BI27">
        <f t="shared" si="38"/>
        <v>0.7243853152182268</v>
      </c>
      <c r="BJ27">
        <f t="shared" si="39"/>
        <v>0.73653644858022671</v>
      </c>
      <c r="BK27">
        <f t="shared" si="40"/>
        <v>0.3606195093474579</v>
      </c>
      <c r="BL27">
        <f t="shared" si="41"/>
        <v>0.6393804906525421</v>
      </c>
      <c r="BM27">
        <v>1718</v>
      </c>
      <c r="BN27">
        <v>290</v>
      </c>
      <c r="BO27">
        <v>356.48</v>
      </c>
      <c r="BP27">
        <v>175</v>
      </c>
      <c r="BQ27">
        <v>10115.700000000001</v>
      </c>
      <c r="BR27">
        <v>355.68</v>
      </c>
      <c r="BS27">
        <v>0.8</v>
      </c>
      <c r="BT27">
        <v>300</v>
      </c>
      <c r="BU27">
        <v>24.2</v>
      </c>
      <c r="BV27">
        <v>399.23374001853</v>
      </c>
      <c r="BW27">
        <v>1.70146391120837</v>
      </c>
      <c r="BX27">
        <v>-44.058453082206</v>
      </c>
      <c r="BY27">
        <v>1.5311067225830599</v>
      </c>
      <c r="BZ27">
        <v>0.96729097459797597</v>
      </c>
      <c r="CA27">
        <v>-6.8694313681868799E-3</v>
      </c>
      <c r="CB27">
        <v>290</v>
      </c>
      <c r="CC27">
        <v>355.94</v>
      </c>
      <c r="CD27">
        <v>745</v>
      </c>
      <c r="CE27">
        <v>10074.700000000001</v>
      </c>
      <c r="CF27">
        <v>355.5</v>
      </c>
      <c r="CG27">
        <v>0.44</v>
      </c>
      <c r="CU27">
        <f t="shared" si="42"/>
        <v>1799.885</v>
      </c>
      <c r="CV27">
        <f t="shared" si="43"/>
        <v>1513.0881061871942</v>
      </c>
      <c r="CW27">
        <f t="shared" si="44"/>
        <v>0.8406582121564401</v>
      </c>
      <c r="CX27">
        <f t="shared" si="45"/>
        <v>0.16087034946192946</v>
      </c>
      <c r="CY27">
        <v>1.9</v>
      </c>
      <c r="CZ27">
        <v>0.5</v>
      </c>
      <c r="DA27" t="s">
        <v>415</v>
      </c>
      <c r="DB27">
        <v>2</v>
      </c>
      <c r="DC27">
        <v>1742535680.5999999</v>
      </c>
      <c r="DD27">
        <v>1481.0740000000001</v>
      </c>
      <c r="DE27">
        <v>1499.99</v>
      </c>
      <c r="DF27">
        <v>15.02875</v>
      </c>
      <c r="DG27">
        <v>14.2559</v>
      </c>
      <c r="DH27">
        <v>1476.0650000000001</v>
      </c>
      <c r="DI27">
        <v>15.140750000000001</v>
      </c>
      <c r="DJ27">
        <v>499.89699999999999</v>
      </c>
      <c r="DK27">
        <v>95.697550000000007</v>
      </c>
      <c r="DL27">
        <v>9.9432699999999999E-2</v>
      </c>
      <c r="DM27">
        <v>23.8188</v>
      </c>
      <c r="DN27">
        <v>25.674299999999999</v>
      </c>
      <c r="DO27">
        <v>999.9</v>
      </c>
      <c r="DP27">
        <v>0</v>
      </c>
      <c r="DQ27">
        <v>0</v>
      </c>
      <c r="DR27">
        <v>9997.1749999999993</v>
      </c>
      <c r="DS27">
        <v>0</v>
      </c>
      <c r="DT27">
        <v>1156.155</v>
      </c>
      <c r="DU27">
        <v>-19.550999999999998</v>
      </c>
      <c r="DV27">
        <v>1503.0250000000001</v>
      </c>
      <c r="DW27">
        <v>1521.6849999999999</v>
      </c>
      <c r="DX27">
        <v>0.7681945</v>
      </c>
      <c r="DY27">
        <v>1499.99</v>
      </c>
      <c r="DZ27">
        <v>14.2559</v>
      </c>
      <c r="EA27">
        <v>1.43777</v>
      </c>
      <c r="EB27">
        <v>1.364255</v>
      </c>
      <c r="EC27">
        <v>12.321949999999999</v>
      </c>
      <c r="ED27">
        <v>11.52605</v>
      </c>
      <c r="EE27">
        <v>1799.885</v>
      </c>
      <c r="EF27">
        <v>0.97799599999999998</v>
      </c>
      <c r="EG27">
        <v>2.2003700000000001E-2</v>
      </c>
      <c r="EH27">
        <v>0</v>
      </c>
      <c r="EI27">
        <v>249.15799999999999</v>
      </c>
      <c r="EJ27">
        <v>5.0006000000000004</v>
      </c>
      <c r="EK27">
        <v>4812.9449999999997</v>
      </c>
      <c r="EL27">
        <v>18192.75</v>
      </c>
      <c r="EM27">
        <v>49.936999999999998</v>
      </c>
      <c r="EN27">
        <v>50.061999999999998</v>
      </c>
      <c r="EO27">
        <v>50.25</v>
      </c>
      <c r="EP27">
        <v>49.875</v>
      </c>
      <c r="EQ27">
        <v>51.25</v>
      </c>
      <c r="ER27">
        <v>1755.385</v>
      </c>
      <c r="ES27">
        <v>39.49</v>
      </c>
      <c r="ET27">
        <v>0</v>
      </c>
      <c r="EU27">
        <v>152.5</v>
      </c>
      <c r="EV27">
        <v>0</v>
      </c>
      <c r="EW27">
        <v>248.83248</v>
      </c>
      <c r="EX27">
        <v>0.186692309066676</v>
      </c>
      <c r="EY27">
        <v>14.945384567093001</v>
      </c>
      <c r="EZ27">
        <v>4811.95</v>
      </c>
      <c r="FA27">
        <v>15</v>
      </c>
      <c r="FB27">
        <v>1742535711.0999999</v>
      </c>
      <c r="FC27" t="s">
        <v>465</v>
      </c>
      <c r="FD27">
        <v>1742535705.0999999</v>
      </c>
      <c r="FE27">
        <v>1742535711.0999999</v>
      </c>
      <c r="FF27">
        <v>31</v>
      </c>
      <c r="FG27">
        <v>0.63600000000000001</v>
      </c>
      <c r="FH27">
        <v>5.0000000000000001E-3</v>
      </c>
      <c r="FI27">
        <v>5.0090000000000003</v>
      </c>
      <c r="FJ27">
        <v>-0.112</v>
      </c>
      <c r="FK27">
        <v>1500</v>
      </c>
      <c r="FL27">
        <v>14</v>
      </c>
      <c r="FM27">
        <v>0.11</v>
      </c>
      <c r="FN27">
        <v>0.33</v>
      </c>
      <c r="FO27">
        <v>-19.8384142857143</v>
      </c>
      <c r="FP27">
        <v>1.40025194805192</v>
      </c>
      <c r="FQ27">
        <v>0.15053506880051401</v>
      </c>
      <c r="FR27">
        <v>0</v>
      </c>
      <c r="FS27">
        <v>248.75982352941199</v>
      </c>
      <c r="FT27">
        <v>0.52699770544427105</v>
      </c>
      <c r="FU27">
        <v>0.19568649455761999</v>
      </c>
      <c r="FV27">
        <v>1</v>
      </c>
      <c r="FW27">
        <v>0.83254352380952401</v>
      </c>
      <c r="FX27">
        <v>-0.37134584415584199</v>
      </c>
      <c r="FY27">
        <v>3.7548311887257602E-2</v>
      </c>
      <c r="FZ27">
        <v>0</v>
      </c>
      <c r="GA27">
        <v>1</v>
      </c>
      <c r="GB27">
        <v>3</v>
      </c>
      <c r="GC27" t="s">
        <v>433</v>
      </c>
      <c r="GD27">
        <v>3.1393200000000001</v>
      </c>
      <c r="GE27">
        <v>2.7468699999999999</v>
      </c>
      <c r="GF27">
        <v>0.20318700000000001</v>
      </c>
      <c r="GG27">
        <v>0.20990300000000001</v>
      </c>
      <c r="GH27">
        <v>7.8400700000000004E-2</v>
      </c>
      <c r="GI27">
        <v>7.7320899999999998E-2</v>
      </c>
      <c r="GJ27">
        <v>20907.5</v>
      </c>
      <c r="GK27">
        <v>25976.9</v>
      </c>
      <c r="GL27">
        <v>26768</v>
      </c>
      <c r="GM27">
        <v>31043.3</v>
      </c>
      <c r="GN27">
        <v>34803.699999999997</v>
      </c>
      <c r="GO27">
        <v>38196.800000000003</v>
      </c>
      <c r="GP27">
        <v>41298</v>
      </c>
      <c r="GQ27">
        <v>45017.1</v>
      </c>
      <c r="GR27">
        <v>1.6812</v>
      </c>
      <c r="GS27">
        <v>1.8621700000000001</v>
      </c>
      <c r="GT27">
        <v>0.10434499999999999</v>
      </c>
      <c r="GU27">
        <v>0</v>
      </c>
      <c r="GV27">
        <v>23.964200000000002</v>
      </c>
      <c r="GW27">
        <v>999.9</v>
      </c>
      <c r="GX27">
        <v>28.713999999999999</v>
      </c>
      <c r="GY27">
        <v>34.603999999999999</v>
      </c>
      <c r="GZ27">
        <v>16.5794</v>
      </c>
      <c r="HA27">
        <v>61.1601</v>
      </c>
      <c r="HB27">
        <v>22.972799999999999</v>
      </c>
      <c r="HC27">
        <v>1</v>
      </c>
      <c r="HD27">
        <v>0.71003799999999995</v>
      </c>
      <c r="HE27">
        <v>9.2810500000000005</v>
      </c>
      <c r="HF27">
        <v>19.931999999999999</v>
      </c>
      <c r="HG27">
        <v>5.2210299999999998</v>
      </c>
      <c r="HH27">
        <v>11.9899</v>
      </c>
      <c r="HI27">
        <v>4.95045</v>
      </c>
      <c r="HJ27">
        <v>3.2842500000000001</v>
      </c>
      <c r="HK27">
        <v>9999</v>
      </c>
      <c r="HL27">
        <v>9999</v>
      </c>
      <c r="HM27">
        <v>999.9</v>
      </c>
      <c r="HN27">
        <v>9999</v>
      </c>
      <c r="HO27">
        <v>1.85934</v>
      </c>
      <c r="HP27">
        <v>1.86005</v>
      </c>
      <c r="HQ27">
        <v>1.85562</v>
      </c>
      <c r="HR27">
        <v>1.8583700000000001</v>
      </c>
      <c r="HS27">
        <v>1.8624700000000001</v>
      </c>
      <c r="HT27">
        <v>1.8579300000000001</v>
      </c>
      <c r="HU27">
        <v>1.85486</v>
      </c>
      <c r="HV27">
        <v>1.86232</v>
      </c>
      <c r="HW27">
        <v>5</v>
      </c>
      <c r="HX27">
        <v>0</v>
      </c>
      <c r="HY27">
        <v>0</v>
      </c>
      <c r="HZ27">
        <v>0</v>
      </c>
      <c r="IA27" t="s">
        <v>417</v>
      </c>
      <c r="IB27" t="s">
        <v>418</v>
      </c>
      <c r="IC27" t="s">
        <v>419</v>
      </c>
      <c r="ID27" t="s">
        <v>419</v>
      </c>
      <c r="IE27" t="s">
        <v>419</v>
      </c>
      <c r="IF27" t="s">
        <v>419</v>
      </c>
      <c r="IG27">
        <v>0</v>
      </c>
      <c r="IH27">
        <v>100</v>
      </c>
      <c r="II27">
        <v>100</v>
      </c>
      <c r="IJ27">
        <v>5.0090000000000003</v>
      </c>
      <c r="IK27">
        <v>-0.112</v>
      </c>
      <c r="IL27">
        <v>4.3745454545453404</v>
      </c>
      <c r="IM27">
        <v>0</v>
      </c>
      <c r="IN27">
        <v>0</v>
      </c>
      <c r="IO27">
        <v>0</v>
      </c>
      <c r="IP27">
        <v>-0.116620000000003</v>
      </c>
      <c r="IQ27">
        <v>0</v>
      </c>
      <c r="IR27">
        <v>0</v>
      </c>
      <c r="IS27">
        <v>0</v>
      </c>
      <c r="IT27">
        <v>-1</v>
      </c>
      <c r="IU27">
        <v>-1</v>
      </c>
      <c r="IV27">
        <v>-1</v>
      </c>
      <c r="IW27">
        <v>-1</v>
      </c>
      <c r="IX27">
        <v>3.6</v>
      </c>
      <c r="IY27">
        <v>3.7</v>
      </c>
      <c r="IZ27">
        <v>3.0004900000000001</v>
      </c>
      <c r="JA27">
        <v>2.7600099999999999</v>
      </c>
      <c r="JB27">
        <v>1.69678</v>
      </c>
      <c r="JC27">
        <v>2.36572</v>
      </c>
      <c r="JD27">
        <v>1.4978</v>
      </c>
      <c r="JE27">
        <v>2.3706100000000001</v>
      </c>
      <c r="JF27">
        <v>38.281199999999998</v>
      </c>
      <c r="JG27">
        <v>14.1058</v>
      </c>
      <c r="JH27">
        <v>18</v>
      </c>
      <c r="JI27">
        <v>375.13900000000001</v>
      </c>
      <c r="JJ27">
        <v>493.97699999999998</v>
      </c>
      <c r="JK27">
        <v>13.508100000000001</v>
      </c>
      <c r="JL27">
        <v>35.090600000000002</v>
      </c>
      <c r="JM27">
        <v>30.000499999999999</v>
      </c>
      <c r="JN27">
        <v>35.027299999999997</v>
      </c>
      <c r="JO27">
        <v>35.0045</v>
      </c>
      <c r="JP27">
        <v>60.0242</v>
      </c>
      <c r="JQ27">
        <v>0</v>
      </c>
      <c r="JR27">
        <v>100</v>
      </c>
      <c r="JS27">
        <v>12.8437</v>
      </c>
      <c r="JT27">
        <v>1500</v>
      </c>
      <c r="JU27">
        <v>14.5464</v>
      </c>
      <c r="JV27">
        <v>101.98399999999999</v>
      </c>
      <c r="JW27">
        <v>99.933000000000007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2025-03-23T13:42:42Z</dcterms:created>
  <dcterms:modified xsi:type="dcterms:W3CDTF">2025-07-09T11:18:38Z</dcterms:modified>
</cp:coreProperties>
</file>