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拉萨实验站\C3作物\winter wheat\"/>
    </mc:Choice>
  </mc:AlternateContent>
  <xr:revisionPtr revIDLastSave="0" documentId="13_ncr:1_{6351C6DC-8BE9-4F77-B112-4ADC7CC44DBC}" xr6:coauthVersionLast="47" xr6:coauthVersionMax="47" xr10:uidLastSave="{00000000-0000-0000-0000-000000000000}"/>
  <bookViews>
    <workbookView xWindow="40650" yWindow="1950" windowWidth="23040" windowHeight="121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8" i="1" l="1"/>
  <c r="CW28" i="1"/>
  <c r="CU28" i="1"/>
  <c r="BJ28" i="1"/>
  <c r="BI28" i="1"/>
  <c r="BA28" i="1"/>
  <c r="AU28" i="1"/>
  <c r="AO28" i="1"/>
  <c r="BB28" i="1" s="1"/>
  <c r="BE28" i="1" s="1"/>
  <c r="AJ28" i="1"/>
  <c r="AH28" i="1" s="1"/>
  <c r="Z28" i="1"/>
  <c r="Y28" i="1"/>
  <c r="T28" i="1"/>
  <c r="Q28" i="1"/>
  <c r="CX27" i="1"/>
  <c r="CW27" i="1"/>
  <c r="CU27" i="1"/>
  <c r="BJ27" i="1"/>
  <c r="BI27" i="1"/>
  <c r="BA27" i="1"/>
  <c r="AU27" i="1"/>
  <c r="AO27" i="1"/>
  <c r="BB27" i="1" s="1"/>
  <c r="BE27" i="1" s="1"/>
  <c r="AJ27" i="1"/>
  <c r="AH27" i="1"/>
  <c r="Z27" i="1"/>
  <c r="Y27" i="1"/>
  <c r="Q27" i="1"/>
  <c r="CX26" i="1"/>
  <c r="CW26" i="1"/>
  <c r="CU26" i="1"/>
  <c r="T26" i="1" s="1"/>
  <c r="BJ26" i="1"/>
  <c r="BI26" i="1"/>
  <c r="BA26" i="1"/>
  <c r="AU26" i="1"/>
  <c r="AO26" i="1"/>
  <c r="BB26" i="1" s="1"/>
  <c r="BE26" i="1" s="1"/>
  <c r="AJ26" i="1"/>
  <c r="AH26" i="1"/>
  <c r="L26" i="1" s="1"/>
  <c r="Z26" i="1"/>
  <c r="Y26" i="1"/>
  <c r="X26" i="1" s="1"/>
  <c r="Q26" i="1"/>
  <c r="CX25" i="1"/>
  <c r="CW25" i="1"/>
  <c r="CU25" i="1"/>
  <c r="BJ25" i="1"/>
  <c r="BI25" i="1"/>
  <c r="BA25" i="1"/>
  <c r="AU25" i="1"/>
  <c r="AO25" i="1"/>
  <c r="BB25" i="1" s="1"/>
  <c r="BE25" i="1" s="1"/>
  <c r="AJ25" i="1"/>
  <c r="AH25" i="1" s="1"/>
  <c r="J25" i="1" s="1"/>
  <c r="I25" i="1" s="1"/>
  <c r="Z25" i="1"/>
  <c r="Y25" i="1"/>
  <c r="X25" i="1"/>
  <c r="Q25" i="1"/>
  <c r="CX24" i="1"/>
  <c r="CW24" i="1"/>
  <c r="CU24" i="1"/>
  <c r="BJ24" i="1"/>
  <c r="BI24" i="1"/>
  <c r="BA24" i="1"/>
  <c r="AU24" i="1"/>
  <c r="AO24" i="1"/>
  <c r="BB24" i="1" s="1"/>
  <c r="BE24" i="1" s="1"/>
  <c r="BF24" i="1" s="1"/>
  <c r="AJ24" i="1"/>
  <c r="AH24" i="1"/>
  <c r="O24" i="1" s="1"/>
  <c r="Z24" i="1"/>
  <c r="Y24" i="1"/>
  <c r="Q24" i="1"/>
  <c r="CX23" i="1"/>
  <c r="CW23" i="1"/>
  <c r="CU23" i="1"/>
  <c r="BJ23" i="1"/>
  <c r="BI23" i="1"/>
  <c r="BA23" i="1"/>
  <c r="AU23" i="1"/>
  <c r="AO23" i="1"/>
  <c r="BB23" i="1" s="1"/>
  <c r="BE23" i="1" s="1"/>
  <c r="AJ23" i="1"/>
  <c r="AH23" i="1"/>
  <c r="O23" i="1" s="1"/>
  <c r="Z23" i="1"/>
  <c r="Y23" i="1"/>
  <c r="Q23" i="1"/>
  <c r="CX22" i="1"/>
  <c r="CW22" i="1"/>
  <c r="CU22" i="1"/>
  <c r="CV22" i="1" s="1"/>
  <c r="AW22" i="1" s="1"/>
  <c r="BJ22" i="1"/>
  <c r="BI22" i="1"/>
  <c r="BA22" i="1"/>
  <c r="AU22" i="1"/>
  <c r="AO22" i="1"/>
  <c r="BB22" i="1" s="1"/>
  <c r="BE22" i="1" s="1"/>
  <c r="AJ22" i="1"/>
  <c r="AH22" i="1" s="1"/>
  <c r="O22" i="1" s="1"/>
  <c r="Z22" i="1"/>
  <c r="Y22" i="1"/>
  <c r="X22" i="1" s="1"/>
  <c r="T22" i="1"/>
  <c r="Q22" i="1"/>
  <c r="L22" i="1"/>
  <c r="K22" i="1"/>
  <c r="AX22" i="1" s="1"/>
  <c r="AZ22" i="1" s="1"/>
  <c r="J22" i="1"/>
  <c r="I22" i="1"/>
  <c r="CX21" i="1"/>
  <c r="CW21" i="1"/>
  <c r="CU21" i="1"/>
  <c r="BJ21" i="1"/>
  <c r="BI21" i="1"/>
  <c r="BA21" i="1"/>
  <c r="AU21" i="1"/>
  <c r="AO21" i="1"/>
  <c r="BB21" i="1" s="1"/>
  <c r="BE21" i="1" s="1"/>
  <c r="AJ21" i="1"/>
  <c r="AH21" i="1"/>
  <c r="O21" i="1" s="1"/>
  <c r="Z21" i="1"/>
  <c r="Y21" i="1"/>
  <c r="Q21" i="1"/>
  <c r="L21" i="1"/>
  <c r="K21" i="1"/>
  <c r="AX21" i="1" s="1"/>
  <c r="CX20" i="1"/>
  <c r="CW20" i="1"/>
  <c r="CU20" i="1"/>
  <c r="CV20" i="1" s="1"/>
  <c r="AW20" i="1" s="1"/>
  <c r="BJ20" i="1"/>
  <c r="BI20" i="1"/>
  <c r="BA20" i="1"/>
  <c r="AU20" i="1"/>
  <c r="AY20" i="1" s="1"/>
  <c r="AO20" i="1"/>
  <c r="BB20" i="1" s="1"/>
  <c r="BE20" i="1" s="1"/>
  <c r="AJ20" i="1"/>
  <c r="AH20" i="1" s="1"/>
  <c r="J20" i="1" s="1"/>
  <c r="I20" i="1" s="1"/>
  <c r="Z20" i="1"/>
  <c r="Y20" i="1"/>
  <c r="X20" i="1" s="1"/>
  <c r="Q20" i="1"/>
  <c r="CX19" i="1"/>
  <c r="CW19" i="1"/>
  <c r="CU19" i="1"/>
  <c r="BJ19" i="1"/>
  <c r="BI19" i="1"/>
  <c r="BA19" i="1"/>
  <c r="AU19" i="1"/>
  <c r="AO19" i="1"/>
  <c r="BB19" i="1" s="1"/>
  <c r="BE19" i="1" s="1"/>
  <c r="AJ19" i="1"/>
  <c r="AH19" i="1"/>
  <c r="Z19" i="1"/>
  <c r="Y19" i="1"/>
  <c r="X19" i="1" s="1"/>
  <c r="Q19" i="1"/>
  <c r="CX18" i="1"/>
  <c r="CW18" i="1"/>
  <c r="CU18" i="1"/>
  <c r="BJ18" i="1"/>
  <c r="BI18" i="1"/>
  <c r="BA18" i="1"/>
  <c r="AU18" i="1"/>
  <c r="AO18" i="1"/>
  <c r="BB18" i="1" s="1"/>
  <c r="BE18" i="1" s="1"/>
  <c r="AJ18" i="1"/>
  <c r="AH18" i="1"/>
  <c r="K18" i="1" s="1"/>
  <c r="AX18" i="1" s="1"/>
  <c r="Z18" i="1"/>
  <c r="Y18" i="1"/>
  <c r="X18" i="1" s="1"/>
  <c r="Q18" i="1"/>
  <c r="CX17" i="1"/>
  <c r="CW17" i="1"/>
  <c r="CU17" i="1"/>
  <c r="T17" i="1" s="1"/>
  <c r="BJ17" i="1"/>
  <c r="BI17" i="1"/>
  <c r="BA17" i="1"/>
  <c r="AU17" i="1"/>
  <c r="AO17" i="1"/>
  <c r="BB17" i="1" s="1"/>
  <c r="BE17" i="1" s="1"/>
  <c r="AJ17" i="1"/>
  <c r="AH17" i="1"/>
  <c r="O17" i="1" s="1"/>
  <c r="Z17" i="1"/>
  <c r="Y17" i="1"/>
  <c r="X17" i="1"/>
  <c r="Q17" i="1"/>
  <c r="CV21" i="1" l="1"/>
  <c r="AW21" i="1" s="1"/>
  <c r="CV28" i="1"/>
  <c r="AW28" i="1" s="1"/>
  <c r="X24" i="1"/>
  <c r="X27" i="1"/>
  <c r="AI28" i="1"/>
  <c r="K28" i="1"/>
  <c r="AX28" i="1" s="1"/>
  <c r="AZ28" i="1" s="1"/>
  <c r="J28" i="1"/>
  <c r="I28" i="1" s="1"/>
  <c r="AB28" i="1" s="1"/>
  <c r="T18" i="1"/>
  <c r="CV23" i="1"/>
  <c r="AW23" i="1" s="1"/>
  <c r="J21" i="1"/>
  <c r="I21" i="1" s="1"/>
  <c r="AY28" i="1"/>
  <c r="X21" i="1"/>
  <c r="T19" i="1"/>
  <c r="X23" i="1"/>
  <c r="T20" i="1"/>
  <c r="U20" i="1" s="1"/>
  <c r="V20" i="1" s="1"/>
  <c r="R20" i="1" s="1"/>
  <c r="P20" i="1" s="1"/>
  <c r="S20" i="1" s="1"/>
  <c r="M20" i="1" s="1"/>
  <c r="N20" i="1" s="1"/>
  <c r="T27" i="1"/>
  <c r="AY23" i="1"/>
  <c r="X28" i="1"/>
  <c r="T21" i="1"/>
  <c r="U21" i="1" s="1"/>
  <c r="V21" i="1" s="1"/>
  <c r="T23" i="1"/>
  <c r="T24" i="1"/>
  <c r="CV27" i="1"/>
  <c r="AW27" i="1" s="1"/>
  <c r="AY27" i="1" s="1"/>
  <c r="AY21" i="1"/>
  <c r="BG23" i="1"/>
  <c r="BK23" i="1" s="1"/>
  <c r="BL23" i="1" s="1"/>
  <c r="BF23" i="1"/>
  <c r="BH23" i="1"/>
  <c r="AB20" i="1"/>
  <c r="AB22" i="1"/>
  <c r="AB25" i="1"/>
  <c r="U28" i="1"/>
  <c r="V28" i="1" s="1"/>
  <c r="BG28" i="1"/>
  <c r="BK28" i="1" s="1"/>
  <c r="BL28" i="1" s="1"/>
  <c r="BF28" i="1"/>
  <c r="BH28" i="1"/>
  <c r="AI20" i="1"/>
  <c r="BG20" i="1"/>
  <c r="BK20" i="1" s="1"/>
  <c r="BL20" i="1" s="1"/>
  <c r="BH20" i="1"/>
  <c r="BF20" i="1"/>
  <c r="L27" i="1"/>
  <c r="O27" i="1"/>
  <c r="K27" i="1"/>
  <c r="AX27" i="1" s="1"/>
  <c r="J27" i="1"/>
  <c r="I27" i="1" s="1"/>
  <c r="U27" i="1" s="1"/>
  <c r="V27" i="1" s="1"/>
  <c r="BH19" i="1"/>
  <c r="BG19" i="1"/>
  <c r="BK19" i="1" s="1"/>
  <c r="BL19" i="1" s="1"/>
  <c r="BF19" i="1"/>
  <c r="AB21" i="1"/>
  <c r="AY25" i="1"/>
  <c r="AZ21" i="1"/>
  <c r="AI22" i="1"/>
  <c r="BH22" i="1"/>
  <c r="BG22" i="1"/>
  <c r="BK22" i="1" s="1"/>
  <c r="BL22" i="1" s="1"/>
  <c r="BF22" i="1"/>
  <c r="BH24" i="1"/>
  <c r="AI27" i="1"/>
  <c r="BH17" i="1"/>
  <c r="BG17" i="1"/>
  <c r="BK17" i="1" s="1"/>
  <c r="BL17" i="1" s="1"/>
  <c r="BF17" i="1"/>
  <c r="T25" i="1"/>
  <c r="CV25" i="1"/>
  <c r="AW25" i="1" s="1"/>
  <c r="CV18" i="1"/>
  <c r="AW18" i="1" s="1"/>
  <c r="AZ18" i="1" s="1"/>
  <c r="BG24" i="1"/>
  <c r="BK24" i="1" s="1"/>
  <c r="BL24" i="1" s="1"/>
  <c r="AY22" i="1"/>
  <c r="BH26" i="1"/>
  <c r="BG26" i="1"/>
  <c r="BK26" i="1" s="1"/>
  <c r="BL26" i="1" s="1"/>
  <c r="BF26" i="1"/>
  <c r="O19" i="1"/>
  <c r="J19" i="1"/>
  <c r="I19" i="1" s="1"/>
  <c r="K19" i="1"/>
  <c r="AX19" i="1" s="1"/>
  <c r="AI19" i="1"/>
  <c r="L19" i="1"/>
  <c r="BH27" i="1"/>
  <c r="BG27" i="1"/>
  <c r="BK27" i="1" s="1"/>
  <c r="BL27" i="1" s="1"/>
  <c r="BF27" i="1"/>
  <c r="O28" i="1"/>
  <c r="L28" i="1"/>
  <c r="AI21" i="1"/>
  <c r="O20" i="1"/>
  <c r="K20" i="1"/>
  <c r="AX20" i="1" s="1"/>
  <c r="AZ20" i="1" s="1"/>
  <c r="L20" i="1"/>
  <c r="BH18" i="1"/>
  <c r="BG18" i="1"/>
  <c r="BK18" i="1" s="1"/>
  <c r="BL18" i="1" s="1"/>
  <c r="BF18" i="1"/>
  <c r="BH25" i="1"/>
  <c r="BG25" i="1"/>
  <c r="BK25" i="1" s="1"/>
  <c r="BL25" i="1" s="1"/>
  <c r="BF25" i="1"/>
  <c r="CV26" i="1"/>
  <c r="AW26" i="1" s="1"/>
  <c r="AY26" i="1" s="1"/>
  <c r="CV19" i="1"/>
  <c r="AW19" i="1" s="1"/>
  <c r="AY19" i="1" s="1"/>
  <c r="CV17" i="1"/>
  <c r="AW17" i="1" s="1"/>
  <c r="AY17" i="1" s="1"/>
  <c r="BF21" i="1"/>
  <c r="BG21" i="1"/>
  <c r="BK21" i="1" s="1"/>
  <c r="BL21" i="1" s="1"/>
  <c r="BH21" i="1"/>
  <c r="K26" i="1"/>
  <c r="AX26" i="1" s="1"/>
  <c r="J23" i="1"/>
  <c r="I23" i="1" s="1"/>
  <c r="L24" i="1"/>
  <c r="AI26" i="1"/>
  <c r="J17" i="1"/>
  <c r="I17" i="1" s="1"/>
  <c r="U17" i="1" s="1"/>
  <c r="V17" i="1" s="1"/>
  <c r="L23" i="1"/>
  <c r="J18" i="1"/>
  <c r="I18" i="1" s="1"/>
  <c r="AI17" i="1"/>
  <c r="AI25" i="1"/>
  <c r="AI24" i="1"/>
  <c r="L17" i="1"/>
  <c r="J24" i="1"/>
  <c r="I24" i="1" s="1"/>
  <c r="O26" i="1"/>
  <c r="AI18" i="1"/>
  <c r="K17" i="1"/>
  <c r="AX17" i="1" s="1"/>
  <c r="K25" i="1"/>
  <c r="AX25" i="1" s="1"/>
  <c r="AZ25" i="1" s="1"/>
  <c r="AI23" i="1"/>
  <c r="K24" i="1"/>
  <c r="AX24" i="1" s="1"/>
  <c r="L18" i="1"/>
  <c r="L25" i="1"/>
  <c r="O18" i="1"/>
  <c r="J26" i="1"/>
  <c r="I26" i="1" s="1"/>
  <c r="K23" i="1"/>
  <c r="AX23" i="1" s="1"/>
  <c r="AZ23" i="1" s="1"/>
  <c r="O25" i="1"/>
  <c r="U22" i="1"/>
  <c r="V22" i="1" s="1"/>
  <c r="CV24" i="1"/>
  <c r="AW24" i="1" s="1"/>
  <c r="AY24" i="1" s="1"/>
  <c r="U19" i="1" l="1"/>
  <c r="V19" i="1" s="1"/>
  <c r="U18" i="1"/>
  <c r="V18" i="1" s="1"/>
  <c r="U23" i="1"/>
  <c r="V23" i="1" s="1"/>
  <c r="AZ26" i="1"/>
  <c r="AY18" i="1"/>
  <c r="AZ17" i="1"/>
  <c r="AZ27" i="1"/>
  <c r="AZ19" i="1"/>
  <c r="W18" i="1"/>
  <c r="AA18" i="1" s="1"/>
  <c r="AD18" i="1"/>
  <c r="AC18" i="1"/>
  <c r="W27" i="1"/>
  <c r="AA27" i="1" s="1"/>
  <c r="AC27" i="1"/>
  <c r="AD27" i="1"/>
  <c r="AC23" i="1"/>
  <c r="AD23" i="1"/>
  <c r="W23" i="1"/>
  <c r="AA23" i="1" s="1"/>
  <c r="AD28" i="1"/>
  <c r="W28" i="1"/>
  <c r="AA28" i="1" s="1"/>
  <c r="AZ24" i="1"/>
  <c r="AD22" i="1"/>
  <c r="AE22" i="1" s="1"/>
  <c r="W22" i="1"/>
  <c r="AA22" i="1" s="1"/>
  <c r="AC28" i="1"/>
  <c r="R26" i="1"/>
  <c r="P26" i="1" s="1"/>
  <c r="S26" i="1" s="1"/>
  <c r="M26" i="1" s="1"/>
  <c r="N26" i="1" s="1"/>
  <c r="AB26" i="1"/>
  <c r="AD21" i="1"/>
  <c r="W21" i="1"/>
  <c r="AA21" i="1" s="1"/>
  <c r="W19" i="1"/>
  <c r="AA19" i="1" s="1"/>
  <c r="AD19" i="1"/>
  <c r="AC19" i="1"/>
  <c r="AC22" i="1"/>
  <c r="AB27" i="1"/>
  <c r="R27" i="1"/>
  <c r="P27" i="1" s="1"/>
  <c r="S27" i="1" s="1"/>
  <c r="M27" i="1" s="1"/>
  <c r="N27" i="1" s="1"/>
  <c r="U26" i="1"/>
  <c r="V26" i="1" s="1"/>
  <c r="AC17" i="1"/>
  <c r="AD17" i="1"/>
  <c r="W17" i="1"/>
  <c r="AA17" i="1" s="1"/>
  <c r="R22" i="1"/>
  <c r="P22" i="1" s="1"/>
  <c r="S22" i="1" s="1"/>
  <c r="M22" i="1" s="1"/>
  <c r="N22" i="1" s="1"/>
  <c r="R19" i="1"/>
  <c r="P19" i="1" s="1"/>
  <c r="S19" i="1" s="1"/>
  <c r="M19" i="1" s="1"/>
  <c r="N19" i="1" s="1"/>
  <c r="AB19" i="1"/>
  <c r="U25" i="1"/>
  <c r="V25" i="1" s="1"/>
  <c r="R21" i="1"/>
  <c r="P21" i="1" s="1"/>
  <c r="S21" i="1" s="1"/>
  <c r="M21" i="1" s="1"/>
  <c r="N21" i="1" s="1"/>
  <c r="R17" i="1"/>
  <c r="P17" i="1" s="1"/>
  <c r="S17" i="1" s="1"/>
  <c r="M17" i="1" s="1"/>
  <c r="N17" i="1" s="1"/>
  <c r="AB17" i="1"/>
  <c r="R23" i="1"/>
  <c r="P23" i="1" s="1"/>
  <c r="S23" i="1" s="1"/>
  <c r="M23" i="1" s="1"/>
  <c r="N23" i="1" s="1"/>
  <c r="AB23" i="1"/>
  <c r="AC21" i="1"/>
  <c r="W20" i="1"/>
  <c r="AA20" i="1" s="1"/>
  <c r="AD20" i="1"/>
  <c r="AC20" i="1"/>
  <c r="R18" i="1"/>
  <c r="P18" i="1" s="1"/>
  <c r="S18" i="1" s="1"/>
  <c r="M18" i="1" s="1"/>
  <c r="N18" i="1" s="1"/>
  <c r="AB18" i="1"/>
  <c r="R28" i="1"/>
  <c r="P28" i="1" s="1"/>
  <c r="S28" i="1" s="1"/>
  <c r="M28" i="1" s="1"/>
  <c r="N28" i="1" s="1"/>
  <c r="AB24" i="1"/>
  <c r="U24" i="1"/>
  <c r="V24" i="1" s="1"/>
  <c r="AE21" i="1" l="1"/>
  <c r="AE23" i="1"/>
  <c r="AC25" i="1"/>
  <c r="AD25" i="1"/>
  <c r="AE25" i="1" s="1"/>
  <c r="W25" i="1"/>
  <c r="AA25" i="1" s="1"/>
  <c r="R25" i="1"/>
  <c r="P25" i="1" s="1"/>
  <c r="S25" i="1" s="1"/>
  <c r="M25" i="1" s="1"/>
  <c r="N25" i="1" s="1"/>
  <c r="AE17" i="1"/>
  <c r="AE20" i="1"/>
  <c r="AE28" i="1"/>
  <c r="AE19" i="1"/>
  <c r="AD24" i="1"/>
  <c r="AC24" i="1"/>
  <c r="W24" i="1"/>
  <c r="AA24" i="1" s="1"/>
  <c r="R24" i="1"/>
  <c r="P24" i="1" s="1"/>
  <c r="S24" i="1" s="1"/>
  <c r="M24" i="1" s="1"/>
  <c r="N24" i="1" s="1"/>
  <c r="W26" i="1"/>
  <c r="AA26" i="1" s="1"/>
  <c r="AD26" i="1"/>
  <c r="AC26" i="1"/>
  <c r="AE27" i="1"/>
  <c r="AE18" i="1"/>
  <c r="AE24" i="1" l="1"/>
  <c r="AE26" i="1"/>
</calcChain>
</file>

<file path=xl/sharedStrings.xml><?xml version="1.0" encoding="utf-8"?>
<sst xmlns="http://schemas.openxmlformats.org/spreadsheetml/2006/main" count="1012" uniqueCount="471">
  <si>
    <t>File opened</t>
  </si>
  <si>
    <t>2025-03-23 13:46:50</t>
  </si>
  <si>
    <t>Console s/n</t>
  </si>
  <si>
    <t>68C-831466</t>
  </si>
  <si>
    <t>Console ver</t>
  </si>
  <si>
    <t>Bluestem v.2.1.09</t>
  </si>
  <si>
    <t>Scripts ver</t>
  </si>
  <si>
    <t>2022.06  2.1.09, Dec 2022</t>
  </si>
  <si>
    <t>Head s/n</t>
  </si>
  <si>
    <t>68H-581466</t>
  </si>
  <si>
    <t>Head ver</t>
  </si>
  <si>
    <t>1.4.22</t>
  </si>
  <si>
    <t>Head cal</t>
  </si>
  <si>
    <t>{"co2aspan1": "1.00041", "co2bspanconc1": "2500", "tazero": "0.0360317", "co2bspan1": "1.00065", "h2obspanconc1": "12.19", "h2obspan2b": "0.0707396", "co2bspan2a": "0.2895", "flowazero": "0.32141", "h2oaspan2b": "0.0702245", "h2oaspan1": "1.00892", "co2aspanconc1": "2500", "co2bspanconc2": "296.4", "chamberpressurezero": "2.59849", "h2oaspan2": "0", "ssb_ref": "38055.7", "co2aspanconc2": "296.4", "h2obspan2a": "0.0718603", "oxygen": "21", "co2bspan2b": "0.286965", "co2aspan2b": "0.280855", "h2oaspanconc2": "0", "h2oazero": "1.0921", "h2oaspan2a": "0.0696039", "co2azero": "1.01306", "ssa_ref": "33370.9", "co2aspan2": "-0.0310123", "h2obspan1": "0.984405", "flowbzero": "0.29782", "h2obspan2": "0", "co2bspan2": "-0.0324831", "co2bzero": "0.939697", "co2aspan2a": "0.283228", "h2oaspanconc1": "12.19", "h2obspanconc2": "0", "flowmeterzero": "2.496", "h2obzero": "1.0866", "tbzero": "0.125013"}</t>
  </si>
  <si>
    <t>CO2 rangematch</t>
  </si>
  <si>
    <t>Thu May 16 10:16</t>
  </si>
  <si>
    <t>H2O rangematch</t>
  </si>
  <si>
    <t>Fri May 17 09:32</t>
  </si>
  <si>
    <t>Chamber type</t>
  </si>
  <si>
    <t>6800-01A</t>
  </si>
  <si>
    <t>Chamber s/n</t>
  </si>
  <si>
    <t>MPF-651371</t>
  </si>
  <si>
    <t>Chamber rev</t>
  </si>
  <si>
    <t>0</t>
  </si>
  <si>
    <t>Chamber cal</t>
  </si>
  <si>
    <t>Fluorometer</t>
  </si>
  <si>
    <t>Flr. Version</t>
  </si>
  <si>
    <t>13:46:50</t>
  </si>
  <si>
    <t>Stability Definition:	ΔH2O (Meas2): Slp&lt;0.1 Per=20	ΔCO2 (Meas2): Slp&lt;0.5 Per=20	F (FlrLS): Slp&lt;1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</si>
  <si>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</si>
  <si>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</si>
  <si>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</si>
  <si>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</si>
  <si>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</si>
  <si>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</si>
  <si>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</si>
  <si>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</si>
  <si>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</si>
  <si>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</si>
  <si>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</si>
  <si>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</si>
  <si>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</si>
  <si>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</si>
  <si>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</si>
  <si>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</si>
  <si>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</si>
  <si>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</si>
  <si>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</si>
  <si>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</si>
  <si>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</si>
  <si>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</si>
  <si>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</si>
  <si>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</si>
  <si>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</si>
  <si>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</si>
  <si>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</si>
  <si>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</si>
  <si>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</si>
  <si>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</si>
  <si>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</si>
  <si>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</si>
  <si>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</si>
  <si>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</si>
  <si>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</si>
  <si>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</si>
  <si>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</si>
  <si>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</si>
  <si>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</si>
  <si>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</si>
  <si>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</si>
  <si>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</si>
  <si>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</si>
  <si>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</si>
  <si>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</si>
  <si>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</si>
  <si>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</si>
  <si>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</si>
  <si>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</si>
  <si>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</si>
  <si>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</si>
  <si>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4.13527 184.194 297.091 6.57423 0.749154 49.3738 532.887 760.424</t>
  </si>
  <si>
    <t>Fs_true</t>
  </si>
  <si>
    <t>0.825898 232.506 394.77 603.69 840.458 1018.23 1198.43 1402.32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</si>
  <si>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</si>
  <si>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</si>
  <si>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</si>
  <si>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</si>
  <si>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</si>
  <si>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</si>
  <si>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</si>
  <si>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</si>
  <si>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</si>
  <si>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</si>
  <si>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</si>
  <si>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</si>
  <si>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</si>
  <si>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</si>
  <si>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</si>
  <si>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</si>
  <si>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</si>
  <si>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</si>
  <si>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</si>
  <si>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</si>
  <si>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</si>
  <si>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</si>
  <si>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</si>
  <si>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</si>
  <si>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</si>
  <si>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</si>
  <si>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</si>
  <si>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</si>
  <si>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xm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</si>
  <si>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</si>
  <si>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</si>
  <si>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</si>
  <si>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</si>
  <si>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</si>
  <si>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</si>
  <si>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</si>
  <si>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</si>
  <si>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</si>
  <si>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</si>
  <si>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</si>
  <si>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</si>
  <si>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</si>
  <si>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</si>
  <si>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</si>
  <si>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</si>
  <si>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</si>
  <si>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</si>
  <si>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</si>
  <si>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</si>
  <si>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</si>
  <si>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</si>
  <si>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</si>
  <si>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</si>
  <si>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</si>
  <si>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</si>
  <si>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</si>
  <si>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</si>
  <si>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</si>
  <si>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</si>
  <si>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</si>
  <si>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</si>
  <si>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</si>
  <si>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</si>
  <si>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</si>
  <si>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</si>
  <si>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</si>
  <si>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</si>
  <si>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</si>
  <si>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</si>
  <si>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</si>
  <si>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</si>
  <si>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</si>
  <si>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</si>
  <si>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</si>
  <si>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</si>
  <si>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</si>
  <si>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</si>
  <si>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</si>
  <si>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</si>
  <si>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</si>
  <si>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</si>
  <si>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</si>
  <si>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</si>
  <si>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</si>
  <si>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</si>
  <si>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</si>
  <si>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</si>
  <si>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</si>
  <si>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</si>
  <si>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</si>
  <si>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</si>
  <si>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</si>
  <si>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</si>
  <si>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</si>
  <si>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</si>
  <si>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</si>
  <si>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</si>
  <si>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</si>
  <si>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</si>
  <si>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</si>
  <si>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</si>
  <si>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</si>
  <si>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</si>
  <si>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</si>
  <si>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</si>
  <si>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</si>
  <si>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</si>
  <si>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</si>
  <si>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</si>
  <si>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</si>
  <si>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</si>
  <si>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</si>
  <si>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</si>
  <si>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</si>
  <si>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</si>
  <si>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</si>
  <si>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</si>
  <si>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</si>
  <si>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</si>
  <si>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</si>
  <si>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</si>
  <si>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</si>
  <si>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</si>
  <si>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</si>
  <si>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</si>
  <si>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</si>
  <si>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</si>
  <si>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</si>
  <si>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</si>
  <si>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</si>
  <si>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</si>
  <si>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</si>
  <si>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</si>
  <si>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</si>
  <si>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</si>
  <si>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</si>
  <si>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</si>
  <si>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</si>
  <si>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</si>
  <si>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</si>
  <si>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</si>
  <si>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</si>
  <si>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</si>
  <si>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</si>
  <si>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</si>
  <si>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</si>
  <si>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</si>
  <si>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</si>
  <si>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</si>
  <si>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</si>
  <si>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</si>
  <si>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</si>
  <si>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</si>
  <si>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</si>
  <si>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</si>
  <si>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</si>
  <si>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</si>
  <si>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</si>
  <si>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</si>
  <si>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</si>
  <si>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</si>
  <si>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</si>
  <si>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</si>
  <si>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</si>
  <si>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</si>
  <si>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</si>
  <si>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</si>
  <si>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</si>
  <si>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</si>
  <si>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</si>
  <si>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</si>
  <si>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</si>
  <si>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</si>
  <si>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</si>
  <si>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</si>
  <si>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</si>
  <si>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</si>
  <si>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</si>
  <si>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</si>
  <si>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</si>
  <si>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</si>
  <si>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</si>
  <si>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</si>
  <si>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</si>
  <si>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</si>
  <si>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</si>
  <si>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</si>
  <si>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</si>
  <si>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</si>
  <si>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</si>
  <si>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</si>
  <si>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</si>
  <si>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</si>
  <si>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</si>
  <si>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</si>
  <si>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</si>
  <si>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</si>
  <si>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</si>
  <si>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</si>
  <si>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</si>
  <si>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</si>
  <si>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</si>
  <si>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</si>
  <si>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</si>
  <si>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</si>
  <si>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</si>
  <si>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</si>
  <si>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</si>
  <si>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</si>
  <si>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</si>
  <si>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</si>
  <si>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</si>
  <si>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</si>
  <si>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</si>
  <si>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</si>
  <si>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</si>
  <si>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</si>
  <si>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</si>
  <si>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</si>
  <si>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</si>
  <si>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</si>
  <si>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</si>
  <si>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</si>
  <si>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</si>
  <si>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</si>
  <si>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</si>
  <si>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</si>
  <si>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</si>
  <si>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</si>
  <si>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</si>
  <si>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</si>
  <si>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</si>
  <si>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</si>
  <si>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</si>
  <si>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</si>
  <si>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AccCO2_soda</t>
  </si>
  <si>
    <t>CO2_hrs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</si>
  <si>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</si>
  <si>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</si>
  <si>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</si>
  <si>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</si>
  <si>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</si>
  <si>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</si>
  <si>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</si>
  <si>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</si>
  <si>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</si>
  <si>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</si>
  <si>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</si>
  <si>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</si>
  <si>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</si>
  <si>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</si>
  <si>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</si>
  <si>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</si>
  <si>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</si>
  <si>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</si>
  <si>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</si>
  <si>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</si>
  <si>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</si>
  <si>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</si>
  <si>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</si>
  <si>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</si>
  <si>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</si>
  <si>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</si>
  <si>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</si>
  <si>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</si>
  <si>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</si>
  <si>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</si>
  <si>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</si>
  <si>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</si>
  <si>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</si>
  <si>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</si>
  <si>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</si>
  <si>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</si>
  <si>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</si>
  <si>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</si>
  <si>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</si>
  <si>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</si>
  <si>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</si>
  <si>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</si>
  <si>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</si>
  <si>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</si>
  <si>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</si>
  <si>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</si>
  <si>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</si>
  <si>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</si>
  <si>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</si>
  <si>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</si>
  <si>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</si>
  <si>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</si>
  <si>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</si>
  <si>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</si>
  <si>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</si>
  <si>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</si>
  <si>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</si>
  <si>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</si>
  <si>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</si>
  <si>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</si>
  <si>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</si>
  <si>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</si>
  <si>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</si>
  <si>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</si>
  <si>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</si>
  <si>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</si>
  <si>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</si>
  <si>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</si>
  <si>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</si>
  <si>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</si>
  <si>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</si>
  <si>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</si>
  <si>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</si>
  <si>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</si>
  <si>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</si>
  <si>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</si>
  <si>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</si>
  <si>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</si>
  <si>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</si>
  <si>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</si>
  <si>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</si>
  <si>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</si>
  <si>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</si>
  <si>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</si>
  <si>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</si>
  <si>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</si>
  <si>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</si>
  <si>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</si>
  <si>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</si>
  <si>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</si>
  <si>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</si>
  <si>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</si>
  <si>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</si>
  <si>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20250321 14:25:31</t>
  </si>
  <si>
    <t>14:25:31</t>
  </si>
  <si>
    <t>MPF-1697-20250323-11_03_40</t>
  </si>
  <si>
    <t>MPF-1719-20250323-14_24_18</t>
  </si>
  <si>
    <t>-</t>
  </si>
  <si>
    <t>0: Broadleaf</t>
  </si>
  <si>
    <t>14:24:24</t>
  </si>
  <si>
    <t>3/3</t>
  </si>
  <si>
    <t>11111111</t>
  </si>
  <si>
    <t>oooooooo</t>
  </si>
  <si>
    <t>off</t>
  </si>
  <si>
    <t>20250321 14:28:05</t>
  </si>
  <si>
    <t>14:28:05</t>
  </si>
  <si>
    <t>MPF-1720-20250323-14_26_52</t>
  </si>
  <si>
    <t>14:26:47</t>
  </si>
  <si>
    <t>2/3</t>
  </si>
  <si>
    <t>20250321 14:30:08</t>
  </si>
  <si>
    <t>14:30:08</t>
  </si>
  <si>
    <t>MPF-1721-20250323-14_28_55</t>
  </si>
  <si>
    <t>14:29:15</t>
  </si>
  <si>
    <t>20250321 14:32:36</t>
  </si>
  <si>
    <t>14:32:36</t>
  </si>
  <si>
    <t>MPF-1722-20250323-14_31_23</t>
  </si>
  <si>
    <t>14:31:29</t>
  </si>
  <si>
    <t>20250321 14:34:57</t>
  </si>
  <si>
    <t>14:34:57</t>
  </si>
  <si>
    <t>MPF-1723-20250323-14_33_44</t>
  </si>
  <si>
    <t>14:34:06</t>
  </si>
  <si>
    <t>20250321 14:37:29</t>
  </si>
  <si>
    <t>14:37:29</t>
  </si>
  <si>
    <t>MPF-1724-20250323-14_36_16</t>
  </si>
  <si>
    <t>14:36:12</t>
  </si>
  <si>
    <t>20250321 14:48:38</t>
  </si>
  <si>
    <t>14:48:38</t>
  </si>
  <si>
    <t>MPF-1729-20250323-14_47_25</t>
  </si>
  <si>
    <t>14:47:43</t>
  </si>
  <si>
    <t>0/3</t>
  </si>
  <si>
    <t>20250321 14:51:11</t>
  </si>
  <si>
    <t>14:51:11</t>
  </si>
  <si>
    <t>MPF-1730-20250323-14_49_58</t>
  </si>
  <si>
    <t>14:49:41</t>
  </si>
  <si>
    <t>20250321 14:53:45</t>
  </si>
  <si>
    <t>14:53:45</t>
  </si>
  <si>
    <t>MPF-1731-20250323-14_52_32</t>
  </si>
  <si>
    <t>14:53:04</t>
  </si>
  <si>
    <t>1/3</t>
  </si>
  <si>
    <t>20250321 14:56:03</t>
  </si>
  <si>
    <t>14:56:03</t>
  </si>
  <si>
    <t>MPF-1732-20250323-14_54_50</t>
  </si>
  <si>
    <t>14:54:53</t>
  </si>
  <si>
    <t>20250321 15:00:52</t>
  </si>
  <si>
    <t>15:00:52</t>
  </si>
  <si>
    <t>MPF-1734-20250323-14_59_39</t>
  </si>
  <si>
    <t>14:59:59</t>
  </si>
  <si>
    <t>20250321 15:03:25</t>
  </si>
  <si>
    <t>15:03:25</t>
  </si>
  <si>
    <t>MPF-1735-20250323-15_02_12</t>
  </si>
  <si>
    <t>15:02:13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</si>
</sst>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W28"/>
  <sheetViews>
    <sheetView tabSelected="1" topLeftCell="A10" workbookViewId="0">
      <selection activeCell="L20" sqref="L20"/>
    </sheetView>
  </sheetViews>
  <sheetFormatPr defaultRowHeight="14.4" x14ac:dyDescent="0.25"/>
  <sheetData>
    <row r="2" spans="1:283" x14ac:dyDescent="0.25">
      <c r="A2" t="s">
        <v>29</v>
      </c>
      <c r="B2" t="s">
        <v>30</v>
      </c>
      <c r="C2" t="s">
        <v>31</v>
      </c>
    </row>
    <row r="3" spans="1:283" x14ac:dyDescent="0.25">
      <c r="B3">
        <v>4</v>
      </c>
      <c r="C3">
        <v>21</v>
      </c>
    </row>
    <row r="4" spans="1:283" x14ac:dyDescent="0.25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3" x14ac:dyDescent="0.25">
      <c r="B5" t="s">
        <v>19</v>
      </c>
      <c r="C5" t="s">
        <v>35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3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3" x14ac:dyDescent="0.25">
      <c r="B7">
        <v>0</v>
      </c>
      <c r="C7">
        <v>1</v>
      </c>
      <c r="D7">
        <v>0</v>
      </c>
      <c r="E7">
        <v>0</v>
      </c>
    </row>
    <row r="8" spans="1:283" x14ac:dyDescent="0.25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3" x14ac:dyDescent="0.25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3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3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3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3" x14ac:dyDescent="0.25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0</v>
      </c>
    </row>
    <row r="14" spans="1:283" x14ac:dyDescent="0.25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87</v>
      </c>
      <c r="AG14" t="s">
        <v>87</v>
      </c>
      <c r="AH14" t="s">
        <v>87</v>
      </c>
      <c r="AI14" t="s">
        <v>87</v>
      </c>
      <c r="AJ14" t="s">
        <v>87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88</v>
      </c>
      <c r="AY14" t="s">
        <v>88</v>
      </c>
      <c r="AZ14" t="s">
        <v>88</v>
      </c>
      <c r="BA14" t="s">
        <v>88</v>
      </c>
      <c r="BB14" t="s">
        <v>88</v>
      </c>
      <c r="BC14" t="s">
        <v>88</v>
      </c>
      <c r="BD14" t="s">
        <v>88</v>
      </c>
      <c r="BE14" t="s">
        <v>88</v>
      </c>
      <c r="BF14" t="s">
        <v>88</v>
      </c>
      <c r="BG14" t="s">
        <v>88</v>
      </c>
      <c r="BH14" t="s">
        <v>88</v>
      </c>
      <c r="BI14" t="s">
        <v>88</v>
      </c>
      <c r="BJ14" t="s">
        <v>88</v>
      </c>
      <c r="BK14" t="s">
        <v>88</v>
      </c>
      <c r="BL14" t="s">
        <v>88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90</v>
      </c>
      <c r="CI14" t="s">
        <v>90</v>
      </c>
      <c r="CJ14" t="s">
        <v>90</v>
      </c>
      <c r="CK14" t="s">
        <v>90</v>
      </c>
      <c r="CL14" t="s">
        <v>90</v>
      </c>
      <c r="CM14" t="s">
        <v>90</v>
      </c>
      <c r="CN14" t="s">
        <v>90</v>
      </c>
      <c r="CO14" t="s">
        <v>90</v>
      </c>
      <c r="CP14" t="s">
        <v>90</v>
      </c>
      <c r="CQ14" t="s">
        <v>90</v>
      </c>
      <c r="CR14" t="s">
        <v>90</v>
      </c>
      <c r="CS14" t="s">
        <v>90</v>
      </c>
      <c r="CT14" t="s">
        <v>90</v>
      </c>
      <c r="CU14" t="s">
        <v>91</v>
      </c>
      <c r="CV14" t="s">
        <v>91</v>
      </c>
      <c r="CW14" t="s">
        <v>91</v>
      </c>
      <c r="CX14" t="s">
        <v>91</v>
      </c>
      <c r="CY14" t="s">
        <v>92</v>
      </c>
      <c r="CZ14" t="s">
        <v>92</v>
      </c>
      <c r="DA14" t="s">
        <v>92</v>
      </c>
      <c r="DB14" t="s">
        <v>92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93</v>
      </c>
      <c r="DJ14" t="s">
        <v>93</v>
      </c>
      <c r="DK14" t="s">
        <v>93</v>
      </c>
      <c r="DL14" t="s">
        <v>93</v>
      </c>
      <c r="DM14" t="s">
        <v>93</v>
      </c>
      <c r="DN14" t="s">
        <v>93</v>
      </c>
      <c r="DO14" t="s">
        <v>93</v>
      </c>
      <c r="DP14" t="s">
        <v>93</v>
      </c>
      <c r="DQ14" t="s">
        <v>93</v>
      </c>
      <c r="DR14" t="s">
        <v>93</v>
      </c>
      <c r="DS14" t="s">
        <v>93</v>
      </c>
      <c r="DT14" t="s">
        <v>93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94</v>
      </c>
      <c r="EB14" t="s">
        <v>94</v>
      </c>
      <c r="EC14" t="s">
        <v>94</v>
      </c>
      <c r="ED14" t="s">
        <v>94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95</v>
      </c>
      <c r="EU14" t="s">
        <v>95</v>
      </c>
      <c r="EV14" t="s">
        <v>95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97</v>
      </c>
      <c r="FN14" t="s">
        <v>97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  <c r="HC14" t="s">
        <v>100</v>
      </c>
      <c r="HD14" t="s">
        <v>100</v>
      </c>
      <c r="HE14" t="s">
        <v>100</v>
      </c>
      <c r="HF14" t="s">
        <v>100</v>
      </c>
      <c r="HG14" t="s">
        <v>100</v>
      </c>
      <c r="HH14" t="s">
        <v>100</v>
      </c>
      <c r="HI14" t="s">
        <v>100</v>
      </c>
      <c r="HJ14" t="s">
        <v>100</v>
      </c>
      <c r="HK14" t="s">
        <v>100</v>
      </c>
      <c r="HL14" t="s">
        <v>100</v>
      </c>
      <c r="HM14" t="s">
        <v>100</v>
      </c>
      <c r="HN14" t="s">
        <v>100</v>
      </c>
      <c r="HO14" t="s">
        <v>101</v>
      </c>
      <c r="HP14" t="s">
        <v>101</v>
      </c>
      <c r="HQ14" t="s">
        <v>101</v>
      </c>
      <c r="HR14" t="s">
        <v>101</v>
      </c>
      <c r="HS14" t="s">
        <v>101</v>
      </c>
      <c r="HT14" t="s">
        <v>101</v>
      </c>
      <c r="HU14" t="s">
        <v>101</v>
      </c>
      <c r="HV14" t="s">
        <v>101</v>
      </c>
      <c r="HW14" t="s">
        <v>101</v>
      </c>
      <c r="HX14" t="s">
        <v>101</v>
      </c>
      <c r="HY14" t="s">
        <v>101</v>
      </c>
      <c r="HZ14" t="s">
        <v>101</v>
      </c>
      <c r="IA14" t="s">
        <v>101</v>
      </c>
      <c r="IB14" t="s">
        <v>101</v>
      </c>
      <c r="IC14" t="s">
        <v>101</v>
      </c>
      <c r="ID14" t="s">
        <v>101</v>
      </c>
      <c r="IE14" t="s">
        <v>101</v>
      </c>
      <c r="IF14" t="s">
        <v>101</v>
      </c>
      <c r="IG14" t="s">
        <v>101</v>
      </c>
      <c r="IH14" t="s">
        <v>102</v>
      </c>
      <c r="II14" t="s">
        <v>102</v>
      </c>
      <c r="IJ14" t="s">
        <v>102</v>
      </c>
      <c r="IK14" t="s">
        <v>102</v>
      </c>
      <c r="IL14" t="s">
        <v>102</v>
      </c>
      <c r="IM14" t="s">
        <v>102</v>
      </c>
      <c r="IN14" t="s">
        <v>102</v>
      </c>
      <c r="IO14" t="s">
        <v>102</v>
      </c>
      <c r="IP14" t="s">
        <v>102</v>
      </c>
      <c r="IQ14" t="s">
        <v>102</v>
      </c>
      <c r="IR14" t="s">
        <v>102</v>
      </c>
      <c r="IS14" t="s">
        <v>102</v>
      </c>
      <c r="IT14" t="s">
        <v>102</v>
      </c>
      <c r="IU14" t="s">
        <v>102</v>
      </c>
      <c r="IV14" t="s">
        <v>102</v>
      </c>
      <c r="IW14" t="s">
        <v>102</v>
      </c>
      <c r="IX14" t="s">
        <v>102</v>
      </c>
      <c r="IY14" t="s">
        <v>102</v>
      </c>
      <c r="IZ14" t="s">
        <v>103</v>
      </c>
      <c r="JA14" t="s">
        <v>103</v>
      </c>
      <c r="JB14" t="s">
        <v>103</v>
      </c>
      <c r="JC14" t="s">
        <v>103</v>
      </c>
      <c r="JD14" t="s">
        <v>103</v>
      </c>
      <c r="JE14" t="s">
        <v>103</v>
      </c>
      <c r="JF14" t="s">
        <v>103</v>
      </c>
      <c r="JG14" t="s">
        <v>103</v>
      </c>
      <c r="JH14" t="s">
        <v>104</v>
      </c>
      <c r="JI14" t="s">
        <v>104</v>
      </c>
      <c r="JJ14" t="s">
        <v>104</v>
      </c>
      <c r="JK14" t="s">
        <v>104</v>
      </c>
      <c r="JL14" t="s">
        <v>104</v>
      </c>
      <c r="JM14" t="s">
        <v>104</v>
      </c>
      <c r="JN14" t="s">
        <v>104</v>
      </c>
      <c r="JO14" t="s">
        <v>104</v>
      </c>
      <c r="JP14" t="s">
        <v>104</v>
      </c>
      <c r="JQ14" t="s">
        <v>104</v>
      </c>
      <c r="JR14" t="s">
        <v>104</v>
      </c>
      <c r="JS14" t="s">
        <v>104</v>
      </c>
      <c r="JT14" t="s">
        <v>104</v>
      </c>
      <c r="JU14" t="s">
        <v>104</v>
      </c>
      <c r="JV14" t="s">
        <v>104</v>
      </c>
      <c r="JW14" t="s">
        <v>104</v>
      </c>
    </row>
    <row r="15" spans="1:283" x14ac:dyDescent="0.25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129</v>
      </c>
      <c r="Z15" t="s">
        <v>130</v>
      </c>
      <c r="AA15" t="s">
        <v>131</v>
      </c>
      <c r="AB15" t="s">
        <v>132</v>
      </c>
      <c r="AC15" t="s">
        <v>133</v>
      </c>
      <c r="AD15" t="s">
        <v>134</v>
      </c>
      <c r="AE15" t="s">
        <v>135</v>
      </c>
      <c r="AF15" t="s">
        <v>87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163</v>
      </c>
      <c r="BI15" t="s">
        <v>164</v>
      </c>
      <c r="BJ15" t="s">
        <v>165</v>
      </c>
      <c r="BK15" t="s">
        <v>166</v>
      </c>
      <c r="BL15" t="s">
        <v>167</v>
      </c>
      <c r="BM15" t="s">
        <v>168</v>
      </c>
      <c r="BN15" t="s">
        <v>169</v>
      </c>
      <c r="BO15" t="s">
        <v>170</v>
      </c>
      <c r="BP15" t="s">
        <v>171</v>
      </c>
      <c r="BQ15" t="s">
        <v>172</v>
      </c>
      <c r="BR15" t="s">
        <v>173</v>
      </c>
      <c r="BS15" t="s">
        <v>174</v>
      </c>
      <c r="BT15" t="s">
        <v>175</v>
      </c>
      <c r="BU15" t="s">
        <v>176</v>
      </c>
      <c r="BV15" t="s">
        <v>177</v>
      </c>
      <c r="BW15" t="s">
        <v>178</v>
      </c>
      <c r="BX15" t="s">
        <v>179</v>
      </c>
      <c r="BY15" t="s">
        <v>180</v>
      </c>
      <c r="BZ15" t="s">
        <v>181</v>
      </c>
      <c r="CA15" t="s">
        <v>182</v>
      </c>
      <c r="CB15" t="s">
        <v>183</v>
      </c>
      <c r="CC15" t="s">
        <v>184</v>
      </c>
      <c r="CD15" t="s">
        <v>185</v>
      </c>
      <c r="CE15" t="s">
        <v>186</v>
      </c>
      <c r="CF15" t="s">
        <v>187</v>
      </c>
      <c r="CG15" t="s">
        <v>188</v>
      </c>
      <c r="CH15" t="s">
        <v>168</v>
      </c>
      <c r="CI15" t="s">
        <v>189</v>
      </c>
      <c r="CJ15" t="s">
        <v>190</v>
      </c>
      <c r="CK15" t="s">
        <v>191</v>
      </c>
      <c r="CL15" t="s">
        <v>142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112</v>
      </c>
      <c r="DD15" t="s">
        <v>208</v>
      </c>
      <c r="DE15" t="s">
        <v>209</v>
      </c>
      <c r="DF15" t="s">
        <v>210</v>
      </c>
      <c r="DG15" t="s">
        <v>211</v>
      </c>
      <c r="DH15" t="s">
        <v>212</v>
      </c>
      <c r="DI15" t="s">
        <v>213</v>
      </c>
      <c r="DJ15" t="s">
        <v>214</v>
      </c>
      <c r="DK15" t="s">
        <v>215</v>
      </c>
      <c r="DL15" t="s">
        <v>216</v>
      </c>
      <c r="DM15" t="s">
        <v>217</v>
      </c>
      <c r="DN15" t="s">
        <v>218</v>
      </c>
      <c r="DO15" t="s">
        <v>219</v>
      </c>
      <c r="DP15" t="s">
        <v>220</v>
      </c>
      <c r="DQ15" t="s">
        <v>221</v>
      </c>
      <c r="DR15" t="s">
        <v>222</v>
      </c>
      <c r="DS15" t="s">
        <v>223</v>
      </c>
      <c r="DT15" t="s">
        <v>224</v>
      </c>
      <c r="DU15" t="s">
        <v>225</v>
      </c>
      <c r="DV15" t="s">
        <v>226</v>
      </c>
      <c r="DW15" t="s">
        <v>227</v>
      </c>
      <c r="DX15" t="s">
        <v>228</v>
      </c>
      <c r="DY15" t="s">
        <v>229</v>
      </c>
      <c r="DZ15" t="s">
        <v>230</v>
      </c>
      <c r="EA15" t="s">
        <v>231</v>
      </c>
      <c r="EB15" t="s">
        <v>232</v>
      </c>
      <c r="EC15" t="s">
        <v>233</v>
      </c>
      <c r="ED15" t="s">
        <v>234</v>
      </c>
      <c r="EE15" t="s">
        <v>235</v>
      </c>
      <c r="EF15" t="s">
        <v>236</v>
      </c>
      <c r="EG15" t="s">
        <v>237</v>
      </c>
      <c r="EH15" t="s">
        <v>238</v>
      </c>
      <c r="EI15" t="s">
        <v>239</v>
      </c>
      <c r="EJ15" t="s">
        <v>240</v>
      </c>
      <c r="EK15" t="s">
        <v>241</v>
      </c>
      <c r="EL15" t="s">
        <v>242</v>
      </c>
      <c r="EM15" t="s">
        <v>243</v>
      </c>
      <c r="EN15" t="s">
        <v>244</v>
      </c>
      <c r="EO15" t="s">
        <v>245</v>
      </c>
      <c r="EP15" t="s">
        <v>246</v>
      </c>
      <c r="EQ15" t="s">
        <v>247</v>
      </c>
      <c r="ER15" t="s">
        <v>248</v>
      </c>
      <c r="ES15" t="s">
        <v>249</v>
      </c>
      <c r="ET15" t="s">
        <v>250</v>
      </c>
      <c r="EU15" t="s">
        <v>251</v>
      </c>
      <c r="EV15" t="s">
        <v>252</v>
      </c>
      <c r="EW15" t="s">
        <v>253</v>
      </c>
      <c r="EX15" t="s">
        <v>254</v>
      </c>
      <c r="EY15" t="s">
        <v>255</v>
      </c>
      <c r="EZ15" t="s">
        <v>256</v>
      </c>
      <c r="FA15" t="s">
        <v>257</v>
      </c>
      <c r="FB15" t="s">
        <v>106</v>
      </c>
      <c r="FC15" t="s">
        <v>109</v>
      </c>
      <c r="FD15" t="s">
        <v>258</v>
      </c>
      <c r="FE15" t="s">
        <v>259</v>
      </c>
      <c r="FF15" t="s">
        <v>260</v>
      </c>
      <c r="FG15" t="s">
        <v>261</v>
      </c>
      <c r="FH15" t="s">
        <v>262</v>
      </c>
      <c r="FI15" t="s">
        <v>263</v>
      </c>
      <c r="FJ15" t="s">
        <v>264</v>
      </c>
      <c r="FK15" t="s">
        <v>265</v>
      </c>
      <c r="FL15" t="s">
        <v>266</v>
      </c>
      <c r="FM15" t="s">
        <v>267</v>
      </c>
      <c r="FN15" t="s">
        <v>268</v>
      </c>
      <c r="FO15" t="s">
        <v>269</v>
      </c>
      <c r="FP15" t="s">
        <v>270</v>
      </c>
      <c r="FQ15" t="s">
        <v>271</v>
      </c>
      <c r="FR15" t="s">
        <v>272</v>
      </c>
      <c r="FS15" t="s">
        <v>273</v>
      </c>
      <c r="FT15" t="s">
        <v>274</v>
      </c>
      <c r="FU15" t="s">
        <v>275</v>
      </c>
      <c r="FV15" t="s">
        <v>276</v>
      </c>
      <c r="FW15" t="s">
        <v>277</v>
      </c>
      <c r="FX15" t="s">
        <v>278</v>
      </c>
      <c r="FY15" t="s">
        <v>279</v>
      </c>
      <c r="FZ15" t="s">
        <v>280</v>
      </c>
      <c r="GA15" t="s">
        <v>281</v>
      </c>
      <c r="GB15" t="s">
        <v>282</v>
      </c>
      <c r="GC15" t="s">
        <v>283</v>
      </c>
      <c r="GD15" t="s">
        <v>284</v>
      </c>
      <c r="GE15" t="s">
        <v>285</v>
      </c>
      <c r="GF15" t="s">
        <v>286</v>
      </c>
      <c r="GG15" t="s">
        <v>287</v>
      </c>
      <c r="GH15" t="s">
        <v>288</v>
      </c>
      <c r="GI15" t="s">
        <v>289</v>
      </c>
      <c r="GJ15" t="s">
        <v>290</v>
      </c>
      <c r="GK15" t="s">
        <v>291</v>
      </c>
      <c r="GL15" t="s">
        <v>292</v>
      </c>
      <c r="GM15" t="s">
        <v>293</v>
      </c>
      <c r="GN15" t="s">
        <v>294</v>
      </c>
      <c r="GO15" t="s">
        <v>295</v>
      </c>
      <c r="GP15" t="s">
        <v>296</v>
      </c>
      <c r="GQ15" t="s">
        <v>297</v>
      </c>
      <c r="GR15" t="s">
        <v>298</v>
      </c>
      <c r="GS15" t="s">
        <v>299</v>
      </c>
      <c r="GT15" t="s">
        <v>300</v>
      </c>
      <c r="GU15" t="s">
        <v>301</v>
      </c>
      <c r="GV15" t="s">
        <v>302</v>
      </c>
      <c r="GW15" t="s">
        <v>303</v>
      </c>
      <c r="GX15" t="s">
        <v>304</v>
      </c>
      <c r="GY15" t="s">
        <v>305</v>
      </c>
      <c r="GZ15" t="s">
        <v>306</v>
      </c>
      <c r="HA15" t="s">
        <v>307</v>
      </c>
      <c r="HB15" t="s">
        <v>308</v>
      </c>
      <c r="HC15" t="s">
        <v>309</v>
      </c>
      <c r="HD15" t="s">
        <v>310</v>
      </c>
      <c r="HE15" t="s">
        <v>311</v>
      </c>
      <c r="HF15" t="s">
        <v>312</v>
      </c>
      <c r="HG15" t="s">
        <v>313</v>
      </c>
      <c r="HH15" t="s">
        <v>314</v>
      </c>
      <c r="HI15" t="s">
        <v>315</v>
      </c>
      <c r="HJ15" t="s">
        <v>316</v>
      </c>
      <c r="HK15" t="s">
        <v>317</v>
      </c>
      <c r="HL15" t="s">
        <v>318</v>
      </c>
      <c r="HM15" t="s">
        <v>319</v>
      </c>
      <c r="HN15" t="s">
        <v>320</v>
      </c>
      <c r="HO15" t="s">
        <v>321</v>
      </c>
      <c r="HP15" t="s">
        <v>322</v>
      </c>
      <c r="HQ15" t="s">
        <v>323</v>
      </c>
      <c r="HR15" t="s">
        <v>324</v>
      </c>
      <c r="HS15" t="s">
        <v>325</v>
      </c>
      <c r="HT15" t="s">
        <v>326</v>
      </c>
      <c r="HU15" t="s">
        <v>327</v>
      </c>
      <c r="HV15" t="s">
        <v>328</v>
      </c>
      <c r="HW15" t="s">
        <v>329</v>
      </c>
      <c r="HX15" t="s">
        <v>330</v>
      </c>
      <c r="HY15" t="s">
        <v>331</v>
      </c>
      <c r="HZ15" t="s">
        <v>332</v>
      </c>
      <c r="IA15" t="s">
        <v>333</v>
      </c>
      <c r="IB15" t="s">
        <v>334</v>
      </c>
      <c r="IC15" t="s">
        <v>335</v>
      </c>
      <c r="ID15" t="s">
        <v>336</v>
      </c>
      <c r="IE15" t="s">
        <v>337</v>
      </c>
      <c r="IF15" t="s">
        <v>338</v>
      </c>
      <c r="IG15" t="s">
        <v>339</v>
      </c>
      <c r="IH15" t="s">
        <v>340</v>
      </c>
      <c r="II15" t="s">
        <v>341</v>
      </c>
      <c r="IJ15" t="s">
        <v>342</v>
      </c>
      <c r="IK15" t="s">
        <v>343</v>
      </c>
      <c r="IL15" t="s">
        <v>344</v>
      </c>
      <c r="IM15" t="s">
        <v>345</v>
      </c>
      <c r="IN15" t="s">
        <v>346</v>
      </c>
      <c r="IO15" t="s">
        <v>347</v>
      </c>
      <c r="IP15" t="s">
        <v>348</v>
      </c>
      <c r="IQ15" t="s">
        <v>349</v>
      </c>
      <c r="IR15" t="s">
        <v>350</v>
      </c>
      <c r="IS15" t="s">
        <v>351</v>
      </c>
      <c r="IT15" t="s">
        <v>352</v>
      </c>
      <c r="IU15" t="s">
        <v>353</v>
      </c>
      <c r="IV15" t="s">
        <v>354</v>
      </c>
      <c r="IW15" t="s">
        <v>355</v>
      </c>
      <c r="IX15" t="s">
        <v>356</v>
      </c>
      <c r="IY15" t="s">
        <v>357</v>
      </c>
      <c r="IZ15" t="s">
        <v>358</v>
      </c>
      <c r="JA15" t="s">
        <v>359</v>
      </c>
      <c r="JB15" t="s">
        <v>360</v>
      </c>
      <c r="JC15" t="s">
        <v>361</v>
      </c>
      <c r="JD15" t="s">
        <v>362</v>
      </c>
      <c r="JE15" t="s">
        <v>363</v>
      </c>
      <c r="JF15" t="s">
        <v>364</v>
      </c>
      <c r="JG15" t="s">
        <v>365</v>
      </c>
      <c r="JH15" t="s">
        <v>366</v>
      </c>
      <c r="JI15" t="s">
        <v>367</v>
      </c>
      <c r="JJ15" t="s">
        <v>368</v>
      </c>
      <c r="JK15" t="s">
        <v>369</v>
      </c>
      <c r="JL15" t="s">
        <v>370</v>
      </c>
      <c r="JM15" t="s">
        <v>371</v>
      </c>
      <c r="JN15" t="s">
        <v>372</v>
      </c>
      <c r="JO15" t="s">
        <v>373</v>
      </c>
      <c r="JP15" t="s">
        <v>374</v>
      </c>
      <c r="JQ15" t="s">
        <v>375</v>
      </c>
      <c r="JR15" t="s">
        <v>376</v>
      </c>
      <c r="JS15" t="s">
        <v>377</v>
      </c>
      <c r="JT15" t="s">
        <v>378</v>
      </c>
      <c r="JU15" t="s">
        <v>379</v>
      </c>
      <c r="JV15" t="s">
        <v>380</v>
      </c>
      <c r="JW15" t="s">
        <v>381</v>
      </c>
    </row>
    <row r="16" spans="1:283" x14ac:dyDescent="0.25">
      <c r="B16" t="s">
        <v>382</v>
      </c>
      <c r="C16" t="s">
        <v>382</v>
      </c>
      <c r="F16" t="s">
        <v>382</v>
      </c>
      <c r="H16" t="s">
        <v>382</v>
      </c>
      <c r="I16" t="s">
        <v>383</v>
      </c>
      <c r="J16" t="s">
        <v>384</v>
      </c>
      <c r="K16" t="s">
        <v>385</v>
      </c>
      <c r="L16" t="s">
        <v>386</v>
      </c>
      <c r="M16" t="s">
        <v>386</v>
      </c>
      <c r="N16" t="s">
        <v>215</v>
      </c>
      <c r="O16" t="s">
        <v>215</v>
      </c>
      <c r="P16" t="s">
        <v>383</v>
      </c>
      <c r="Q16" t="s">
        <v>383</v>
      </c>
      <c r="R16" t="s">
        <v>383</v>
      </c>
      <c r="S16" t="s">
        <v>383</v>
      </c>
      <c r="T16" t="s">
        <v>387</v>
      </c>
      <c r="U16" t="s">
        <v>388</v>
      </c>
      <c r="V16" t="s">
        <v>388</v>
      </c>
      <c r="W16" t="s">
        <v>389</v>
      </c>
      <c r="X16" t="s">
        <v>390</v>
      </c>
      <c r="Y16" t="s">
        <v>389</v>
      </c>
      <c r="Z16" t="s">
        <v>389</v>
      </c>
      <c r="AA16" t="s">
        <v>389</v>
      </c>
      <c r="AB16" t="s">
        <v>387</v>
      </c>
      <c r="AC16" t="s">
        <v>387</v>
      </c>
      <c r="AD16" t="s">
        <v>387</v>
      </c>
      <c r="AE16" t="s">
        <v>387</v>
      </c>
      <c r="AF16" t="s">
        <v>391</v>
      </c>
      <c r="AG16" t="s">
        <v>390</v>
      </c>
      <c r="AI16" t="s">
        <v>390</v>
      </c>
      <c r="AJ16" t="s">
        <v>391</v>
      </c>
      <c r="AP16" t="s">
        <v>385</v>
      </c>
      <c r="AW16" t="s">
        <v>385</v>
      </c>
      <c r="AX16" t="s">
        <v>385</v>
      </c>
      <c r="AY16" t="s">
        <v>385</v>
      </c>
      <c r="AZ16" t="s">
        <v>392</v>
      </c>
      <c r="BN16" t="s">
        <v>393</v>
      </c>
      <c r="BP16" t="s">
        <v>393</v>
      </c>
      <c r="BQ16" t="s">
        <v>385</v>
      </c>
      <c r="BT16" t="s">
        <v>393</v>
      </c>
      <c r="BU16" t="s">
        <v>390</v>
      </c>
      <c r="BX16" t="s">
        <v>394</v>
      </c>
      <c r="BY16" t="s">
        <v>394</v>
      </c>
      <c r="CA16" t="s">
        <v>395</v>
      </c>
      <c r="CB16" t="s">
        <v>393</v>
      </c>
      <c r="CD16" t="s">
        <v>393</v>
      </c>
      <c r="CE16" t="s">
        <v>385</v>
      </c>
      <c r="CI16" t="s">
        <v>393</v>
      </c>
      <c r="CK16" t="s">
        <v>396</v>
      </c>
      <c r="CN16" t="s">
        <v>393</v>
      </c>
      <c r="CO16" t="s">
        <v>393</v>
      </c>
      <c r="CQ16" t="s">
        <v>393</v>
      </c>
      <c r="CS16" t="s">
        <v>393</v>
      </c>
      <c r="CU16" t="s">
        <v>385</v>
      </c>
      <c r="CV16" t="s">
        <v>385</v>
      </c>
      <c r="CX16" t="s">
        <v>397</v>
      </c>
      <c r="CY16" t="s">
        <v>398</v>
      </c>
      <c r="DB16" t="s">
        <v>383</v>
      </c>
      <c r="DC16" t="s">
        <v>382</v>
      </c>
      <c r="DD16" t="s">
        <v>386</v>
      </c>
      <c r="DE16" t="s">
        <v>386</v>
      </c>
      <c r="DF16" t="s">
        <v>399</v>
      </c>
      <c r="DG16" t="s">
        <v>399</v>
      </c>
      <c r="DH16" t="s">
        <v>386</v>
      </c>
      <c r="DI16" t="s">
        <v>399</v>
      </c>
      <c r="DJ16" t="s">
        <v>391</v>
      </c>
      <c r="DK16" t="s">
        <v>389</v>
      </c>
      <c r="DL16" t="s">
        <v>389</v>
      </c>
      <c r="DM16" t="s">
        <v>388</v>
      </c>
      <c r="DN16" t="s">
        <v>388</v>
      </c>
      <c r="DO16" t="s">
        <v>388</v>
      </c>
      <c r="DP16" t="s">
        <v>388</v>
      </c>
      <c r="DQ16" t="s">
        <v>388</v>
      </c>
      <c r="DR16" t="s">
        <v>400</v>
      </c>
      <c r="DS16" t="s">
        <v>385</v>
      </c>
      <c r="DT16" t="s">
        <v>385</v>
      </c>
      <c r="DU16" t="s">
        <v>386</v>
      </c>
      <c r="DV16" t="s">
        <v>386</v>
      </c>
      <c r="DW16" t="s">
        <v>386</v>
      </c>
      <c r="DX16" t="s">
        <v>399</v>
      </c>
      <c r="DY16" t="s">
        <v>386</v>
      </c>
      <c r="DZ16" t="s">
        <v>399</v>
      </c>
      <c r="EA16" t="s">
        <v>389</v>
      </c>
      <c r="EB16" t="s">
        <v>389</v>
      </c>
      <c r="EC16" t="s">
        <v>388</v>
      </c>
      <c r="ED16" t="s">
        <v>388</v>
      </c>
      <c r="EE16" t="s">
        <v>385</v>
      </c>
      <c r="EJ16" t="s">
        <v>385</v>
      </c>
      <c r="EM16" t="s">
        <v>388</v>
      </c>
      <c r="EN16" t="s">
        <v>388</v>
      </c>
      <c r="EO16" t="s">
        <v>388</v>
      </c>
      <c r="EP16" t="s">
        <v>388</v>
      </c>
      <c r="EQ16" t="s">
        <v>388</v>
      </c>
      <c r="ER16" t="s">
        <v>385</v>
      </c>
      <c r="ES16" t="s">
        <v>385</v>
      </c>
      <c r="ET16" t="s">
        <v>385</v>
      </c>
      <c r="EU16" t="s">
        <v>382</v>
      </c>
      <c r="EX16" t="s">
        <v>401</v>
      </c>
      <c r="EY16" t="s">
        <v>401</v>
      </c>
      <c r="FA16" t="s">
        <v>382</v>
      </c>
      <c r="FB16" t="s">
        <v>402</v>
      </c>
      <c r="FD16" t="s">
        <v>382</v>
      </c>
      <c r="FE16" t="s">
        <v>382</v>
      </c>
      <c r="FG16" t="s">
        <v>403</v>
      </c>
      <c r="FH16" t="s">
        <v>404</v>
      </c>
      <c r="FI16" t="s">
        <v>403</v>
      </c>
      <c r="FJ16" t="s">
        <v>404</v>
      </c>
      <c r="FK16" t="s">
        <v>403</v>
      </c>
      <c r="FL16" t="s">
        <v>404</v>
      </c>
      <c r="FM16" t="s">
        <v>390</v>
      </c>
      <c r="FN16" t="s">
        <v>390</v>
      </c>
      <c r="FO16" t="s">
        <v>386</v>
      </c>
      <c r="FP16" t="s">
        <v>405</v>
      </c>
      <c r="FQ16" t="s">
        <v>386</v>
      </c>
      <c r="FT16" t="s">
        <v>406</v>
      </c>
      <c r="FW16" t="s">
        <v>399</v>
      </c>
      <c r="FX16" t="s">
        <v>407</v>
      </c>
      <c r="FY16" t="s">
        <v>399</v>
      </c>
      <c r="GD16" t="s">
        <v>408</v>
      </c>
      <c r="GE16" t="s">
        <v>408</v>
      </c>
      <c r="GR16" t="s">
        <v>408</v>
      </c>
      <c r="GS16" t="s">
        <v>408</v>
      </c>
      <c r="GT16" t="s">
        <v>409</v>
      </c>
      <c r="GU16" t="s">
        <v>409</v>
      </c>
      <c r="GV16" t="s">
        <v>388</v>
      </c>
      <c r="GW16" t="s">
        <v>388</v>
      </c>
      <c r="GX16" t="s">
        <v>390</v>
      </c>
      <c r="GY16" t="s">
        <v>388</v>
      </c>
      <c r="GZ16" t="s">
        <v>399</v>
      </c>
      <c r="HA16" t="s">
        <v>390</v>
      </c>
      <c r="HB16" t="s">
        <v>390</v>
      </c>
      <c r="HD16" t="s">
        <v>408</v>
      </c>
      <c r="HE16" t="s">
        <v>408</v>
      </c>
      <c r="HF16" t="s">
        <v>408</v>
      </c>
      <c r="HG16" t="s">
        <v>408</v>
      </c>
      <c r="HH16" t="s">
        <v>408</v>
      </c>
      <c r="HI16" t="s">
        <v>408</v>
      </c>
      <c r="HJ16" t="s">
        <v>408</v>
      </c>
      <c r="HK16" t="s">
        <v>410</v>
      </c>
      <c r="HL16" t="s">
        <v>410</v>
      </c>
      <c r="HM16" t="s">
        <v>411</v>
      </c>
      <c r="HN16" t="s">
        <v>410</v>
      </c>
      <c r="HO16" t="s">
        <v>408</v>
      </c>
      <c r="HP16" t="s">
        <v>408</v>
      </c>
      <c r="HQ16" t="s">
        <v>408</v>
      </c>
      <c r="HR16" t="s">
        <v>408</v>
      </c>
      <c r="HS16" t="s">
        <v>408</v>
      </c>
      <c r="HT16" t="s">
        <v>408</v>
      </c>
      <c r="HU16" t="s">
        <v>408</v>
      </c>
      <c r="HV16" t="s">
        <v>408</v>
      </c>
      <c r="HW16" t="s">
        <v>408</v>
      </c>
      <c r="HX16" t="s">
        <v>408</v>
      </c>
      <c r="HY16" t="s">
        <v>408</v>
      </c>
      <c r="HZ16" t="s">
        <v>408</v>
      </c>
      <c r="IG16" t="s">
        <v>408</v>
      </c>
      <c r="IH16" t="s">
        <v>390</v>
      </c>
      <c r="II16" t="s">
        <v>390</v>
      </c>
      <c r="IJ16" t="s">
        <v>403</v>
      </c>
      <c r="IK16" t="s">
        <v>404</v>
      </c>
      <c r="IL16" t="s">
        <v>404</v>
      </c>
      <c r="IP16" t="s">
        <v>404</v>
      </c>
      <c r="IT16" t="s">
        <v>386</v>
      </c>
      <c r="IU16" t="s">
        <v>386</v>
      </c>
      <c r="IV16" t="s">
        <v>399</v>
      </c>
      <c r="IW16" t="s">
        <v>399</v>
      </c>
      <c r="IX16" t="s">
        <v>412</v>
      </c>
      <c r="IY16" t="s">
        <v>412</v>
      </c>
      <c r="IZ16" t="s">
        <v>408</v>
      </c>
      <c r="JA16" t="s">
        <v>408</v>
      </c>
      <c r="JB16" t="s">
        <v>408</v>
      </c>
      <c r="JC16" t="s">
        <v>408</v>
      </c>
      <c r="JD16" t="s">
        <v>408</v>
      </c>
      <c r="JE16" t="s">
        <v>408</v>
      </c>
      <c r="JF16" t="s">
        <v>388</v>
      </c>
      <c r="JG16" t="s">
        <v>408</v>
      </c>
      <c r="JI16" t="s">
        <v>391</v>
      </c>
      <c r="JJ16" t="s">
        <v>391</v>
      </c>
      <c r="JK16" t="s">
        <v>388</v>
      </c>
      <c r="JL16" t="s">
        <v>388</v>
      </c>
      <c r="JM16" t="s">
        <v>388</v>
      </c>
      <c r="JN16" t="s">
        <v>388</v>
      </c>
      <c r="JO16" t="s">
        <v>388</v>
      </c>
      <c r="JP16" t="s">
        <v>390</v>
      </c>
      <c r="JQ16" t="s">
        <v>390</v>
      </c>
      <c r="JR16" t="s">
        <v>390</v>
      </c>
      <c r="JS16" t="s">
        <v>388</v>
      </c>
      <c r="JT16" t="s">
        <v>386</v>
      </c>
      <c r="JU16" t="s">
        <v>399</v>
      </c>
      <c r="JV16" t="s">
        <v>390</v>
      </c>
      <c r="JW16" t="s">
        <v>390</v>
      </c>
    </row>
    <row r="17" spans="1:283" x14ac:dyDescent="0.25">
      <c r="A17">
        <v>1</v>
      </c>
      <c r="B17">
        <v>1742538331.0999999</v>
      </c>
      <c r="C17">
        <v>0</v>
      </c>
      <c r="D17" t="s">
        <v>413</v>
      </c>
      <c r="E17" t="s">
        <v>414</v>
      </c>
      <c r="F17">
        <v>2</v>
      </c>
      <c r="H17">
        <v>1742538329.0999999</v>
      </c>
      <c r="I17">
        <f t="shared" ref="I17:I28" si="0">(J17)/1000</f>
        <v>5.078695483143901E-3</v>
      </c>
      <c r="J17">
        <f t="shared" ref="J17:J28" si="1">1000*DJ17*AH17*(DF17-DG17)/(100*CY17*(1000-AH17*DF17))</f>
        <v>5.0786954831439006</v>
      </c>
      <c r="K17">
        <f t="shared" ref="K17:K28" si="2">DJ17*AH17*(DE17-DD17*(1000-AH17*DG17)/(1000-AH17*DF17))/(100*CY17)</f>
        <v>28.373769062313212</v>
      </c>
      <c r="L17">
        <f t="shared" ref="L17:L28" si="3">DD17 - IF(AH17&gt;1, K17*CY17*100/(AJ17*DR17), 0)</f>
        <v>388.398666666667</v>
      </c>
      <c r="M17">
        <f t="shared" ref="M17:M28" si="4">((S17-I17/2)*L17-K17)/(S17+I17/2)</f>
        <v>250.59991435157713</v>
      </c>
      <c r="N17">
        <f t="shared" ref="N17:N28" si="5">M17*(DK17+DL17)/1000</f>
        <v>23.979514200169579</v>
      </c>
      <c r="O17">
        <f t="shared" ref="O17:O28" si="6">(DD17 - IF(AH17&gt;1, K17*CY17*100/(AJ17*DR17), 0))*(DK17+DL17)/1000</f>
        <v>37.165261475683579</v>
      </c>
      <c r="P17">
        <f t="shared" ref="P17:P28" si="7">2/((1/R17-1/Q17)+SIGN(R17)*SQRT((1/R17-1/Q17)*(1/R17-1/Q17) + 4*CZ17/((CZ17+1)*(CZ17+1))*(2*1/R17*1/Q17-1/Q17*1/Q17)))</f>
        <v>0.3684975728711537</v>
      </c>
      <c r="Q17">
        <f t="shared" ref="Q17:Q28" si="8">IF(LEFT(DA17,1)&lt;&gt;"0",IF(LEFT(DA17,1)="1",3,DB17),$D$5+$E$5*(DR17*DK17/($K$5*1000))+$F$5*(DR17*DK17/($K$5*1000))*MAX(MIN(CY17,$J$5),$I$5)*MAX(MIN(CY17,$J$5),$I$5)+$G$5*MAX(MIN(CY17,$J$5),$I$5)*(DR17*DK17/($K$5*1000))+$H$5*(DR17*DK17/($K$5*1000))*(DR17*DK17/($K$5*1000)))</f>
        <v>3.0081862196279685</v>
      </c>
      <c r="R17">
        <f t="shared" ref="R17:R28" si="9">I17*(1000-(1000*0.61365*EXP(17.502*V17/(240.97+V17))/(DK17+DL17)+DF17)/2)/(1000*0.61365*EXP(17.502*V17/(240.97+V17))/(DK17+DL17)-DF17)</f>
        <v>0.34513109198547975</v>
      </c>
      <c r="S17">
        <f t="shared" ref="S17:S28" si="10">1/((CZ17+1)/(P17/1.6)+1/(Q17/1.37)) + CZ17/((CZ17+1)/(P17/1.6) + CZ17/(Q17/1.37))</f>
        <v>0.21768273051776216</v>
      </c>
      <c r="T17">
        <f t="shared" ref="T17:T28" si="11">(CU17*CX17)</f>
        <v>289.56545323764601</v>
      </c>
      <c r="U17">
        <f t="shared" ref="U17:U28" si="12">(DM17+(T17+2*0.95*0.0000000567*(((DM17+$B$7)+273)^4-(DM17+273)^4)-44100*I17)/(1.84*29.3*Q17+8*0.95*0.0000000567*(DM17+273)^3))</f>
        <v>25.103127887335518</v>
      </c>
      <c r="V17">
        <f t="shared" ref="V17:V28" si="13">($C$7*DN17+$D$7*DO17+$E$7*U17)</f>
        <v>24.994700000000002</v>
      </c>
      <c r="W17">
        <f t="shared" ref="W17:W28" si="14">0.61365*EXP(17.502*V17/(240.97+V17))</f>
        <v>3.1786730103972496</v>
      </c>
      <c r="X17">
        <f t="shared" ref="X17:X28" si="15">(Y17/Z17*100)</f>
        <v>57.778341044156988</v>
      </c>
      <c r="Y17">
        <f t="shared" ref="Y17:Y28" si="16">DF17*(DK17+DL17)/1000</f>
        <v>1.8072770847583992</v>
      </c>
      <c r="Z17">
        <f t="shared" ref="Z17:Z28" si="17">0.61365*EXP(17.502*DM17/(240.97+DM17))</f>
        <v>3.1279490758953967</v>
      </c>
      <c r="AA17">
        <f t="shared" ref="AA17:AA28" si="18">(W17-DF17*(DK17+DL17)/1000)</f>
        <v>1.3713959256388504</v>
      </c>
      <c r="AB17">
        <f t="shared" ref="AB17:AB28" si="19">(-I17*44100)</f>
        <v>-223.97047080664603</v>
      </c>
      <c r="AC17">
        <f t="shared" ref="AC17:AC28" si="20">2*29.3*Q17*0.92*(DM17-V17)</f>
        <v>-43.712197821038657</v>
      </c>
      <c r="AD17">
        <f t="shared" ref="AD17:AD28" si="21">2*0.95*0.0000000567*(((DM17+$B$7)+273)^4-(V17+273)^4)</f>
        <v>-3.069343442235668</v>
      </c>
      <c r="AE17">
        <f t="shared" ref="AE17:AE28" si="22">T17+AD17+AB17+AC17</f>
        <v>18.813441167725657</v>
      </c>
      <c r="AF17">
        <v>0</v>
      </c>
      <c r="AG17">
        <v>0</v>
      </c>
      <c r="AH17">
        <f t="shared" ref="AH17:AH28" si="23">IF(AF17*$H$13&gt;=AJ17,1,(AJ17/(AJ17-AF17*$H$13)))</f>
        <v>1</v>
      </c>
      <c r="AI17">
        <f t="shared" ref="AI17:AI28" si="24">(AH17-1)*100</f>
        <v>0</v>
      </c>
      <c r="AJ17">
        <f t="shared" ref="AJ17:AJ28" si="25">MAX(0,($B$13+$C$13*DR17)/(1+$D$13*DR17)*DK17/(DM17+273)*$E$13)</f>
        <v>50918.324485890269</v>
      </c>
      <c r="AK17" t="s">
        <v>415</v>
      </c>
      <c r="AL17">
        <v>10180.200000000001</v>
      </c>
      <c r="AM17">
        <v>191.60769230769199</v>
      </c>
      <c r="AN17">
        <v>979.671341309485</v>
      </c>
      <c r="AO17">
        <f t="shared" ref="AO17:AO28" si="26">1-AM17/AN17</f>
        <v>0.80441635451785476</v>
      </c>
      <c r="AP17">
        <v>-2.5320139233462702</v>
      </c>
      <c r="AQ17" t="s">
        <v>416</v>
      </c>
      <c r="AR17">
        <v>10150.799999999999</v>
      </c>
      <c r="AS17">
        <v>246.98967999999999</v>
      </c>
      <c r="AT17">
        <v>385.08167418673003</v>
      </c>
      <c r="AU17">
        <f t="shared" ref="AU17:AU28" si="27">1-AS17/AT17</f>
        <v>0.3586044297703137</v>
      </c>
      <c r="AV17">
        <v>0.5</v>
      </c>
      <c r="AW17">
        <f t="shared" ref="AW17:AW28" si="28">CV17</f>
        <v>1513.176599604998</v>
      </c>
      <c r="AX17">
        <f t="shared" ref="AX17:AX28" si="29">K17</f>
        <v>28.373769062313212</v>
      </c>
      <c r="AY17">
        <f t="shared" ref="AY17:AY28" si="30">AU17*AV17*AW17</f>
        <v>271.31591582156631</v>
      </c>
      <c r="AZ17">
        <f t="shared" ref="AZ17:AZ28" si="31">(AX17-AP17)/AW17</f>
        <v>2.0424438888182104E-2</v>
      </c>
      <c r="BA17">
        <f t="shared" ref="BA17:BA28" si="32">(AN17-AT17)/AT17</f>
        <v>1.544061187483132</v>
      </c>
      <c r="BB17">
        <f t="shared" ref="BB17:BB28" si="33">AM17/(AO17+AM17/AT17)</f>
        <v>147.16490430589911</v>
      </c>
      <c r="BC17" t="s">
        <v>417</v>
      </c>
      <c r="BD17">
        <v>0</v>
      </c>
      <c r="BE17">
        <f t="shared" ref="BE17:BE28" si="34">IF(BD17&lt;&gt;0, BD17, BB17)</f>
        <v>147.16490430589911</v>
      </c>
      <c r="BF17">
        <f t="shared" ref="BF17:BF28" si="35">1-BE17/AT17</f>
        <v>0.61783456816868054</v>
      </c>
      <c r="BG17">
        <f t="shared" ref="BG17:BG28" si="36">(AT17-AS17)/(AT17-BE17)</f>
        <v>0.58042144005190688</v>
      </c>
      <c r="BH17">
        <f t="shared" ref="BH17:BH28" si="37">(AN17-AT17)/(AN17-BE17)</f>
        <v>0.71421629995179703</v>
      </c>
      <c r="BI17">
        <f t="shared" ref="BI17:BI28" si="38">(AT17-AS17)/(AT17-AM17)</f>
        <v>0.71374968791962212</v>
      </c>
      <c r="BJ17">
        <f t="shared" ref="BJ17:BJ28" si="39">(AN17-AT17)/(AN17-AM17)</f>
        <v>0.75449447246538603</v>
      </c>
      <c r="BK17">
        <f t="shared" ref="BK17:BK28" si="40">(BG17*BE17/AS17)</f>
        <v>0.34583495829595406</v>
      </c>
      <c r="BL17">
        <f t="shared" ref="BL17:BL28" si="41">(1-BK17)</f>
        <v>0.65416504170404588</v>
      </c>
      <c r="BM17">
        <v>1719</v>
      </c>
      <c r="BN17">
        <v>290</v>
      </c>
      <c r="BO17">
        <v>339.92</v>
      </c>
      <c r="BP17">
        <v>125</v>
      </c>
      <c r="BQ17">
        <v>10150.799999999999</v>
      </c>
      <c r="BR17">
        <v>339.1</v>
      </c>
      <c r="BS17">
        <v>0.82</v>
      </c>
      <c r="BT17">
        <v>300</v>
      </c>
      <c r="BU17">
        <v>24.1</v>
      </c>
      <c r="BV17">
        <v>385.08167418673003</v>
      </c>
      <c r="BW17">
        <v>1.26977675178199</v>
      </c>
      <c r="BX17">
        <v>-46.673045510521298</v>
      </c>
      <c r="BY17">
        <v>1.14575453157885</v>
      </c>
      <c r="BZ17">
        <v>0.98340634998235199</v>
      </c>
      <c r="CA17">
        <v>-6.88520311457175E-3</v>
      </c>
      <c r="CB17">
        <v>290</v>
      </c>
      <c r="CC17">
        <v>337.58</v>
      </c>
      <c r="CD17">
        <v>775</v>
      </c>
      <c r="CE17">
        <v>10101.5</v>
      </c>
      <c r="CF17">
        <v>338.88</v>
      </c>
      <c r="CG17">
        <v>-1.3</v>
      </c>
      <c r="CU17">
        <f t="shared" ref="CU17:CU28" si="42">$B$11*DS17+$C$11*DT17+$F$11*EE17*(1-EH17)</f>
        <v>1799.99</v>
      </c>
      <c r="CV17">
        <f t="shared" ref="CV17:CV28" si="43">CU17*CW17</f>
        <v>1513.176599604998</v>
      </c>
      <c r="CW17">
        <f t="shared" ref="CW17:CW28" si="44">($B$11*$D$9+$C$11*$D$9+$F$11*((ER17+EJ17)/MAX(ER17+EJ17+ES17, 0.1)*$I$9+ES17/MAX(ER17+EJ17+ES17, 0.1)*$J$9))/($B$11+$C$11+$F$11)</f>
        <v>0.8406583367713143</v>
      </c>
      <c r="CX17">
        <f t="shared" ref="CX17:CX28" si="45">($B$11*$K$9+$C$11*$K$9+$F$11*((ER17+EJ17)/MAX(ER17+EJ17+ES17, 0.1)*$P$9+ES17/MAX(ER17+EJ17+ES17, 0.1)*$Q$9))/($B$11+$C$11+$F$11)</f>
        <v>0.16087058996863651</v>
      </c>
      <c r="CY17">
        <v>1.9</v>
      </c>
      <c r="CZ17">
        <v>0.5</v>
      </c>
      <c r="DA17" t="s">
        <v>418</v>
      </c>
      <c r="DB17">
        <v>2</v>
      </c>
      <c r="DC17">
        <v>1742538329.0999999</v>
      </c>
      <c r="DD17">
        <v>388.398666666667</v>
      </c>
      <c r="DE17">
        <v>399.92933333333298</v>
      </c>
      <c r="DF17">
        <v>18.8871</v>
      </c>
      <c r="DG17">
        <v>16.9938</v>
      </c>
      <c r="DH17">
        <v>386.820333333333</v>
      </c>
      <c r="DI17">
        <v>18.958866666666701</v>
      </c>
      <c r="DJ17">
        <v>500.04066666666699</v>
      </c>
      <c r="DK17">
        <v>95.588333333333296</v>
      </c>
      <c r="DL17">
        <v>0.100104</v>
      </c>
      <c r="DM17">
        <v>24.725166666666698</v>
      </c>
      <c r="DN17">
        <v>24.994700000000002</v>
      </c>
      <c r="DO17">
        <v>999.9</v>
      </c>
      <c r="DP17">
        <v>0</v>
      </c>
      <c r="DQ17">
        <v>0</v>
      </c>
      <c r="DR17">
        <v>9997.4866666666694</v>
      </c>
      <c r="DS17">
        <v>0</v>
      </c>
      <c r="DT17">
        <v>1387.59666666667</v>
      </c>
      <c r="DU17">
        <v>-11.5308333333333</v>
      </c>
      <c r="DV17">
        <v>395.875333333333</v>
      </c>
      <c r="DW17">
        <v>406.84333333333302</v>
      </c>
      <c r="DX17">
        <v>1.8933133333333301</v>
      </c>
      <c r="DY17">
        <v>399.92933333333298</v>
      </c>
      <c r="DZ17">
        <v>16.9938</v>
      </c>
      <c r="EA17">
        <v>1.80538666666667</v>
      </c>
      <c r="EB17">
        <v>1.6244099999999999</v>
      </c>
      <c r="EC17">
        <v>15.833500000000001</v>
      </c>
      <c r="ED17">
        <v>14.1923333333333</v>
      </c>
      <c r="EE17">
        <v>1799.99</v>
      </c>
      <c r="EF17">
        <v>0.97799499999999995</v>
      </c>
      <c r="EG17">
        <v>2.2004800000000001E-2</v>
      </c>
      <c r="EH17">
        <v>0</v>
      </c>
      <c r="EI17">
        <v>246.96899999999999</v>
      </c>
      <c r="EJ17">
        <v>5.0006000000000004</v>
      </c>
      <c r="EK17">
        <v>4717.2633333333297</v>
      </c>
      <c r="EL17">
        <v>18193.8</v>
      </c>
      <c r="EM17">
        <v>46.686999999999998</v>
      </c>
      <c r="EN17">
        <v>47.811999999999998</v>
      </c>
      <c r="EO17">
        <v>47.186999999999998</v>
      </c>
      <c r="EP17">
        <v>46.936999999999998</v>
      </c>
      <c r="EQ17">
        <v>48.332999999999998</v>
      </c>
      <c r="ER17">
        <v>1755.49</v>
      </c>
      <c r="ES17">
        <v>39.5</v>
      </c>
      <c r="ET17">
        <v>0</v>
      </c>
      <c r="EU17">
        <v>2647.9000000953702</v>
      </c>
      <c r="EV17">
        <v>0</v>
      </c>
      <c r="EW17">
        <v>246.98967999999999</v>
      </c>
      <c r="EX17">
        <v>3.3230778834394598E-2</v>
      </c>
      <c r="EY17">
        <v>-3.7730769065613998</v>
      </c>
      <c r="EZ17">
        <v>4717.5663999999997</v>
      </c>
      <c r="FA17">
        <v>15</v>
      </c>
      <c r="FB17">
        <v>1742538264.0999999</v>
      </c>
      <c r="FC17" t="s">
        <v>419</v>
      </c>
      <c r="FD17">
        <v>1742538253.0999999</v>
      </c>
      <c r="FE17">
        <v>1742538264.0999999</v>
      </c>
      <c r="FF17">
        <v>32</v>
      </c>
      <c r="FG17">
        <v>-3.43</v>
      </c>
      <c r="FH17">
        <v>0.04</v>
      </c>
      <c r="FI17">
        <v>1.5780000000000001</v>
      </c>
      <c r="FJ17">
        <v>-7.1999999999999995E-2</v>
      </c>
      <c r="FK17">
        <v>400</v>
      </c>
      <c r="FL17">
        <v>17</v>
      </c>
      <c r="FM17">
        <v>0.2</v>
      </c>
      <c r="FN17">
        <v>0.16</v>
      </c>
      <c r="FO17">
        <v>-11.5750142857143</v>
      </c>
      <c r="FP17">
        <v>0.105693506493482</v>
      </c>
      <c r="FQ17">
        <v>3.4664436087317098E-2</v>
      </c>
      <c r="FR17">
        <v>1</v>
      </c>
      <c r="FS17">
        <v>247.00794117647101</v>
      </c>
      <c r="FT17">
        <v>-0.35449961300120603</v>
      </c>
      <c r="FU17">
        <v>0.19143051898434699</v>
      </c>
      <c r="FV17">
        <v>1</v>
      </c>
      <c r="FW17">
        <v>1.89263571428571</v>
      </c>
      <c r="FX17">
        <v>3.4962857142857497E-2</v>
      </c>
      <c r="FY17">
        <v>1.5336771117132801E-2</v>
      </c>
      <c r="FZ17">
        <v>1</v>
      </c>
      <c r="GA17">
        <v>3</v>
      </c>
      <c r="GB17">
        <v>3</v>
      </c>
      <c r="GC17" t="s">
        <v>420</v>
      </c>
      <c r="GD17">
        <v>3.1395200000000001</v>
      </c>
      <c r="GE17">
        <v>2.7469700000000001</v>
      </c>
      <c r="GF17">
        <v>8.1899799999999995E-2</v>
      </c>
      <c r="GG17">
        <v>8.6200899999999997E-2</v>
      </c>
      <c r="GH17">
        <v>9.1955599999999998E-2</v>
      </c>
      <c r="GI17">
        <v>8.7397299999999997E-2</v>
      </c>
      <c r="GJ17">
        <v>24067.5</v>
      </c>
      <c r="GK17">
        <v>30000.9</v>
      </c>
      <c r="GL17">
        <v>26741</v>
      </c>
      <c r="GM17">
        <v>30993.7</v>
      </c>
      <c r="GN17">
        <v>34262.300000000003</v>
      </c>
      <c r="GO17">
        <v>37721.800000000003</v>
      </c>
      <c r="GP17">
        <v>41259.1</v>
      </c>
      <c r="GQ17">
        <v>44944.7</v>
      </c>
      <c r="GR17">
        <v>1.67635</v>
      </c>
      <c r="GS17">
        <v>1.8538699999999999</v>
      </c>
      <c r="GT17">
        <v>6.4745499999999997E-2</v>
      </c>
      <c r="GU17">
        <v>0</v>
      </c>
      <c r="GV17">
        <v>23.930800000000001</v>
      </c>
      <c r="GW17">
        <v>999.9</v>
      </c>
      <c r="GX17">
        <v>49.689</v>
      </c>
      <c r="GY17">
        <v>35.268000000000001</v>
      </c>
      <c r="GZ17">
        <v>29.800799999999999</v>
      </c>
      <c r="HA17">
        <v>61.057000000000002</v>
      </c>
      <c r="HB17">
        <v>19.1707</v>
      </c>
      <c r="HC17">
        <v>1</v>
      </c>
      <c r="HD17">
        <v>0.77243600000000001</v>
      </c>
      <c r="HE17">
        <v>6.7686000000000002</v>
      </c>
      <c r="HF17">
        <v>20.0459</v>
      </c>
      <c r="HG17">
        <v>5.2229799999999997</v>
      </c>
      <c r="HH17">
        <v>11.986000000000001</v>
      </c>
      <c r="HI17">
        <v>4.9503000000000004</v>
      </c>
      <c r="HJ17">
        <v>3.2850000000000001</v>
      </c>
      <c r="HK17">
        <v>9999</v>
      </c>
      <c r="HL17">
        <v>9999</v>
      </c>
      <c r="HM17">
        <v>999.9</v>
      </c>
      <c r="HN17">
        <v>9999</v>
      </c>
      <c r="HO17">
        <v>1.8594200000000001</v>
      </c>
      <c r="HP17">
        <v>1.86005</v>
      </c>
      <c r="HQ17">
        <v>1.8557399999999999</v>
      </c>
      <c r="HR17">
        <v>1.8585100000000001</v>
      </c>
      <c r="HS17">
        <v>1.86249</v>
      </c>
      <c r="HT17">
        <v>1.85805</v>
      </c>
      <c r="HU17">
        <v>1.855</v>
      </c>
      <c r="HV17">
        <v>1.86225</v>
      </c>
      <c r="HW17">
        <v>5</v>
      </c>
      <c r="HX17">
        <v>0</v>
      </c>
      <c r="HY17">
        <v>0</v>
      </c>
      <c r="HZ17">
        <v>0</v>
      </c>
      <c r="IA17" t="s">
        <v>421</v>
      </c>
      <c r="IB17" t="s">
        <v>422</v>
      </c>
      <c r="IC17" t="s">
        <v>423</v>
      </c>
      <c r="ID17" t="s">
        <v>423</v>
      </c>
      <c r="IE17" t="s">
        <v>423</v>
      </c>
      <c r="IF17" t="s">
        <v>423</v>
      </c>
      <c r="IG17">
        <v>0</v>
      </c>
      <c r="IH17">
        <v>100</v>
      </c>
      <c r="II17">
        <v>100</v>
      </c>
      <c r="IJ17">
        <v>1.5780000000000001</v>
      </c>
      <c r="IK17">
        <v>-7.1800000000000003E-2</v>
      </c>
      <c r="IL17">
        <v>1.5785</v>
      </c>
      <c r="IM17">
        <v>0</v>
      </c>
      <c r="IN17">
        <v>0</v>
      </c>
      <c r="IO17">
        <v>0</v>
      </c>
      <c r="IP17">
        <v>-7.1772727272730194E-2</v>
      </c>
      <c r="IQ17">
        <v>0</v>
      </c>
      <c r="IR17">
        <v>0</v>
      </c>
      <c r="IS17">
        <v>0</v>
      </c>
      <c r="IT17">
        <v>-1</v>
      </c>
      <c r="IU17">
        <v>-1</v>
      </c>
      <c r="IV17">
        <v>-1</v>
      </c>
      <c r="IW17">
        <v>-1</v>
      </c>
      <c r="IX17">
        <v>1.3</v>
      </c>
      <c r="IY17">
        <v>1.1000000000000001</v>
      </c>
      <c r="IZ17">
        <v>1.0363800000000001</v>
      </c>
      <c r="JA17">
        <v>2.7587899999999999</v>
      </c>
      <c r="JB17">
        <v>1.69678</v>
      </c>
      <c r="JC17">
        <v>2.3645</v>
      </c>
      <c r="JD17">
        <v>1.4978</v>
      </c>
      <c r="JE17">
        <v>2.3767100000000001</v>
      </c>
      <c r="JF17">
        <v>39.968899999999998</v>
      </c>
      <c r="JG17">
        <v>13.475300000000001</v>
      </c>
      <c r="JH17">
        <v>18</v>
      </c>
      <c r="JI17">
        <v>378.62799999999999</v>
      </c>
      <c r="JJ17">
        <v>497.79500000000002</v>
      </c>
      <c r="JK17">
        <v>16.639299999999999</v>
      </c>
      <c r="JL17">
        <v>36.079099999999997</v>
      </c>
      <c r="JM17">
        <v>29.999700000000001</v>
      </c>
      <c r="JN17">
        <v>36.253100000000003</v>
      </c>
      <c r="JO17">
        <v>36.278199999999998</v>
      </c>
      <c r="JP17">
        <v>20.7697</v>
      </c>
      <c r="JQ17">
        <v>49.579700000000003</v>
      </c>
      <c r="JR17">
        <v>100</v>
      </c>
      <c r="JS17">
        <v>16.6493</v>
      </c>
      <c r="JT17">
        <v>400</v>
      </c>
      <c r="JU17">
        <v>17.069900000000001</v>
      </c>
      <c r="JV17">
        <v>101.88500000000001</v>
      </c>
      <c r="JW17">
        <v>99.7727</v>
      </c>
    </row>
    <row r="18" spans="1:283" x14ac:dyDescent="0.25">
      <c r="A18">
        <v>2</v>
      </c>
      <c r="B18">
        <v>1742538485.0999999</v>
      </c>
      <c r="C18">
        <v>154</v>
      </c>
      <c r="D18" t="s">
        <v>424</v>
      </c>
      <c r="E18" t="s">
        <v>425</v>
      </c>
      <c r="F18">
        <v>2</v>
      </c>
      <c r="H18">
        <v>1742538483.5999999</v>
      </c>
      <c r="I18">
        <f t="shared" si="0"/>
        <v>4.7800758948653337E-3</v>
      </c>
      <c r="J18">
        <f t="shared" si="1"/>
        <v>4.7800758948653339</v>
      </c>
      <c r="K18">
        <f t="shared" si="2"/>
        <v>20.936682911571612</v>
      </c>
      <c r="L18">
        <f t="shared" si="3"/>
        <v>291.553</v>
      </c>
      <c r="M18">
        <f t="shared" si="4"/>
        <v>184.76225943664994</v>
      </c>
      <c r="N18">
        <f t="shared" si="5"/>
        <v>17.680005273313004</v>
      </c>
      <c r="O18">
        <f t="shared" si="6"/>
        <v>27.898871734774499</v>
      </c>
      <c r="P18">
        <f t="shared" si="7"/>
        <v>0.34890472930024197</v>
      </c>
      <c r="Q18">
        <f t="shared" si="8"/>
        <v>3.0095157394092582</v>
      </c>
      <c r="R18">
        <f t="shared" si="9"/>
        <v>0.32788960104810494</v>
      </c>
      <c r="S18">
        <f t="shared" si="10"/>
        <v>0.20671356280623532</v>
      </c>
      <c r="T18">
        <f t="shared" si="11"/>
        <v>289.57183723766298</v>
      </c>
      <c r="U18">
        <f t="shared" si="12"/>
        <v>25.152599572834482</v>
      </c>
      <c r="V18">
        <f t="shared" si="13"/>
        <v>24.975200000000001</v>
      </c>
      <c r="W18">
        <f t="shared" si="14"/>
        <v>3.1749793027865918</v>
      </c>
      <c r="X18">
        <f t="shared" si="15"/>
        <v>58.159773021281815</v>
      </c>
      <c r="Y18">
        <f t="shared" si="16"/>
        <v>1.8163552725480749</v>
      </c>
      <c r="Z18">
        <f t="shared" si="17"/>
        <v>3.123043949781982</v>
      </c>
      <c r="AA18">
        <f t="shared" si="18"/>
        <v>1.3586240302385169</v>
      </c>
      <c r="AB18">
        <f t="shared" si="19"/>
        <v>-210.80134696356123</v>
      </c>
      <c r="AC18">
        <f t="shared" si="20"/>
        <v>-44.829402165640154</v>
      </c>
      <c r="AD18">
        <f t="shared" si="21"/>
        <v>-3.1456745919100144</v>
      </c>
      <c r="AE18">
        <f t="shared" si="22"/>
        <v>30.795413516551598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50960.649289454981</v>
      </c>
      <c r="AK18" t="s">
        <v>415</v>
      </c>
      <c r="AL18">
        <v>10180.200000000001</v>
      </c>
      <c r="AM18">
        <v>191.60769230769199</v>
      </c>
      <c r="AN18">
        <v>979.671341309485</v>
      </c>
      <c r="AO18">
        <f t="shared" si="26"/>
        <v>0.80441635451785476</v>
      </c>
      <c r="AP18">
        <v>-2.5320139233462702</v>
      </c>
      <c r="AQ18" t="s">
        <v>426</v>
      </c>
      <c r="AR18">
        <v>10148.9</v>
      </c>
      <c r="AS18">
        <v>238.71538461538501</v>
      </c>
      <c r="AT18">
        <v>358.24500106634503</v>
      </c>
      <c r="AU18">
        <f t="shared" si="27"/>
        <v>0.33365327107194942</v>
      </c>
      <c r="AV18">
        <v>0.5</v>
      </c>
      <c r="AW18">
        <f t="shared" si="28"/>
        <v>1513.2101996050069</v>
      </c>
      <c r="AX18">
        <f t="shared" si="29"/>
        <v>20.936682911571612</v>
      </c>
      <c r="AY18">
        <f t="shared" si="30"/>
        <v>252.44376645882403</v>
      </c>
      <c r="AZ18">
        <f t="shared" si="31"/>
        <v>1.5509211371324296E-2</v>
      </c>
      <c r="BA18">
        <f t="shared" si="32"/>
        <v>1.7346406464665649</v>
      </c>
      <c r="BB18">
        <f t="shared" si="33"/>
        <v>143.06903962180789</v>
      </c>
      <c r="BC18" t="s">
        <v>417</v>
      </c>
      <c r="BD18">
        <v>0</v>
      </c>
      <c r="BE18">
        <f t="shared" si="34"/>
        <v>143.06903962180789</v>
      </c>
      <c r="BF18">
        <f t="shared" si="35"/>
        <v>0.60063911793339364</v>
      </c>
      <c r="BG18">
        <f t="shared" si="36"/>
        <v>0.55549707155262085</v>
      </c>
      <c r="BH18">
        <f t="shared" si="37"/>
        <v>0.74279778933136709</v>
      </c>
      <c r="BI18">
        <f t="shared" si="38"/>
        <v>0.71730404998366348</v>
      </c>
      <c r="BJ18">
        <f t="shared" si="39"/>
        <v>0.78854841360881767</v>
      </c>
      <c r="BK18">
        <f t="shared" si="40"/>
        <v>0.3329254738558568</v>
      </c>
      <c r="BL18">
        <f t="shared" si="41"/>
        <v>0.6670745261441432</v>
      </c>
      <c r="BM18">
        <v>1720</v>
      </c>
      <c r="BN18">
        <v>290</v>
      </c>
      <c r="BO18">
        <v>317.81</v>
      </c>
      <c r="BP18">
        <v>135</v>
      </c>
      <c r="BQ18">
        <v>10148.9</v>
      </c>
      <c r="BR18">
        <v>317.45999999999998</v>
      </c>
      <c r="BS18">
        <v>0.35</v>
      </c>
      <c r="BT18">
        <v>300</v>
      </c>
      <c r="BU18">
        <v>24.1</v>
      </c>
      <c r="BV18">
        <v>358.24500106634503</v>
      </c>
      <c r="BW18">
        <v>1.18043254602084</v>
      </c>
      <c r="BX18">
        <v>-41.393027899144101</v>
      </c>
      <c r="BY18">
        <v>1.0651685816410701</v>
      </c>
      <c r="BZ18">
        <v>0.98179621537860595</v>
      </c>
      <c r="CA18">
        <v>-6.8854418242491697E-3</v>
      </c>
      <c r="CB18">
        <v>290</v>
      </c>
      <c r="CC18">
        <v>316.13</v>
      </c>
      <c r="CD18">
        <v>795</v>
      </c>
      <c r="CE18">
        <v>10100.799999999999</v>
      </c>
      <c r="CF18">
        <v>317.27</v>
      </c>
      <c r="CG18">
        <v>-1.1399999999999999</v>
      </c>
      <c r="CU18">
        <f t="shared" si="42"/>
        <v>1800.03</v>
      </c>
      <c r="CV18">
        <f t="shared" si="43"/>
        <v>1513.2101996050069</v>
      </c>
      <c r="CW18">
        <f t="shared" si="44"/>
        <v>0.84065832214185698</v>
      </c>
      <c r="CX18">
        <f t="shared" si="45"/>
        <v>0.16087056173378386</v>
      </c>
      <c r="CY18">
        <v>1.9</v>
      </c>
      <c r="CZ18">
        <v>0.5</v>
      </c>
      <c r="DA18" t="s">
        <v>418</v>
      </c>
      <c r="DB18">
        <v>2</v>
      </c>
      <c r="DC18">
        <v>1742538483.5999999</v>
      </c>
      <c r="DD18">
        <v>291.553</v>
      </c>
      <c r="DE18">
        <v>300.03899999999999</v>
      </c>
      <c r="DF18">
        <v>18.981549999999999</v>
      </c>
      <c r="DG18">
        <v>17.1995</v>
      </c>
      <c r="DH18">
        <v>290.42849999999999</v>
      </c>
      <c r="DI18">
        <v>19.0532</v>
      </c>
      <c r="DJ18">
        <v>499.97199999999998</v>
      </c>
      <c r="DK18">
        <v>95.590450000000004</v>
      </c>
      <c r="DL18">
        <v>0.1001165</v>
      </c>
      <c r="DM18">
        <v>24.698899999999998</v>
      </c>
      <c r="DN18">
        <v>24.975200000000001</v>
      </c>
      <c r="DO18">
        <v>999.9</v>
      </c>
      <c r="DP18">
        <v>0</v>
      </c>
      <c r="DQ18">
        <v>0</v>
      </c>
      <c r="DR18">
        <v>10005</v>
      </c>
      <c r="DS18">
        <v>0</v>
      </c>
      <c r="DT18">
        <v>1403.4749999999999</v>
      </c>
      <c r="DU18">
        <v>-8.4859299999999998</v>
      </c>
      <c r="DV18">
        <v>297.19450000000001</v>
      </c>
      <c r="DW18">
        <v>305.29000000000002</v>
      </c>
      <c r="DX18">
        <v>1.7820750000000001</v>
      </c>
      <c r="DY18">
        <v>300.03899999999999</v>
      </c>
      <c r="DZ18">
        <v>17.1995</v>
      </c>
      <c r="EA18">
        <v>1.8144549999999999</v>
      </c>
      <c r="EB18">
        <v>1.6441049999999999</v>
      </c>
      <c r="EC18">
        <v>15.911849999999999</v>
      </c>
      <c r="ED18">
        <v>14.378500000000001</v>
      </c>
      <c r="EE18">
        <v>1800.03</v>
      </c>
      <c r="EF18">
        <v>0.97799499999999995</v>
      </c>
      <c r="EG18">
        <v>2.2004800000000001E-2</v>
      </c>
      <c r="EH18">
        <v>0</v>
      </c>
      <c r="EI18">
        <v>238.58699999999999</v>
      </c>
      <c r="EJ18">
        <v>5.0006000000000004</v>
      </c>
      <c r="EK18">
        <v>4564.4399999999996</v>
      </c>
      <c r="EL18">
        <v>18194.2</v>
      </c>
      <c r="EM18">
        <v>46.625</v>
      </c>
      <c r="EN18">
        <v>47.686999999999998</v>
      </c>
      <c r="EO18">
        <v>47.125</v>
      </c>
      <c r="EP18">
        <v>46.811999999999998</v>
      </c>
      <c r="EQ18">
        <v>48.25</v>
      </c>
      <c r="ER18">
        <v>1755.53</v>
      </c>
      <c r="ES18">
        <v>39.5</v>
      </c>
      <c r="ET18">
        <v>0</v>
      </c>
      <c r="EU18">
        <v>152.90000009536701</v>
      </c>
      <c r="EV18">
        <v>0</v>
      </c>
      <c r="EW18">
        <v>238.71538461538501</v>
      </c>
      <c r="EX18">
        <v>-0.47507692190790801</v>
      </c>
      <c r="EY18">
        <v>-0.65128204618512997</v>
      </c>
      <c r="EZ18">
        <v>4564.29576923077</v>
      </c>
      <c r="FA18">
        <v>15</v>
      </c>
      <c r="FB18">
        <v>1742538407.0999999</v>
      </c>
      <c r="FC18" t="s">
        <v>427</v>
      </c>
      <c r="FD18">
        <v>1742538402.0999999</v>
      </c>
      <c r="FE18">
        <v>1742538407.0999999</v>
      </c>
      <c r="FF18">
        <v>33</v>
      </c>
      <c r="FG18">
        <v>-0.45400000000000001</v>
      </c>
      <c r="FH18">
        <v>0</v>
      </c>
      <c r="FI18">
        <v>1.125</v>
      </c>
      <c r="FJ18">
        <v>-7.1999999999999995E-2</v>
      </c>
      <c r="FK18">
        <v>300</v>
      </c>
      <c r="FL18">
        <v>17</v>
      </c>
      <c r="FM18">
        <v>0.18</v>
      </c>
      <c r="FN18">
        <v>0.18</v>
      </c>
      <c r="FO18">
        <v>-8.4947769999999991</v>
      </c>
      <c r="FP18">
        <v>-0.192600902255643</v>
      </c>
      <c r="FQ18">
        <v>4.9383070894791603E-2</v>
      </c>
      <c r="FR18">
        <v>1</v>
      </c>
      <c r="FS18">
        <v>238.705911764706</v>
      </c>
      <c r="FT18">
        <v>-7.9587469447506803E-2</v>
      </c>
      <c r="FU18">
        <v>0.18360545417488999</v>
      </c>
      <c r="FV18">
        <v>1</v>
      </c>
      <c r="FW18">
        <v>1.7620754999999999</v>
      </c>
      <c r="FX18">
        <v>0.18701187969924901</v>
      </c>
      <c r="FY18">
        <v>1.85958574620801E-2</v>
      </c>
      <c r="FZ18">
        <v>0</v>
      </c>
      <c r="GA18">
        <v>2</v>
      </c>
      <c r="GB18">
        <v>3</v>
      </c>
      <c r="GC18" t="s">
        <v>428</v>
      </c>
      <c r="GD18">
        <v>3.1397900000000001</v>
      </c>
      <c r="GE18">
        <v>2.7473700000000001</v>
      </c>
      <c r="GF18">
        <v>6.5152600000000005E-2</v>
      </c>
      <c r="GG18">
        <v>6.8673600000000001E-2</v>
      </c>
      <c r="GH18">
        <v>9.2324299999999998E-2</v>
      </c>
      <c r="GI18">
        <v>8.8171399999999997E-2</v>
      </c>
      <c r="GJ18">
        <v>24509.4</v>
      </c>
      <c r="GK18">
        <v>30580.6</v>
      </c>
      <c r="GL18">
        <v>26744.3</v>
      </c>
      <c r="GM18">
        <v>30998.3</v>
      </c>
      <c r="GN18">
        <v>34251.800000000003</v>
      </c>
      <c r="GO18">
        <v>37694.5</v>
      </c>
      <c r="GP18">
        <v>41263.300000000003</v>
      </c>
      <c r="GQ18">
        <v>44950.7</v>
      </c>
      <c r="GR18">
        <v>1.67685</v>
      </c>
      <c r="GS18">
        <v>1.8547499999999999</v>
      </c>
      <c r="GT18">
        <v>6.8545300000000003E-2</v>
      </c>
      <c r="GU18">
        <v>0</v>
      </c>
      <c r="GV18">
        <v>23.849499999999999</v>
      </c>
      <c r="GW18">
        <v>999.9</v>
      </c>
      <c r="GX18">
        <v>49.689</v>
      </c>
      <c r="GY18">
        <v>35.268000000000001</v>
      </c>
      <c r="GZ18">
        <v>29.799299999999999</v>
      </c>
      <c r="HA18">
        <v>60.927</v>
      </c>
      <c r="HB18">
        <v>19.154599999999999</v>
      </c>
      <c r="HC18">
        <v>1</v>
      </c>
      <c r="HD18">
        <v>0.76515</v>
      </c>
      <c r="HE18">
        <v>6.41289</v>
      </c>
      <c r="HF18">
        <v>20.060500000000001</v>
      </c>
      <c r="HG18">
        <v>5.2226800000000004</v>
      </c>
      <c r="HH18">
        <v>11.986000000000001</v>
      </c>
      <c r="HI18">
        <v>4.9496500000000001</v>
      </c>
      <c r="HJ18">
        <v>3.2850000000000001</v>
      </c>
      <c r="HK18">
        <v>9999</v>
      </c>
      <c r="HL18">
        <v>9999</v>
      </c>
      <c r="HM18">
        <v>999.9</v>
      </c>
      <c r="HN18">
        <v>9999</v>
      </c>
      <c r="HO18">
        <v>1.8594299999999999</v>
      </c>
      <c r="HP18">
        <v>1.86005</v>
      </c>
      <c r="HQ18">
        <v>1.85575</v>
      </c>
      <c r="HR18">
        <v>1.8585199999999999</v>
      </c>
      <c r="HS18">
        <v>1.86249</v>
      </c>
      <c r="HT18">
        <v>1.8580399999999999</v>
      </c>
      <c r="HU18">
        <v>1.8549899999999999</v>
      </c>
      <c r="HV18">
        <v>1.8623000000000001</v>
      </c>
      <c r="HW18">
        <v>5</v>
      </c>
      <c r="HX18">
        <v>0</v>
      </c>
      <c r="HY18">
        <v>0</v>
      </c>
      <c r="HZ18">
        <v>0</v>
      </c>
      <c r="IA18" t="s">
        <v>421</v>
      </c>
      <c r="IB18" t="s">
        <v>422</v>
      </c>
      <c r="IC18" t="s">
        <v>423</v>
      </c>
      <c r="ID18" t="s">
        <v>423</v>
      </c>
      <c r="IE18" t="s">
        <v>423</v>
      </c>
      <c r="IF18" t="s">
        <v>423</v>
      </c>
      <c r="IG18">
        <v>0</v>
      </c>
      <c r="IH18">
        <v>100</v>
      </c>
      <c r="II18">
        <v>100</v>
      </c>
      <c r="IJ18">
        <v>1.125</v>
      </c>
      <c r="IK18">
        <v>-7.1599999999999997E-2</v>
      </c>
      <c r="IL18">
        <v>1.12460000000004</v>
      </c>
      <c r="IM18">
        <v>0</v>
      </c>
      <c r="IN18">
        <v>0</v>
      </c>
      <c r="IO18">
        <v>0</v>
      </c>
      <c r="IP18">
        <v>-7.1636363636358197E-2</v>
      </c>
      <c r="IQ18">
        <v>0</v>
      </c>
      <c r="IR18">
        <v>0</v>
      </c>
      <c r="IS18">
        <v>0</v>
      </c>
      <c r="IT18">
        <v>-1</v>
      </c>
      <c r="IU18">
        <v>-1</v>
      </c>
      <c r="IV18">
        <v>-1</v>
      </c>
      <c r="IW18">
        <v>-1</v>
      </c>
      <c r="IX18">
        <v>1.4</v>
      </c>
      <c r="IY18">
        <v>1.3</v>
      </c>
      <c r="IZ18">
        <v>0.82519500000000001</v>
      </c>
      <c r="JA18">
        <v>2.7648899999999998</v>
      </c>
      <c r="JB18">
        <v>1.69678</v>
      </c>
      <c r="JC18">
        <v>2.3645</v>
      </c>
      <c r="JD18">
        <v>1.4978</v>
      </c>
      <c r="JE18">
        <v>2.3815900000000001</v>
      </c>
      <c r="JF18">
        <v>39.9437</v>
      </c>
      <c r="JG18">
        <v>13.4491</v>
      </c>
      <c r="JH18">
        <v>18</v>
      </c>
      <c r="JI18">
        <v>378.54399999999998</v>
      </c>
      <c r="JJ18">
        <v>497.86700000000002</v>
      </c>
      <c r="JK18">
        <v>16.845600000000001</v>
      </c>
      <c r="JL18">
        <v>36.009300000000003</v>
      </c>
      <c r="JM18">
        <v>29.9998</v>
      </c>
      <c r="JN18">
        <v>36.182499999999997</v>
      </c>
      <c r="JO18">
        <v>36.207799999999999</v>
      </c>
      <c r="JP18">
        <v>16.5608</v>
      </c>
      <c r="JQ18">
        <v>49.010199999999998</v>
      </c>
      <c r="JR18">
        <v>100</v>
      </c>
      <c r="JS18">
        <v>16.864599999999999</v>
      </c>
      <c r="JT18">
        <v>300</v>
      </c>
      <c r="JU18">
        <v>17.194900000000001</v>
      </c>
      <c r="JV18">
        <v>101.89700000000001</v>
      </c>
      <c r="JW18">
        <v>99.786600000000007</v>
      </c>
    </row>
    <row r="19" spans="1:283" x14ac:dyDescent="0.25">
      <c r="A19">
        <v>3</v>
      </c>
      <c r="B19">
        <v>1742538608.0999999</v>
      </c>
      <c r="C19">
        <v>277</v>
      </c>
      <c r="D19" t="s">
        <v>429</v>
      </c>
      <c r="E19" t="s">
        <v>430</v>
      </c>
      <c r="F19">
        <v>2</v>
      </c>
      <c r="H19">
        <v>1742538606.0999999</v>
      </c>
      <c r="I19">
        <f t="shared" si="0"/>
        <v>3.9886920020771443E-3</v>
      </c>
      <c r="J19">
        <f t="shared" si="1"/>
        <v>3.9886920020771446</v>
      </c>
      <c r="K19">
        <f t="shared" si="2"/>
        <v>12.74264942092465</v>
      </c>
      <c r="L19">
        <f t="shared" si="3"/>
        <v>194.82933333333301</v>
      </c>
      <c r="M19">
        <f t="shared" si="4"/>
        <v>117.04211316276732</v>
      </c>
      <c r="N19">
        <f t="shared" si="5"/>
        <v>11.199723556701359</v>
      </c>
      <c r="O19">
        <f t="shared" si="6"/>
        <v>18.643158561527798</v>
      </c>
      <c r="P19">
        <f t="shared" si="7"/>
        <v>0.2873470996841529</v>
      </c>
      <c r="Q19">
        <f t="shared" si="8"/>
        <v>3.0072820734388328</v>
      </c>
      <c r="R19">
        <f t="shared" si="9"/>
        <v>0.27291862164974756</v>
      </c>
      <c r="S19">
        <f t="shared" si="10"/>
        <v>0.17181008607554499</v>
      </c>
      <c r="T19">
        <f t="shared" si="11"/>
        <v>289.5750292376714</v>
      </c>
      <c r="U19">
        <f t="shared" si="12"/>
        <v>25.372147241606861</v>
      </c>
      <c r="V19">
        <f t="shared" si="13"/>
        <v>25.006399999999999</v>
      </c>
      <c r="W19">
        <f t="shared" si="14"/>
        <v>3.1808910369891019</v>
      </c>
      <c r="X19">
        <f t="shared" si="15"/>
        <v>58.179283594919752</v>
      </c>
      <c r="Y19">
        <f t="shared" si="16"/>
        <v>1.8189270464029608</v>
      </c>
      <c r="Z19">
        <f t="shared" si="17"/>
        <v>3.1264170577751678</v>
      </c>
      <c r="AA19">
        <f t="shared" si="18"/>
        <v>1.3619639905861411</v>
      </c>
      <c r="AB19">
        <f t="shared" si="19"/>
        <v>-175.90131729160206</v>
      </c>
      <c r="AC19">
        <f t="shared" si="20"/>
        <v>-46.925418563217974</v>
      </c>
      <c r="AD19">
        <f t="shared" si="21"/>
        <v>-3.2960152971001935</v>
      </c>
      <c r="AE19">
        <f t="shared" si="22"/>
        <v>63.452278085751161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50894.069945956413</v>
      </c>
      <c r="AK19" t="s">
        <v>415</v>
      </c>
      <c r="AL19">
        <v>10180.200000000001</v>
      </c>
      <c r="AM19">
        <v>191.60769230769199</v>
      </c>
      <c r="AN19">
        <v>979.671341309485</v>
      </c>
      <c r="AO19">
        <f t="shared" si="26"/>
        <v>0.80441635451785476</v>
      </c>
      <c r="AP19">
        <v>-2.5320139233462702</v>
      </c>
      <c r="AQ19" t="s">
        <v>431</v>
      </c>
      <c r="AR19">
        <v>10151.200000000001</v>
      </c>
      <c r="AS19">
        <v>235.173038461538</v>
      </c>
      <c r="AT19">
        <v>329.01304115678198</v>
      </c>
      <c r="AU19">
        <f t="shared" si="27"/>
        <v>0.28521666607898122</v>
      </c>
      <c r="AV19">
        <v>0.5</v>
      </c>
      <c r="AW19">
        <f t="shared" si="28"/>
        <v>1513.2269996050109</v>
      </c>
      <c r="AX19">
        <f t="shared" si="29"/>
        <v>12.74264942092465</v>
      </c>
      <c r="AY19">
        <f t="shared" si="30"/>
        <v>215.79877992402052</v>
      </c>
      <c r="AZ19">
        <f t="shared" si="31"/>
        <v>1.0094099132686623E-2</v>
      </c>
      <c r="BA19">
        <f t="shared" si="32"/>
        <v>1.9776064130012707</v>
      </c>
      <c r="BB19">
        <f t="shared" si="33"/>
        <v>138.16658733503226</v>
      </c>
      <c r="BC19" t="s">
        <v>417</v>
      </c>
      <c r="BD19">
        <v>0</v>
      </c>
      <c r="BE19">
        <f t="shared" si="34"/>
        <v>138.16658733503226</v>
      </c>
      <c r="BF19">
        <f t="shared" si="35"/>
        <v>0.58005741398805877</v>
      </c>
      <c r="BG19">
        <f t="shared" si="36"/>
        <v>0.49170419893099188</v>
      </c>
      <c r="BH19">
        <f t="shared" si="37"/>
        <v>0.77320810973393073</v>
      </c>
      <c r="BI19">
        <f t="shared" si="38"/>
        <v>0.68294286562531781</v>
      </c>
      <c r="BJ19">
        <f t="shared" si="39"/>
        <v>0.82564181329371622</v>
      </c>
      <c r="BK19">
        <f t="shared" si="40"/>
        <v>0.28888129178852245</v>
      </c>
      <c r="BL19">
        <f t="shared" si="41"/>
        <v>0.7111187082114776</v>
      </c>
      <c r="BM19">
        <v>1721</v>
      </c>
      <c r="BN19">
        <v>290</v>
      </c>
      <c r="BO19">
        <v>300.35000000000002</v>
      </c>
      <c r="BP19">
        <v>125</v>
      </c>
      <c r="BQ19">
        <v>10151.200000000001</v>
      </c>
      <c r="BR19">
        <v>299.06</v>
      </c>
      <c r="BS19">
        <v>1.29</v>
      </c>
      <c r="BT19">
        <v>300</v>
      </c>
      <c r="BU19">
        <v>24.1</v>
      </c>
      <c r="BV19">
        <v>329.01304115678198</v>
      </c>
      <c r="BW19">
        <v>1.63152973113128</v>
      </c>
      <c r="BX19">
        <v>-30.4068847543274</v>
      </c>
      <c r="BY19">
        <v>1.4722341989582499</v>
      </c>
      <c r="BZ19">
        <v>0.93840329208388595</v>
      </c>
      <c r="CA19">
        <v>-6.8855045606229298E-3</v>
      </c>
      <c r="CB19">
        <v>290</v>
      </c>
      <c r="CC19">
        <v>299.39</v>
      </c>
      <c r="CD19">
        <v>865</v>
      </c>
      <c r="CE19">
        <v>10097.799999999999</v>
      </c>
      <c r="CF19">
        <v>298.89999999999998</v>
      </c>
      <c r="CG19">
        <v>0.49</v>
      </c>
      <c r="CU19">
        <f t="shared" si="42"/>
        <v>1800.05</v>
      </c>
      <c r="CV19">
        <f t="shared" si="43"/>
        <v>1513.2269996050109</v>
      </c>
      <c r="CW19">
        <f t="shared" si="44"/>
        <v>0.84065831482737197</v>
      </c>
      <c r="CX19">
        <f t="shared" si="45"/>
        <v>0.16087054761682809</v>
      </c>
      <c r="CY19">
        <v>1.9</v>
      </c>
      <c r="CZ19">
        <v>0.5</v>
      </c>
      <c r="DA19" t="s">
        <v>418</v>
      </c>
      <c r="DB19">
        <v>2</v>
      </c>
      <c r="DC19">
        <v>1742538606.0999999</v>
      </c>
      <c r="DD19">
        <v>194.82933333333301</v>
      </c>
      <c r="DE19">
        <v>199.96733333333299</v>
      </c>
      <c r="DF19">
        <v>19.008600000000001</v>
      </c>
      <c r="DG19">
        <v>17.5215666666667</v>
      </c>
      <c r="DH19">
        <v>194.03233333333301</v>
      </c>
      <c r="DI19">
        <v>19.0763</v>
      </c>
      <c r="DJ19">
        <v>499.952333333333</v>
      </c>
      <c r="DK19">
        <v>95.589666666666702</v>
      </c>
      <c r="DL19">
        <v>0.1000236</v>
      </c>
      <c r="DM19">
        <v>24.7169666666667</v>
      </c>
      <c r="DN19">
        <v>25.006399999999999</v>
      </c>
      <c r="DO19">
        <v>999.9</v>
      </c>
      <c r="DP19">
        <v>0</v>
      </c>
      <c r="DQ19">
        <v>0</v>
      </c>
      <c r="DR19">
        <v>9992.09</v>
      </c>
      <c r="DS19">
        <v>0</v>
      </c>
      <c r="DT19">
        <v>1315.5333333333299</v>
      </c>
      <c r="DU19">
        <v>-5.1377166666666696</v>
      </c>
      <c r="DV19">
        <v>198.60466666666699</v>
      </c>
      <c r="DW19">
        <v>203.53366666666699</v>
      </c>
      <c r="DX19">
        <v>1.4870666666666701</v>
      </c>
      <c r="DY19">
        <v>199.96733333333299</v>
      </c>
      <c r="DZ19">
        <v>17.5215666666667</v>
      </c>
      <c r="EA19">
        <v>1.8170299999999999</v>
      </c>
      <c r="EB19">
        <v>1.6748799999999999</v>
      </c>
      <c r="EC19">
        <v>15.9340333333333</v>
      </c>
      <c r="ED19">
        <v>14.6655333333333</v>
      </c>
      <c r="EE19">
        <v>1800.05</v>
      </c>
      <c r="EF19">
        <v>0.97799499999999995</v>
      </c>
      <c r="EG19">
        <v>2.20048333333333E-2</v>
      </c>
      <c r="EH19">
        <v>0</v>
      </c>
      <c r="EI19">
        <v>235.161333333333</v>
      </c>
      <c r="EJ19">
        <v>5.0006000000000004</v>
      </c>
      <c r="EK19">
        <v>4499.38</v>
      </c>
      <c r="EL19">
        <v>18194.433333333302</v>
      </c>
      <c r="EM19">
        <v>46.625</v>
      </c>
      <c r="EN19">
        <v>47.686999999999998</v>
      </c>
      <c r="EO19">
        <v>47.061999999999998</v>
      </c>
      <c r="EP19">
        <v>46.811999999999998</v>
      </c>
      <c r="EQ19">
        <v>48.25</v>
      </c>
      <c r="ER19">
        <v>1755.55</v>
      </c>
      <c r="ES19">
        <v>39.5</v>
      </c>
      <c r="ET19">
        <v>0</v>
      </c>
      <c r="EU19">
        <v>121.90000009536701</v>
      </c>
      <c r="EV19">
        <v>0</v>
      </c>
      <c r="EW19">
        <v>235.173038461538</v>
      </c>
      <c r="EX19">
        <v>-0.48823931550622102</v>
      </c>
      <c r="EY19">
        <v>-11.6594871815351</v>
      </c>
      <c r="EZ19">
        <v>4500.1899999999996</v>
      </c>
      <c r="FA19">
        <v>15</v>
      </c>
      <c r="FB19">
        <v>1742538555.0999999</v>
      </c>
      <c r="FC19" t="s">
        <v>432</v>
      </c>
      <c r="FD19">
        <v>1742538550.0999999</v>
      </c>
      <c r="FE19">
        <v>1742538555.0999999</v>
      </c>
      <c r="FF19">
        <v>34</v>
      </c>
      <c r="FG19">
        <v>-0.32700000000000001</v>
      </c>
      <c r="FH19">
        <v>4.0000000000000001E-3</v>
      </c>
      <c r="FI19">
        <v>0.79700000000000004</v>
      </c>
      <c r="FJ19">
        <v>-6.8000000000000005E-2</v>
      </c>
      <c r="FK19">
        <v>200</v>
      </c>
      <c r="FL19">
        <v>17</v>
      </c>
      <c r="FM19">
        <v>0.39</v>
      </c>
      <c r="FN19">
        <v>0.22</v>
      </c>
      <c r="FO19">
        <v>-5.1538223809523798</v>
      </c>
      <c r="FP19">
        <v>9.8774025973982008E-3</v>
      </c>
      <c r="FQ19">
        <v>3.7183985660081603E-2</v>
      </c>
      <c r="FR19">
        <v>1</v>
      </c>
      <c r="FS19">
        <v>235.195941176471</v>
      </c>
      <c r="FT19">
        <v>-0.465821235686249</v>
      </c>
      <c r="FU19">
        <v>0.153809458359908</v>
      </c>
      <c r="FV19">
        <v>1</v>
      </c>
      <c r="FW19">
        <v>1.4802061904761901</v>
      </c>
      <c r="FX19">
        <v>-1.2046753246740701E-3</v>
      </c>
      <c r="FY19">
        <v>4.9922897468095504E-3</v>
      </c>
      <c r="FZ19">
        <v>1</v>
      </c>
      <c r="GA19">
        <v>3</v>
      </c>
      <c r="GB19">
        <v>3</v>
      </c>
      <c r="GC19" t="s">
        <v>420</v>
      </c>
      <c r="GD19">
        <v>3.1396799999999998</v>
      </c>
      <c r="GE19">
        <v>2.7469000000000001</v>
      </c>
      <c r="GF19">
        <v>4.6151400000000002E-2</v>
      </c>
      <c r="GG19">
        <v>4.8694800000000003E-2</v>
      </c>
      <c r="GH19">
        <v>9.2415499999999998E-2</v>
      </c>
      <c r="GI19">
        <v>8.9354600000000006E-2</v>
      </c>
      <c r="GJ19">
        <v>25008.1</v>
      </c>
      <c r="GK19">
        <v>31237.8</v>
      </c>
      <c r="GL19">
        <v>26745.599999999999</v>
      </c>
      <c r="GM19">
        <v>31000.2</v>
      </c>
      <c r="GN19">
        <v>34250.400000000001</v>
      </c>
      <c r="GO19">
        <v>37647.9</v>
      </c>
      <c r="GP19">
        <v>41266.1</v>
      </c>
      <c r="GQ19">
        <v>44953.8</v>
      </c>
      <c r="GR19">
        <v>1.67682</v>
      </c>
      <c r="GS19">
        <v>1.85565</v>
      </c>
      <c r="GT19">
        <v>7.0441500000000004E-2</v>
      </c>
      <c r="GU19">
        <v>0</v>
      </c>
      <c r="GV19">
        <v>23.851400000000002</v>
      </c>
      <c r="GW19">
        <v>999.9</v>
      </c>
      <c r="GX19">
        <v>49.591000000000001</v>
      </c>
      <c r="GY19">
        <v>35.268000000000001</v>
      </c>
      <c r="GZ19">
        <v>29.738399999999999</v>
      </c>
      <c r="HA19">
        <v>61.046999999999997</v>
      </c>
      <c r="HB19">
        <v>19.134599999999999</v>
      </c>
      <c r="HC19">
        <v>1</v>
      </c>
      <c r="HD19">
        <v>0.76341499999999995</v>
      </c>
      <c r="HE19">
        <v>6.5793600000000003</v>
      </c>
      <c r="HF19">
        <v>20.053699999999999</v>
      </c>
      <c r="HG19">
        <v>5.2216300000000002</v>
      </c>
      <c r="HH19">
        <v>11.986000000000001</v>
      </c>
      <c r="HI19">
        <v>4.9507500000000002</v>
      </c>
      <c r="HJ19">
        <v>3.2850000000000001</v>
      </c>
      <c r="HK19">
        <v>9999</v>
      </c>
      <c r="HL19">
        <v>9999</v>
      </c>
      <c r="HM19">
        <v>999.9</v>
      </c>
      <c r="HN19">
        <v>9999</v>
      </c>
      <c r="HO19">
        <v>1.8594200000000001</v>
      </c>
      <c r="HP19">
        <v>1.86005</v>
      </c>
      <c r="HQ19">
        <v>1.85575</v>
      </c>
      <c r="HR19">
        <v>1.8585</v>
      </c>
      <c r="HS19">
        <v>1.86249</v>
      </c>
      <c r="HT19">
        <v>1.8580300000000001</v>
      </c>
      <c r="HU19">
        <v>1.855</v>
      </c>
      <c r="HV19">
        <v>1.86229</v>
      </c>
      <c r="HW19">
        <v>5</v>
      </c>
      <c r="HX19">
        <v>0</v>
      </c>
      <c r="HY19">
        <v>0</v>
      </c>
      <c r="HZ19">
        <v>0</v>
      </c>
      <c r="IA19" t="s">
        <v>421</v>
      </c>
      <c r="IB19" t="s">
        <v>422</v>
      </c>
      <c r="IC19" t="s">
        <v>423</v>
      </c>
      <c r="ID19" t="s">
        <v>423</v>
      </c>
      <c r="IE19" t="s">
        <v>423</v>
      </c>
      <c r="IF19" t="s">
        <v>423</v>
      </c>
      <c r="IG19">
        <v>0</v>
      </c>
      <c r="IH19">
        <v>100</v>
      </c>
      <c r="II19">
        <v>100</v>
      </c>
      <c r="IJ19">
        <v>0.79700000000000004</v>
      </c>
      <c r="IK19">
        <v>-6.7699999999999996E-2</v>
      </c>
      <c r="IL19">
        <v>0.79740000000000999</v>
      </c>
      <c r="IM19">
        <v>0</v>
      </c>
      <c r="IN19">
        <v>0</v>
      </c>
      <c r="IO19">
        <v>0</v>
      </c>
      <c r="IP19">
        <v>-6.7709090909090705E-2</v>
      </c>
      <c r="IQ19">
        <v>0</v>
      </c>
      <c r="IR19">
        <v>0</v>
      </c>
      <c r="IS19">
        <v>0</v>
      </c>
      <c r="IT19">
        <v>-1</v>
      </c>
      <c r="IU19">
        <v>-1</v>
      </c>
      <c r="IV19">
        <v>-1</v>
      </c>
      <c r="IW19">
        <v>-1</v>
      </c>
      <c r="IX19">
        <v>1</v>
      </c>
      <c r="IY19">
        <v>0.9</v>
      </c>
      <c r="IZ19">
        <v>0.60546900000000003</v>
      </c>
      <c r="JA19">
        <v>2.7722199999999999</v>
      </c>
      <c r="JB19">
        <v>1.69678</v>
      </c>
      <c r="JC19">
        <v>2.3645</v>
      </c>
      <c r="JD19">
        <v>1.4978</v>
      </c>
      <c r="JE19">
        <v>2.4267599999999998</v>
      </c>
      <c r="JF19">
        <v>39.994199999999999</v>
      </c>
      <c r="JG19">
        <v>13.3965</v>
      </c>
      <c r="JH19">
        <v>18</v>
      </c>
      <c r="JI19">
        <v>378.33499999999998</v>
      </c>
      <c r="JJ19">
        <v>498.17599999999999</v>
      </c>
      <c r="JK19">
        <v>16.735299999999999</v>
      </c>
      <c r="JL19">
        <v>35.9726</v>
      </c>
      <c r="JM19">
        <v>29.999500000000001</v>
      </c>
      <c r="JN19">
        <v>36.142299999999999</v>
      </c>
      <c r="JO19">
        <v>36.1676</v>
      </c>
      <c r="JP19">
        <v>12.1516</v>
      </c>
      <c r="JQ19">
        <v>48.131</v>
      </c>
      <c r="JR19">
        <v>100</v>
      </c>
      <c r="JS19">
        <v>16.7471</v>
      </c>
      <c r="JT19">
        <v>200</v>
      </c>
      <c r="JU19">
        <v>17.4467</v>
      </c>
      <c r="JV19">
        <v>101.90300000000001</v>
      </c>
      <c r="JW19">
        <v>99.793199999999999</v>
      </c>
    </row>
    <row r="20" spans="1:283" x14ac:dyDescent="0.25">
      <c r="A20">
        <v>4</v>
      </c>
      <c r="B20">
        <v>1742538756.0999999</v>
      </c>
      <c r="C20">
        <v>425</v>
      </c>
      <c r="D20" t="s">
        <v>433</v>
      </c>
      <c r="E20" t="s">
        <v>434</v>
      </c>
      <c r="F20">
        <v>2</v>
      </c>
      <c r="H20">
        <v>1742538754.0999999</v>
      </c>
      <c r="I20">
        <f t="shared" si="0"/>
        <v>4.9325621747992234E-3</v>
      </c>
      <c r="J20">
        <f t="shared" si="1"/>
        <v>4.932562174799223</v>
      </c>
      <c r="K20">
        <f t="shared" si="2"/>
        <v>8.520247048216623</v>
      </c>
      <c r="L20">
        <f t="shared" si="3"/>
        <v>146.446666666667</v>
      </c>
      <c r="M20">
        <f t="shared" si="4"/>
        <v>104.20019738341232</v>
      </c>
      <c r="N20">
        <f t="shared" si="5"/>
        <v>9.9704864852300954</v>
      </c>
      <c r="O20">
        <f t="shared" si="6"/>
        <v>14.012876630495148</v>
      </c>
      <c r="P20">
        <f t="shared" si="7"/>
        <v>0.36604287102961625</v>
      </c>
      <c r="Q20">
        <f t="shared" si="8"/>
        <v>3.008322469877788</v>
      </c>
      <c r="R20">
        <f t="shared" si="9"/>
        <v>0.34297718142284578</v>
      </c>
      <c r="S20">
        <f t="shared" si="10"/>
        <v>0.21631186756384316</v>
      </c>
      <c r="T20">
        <f t="shared" si="11"/>
        <v>289.57183723766298</v>
      </c>
      <c r="U20">
        <f t="shared" si="12"/>
        <v>25.118186534664957</v>
      </c>
      <c r="V20">
        <f t="shared" si="13"/>
        <v>24.965733333333301</v>
      </c>
      <c r="W20">
        <f t="shared" si="14"/>
        <v>3.1731874711093822</v>
      </c>
      <c r="X20">
        <f t="shared" si="15"/>
        <v>58.680372465420469</v>
      </c>
      <c r="Y20">
        <f t="shared" si="16"/>
        <v>1.8330701490178483</v>
      </c>
      <c r="Z20">
        <f t="shared" si="17"/>
        <v>3.123821598266185</v>
      </c>
      <c r="AA20">
        <f t="shared" si="18"/>
        <v>1.3401173220915339</v>
      </c>
      <c r="AB20">
        <f t="shared" si="19"/>
        <v>-217.52599190864575</v>
      </c>
      <c r="AC20">
        <f t="shared" si="20"/>
        <v>-42.600509541618742</v>
      </c>
      <c r="AD20">
        <f t="shared" si="21"/>
        <v>-2.9903792528358837</v>
      </c>
      <c r="AE20">
        <f t="shared" si="22"/>
        <v>26.454956534562577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50925.924467836798</v>
      </c>
      <c r="AK20" t="s">
        <v>415</v>
      </c>
      <c r="AL20">
        <v>10180.200000000001</v>
      </c>
      <c r="AM20">
        <v>191.60769230769199</v>
      </c>
      <c r="AN20">
        <v>979.671341309485</v>
      </c>
      <c r="AO20">
        <f t="shared" si="26"/>
        <v>0.80441635451785476</v>
      </c>
      <c r="AP20">
        <v>-2.5320139233462702</v>
      </c>
      <c r="AQ20" t="s">
        <v>435</v>
      </c>
      <c r="AR20">
        <v>10140.299999999999</v>
      </c>
      <c r="AS20">
        <v>234.33099999999999</v>
      </c>
      <c r="AT20">
        <v>314.42037840302601</v>
      </c>
      <c r="AU20">
        <f t="shared" si="27"/>
        <v>0.25472069847955892</v>
      </c>
      <c r="AV20">
        <v>0.5</v>
      </c>
      <c r="AW20">
        <f t="shared" si="28"/>
        <v>1513.2101996050069</v>
      </c>
      <c r="AX20">
        <f t="shared" si="29"/>
        <v>8.520247048216623</v>
      </c>
      <c r="AY20">
        <f t="shared" si="30"/>
        <v>192.72297949489007</v>
      </c>
      <c r="AZ20">
        <f t="shared" si="31"/>
        <v>7.3038504329721431E-3</v>
      </c>
      <c r="BA20">
        <f t="shared" si="32"/>
        <v>2.1158010377232488</v>
      </c>
      <c r="BB20">
        <f t="shared" si="33"/>
        <v>135.52518959737904</v>
      </c>
      <c r="BC20" t="s">
        <v>417</v>
      </c>
      <c r="BD20">
        <v>0</v>
      </c>
      <c r="BE20">
        <f t="shared" si="34"/>
        <v>135.52518959737904</v>
      </c>
      <c r="BF20">
        <f t="shared" si="35"/>
        <v>0.56896817475468464</v>
      </c>
      <c r="BG20">
        <f t="shared" si="36"/>
        <v>0.44768883354395683</v>
      </c>
      <c r="BH20">
        <f t="shared" si="37"/>
        <v>0.78807557382947269</v>
      </c>
      <c r="BI20">
        <f t="shared" si="38"/>
        <v>0.65212626601828583</v>
      </c>
      <c r="BJ20">
        <f t="shared" si="39"/>
        <v>0.84415892516943825</v>
      </c>
      <c r="BK20">
        <f t="shared" si="40"/>
        <v>0.25892056128584873</v>
      </c>
      <c r="BL20">
        <f t="shared" si="41"/>
        <v>0.74107943871415127</v>
      </c>
      <c r="BM20">
        <v>1722</v>
      </c>
      <c r="BN20">
        <v>290</v>
      </c>
      <c r="BO20">
        <v>291.24</v>
      </c>
      <c r="BP20">
        <v>185</v>
      </c>
      <c r="BQ20">
        <v>10140.299999999999</v>
      </c>
      <c r="BR20">
        <v>290.04000000000002</v>
      </c>
      <c r="BS20">
        <v>1.2</v>
      </c>
      <c r="BT20">
        <v>300</v>
      </c>
      <c r="BU20">
        <v>24.1</v>
      </c>
      <c r="BV20">
        <v>314.42037840302601</v>
      </c>
      <c r="BW20">
        <v>1.1799317593515299</v>
      </c>
      <c r="BX20">
        <v>-24.718832917153101</v>
      </c>
      <c r="BY20">
        <v>1.0648136714954599</v>
      </c>
      <c r="BZ20">
        <v>0.95060862734912599</v>
      </c>
      <c r="CA20">
        <v>-6.8858765294771999E-3</v>
      </c>
      <c r="CB20">
        <v>290</v>
      </c>
      <c r="CC20">
        <v>291.47000000000003</v>
      </c>
      <c r="CD20">
        <v>875</v>
      </c>
      <c r="CE20">
        <v>10098.299999999999</v>
      </c>
      <c r="CF20">
        <v>289.94</v>
      </c>
      <c r="CG20">
        <v>1.53</v>
      </c>
      <c r="CU20">
        <f t="shared" si="42"/>
        <v>1800.03</v>
      </c>
      <c r="CV20">
        <f t="shared" si="43"/>
        <v>1513.2101996050069</v>
      </c>
      <c r="CW20">
        <f t="shared" si="44"/>
        <v>0.84065832214185698</v>
      </c>
      <c r="CX20">
        <f t="shared" si="45"/>
        <v>0.16087056173378386</v>
      </c>
      <c r="CY20">
        <v>1.9</v>
      </c>
      <c r="CZ20">
        <v>0.5</v>
      </c>
      <c r="DA20" t="s">
        <v>418</v>
      </c>
      <c r="DB20">
        <v>2</v>
      </c>
      <c r="DC20">
        <v>1742538754.0999999</v>
      </c>
      <c r="DD20">
        <v>146.446666666667</v>
      </c>
      <c r="DE20">
        <v>149.958666666667</v>
      </c>
      <c r="DF20">
        <v>19.157166666666701</v>
      </c>
      <c r="DG20">
        <v>17.3188</v>
      </c>
      <c r="DH20">
        <v>145.78166666666701</v>
      </c>
      <c r="DI20">
        <v>19.227866666666699</v>
      </c>
      <c r="DJ20">
        <v>500.02699999999999</v>
      </c>
      <c r="DK20">
        <v>95.585966666666707</v>
      </c>
      <c r="DL20">
        <v>9.99028E-2</v>
      </c>
      <c r="DM20">
        <v>24.7030666666667</v>
      </c>
      <c r="DN20">
        <v>24.965733333333301</v>
      </c>
      <c r="DO20">
        <v>999.9</v>
      </c>
      <c r="DP20">
        <v>0</v>
      </c>
      <c r="DQ20">
        <v>0</v>
      </c>
      <c r="DR20">
        <v>9998.5266666666703</v>
      </c>
      <c r="DS20">
        <v>0</v>
      </c>
      <c r="DT20">
        <v>1375.09</v>
      </c>
      <c r="DU20">
        <v>-3.5116499999999999</v>
      </c>
      <c r="DV20">
        <v>149.30733333333299</v>
      </c>
      <c r="DW20">
        <v>152.601333333333</v>
      </c>
      <c r="DX20">
        <v>1.83839</v>
      </c>
      <c r="DY20">
        <v>149.958666666667</v>
      </c>
      <c r="DZ20">
        <v>17.3188</v>
      </c>
      <c r="EA20">
        <v>1.8311566666666701</v>
      </c>
      <c r="EB20">
        <v>1.65543333333333</v>
      </c>
      <c r="EC20">
        <v>16.055333333333301</v>
      </c>
      <c r="ED20">
        <v>14.4847</v>
      </c>
      <c r="EE20">
        <v>1800.03</v>
      </c>
      <c r="EF20">
        <v>0.977993</v>
      </c>
      <c r="EG20">
        <v>2.2006700000000001E-2</v>
      </c>
      <c r="EH20">
        <v>0</v>
      </c>
      <c r="EI20">
        <v>234.376</v>
      </c>
      <c r="EJ20">
        <v>5.0006000000000004</v>
      </c>
      <c r="EK20">
        <v>4484.9666666666699</v>
      </c>
      <c r="EL20">
        <v>18194.2</v>
      </c>
      <c r="EM20">
        <v>46.5</v>
      </c>
      <c r="EN20">
        <v>47.5</v>
      </c>
      <c r="EO20">
        <v>46.978999999999999</v>
      </c>
      <c r="EP20">
        <v>46.666333333333299</v>
      </c>
      <c r="EQ20">
        <v>48.145666666666699</v>
      </c>
      <c r="ER20">
        <v>1755.53</v>
      </c>
      <c r="ES20">
        <v>39.5</v>
      </c>
      <c r="ET20">
        <v>0</v>
      </c>
      <c r="EU20">
        <v>146.89999985694899</v>
      </c>
      <c r="EV20">
        <v>0</v>
      </c>
      <c r="EW20">
        <v>234.33099999999999</v>
      </c>
      <c r="EX20">
        <v>0.18803419606029301</v>
      </c>
      <c r="EY20">
        <v>-2.1141880441143002</v>
      </c>
      <c r="EZ20">
        <v>4485.0115384615401</v>
      </c>
      <c r="FA20">
        <v>15</v>
      </c>
      <c r="FB20">
        <v>1742538689.0999999</v>
      </c>
      <c r="FC20" t="s">
        <v>436</v>
      </c>
      <c r="FD20">
        <v>1742538680.0999999</v>
      </c>
      <c r="FE20">
        <v>1742538689.0999999</v>
      </c>
      <c r="FF20">
        <v>35</v>
      </c>
      <c r="FG20">
        <v>-0.13200000000000001</v>
      </c>
      <c r="FH20">
        <v>-3.0000000000000001E-3</v>
      </c>
      <c r="FI20">
        <v>0.66600000000000004</v>
      </c>
      <c r="FJ20">
        <v>-7.0999999999999994E-2</v>
      </c>
      <c r="FK20">
        <v>150</v>
      </c>
      <c r="FL20">
        <v>17</v>
      </c>
      <c r="FM20">
        <v>0.38</v>
      </c>
      <c r="FN20">
        <v>0.2</v>
      </c>
      <c r="FO20">
        <v>-3.5076375</v>
      </c>
      <c r="FP20">
        <v>-6.0364060150375702E-2</v>
      </c>
      <c r="FQ20">
        <v>2.84039622016014E-2</v>
      </c>
      <c r="FR20">
        <v>1</v>
      </c>
      <c r="FS20">
        <v>234.362941176471</v>
      </c>
      <c r="FT20">
        <v>-0.32103895418733103</v>
      </c>
      <c r="FU20">
        <v>0.178710074303156</v>
      </c>
      <c r="FV20">
        <v>1</v>
      </c>
      <c r="FW20">
        <v>1.8244689999999999</v>
      </c>
      <c r="FX20">
        <v>9.7340751879699705E-2</v>
      </c>
      <c r="FY20">
        <v>1.04653446670427E-2</v>
      </c>
      <c r="FZ20">
        <v>1</v>
      </c>
      <c r="GA20">
        <v>3</v>
      </c>
      <c r="GB20">
        <v>3</v>
      </c>
      <c r="GC20" t="s">
        <v>420</v>
      </c>
      <c r="GD20">
        <v>3.1396299999999999</v>
      </c>
      <c r="GE20">
        <v>2.74688</v>
      </c>
      <c r="GF20">
        <v>3.5653400000000002E-2</v>
      </c>
      <c r="GG20">
        <v>3.7593799999999997E-2</v>
      </c>
      <c r="GH20">
        <v>9.2937000000000006E-2</v>
      </c>
      <c r="GI20">
        <v>8.8626200000000002E-2</v>
      </c>
      <c r="GJ20">
        <v>25286.5</v>
      </c>
      <c r="GK20">
        <v>31604.7</v>
      </c>
      <c r="GL20">
        <v>26749.3</v>
      </c>
      <c r="GM20">
        <v>31003.1</v>
      </c>
      <c r="GN20">
        <v>34234.9</v>
      </c>
      <c r="GO20">
        <v>37681.699999999997</v>
      </c>
      <c r="GP20">
        <v>41271.199999999997</v>
      </c>
      <c r="GQ20">
        <v>44958.400000000001</v>
      </c>
      <c r="GR20">
        <v>1.67778</v>
      </c>
      <c r="GS20">
        <v>1.8556999999999999</v>
      </c>
      <c r="GT20">
        <v>6.8694400000000003E-2</v>
      </c>
      <c r="GU20">
        <v>0</v>
      </c>
      <c r="GV20">
        <v>23.830300000000001</v>
      </c>
      <c r="GW20">
        <v>999.9</v>
      </c>
      <c r="GX20">
        <v>49.445</v>
      </c>
      <c r="GY20">
        <v>35.277999999999999</v>
      </c>
      <c r="GZ20">
        <v>29.671399999999998</v>
      </c>
      <c r="HA20">
        <v>60.677</v>
      </c>
      <c r="HB20">
        <v>19.1386</v>
      </c>
      <c r="HC20">
        <v>1</v>
      </c>
      <c r="HD20">
        <v>0.75733200000000001</v>
      </c>
      <c r="HE20">
        <v>6.4135400000000002</v>
      </c>
      <c r="HF20">
        <v>20.060500000000001</v>
      </c>
      <c r="HG20">
        <v>5.2223800000000002</v>
      </c>
      <c r="HH20">
        <v>11.985799999999999</v>
      </c>
      <c r="HI20">
        <v>4.9510500000000004</v>
      </c>
      <c r="HJ20">
        <v>3.2850000000000001</v>
      </c>
      <c r="HK20">
        <v>9999</v>
      </c>
      <c r="HL20">
        <v>9999</v>
      </c>
      <c r="HM20">
        <v>999.9</v>
      </c>
      <c r="HN20">
        <v>9999</v>
      </c>
      <c r="HO20">
        <v>1.85941</v>
      </c>
      <c r="HP20">
        <v>1.86005</v>
      </c>
      <c r="HQ20">
        <v>1.8557300000000001</v>
      </c>
      <c r="HR20">
        <v>1.8585199999999999</v>
      </c>
      <c r="HS20">
        <v>1.86249</v>
      </c>
      <c r="HT20">
        <v>1.85805</v>
      </c>
      <c r="HU20">
        <v>1.8549899999999999</v>
      </c>
      <c r="HV20">
        <v>1.8623099999999999</v>
      </c>
      <c r="HW20">
        <v>5</v>
      </c>
      <c r="HX20">
        <v>0</v>
      </c>
      <c r="HY20">
        <v>0</v>
      </c>
      <c r="HZ20">
        <v>0</v>
      </c>
      <c r="IA20" t="s">
        <v>421</v>
      </c>
      <c r="IB20" t="s">
        <v>422</v>
      </c>
      <c r="IC20" t="s">
        <v>423</v>
      </c>
      <c r="ID20" t="s">
        <v>423</v>
      </c>
      <c r="IE20" t="s">
        <v>423</v>
      </c>
      <c r="IF20" t="s">
        <v>423</v>
      </c>
      <c r="IG20">
        <v>0</v>
      </c>
      <c r="IH20">
        <v>100</v>
      </c>
      <c r="II20">
        <v>100</v>
      </c>
      <c r="IJ20">
        <v>0.66500000000000004</v>
      </c>
      <c r="IK20">
        <v>-7.0699999999999999E-2</v>
      </c>
      <c r="IL20">
        <v>0.66563636363630996</v>
      </c>
      <c r="IM20">
        <v>0</v>
      </c>
      <c r="IN20">
        <v>0</v>
      </c>
      <c r="IO20">
        <v>0</v>
      </c>
      <c r="IP20">
        <v>-7.0690000000006095E-2</v>
      </c>
      <c r="IQ20">
        <v>0</v>
      </c>
      <c r="IR20">
        <v>0</v>
      </c>
      <c r="IS20">
        <v>0</v>
      </c>
      <c r="IT20">
        <v>-1</v>
      </c>
      <c r="IU20">
        <v>-1</v>
      </c>
      <c r="IV20">
        <v>-1</v>
      </c>
      <c r="IW20">
        <v>-1</v>
      </c>
      <c r="IX20">
        <v>1.3</v>
      </c>
      <c r="IY20">
        <v>1.1000000000000001</v>
      </c>
      <c r="IZ20">
        <v>0.49316399999999999</v>
      </c>
      <c r="JA20">
        <v>2.7722199999999999</v>
      </c>
      <c r="JB20">
        <v>1.69678</v>
      </c>
      <c r="JC20">
        <v>2.3645</v>
      </c>
      <c r="JD20">
        <v>1.4978</v>
      </c>
      <c r="JE20">
        <v>2.3999000000000001</v>
      </c>
      <c r="JF20">
        <v>39.9437</v>
      </c>
      <c r="JG20">
        <v>13.3703</v>
      </c>
      <c r="JH20">
        <v>18</v>
      </c>
      <c r="JI20">
        <v>378.536</v>
      </c>
      <c r="JJ20">
        <v>497.77100000000002</v>
      </c>
      <c r="JK20">
        <v>16.888300000000001</v>
      </c>
      <c r="JL20">
        <v>35.912700000000001</v>
      </c>
      <c r="JM20">
        <v>29.9999</v>
      </c>
      <c r="JN20">
        <v>36.082599999999999</v>
      </c>
      <c r="JO20">
        <v>36.107599999999998</v>
      </c>
      <c r="JP20">
        <v>9.8950800000000001</v>
      </c>
      <c r="JQ20">
        <v>48.410600000000002</v>
      </c>
      <c r="JR20">
        <v>100</v>
      </c>
      <c r="JS20">
        <v>16.889800000000001</v>
      </c>
      <c r="JT20">
        <v>150</v>
      </c>
      <c r="JU20">
        <v>17.231999999999999</v>
      </c>
      <c r="JV20">
        <v>101.916</v>
      </c>
      <c r="JW20">
        <v>99.802999999999997</v>
      </c>
    </row>
    <row r="21" spans="1:283" x14ac:dyDescent="0.25">
      <c r="A21">
        <v>5</v>
      </c>
      <c r="B21">
        <v>1742538897.0999999</v>
      </c>
      <c r="C21">
        <v>566</v>
      </c>
      <c r="D21" t="s">
        <v>437</v>
      </c>
      <c r="E21" t="s">
        <v>438</v>
      </c>
      <c r="F21">
        <v>2</v>
      </c>
      <c r="H21">
        <v>1742538895.0999999</v>
      </c>
      <c r="I21">
        <f t="shared" si="0"/>
        <v>4.4069333625220636E-3</v>
      </c>
      <c r="J21">
        <f t="shared" si="1"/>
        <v>4.4069333625220635</v>
      </c>
      <c r="K21">
        <f t="shared" si="2"/>
        <v>4.2645930838803938</v>
      </c>
      <c r="L21">
        <f t="shared" si="3"/>
        <v>98.282933333333304</v>
      </c>
      <c r="M21">
        <f t="shared" si="4"/>
        <v>74.410206366789879</v>
      </c>
      <c r="N21">
        <f t="shared" si="5"/>
        <v>7.1196354176269177</v>
      </c>
      <c r="O21">
        <f t="shared" si="6"/>
        <v>9.4037993882055186</v>
      </c>
      <c r="P21">
        <f t="shared" si="7"/>
        <v>0.32738100158941758</v>
      </c>
      <c r="Q21">
        <f t="shared" si="8"/>
        <v>3.0077321343838812</v>
      </c>
      <c r="R21">
        <f t="shared" si="9"/>
        <v>0.30879429526545427</v>
      </c>
      <c r="S21">
        <f t="shared" si="10"/>
        <v>0.19457838519252119</v>
      </c>
      <c r="T21">
        <f t="shared" si="11"/>
        <v>289.56535923803534</v>
      </c>
      <c r="U21">
        <f t="shared" si="12"/>
        <v>25.271171307278387</v>
      </c>
      <c r="V21">
        <f t="shared" si="13"/>
        <v>24.9899666666667</v>
      </c>
      <c r="W21">
        <f t="shared" si="14"/>
        <v>3.177776073165306</v>
      </c>
      <c r="X21">
        <f t="shared" si="15"/>
        <v>59.094279762030169</v>
      </c>
      <c r="Y21">
        <f t="shared" si="16"/>
        <v>1.8481371562930067</v>
      </c>
      <c r="Z21">
        <f t="shared" si="17"/>
        <v>3.1274383303009472</v>
      </c>
      <c r="AA21">
        <f t="shared" si="18"/>
        <v>1.3296389168722993</v>
      </c>
      <c r="AB21">
        <f t="shared" si="19"/>
        <v>-194.34576128722301</v>
      </c>
      <c r="AC21">
        <f t="shared" si="20"/>
        <v>-43.381293761903585</v>
      </c>
      <c r="AD21">
        <f t="shared" si="21"/>
        <v>-3.0464536367660768</v>
      </c>
      <c r="AE21">
        <f t="shared" si="22"/>
        <v>48.791850552142641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50905.729832220597</v>
      </c>
      <c r="AK21" t="s">
        <v>415</v>
      </c>
      <c r="AL21">
        <v>10180.200000000001</v>
      </c>
      <c r="AM21">
        <v>191.60769230769199</v>
      </c>
      <c r="AN21">
        <v>979.671341309485</v>
      </c>
      <c r="AO21">
        <f t="shared" si="26"/>
        <v>0.80441635451785476</v>
      </c>
      <c r="AP21">
        <v>-2.5320139233462702</v>
      </c>
      <c r="AQ21" t="s">
        <v>439</v>
      </c>
      <c r="AR21">
        <v>10133</v>
      </c>
      <c r="AS21">
        <v>234.30467999999999</v>
      </c>
      <c r="AT21">
        <v>300.05571775475602</v>
      </c>
      <c r="AU21">
        <f t="shared" si="27"/>
        <v>0.21912942785011746</v>
      </c>
      <c r="AV21">
        <v>0.5</v>
      </c>
      <c r="AW21">
        <f t="shared" si="28"/>
        <v>1513.1815996052021</v>
      </c>
      <c r="AX21">
        <f t="shared" si="29"/>
        <v>4.2645930838803938</v>
      </c>
      <c r="AY21">
        <f t="shared" si="30"/>
        <v>165.79130907740674</v>
      </c>
      <c r="AZ21">
        <f t="shared" si="31"/>
        <v>4.4916003531895567E-3</v>
      </c>
      <c r="BA21">
        <f t="shared" si="32"/>
        <v>2.2649647493476457</v>
      </c>
      <c r="BB21">
        <f t="shared" si="33"/>
        <v>132.78517799836388</v>
      </c>
      <c r="BC21" t="s">
        <v>417</v>
      </c>
      <c r="BD21">
        <v>0</v>
      </c>
      <c r="BE21">
        <f t="shared" si="34"/>
        <v>132.78517799836388</v>
      </c>
      <c r="BF21">
        <f t="shared" si="35"/>
        <v>0.55746493020708598</v>
      </c>
      <c r="BG21">
        <f t="shared" si="36"/>
        <v>0.39308199668939847</v>
      </c>
      <c r="BH21">
        <f t="shared" si="37"/>
        <v>0.80248757506864365</v>
      </c>
      <c r="BI21">
        <f t="shared" si="38"/>
        <v>0.60629077831251632</v>
      </c>
      <c r="BJ21">
        <f t="shared" si="39"/>
        <v>0.86238671764085217</v>
      </c>
      <c r="BK21">
        <f t="shared" si="40"/>
        <v>0.2227674790719249</v>
      </c>
      <c r="BL21">
        <f t="shared" si="41"/>
        <v>0.77723252092807504</v>
      </c>
      <c r="BM21">
        <v>1723</v>
      </c>
      <c r="BN21">
        <v>290</v>
      </c>
      <c r="BO21">
        <v>282.45</v>
      </c>
      <c r="BP21">
        <v>235</v>
      </c>
      <c r="BQ21">
        <v>10133</v>
      </c>
      <c r="BR21">
        <v>281.87</v>
      </c>
      <c r="BS21">
        <v>0.57999999999999996</v>
      </c>
      <c r="BT21">
        <v>300</v>
      </c>
      <c r="BU21">
        <v>24.1</v>
      </c>
      <c r="BV21">
        <v>300.05571775475602</v>
      </c>
      <c r="BW21">
        <v>1.4480511452232701</v>
      </c>
      <c r="BX21">
        <v>-18.426157332851101</v>
      </c>
      <c r="BY21">
        <v>1.3068438167868801</v>
      </c>
      <c r="BZ21">
        <v>0.87654465392849901</v>
      </c>
      <c r="CA21">
        <v>-6.8862117908787502E-3</v>
      </c>
      <c r="CB21">
        <v>290</v>
      </c>
      <c r="CC21">
        <v>284.24</v>
      </c>
      <c r="CD21">
        <v>845</v>
      </c>
      <c r="CE21">
        <v>10100.1</v>
      </c>
      <c r="CF21">
        <v>281.81</v>
      </c>
      <c r="CG21">
        <v>2.4300000000000002</v>
      </c>
      <c r="CU21">
        <f t="shared" si="42"/>
        <v>1799.9966666666701</v>
      </c>
      <c r="CV21">
        <f t="shared" si="43"/>
        <v>1513.1815996052021</v>
      </c>
      <c r="CW21">
        <f t="shared" si="44"/>
        <v>0.84065800099918664</v>
      </c>
      <c r="CX21">
        <f t="shared" si="45"/>
        <v>0.16086994192843032</v>
      </c>
      <c r="CY21">
        <v>1.9</v>
      </c>
      <c r="CZ21">
        <v>0.5</v>
      </c>
      <c r="DA21" t="s">
        <v>418</v>
      </c>
      <c r="DB21">
        <v>2</v>
      </c>
      <c r="DC21">
        <v>1742538895.0999999</v>
      </c>
      <c r="DD21">
        <v>98.282933333333304</v>
      </c>
      <c r="DE21">
        <v>100.068333333333</v>
      </c>
      <c r="DF21">
        <v>19.315633333333299</v>
      </c>
      <c r="DG21">
        <v>17.673100000000002</v>
      </c>
      <c r="DH21">
        <v>97.636733333333297</v>
      </c>
      <c r="DI21">
        <v>19.3898333333333</v>
      </c>
      <c r="DJ21">
        <v>499.92533333333301</v>
      </c>
      <c r="DK21">
        <v>95.5809</v>
      </c>
      <c r="DL21">
        <v>9.9998699999999996E-2</v>
      </c>
      <c r="DM21">
        <v>24.722433333333299</v>
      </c>
      <c r="DN21">
        <v>24.9899666666667</v>
      </c>
      <c r="DO21">
        <v>999.9</v>
      </c>
      <c r="DP21">
        <v>0</v>
      </c>
      <c r="DQ21">
        <v>0</v>
      </c>
      <c r="DR21">
        <v>9995.6233333333294</v>
      </c>
      <c r="DS21">
        <v>0</v>
      </c>
      <c r="DT21">
        <v>1376.94333333333</v>
      </c>
      <c r="DU21">
        <v>-1.78528333333333</v>
      </c>
      <c r="DV21">
        <v>100.218666666667</v>
      </c>
      <c r="DW21">
        <v>101.868666666667</v>
      </c>
      <c r="DX21">
        <v>1.6425099999999999</v>
      </c>
      <c r="DY21">
        <v>100.068333333333</v>
      </c>
      <c r="DZ21">
        <v>17.673100000000002</v>
      </c>
      <c r="EA21">
        <v>1.8462000000000001</v>
      </c>
      <c r="EB21">
        <v>1.6892066666666701</v>
      </c>
      <c r="EC21">
        <v>16.1835666666667</v>
      </c>
      <c r="ED21">
        <v>14.797599999999999</v>
      </c>
      <c r="EE21">
        <v>1799.9966666666701</v>
      </c>
      <c r="EF21">
        <v>0.97800699999999996</v>
      </c>
      <c r="EG21">
        <v>2.1992600000000001E-2</v>
      </c>
      <c r="EH21">
        <v>0</v>
      </c>
      <c r="EI21">
        <v>234.37700000000001</v>
      </c>
      <c r="EJ21">
        <v>5.0006000000000004</v>
      </c>
      <c r="EK21">
        <v>4481.7866666666696</v>
      </c>
      <c r="EL21">
        <v>18193.9666666667</v>
      </c>
      <c r="EM21">
        <v>46.436999999999998</v>
      </c>
      <c r="EN21">
        <v>47.436999999999998</v>
      </c>
      <c r="EO21">
        <v>46.875</v>
      </c>
      <c r="EP21">
        <v>46.561999999999998</v>
      </c>
      <c r="EQ21">
        <v>48.061999999999998</v>
      </c>
      <c r="ER21">
        <v>1755.5166666666701</v>
      </c>
      <c r="ES21">
        <v>39.479999999999997</v>
      </c>
      <c r="ET21">
        <v>0</v>
      </c>
      <c r="EU21">
        <v>139.700000047684</v>
      </c>
      <c r="EV21">
        <v>0</v>
      </c>
      <c r="EW21">
        <v>234.30467999999999</v>
      </c>
      <c r="EX21">
        <v>-0.320769223902925</v>
      </c>
      <c r="EY21">
        <v>-3.4046153956212399</v>
      </c>
      <c r="EZ21">
        <v>4482.1887999999999</v>
      </c>
      <c r="FA21">
        <v>15</v>
      </c>
      <c r="FB21">
        <v>1742538846.0999999</v>
      </c>
      <c r="FC21" t="s">
        <v>440</v>
      </c>
      <c r="FD21">
        <v>1742538838.0999999</v>
      </c>
      <c r="FE21">
        <v>1742538846.0999999</v>
      </c>
      <c r="FF21">
        <v>36</v>
      </c>
      <c r="FG21">
        <v>-1.9E-2</v>
      </c>
      <c r="FH21">
        <v>-4.0000000000000001E-3</v>
      </c>
      <c r="FI21">
        <v>0.64600000000000002</v>
      </c>
      <c r="FJ21">
        <v>-7.3999999999999996E-2</v>
      </c>
      <c r="FK21">
        <v>100</v>
      </c>
      <c r="FL21">
        <v>17</v>
      </c>
      <c r="FM21">
        <v>0.17</v>
      </c>
      <c r="FN21">
        <v>0.18</v>
      </c>
      <c r="FO21">
        <v>-1.7731928571428599</v>
      </c>
      <c r="FP21">
        <v>-0.37887506493507001</v>
      </c>
      <c r="FQ21">
        <v>8.9422166855707905E-2</v>
      </c>
      <c r="FR21">
        <v>1</v>
      </c>
      <c r="FS21">
        <v>234.28661764705899</v>
      </c>
      <c r="FT21">
        <v>0.52304048999979402</v>
      </c>
      <c r="FU21">
        <v>0.19321962735307999</v>
      </c>
      <c r="FV21">
        <v>1</v>
      </c>
      <c r="FW21">
        <v>1.65941952380952</v>
      </c>
      <c r="FX21">
        <v>8.7259480519480695E-2</v>
      </c>
      <c r="FY21">
        <v>1.3818694541123E-2</v>
      </c>
      <c r="FZ21">
        <v>1</v>
      </c>
      <c r="GA21">
        <v>3</v>
      </c>
      <c r="GB21">
        <v>3</v>
      </c>
      <c r="GC21" t="s">
        <v>420</v>
      </c>
      <c r="GD21">
        <v>3.1397499999999998</v>
      </c>
      <c r="GE21">
        <v>2.7468699999999999</v>
      </c>
      <c r="GF21">
        <v>2.4459399999999999E-2</v>
      </c>
      <c r="GG21">
        <v>2.5717199999999999E-2</v>
      </c>
      <c r="GH21">
        <v>9.3439599999999998E-2</v>
      </c>
      <c r="GI21">
        <v>8.9927099999999996E-2</v>
      </c>
      <c r="GJ21">
        <v>25582.3</v>
      </c>
      <c r="GK21">
        <v>31999.8</v>
      </c>
      <c r="GL21">
        <v>26752</v>
      </c>
      <c r="GM21">
        <v>31008.5</v>
      </c>
      <c r="GN21">
        <v>34219.599999999999</v>
      </c>
      <c r="GO21">
        <v>37634.300000000003</v>
      </c>
      <c r="GP21">
        <v>41275.800000000003</v>
      </c>
      <c r="GQ21">
        <v>44966.5</v>
      </c>
      <c r="GR21">
        <v>1.67763</v>
      </c>
      <c r="GS21">
        <v>1.8573200000000001</v>
      </c>
      <c r="GT21">
        <v>7.2676699999999997E-2</v>
      </c>
      <c r="GU21">
        <v>0</v>
      </c>
      <c r="GV21">
        <v>23.793399999999998</v>
      </c>
      <c r="GW21">
        <v>999.9</v>
      </c>
      <c r="GX21">
        <v>49.322000000000003</v>
      </c>
      <c r="GY21">
        <v>35.268000000000001</v>
      </c>
      <c r="GZ21">
        <v>29.5793</v>
      </c>
      <c r="HA21">
        <v>60.737099999999998</v>
      </c>
      <c r="HB21">
        <v>19.1707</v>
      </c>
      <c r="HC21">
        <v>1</v>
      </c>
      <c r="HD21">
        <v>0.75206600000000001</v>
      </c>
      <c r="HE21">
        <v>6.5608199999999997</v>
      </c>
      <c r="HF21">
        <v>20.053000000000001</v>
      </c>
      <c r="HG21">
        <v>5.2223800000000002</v>
      </c>
      <c r="HH21">
        <v>11.9848</v>
      </c>
      <c r="HI21">
        <v>4.9511000000000003</v>
      </c>
      <c r="HJ21">
        <v>3.2850000000000001</v>
      </c>
      <c r="HK21">
        <v>9999</v>
      </c>
      <c r="HL21">
        <v>9999</v>
      </c>
      <c r="HM21">
        <v>999.9</v>
      </c>
      <c r="HN21">
        <v>9999</v>
      </c>
      <c r="HO21">
        <v>1.85938</v>
      </c>
      <c r="HP21">
        <v>1.86005</v>
      </c>
      <c r="HQ21">
        <v>1.8557300000000001</v>
      </c>
      <c r="HR21">
        <v>1.8585199999999999</v>
      </c>
      <c r="HS21">
        <v>1.86249</v>
      </c>
      <c r="HT21">
        <v>1.8580099999999999</v>
      </c>
      <c r="HU21">
        <v>1.8549500000000001</v>
      </c>
      <c r="HV21">
        <v>1.86225</v>
      </c>
      <c r="HW21">
        <v>5</v>
      </c>
      <c r="HX21">
        <v>0</v>
      </c>
      <c r="HY21">
        <v>0</v>
      </c>
      <c r="HZ21">
        <v>0</v>
      </c>
      <c r="IA21" t="s">
        <v>421</v>
      </c>
      <c r="IB21" t="s">
        <v>422</v>
      </c>
      <c r="IC21" t="s">
        <v>423</v>
      </c>
      <c r="ID21" t="s">
        <v>423</v>
      </c>
      <c r="IE21" t="s">
        <v>423</v>
      </c>
      <c r="IF21" t="s">
        <v>423</v>
      </c>
      <c r="IG21">
        <v>0</v>
      </c>
      <c r="IH21">
        <v>100</v>
      </c>
      <c r="II21">
        <v>100</v>
      </c>
      <c r="IJ21">
        <v>0.64600000000000002</v>
      </c>
      <c r="IK21">
        <v>-7.4200000000000002E-2</v>
      </c>
      <c r="IL21">
        <v>0.64620999999999595</v>
      </c>
      <c r="IM21">
        <v>0</v>
      </c>
      <c r="IN21">
        <v>0</v>
      </c>
      <c r="IO21">
        <v>0</v>
      </c>
      <c r="IP21">
        <v>-7.4209999999997195E-2</v>
      </c>
      <c r="IQ21">
        <v>0</v>
      </c>
      <c r="IR21">
        <v>0</v>
      </c>
      <c r="IS21">
        <v>0</v>
      </c>
      <c r="IT21">
        <v>-1</v>
      </c>
      <c r="IU21">
        <v>-1</v>
      </c>
      <c r="IV21">
        <v>-1</v>
      </c>
      <c r="IW21">
        <v>-1</v>
      </c>
      <c r="IX21">
        <v>1</v>
      </c>
      <c r="IY21">
        <v>0.8</v>
      </c>
      <c r="IZ21">
        <v>0.37841799999999998</v>
      </c>
      <c r="JA21">
        <v>2.7844199999999999</v>
      </c>
      <c r="JB21">
        <v>1.69678</v>
      </c>
      <c r="JC21">
        <v>2.3645</v>
      </c>
      <c r="JD21">
        <v>1.4978</v>
      </c>
      <c r="JE21">
        <v>2.3877000000000002</v>
      </c>
      <c r="JF21">
        <v>39.918399999999998</v>
      </c>
      <c r="JG21">
        <v>13.3177</v>
      </c>
      <c r="JH21">
        <v>18</v>
      </c>
      <c r="JI21">
        <v>378.12900000000002</v>
      </c>
      <c r="JJ21">
        <v>498.37</v>
      </c>
      <c r="JK21">
        <v>17.001000000000001</v>
      </c>
      <c r="JL21">
        <v>35.829500000000003</v>
      </c>
      <c r="JM21">
        <v>30.000800000000002</v>
      </c>
      <c r="JN21">
        <v>36.015000000000001</v>
      </c>
      <c r="JO21">
        <v>36.040999999999997</v>
      </c>
      <c r="JP21">
        <v>7.6060699999999999</v>
      </c>
      <c r="JQ21">
        <v>47.309800000000003</v>
      </c>
      <c r="JR21">
        <v>100</v>
      </c>
      <c r="JS21">
        <v>17.0029</v>
      </c>
      <c r="JT21">
        <v>100</v>
      </c>
      <c r="JU21">
        <v>17.7362</v>
      </c>
      <c r="JV21">
        <v>101.92700000000001</v>
      </c>
      <c r="JW21">
        <v>99.820800000000006</v>
      </c>
    </row>
    <row r="22" spans="1:283" x14ac:dyDescent="0.25">
      <c r="A22">
        <v>6</v>
      </c>
      <c r="B22">
        <v>1742539049.0999999</v>
      </c>
      <c r="C22">
        <v>718</v>
      </c>
      <c r="D22" t="s">
        <v>441</v>
      </c>
      <c r="E22" t="s">
        <v>442</v>
      </c>
      <c r="F22">
        <v>2</v>
      </c>
      <c r="H22">
        <v>1742539047.0999999</v>
      </c>
      <c r="I22">
        <f t="shared" si="0"/>
        <v>5.2952581818426873E-3</v>
      </c>
      <c r="J22">
        <f t="shared" si="1"/>
        <v>5.2952581818426872</v>
      </c>
      <c r="K22">
        <f t="shared" si="2"/>
        <v>1.9312827479532599</v>
      </c>
      <c r="L22">
        <f t="shared" si="3"/>
        <v>74.123466666666701</v>
      </c>
      <c r="M22">
        <f t="shared" si="4"/>
        <v>64.441973441627184</v>
      </c>
      <c r="N22">
        <f t="shared" si="5"/>
        <v>6.1650940082733552</v>
      </c>
      <c r="O22">
        <f t="shared" si="6"/>
        <v>7.0913120100683527</v>
      </c>
      <c r="P22">
        <f t="shared" si="7"/>
        <v>0.40394203119930455</v>
      </c>
      <c r="Q22">
        <f t="shared" si="8"/>
        <v>3.0084150461452666</v>
      </c>
      <c r="R22">
        <f t="shared" si="9"/>
        <v>0.3760487092863648</v>
      </c>
      <c r="S22">
        <f t="shared" si="10"/>
        <v>0.23737584531242745</v>
      </c>
      <c r="T22">
        <f t="shared" si="11"/>
        <v>289.57121123804978</v>
      </c>
      <c r="U22">
        <f t="shared" si="12"/>
        <v>25.046208596327073</v>
      </c>
      <c r="V22">
        <f t="shared" si="13"/>
        <v>24.9881666666667</v>
      </c>
      <c r="W22">
        <f t="shared" si="14"/>
        <v>3.1774350424092512</v>
      </c>
      <c r="X22">
        <f t="shared" si="15"/>
        <v>59.656049876732752</v>
      </c>
      <c r="Y22">
        <f t="shared" si="16"/>
        <v>1.8657990590702704</v>
      </c>
      <c r="Z22">
        <f t="shared" si="17"/>
        <v>3.1275940376970475</v>
      </c>
      <c r="AA22">
        <f t="shared" si="18"/>
        <v>1.3116359833389808</v>
      </c>
      <c r="AB22">
        <f t="shared" si="19"/>
        <v>-233.5208858192625</v>
      </c>
      <c r="AC22">
        <f t="shared" si="20"/>
        <v>-42.964044104266009</v>
      </c>
      <c r="AD22">
        <f t="shared" si="21"/>
        <v>-3.0164526660735316</v>
      </c>
      <c r="AE22">
        <f t="shared" si="22"/>
        <v>10.069828648447753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50924.731653079136</v>
      </c>
      <c r="AK22" t="s">
        <v>415</v>
      </c>
      <c r="AL22">
        <v>10180.200000000001</v>
      </c>
      <c r="AM22">
        <v>191.60769230769199</v>
      </c>
      <c r="AN22">
        <v>979.671341309485</v>
      </c>
      <c r="AO22">
        <f t="shared" si="26"/>
        <v>0.80441635451785476</v>
      </c>
      <c r="AP22">
        <v>-2.5320139233462702</v>
      </c>
      <c r="AQ22" t="s">
        <v>443</v>
      </c>
      <c r="AR22">
        <v>10148.799999999999</v>
      </c>
      <c r="AS22">
        <v>234.14530769230799</v>
      </c>
      <c r="AT22">
        <v>294.39360333289301</v>
      </c>
      <c r="AU22">
        <f t="shared" si="27"/>
        <v>0.20465218998816948</v>
      </c>
      <c r="AV22">
        <v>0.5</v>
      </c>
      <c r="AW22">
        <f t="shared" si="28"/>
        <v>1513.2123996052044</v>
      </c>
      <c r="AX22">
        <f t="shared" si="29"/>
        <v>1.9312827479532599</v>
      </c>
      <c r="AY22">
        <f t="shared" si="30"/>
        <v>154.84111574822904</v>
      </c>
      <c r="AZ22">
        <f t="shared" si="31"/>
        <v>2.9495506859869773E-3</v>
      </c>
      <c r="BA22">
        <f t="shared" si="32"/>
        <v>2.3277602849328791</v>
      </c>
      <c r="BB22">
        <f t="shared" si="33"/>
        <v>131.66453629732797</v>
      </c>
      <c r="BC22" t="s">
        <v>417</v>
      </c>
      <c r="BD22">
        <v>0</v>
      </c>
      <c r="BE22">
        <f t="shared" si="34"/>
        <v>131.66453629732797</v>
      </c>
      <c r="BF22">
        <f t="shared" si="35"/>
        <v>0.55276019992715342</v>
      </c>
      <c r="BG22">
        <f t="shared" si="36"/>
        <v>0.37023684052350359</v>
      </c>
      <c r="BH22">
        <f t="shared" si="37"/>
        <v>0.80810405521069828</v>
      </c>
      <c r="BI22">
        <f t="shared" si="38"/>
        <v>0.5861532484331764</v>
      </c>
      <c r="BJ22">
        <f t="shared" si="39"/>
        <v>0.86957156169378502</v>
      </c>
      <c r="BK22">
        <f t="shared" si="40"/>
        <v>0.20819149616174981</v>
      </c>
      <c r="BL22">
        <f t="shared" si="41"/>
        <v>0.79180850383825019</v>
      </c>
      <c r="BM22">
        <v>1724</v>
      </c>
      <c r="BN22">
        <v>290</v>
      </c>
      <c r="BO22">
        <v>277.77</v>
      </c>
      <c r="BP22">
        <v>145</v>
      </c>
      <c r="BQ22">
        <v>10148.799999999999</v>
      </c>
      <c r="BR22">
        <v>277.33999999999997</v>
      </c>
      <c r="BS22">
        <v>0.43</v>
      </c>
      <c r="BT22">
        <v>300</v>
      </c>
      <c r="BU22">
        <v>24.1</v>
      </c>
      <c r="BV22">
        <v>294.39360333289301</v>
      </c>
      <c r="BW22">
        <v>1.37118411126672</v>
      </c>
      <c r="BX22">
        <v>-17.306515141880201</v>
      </c>
      <c r="BY22">
        <v>1.2375549244722901</v>
      </c>
      <c r="BZ22">
        <v>0.87475656916922895</v>
      </c>
      <c r="CA22">
        <v>-6.8866051167964498E-3</v>
      </c>
      <c r="CB22">
        <v>290</v>
      </c>
      <c r="CC22">
        <v>278.49</v>
      </c>
      <c r="CD22">
        <v>765</v>
      </c>
      <c r="CE22">
        <v>10104.6</v>
      </c>
      <c r="CF22">
        <v>277.27</v>
      </c>
      <c r="CG22">
        <v>1.22</v>
      </c>
      <c r="CU22">
        <f t="shared" si="42"/>
        <v>1800.0333333333299</v>
      </c>
      <c r="CV22">
        <f t="shared" si="43"/>
        <v>1513.2123996052044</v>
      </c>
      <c r="CW22">
        <f t="shared" si="44"/>
        <v>0.84065798759571519</v>
      </c>
      <c r="CX22">
        <f t="shared" si="45"/>
        <v>0.16086991605973056</v>
      </c>
      <c r="CY22">
        <v>1.9</v>
      </c>
      <c r="CZ22">
        <v>0.5</v>
      </c>
      <c r="DA22" t="s">
        <v>418</v>
      </c>
      <c r="DB22">
        <v>2</v>
      </c>
      <c r="DC22">
        <v>1742539047.0999999</v>
      </c>
      <c r="DD22">
        <v>74.123466666666701</v>
      </c>
      <c r="DE22">
        <v>75.006600000000006</v>
      </c>
      <c r="DF22">
        <v>19.502666666666698</v>
      </c>
      <c r="DG22">
        <v>17.529499999999999</v>
      </c>
      <c r="DH22">
        <v>73.553266666666701</v>
      </c>
      <c r="DI22">
        <v>19.5688666666667</v>
      </c>
      <c r="DJ22">
        <v>499.94633333333297</v>
      </c>
      <c r="DK22">
        <v>95.5690666666667</v>
      </c>
      <c r="DL22">
        <v>9.9853433333333297E-2</v>
      </c>
      <c r="DM22">
        <v>24.723266666666699</v>
      </c>
      <c r="DN22">
        <v>24.9881666666667</v>
      </c>
      <c r="DO22">
        <v>999.9</v>
      </c>
      <c r="DP22">
        <v>0</v>
      </c>
      <c r="DQ22">
        <v>0</v>
      </c>
      <c r="DR22">
        <v>10000.833333333299</v>
      </c>
      <c r="DS22">
        <v>0</v>
      </c>
      <c r="DT22">
        <v>1380.6566666666699</v>
      </c>
      <c r="DU22">
        <v>-0.88318399999999997</v>
      </c>
      <c r="DV22">
        <v>75.597800000000007</v>
      </c>
      <c r="DW22">
        <v>76.344899999999996</v>
      </c>
      <c r="DX22">
        <v>1.9731666666666701</v>
      </c>
      <c r="DY22">
        <v>75.006600000000006</v>
      </c>
      <c r="DZ22">
        <v>17.529499999999999</v>
      </c>
      <c r="EA22">
        <v>1.86385333333333</v>
      </c>
      <c r="EB22">
        <v>1.6752766666666701</v>
      </c>
      <c r="EC22">
        <v>16.332833333333301</v>
      </c>
      <c r="ED22">
        <v>14.669266666666701</v>
      </c>
      <c r="EE22">
        <v>1800.0333333333299</v>
      </c>
      <c r="EF22">
        <v>0.97800633333333298</v>
      </c>
      <c r="EG22">
        <v>2.19935666666667E-2</v>
      </c>
      <c r="EH22">
        <v>0</v>
      </c>
      <c r="EI22">
        <v>233.98533333333299</v>
      </c>
      <c r="EJ22">
        <v>5.0006000000000004</v>
      </c>
      <c r="EK22">
        <v>4478.9866666666703</v>
      </c>
      <c r="EL22">
        <v>18194.3</v>
      </c>
      <c r="EM22">
        <v>46.375</v>
      </c>
      <c r="EN22">
        <v>47.375</v>
      </c>
      <c r="EO22">
        <v>46.811999999999998</v>
      </c>
      <c r="EP22">
        <v>46.5</v>
      </c>
      <c r="EQ22">
        <v>48</v>
      </c>
      <c r="ER22">
        <v>1755.5533333333301</v>
      </c>
      <c r="ES22">
        <v>39.479999999999997</v>
      </c>
      <c r="ET22">
        <v>0</v>
      </c>
      <c r="EU22">
        <v>150.89999985694899</v>
      </c>
      <c r="EV22">
        <v>0</v>
      </c>
      <c r="EW22">
        <v>234.14530769230799</v>
      </c>
      <c r="EX22">
        <v>-1.04663247627102</v>
      </c>
      <c r="EY22">
        <v>-2.8680342126296101</v>
      </c>
      <c r="EZ22">
        <v>4479.1257692307699</v>
      </c>
      <c r="FA22">
        <v>15</v>
      </c>
      <c r="FB22">
        <v>1742538972.0999999</v>
      </c>
      <c r="FC22" t="s">
        <v>444</v>
      </c>
      <c r="FD22">
        <v>1742538959.0999999</v>
      </c>
      <c r="FE22">
        <v>1742538972.0999999</v>
      </c>
      <c r="FF22">
        <v>37</v>
      </c>
      <c r="FG22">
        <v>-7.5999999999999998E-2</v>
      </c>
      <c r="FH22">
        <v>8.0000000000000002E-3</v>
      </c>
      <c r="FI22">
        <v>0.56999999999999995</v>
      </c>
      <c r="FJ22">
        <v>-6.6000000000000003E-2</v>
      </c>
      <c r="FK22">
        <v>75</v>
      </c>
      <c r="FL22">
        <v>18</v>
      </c>
      <c r="FM22">
        <v>0.31</v>
      </c>
      <c r="FN22">
        <v>0.28000000000000003</v>
      </c>
      <c r="FO22">
        <v>-0.90435642857142895</v>
      </c>
      <c r="FP22">
        <v>-5.5878701298694997E-3</v>
      </c>
      <c r="FQ22">
        <v>3.7289837545230201E-2</v>
      </c>
      <c r="FR22">
        <v>1</v>
      </c>
      <c r="FS22">
        <v>234.17564705882401</v>
      </c>
      <c r="FT22">
        <v>-5.5064934256974299E-2</v>
      </c>
      <c r="FU22">
        <v>0.16451298578333901</v>
      </c>
      <c r="FV22">
        <v>1</v>
      </c>
      <c r="FW22">
        <v>1.9659180952380999</v>
      </c>
      <c r="FX22">
        <v>9.3681818181818602E-2</v>
      </c>
      <c r="FY22">
        <v>1.04628001437509E-2</v>
      </c>
      <c r="FZ22">
        <v>1</v>
      </c>
      <c r="GA22">
        <v>3</v>
      </c>
      <c r="GB22">
        <v>3</v>
      </c>
      <c r="GC22" t="s">
        <v>420</v>
      </c>
      <c r="GD22">
        <v>3.1398199999999998</v>
      </c>
      <c r="GE22">
        <v>2.7468699999999999</v>
      </c>
      <c r="GF22">
        <v>1.8620600000000001E-2</v>
      </c>
      <c r="GG22">
        <v>1.9518199999999999E-2</v>
      </c>
      <c r="GH22">
        <v>9.4118900000000005E-2</v>
      </c>
      <c r="GI22">
        <v>8.94176E-2</v>
      </c>
      <c r="GJ22">
        <v>25740.3</v>
      </c>
      <c r="GK22">
        <v>32209.8</v>
      </c>
      <c r="GL22">
        <v>26757</v>
      </c>
      <c r="GM22">
        <v>31014.799999999999</v>
      </c>
      <c r="GN22">
        <v>34200</v>
      </c>
      <c r="GO22">
        <v>37662.6</v>
      </c>
      <c r="GP22">
        <v>41283.300000000003</v>
      </c>
      <c r="GQ22">
        <v>44975.6</v>
      </c>
      <c r="GR22">
        <v>1.6787300000000001</v>
      </c>
      <c r="GS22">
        <v>1.8585</v>
      </c>
      <c r="GT22">
        <v>7.30827E-2</v>
      </c>
      <c r="GU22">
        <v>0</v>
      </c>
      <c r="GV22">
        <v>23.779399999999999</v>
      </c>
      <c r="GW22">
        <v>999.9</v>
      </c>
      <c r="GX22">
        <v>49.249000000000002</v>
      </c>
      <c r="GY22">
        <v>35.268000000000001</v>
      </c>
      <c r="GZ22">
        <v>29.540400000000002</v>
      </c>
      <c r="HA22">
        <v>60.897100000000002</v>
      </c>
      <c r="HB22">
        <v>19.142600000000002</v>
      </c>
      <c r="HC22">
        <v>1</v>
      </c>
      <c r="HD22">
        <v>0.74078999999999995</v>
      </c>
      <c r="HE22">
        <v>6.0469400000000002</v>
      </c>
      <c r="HF22">
        <v>20.074200000000001</v>
      </c>
      <c r="HG22">
        <v>5.2225299999999999</v>
      </c>
      <c r="HH22">
        <v>11.9825</v>
      </c>
      <c r="HI22">
        <v>4.9510500000000004</v>
      </c>
      <c r="HJ22">
        <v>3.2850000000000001</v>
      </c>
      <c r="HK22">
        <v>9999</v>
      </c>
      <c r="HL22">
        <v>9999</v>
      </c>
      <c r="HM22">
        <v>999.9</v>
      </c>
      <c r="HN22">
        <v>9999</v>
      </c>
      <c r="HO22">
        <v>1.8594299999999999</v>
      </c>
      <c r="HP22">
        <v>1.86005</v>
      </c>
      <c r="HQ22">
        <v>1.8557699999999999</v>
      </c>
      <c r="HR22">
        <v>1.8585100000000001</v>
      </c>
      <c r="HS22">
        <v>1.86249</v>
      </c>
      <c r="HT22">
        <v>1.85805</v>
      </c>
      <c r="HU22">
        <v>1.855</v>
      </c>
      <c r="HV22">
        <v>1.86232</v>
      </c>
      <c r="HW22">
        <v>5</v>
      </c>
      <c r="HX22">
        <v>0</v>
      </c>
      <c r="HY22">
        <v>0</v>
      </c>
      <c r="HZ22">
        <v>0</v>
      </c>
      <c r="IA22" t="s">
        <v>421</v>
      </c>
      <c r="IB22" t="s">
        <v>422</v>
      </c>
      <c r="IC22" t="s">
        <v>423</v>
      </c>
      <c r="ID22" t="s">
        <v>423</v>
      </c>
      <c r="IE22" t="s">
        <v>423</v>
      </c>
      <c r="IF22" t="s">
        <v>423</v>
      </c>
      <c r="IG22">
        <v>0</v>
      </c>
      <c r="IH22">
        <v>100</v>
      </c>
      <c r="II22">
        <v>100</v>
      </c>
      <c r="IJ22">
        <v>0.56999999999999995</v>
      </c>
      <c r="IK22">
        <v>-6.6199999999999995E-2</v>
      </c>
      <c r="IL22">
        <v>0.57017999999999303</v>
      </c>
      <c r="IM22">
        <v>0</v>
      </c>
      <c r="IN22">
        <v>0</v>
      </c>
      <c r="IO22">
        <v>0</v>
      </c>
      <c r="IP22">
        <v>-6.6163636363633302E-2</v>
      </c>
      <c r="IQ22">
        <v>0</v>
      </c>
      <c r="IR22">
        <v>0</v>
      </c>
      <c r="IS22">
        <v>0</v>
      </c>
      <c r="IT22">
        <v>-1</v>
      </c>
      <c r="IU22">
        <v>-1</v>
      </c>
      <c r="IV22">
        <v>-1</v>
      </c>
      <c r="IW22">
        <v>-1</v>
      </c>
      <c r="IX22">
        <v>1.5</v>
      </c>
      <c r="IY22">
        <v>1.3</v>
      </c>
      <c r="IZ22">
        <v>0.32104500000000002</v>
      </c>
      <c r="JA22">
        <v>2.7990699999999999</v>
      </c>
      <c r="JB22">
        <v>1.69678</v>
      </c>
      <c r="JC22">
        <v>2.3645</v>
      </c>
      <c r="JD22">
        <v>1.4978</v>
      </c>
      <c r="JE22">
        <v>2.4084500000000002</v>
      </c>
      <c r="JF22">
        <v>39.918399999999998</v>
      </c>
      <c r="JG22">
        <v>13.273999999999999</v>
      </c>
      <c r="JH22">
        <v>18</v>
      </c>
      <c r="JI22">
        <v>378.27600000000001</v>
      </c>
      <c r="JJ22">
        <v>498.53</v>
      </c>
      <c r="JK22">
        <v>17.164400000000001</v>
      </c>
      <c r="JL22">
        <v>35.730499999999999</v>
      </c>
      <c r="JM22">
        <v>29.9999</v>
      </c>
      <c r="JN22">
        <v>35.9285</v>
      </c>
      <c r="JO22">
        <v>35.955500000000001</v>
      </c>
      <c r="JP22">
        <v>6.4562999999999997</v>
      </c>
      <c r="JQ22">
        <v>47.754300000000001</v>
      </c>
      <c r="JR22">
        <v>100</v>
      </c>
      <c r="JS22">
        <v>17.166699999999999</v>
      </c>
      <c r="JT22">
        <v>75</v>
      </c>
      <c r="JU22">
        <v>17.5063</v>
      </c>
      <c r="JV22">
        <v>101.946</v>
      </c>
      <c r="JW22">
        <v>99.840999999999994</v>
      </c>
    </row>
    <row r="23" spans="1:283" x14ac:dyDescent="0.25">
      <c r="A23">
        <v>11</v>
      </c>
      <c r="B23">
        <v>1742539718</v>
      </c>
      <c r="C23">
        <v>1386.9000000953699</v>
      </c>
      <c r="D23" t="s">
        <v>445</v>
      </c>
      <c r="E23" t="s">
        <v>446</v>
      </c>
      <c r="F23">
        <v>2</v>
      </c>
      <c r="H23">
        <v>1742539716</v>
      </c>
      <c r="I23">
        <f t="shared" si="0"/>
        <v>5.2389379913928887E-3</v>
      </c>
      <c r="J23">
        <f t="shared" si="1"/>
        <v>5.2389379913928886</v>
      </c>
      <c r="K23">
        <f t="shared" si="2"/>
        <v>26.114204247465103</v>
      </c>
      <c r="L23">
        <f t="shared" si="3"/>
        <v>389.31566666666703</v>
      </c>
      <c r="M23">
        <f t="shared" si="4"/>
        <v>272.20889725479049</v>
      </c>
      <c r="N23">
        <f t="shared" si="5"/>
        <v>26.035234939399714</v>
      </c>
      <c r="O23">
        <f t="shared" si="6"/>
        <v>37.235832294520364</v>
      </c>
      <c r="P23">
        <f t="shared" si="7"/>
        <v>0.40470614159055729</v>
      </c>
      <c r="Q23">
        <f t="shared" si="8"/>
        <v>3.0071070655900458</v>
      </c>
      <c r="R23">
        <f t="shared" si="9"/>
        <v>0.37669983875770874</v>
      </c>
      <c r="S23">
        <f t="shared" si="10"/>
        <v>0.23779195235595676</v>
      </c>
      <c r="T23">
        <f t="shared" si="11"/>
        <v>289.57232223785934</v>
      </c>
      <c r="U23">
        <f t="shared" si="12"/>
        <v>25.312972775060523</v>
      </c>
      <c r="V23">
        <f t="shared" si="13"/>
        <v>25.0076</v>
      </c>
      <c r="W23">
        <f t="shared" si="14"/>
        <v>3.1811186033495638</v>
      </c>
      <c r="X23">
        <f t="shared" si="15"/>
        <v>59.406275784953699</v>
      </c>
      <c r="Y23">
        <f t="shared" si="16"/>
        <v>1.8861856986015249</v>
      </c>
      <c r="Z23">
        <f t="shared" si="17"/>
        <v>3.1750613444097668</v>
      </c>
      <c r="AA23">
        <f t="shared" si="18"/>
        <v>1.2949329047480389</v>
      </c>
      <c r="AB23">
        <f t="shared" si="19"/>
        <v>-231.03716542042639</v>
      </c>
      <c r="AC23">
        <f t="shared" si="20"/>
        <v>-5.1824090239778133</v>
      </c>
      <c r="AD23">
        <f t="shared" si="21"/>
        <v>-0.36450722740921854</v>
      </c>
      <c r="AE23">
        <f t="shared" si="22"/>
        <v>52.988240566045931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50843.940464907646</v>
      </c>
      <c r="AK23" t="s">
        <v>415</v>
      </c>
      <c r="AL23">
        <v>10180.200000000001</v>
      </c>
      <c r="AM23">
        <v>191.60769230769199</v>
      </c>
      <c r="AN23">
        <v>979.671341309485</v>
      </c>
      <c r="AO23">
        <f t="shared" si="26"/>
        <v>0.80441635451785476</v>
      </c>
      <c r="AP23">
        <v>-2.5320139233462702</v>
      </c>
      <c r="AQ23" t="s">
        <v>447</v>
      </c>
      <c r="AR23">
        <v>10131</v>
      </c>
      <c r="AS23">
        <v>233.867307692308</v>
      </c>
      <c r="AT23">
        <v>340.91277113427299</v>
      </c>
      <c r="AU23">
        <f t="shared" si="27"/>
        <v>0.31399663640000075</v>
      </c>
      <c r="AV23">
        <v>0.5</v>
      </c>
      <c r="AW23">
        <f t="shared" si="28"/>
        <v>1513.2154996051111</v>
      </c>
      <c r="AX23">
        <f t="shared" si="29"/>
        <v>26.114204247465103</v>
      </c>
      <c r="AY23">
        <f t="shared" si="30"/>
        <v>237.57228851217576</v>
      </c>
      <c r="AZ23">
        <f t="shared" si="31"/>
        <v>1.8930693069352578E-2</v>
      </c>
      <c r="BA23">
        <f t="shared" si="32"/>
        <v>1.8736715789495273</v>
      </c>
      <c r="BB23">
        <f t="shared" si="33"/>
        <v>140.22200424170407</v>
      </c>
      <c r="BC23" t="s">
        <v>417</v>
      </c>
      <c r="BD23">
        <v>0</v>
      </c>
      <c r="BE23">
        <f t="shared" si="34"/>
        <v>140.22200424170407</v>
      </c>
      <c r="BF23">
        <f t="shared" si="35"/>
        <v>0.58868656115415585</v>
      </c>
      <c r="BG23">
        <f t="shared" si="36"/>
        <v>0.533385093392299</v>
      </c>
      <c r="BH23">
        <f t="shared" si="37"/>
        <v>0.76092569493998641</v>
      </c>
      <c r="BI23">
        <f t="shared" si="38"/>
        <v>0.71695795135207097</v>
      </c>
      <c r="BJ23">
        <f t="shared" si="39"/>
        <v>0.81054185278600355</v>
      </c>
      <c r="BK23">
        <f t="shared" si="40"/>
        <v>0.31980667826611586</v>
      </c>
      <c r="BL23">
        <f t="shared" si="41"/>
        <v>0.68019332173388414</v>
      </c>
      <c r="BM23">
        <v>1729</v>
      </c>
      <c r="BN23">
        <v>290</v>
      </c>
      <c r="BO23">
        <v>300.2</v>
      </c>
      <c r="BP23">
        <v>135</v>
      </c>
      <c r="BQ23">
        <v>10131</v>
      </c>
      <c r="BR23">
        <v>299.32</v>
      </c>
      <c r="BS23">
        <v>0.88</v>
      </c>
      <c r="BT23">
        <v>300</v>
      </c>
      <c r="BU23">
        <v>24.2</v>
      </c>
      <c r="BV23">
        <v>340.91277113427299</v>
      </c>
      <c r="BW23">
        <v>1.35563188615426</v>
      </c>
      <c r="BX23">
        <v>-42.140939741180297</v>
      </c>
      <c r="BY23">
        <v>1.2208019470478</v>
      </c>
      <c r="BZ23">
        <v>0.97704100794626203</v>
      </c>
      <c r="CA23">
        <v>-6.87398220244717E-3</v>
      </c>
      <c r="CB23">
        <v>290</v>
      </c>
      <c r="CC23">
        <v>295.10000000000002</v>
      </c>
      <c r="CD23">
        <v>635</v>
      </c>
      <c r="CE23">
        <v>10090.799999999999</v>
      </c>
      <c r="CF23">
        <v>299.14999999999998</v>
      </c>
      <c r="CG23">
        <v>-4.05</v>
      </c>
      <c r="CU23">
        <f t="shared" si="42"/>
        <v>1800.03666666667</v>
      </c>
      <c r="CV23">
        <f t="shared" si="43"/>
        <v>1513.2154996051111</v>
      </c>
      <c r="CW23">
        <f t="shared" si="44"/>
        <v>0.8406581530404611</v>
      </c>
      <c r="CX23">
        <f t="shared" si="45"/>
        <v>0.16087023536808998</v>
      </c>
      <c r="CY23">
        <v>1.9</v>
      </c>
      <c r="CZ23">
        <v>0.5</v>
      </c>
      <c r="DA23" t="s">
        <v>418</v>
      </c>
      <c r="DB23">
        <v>2</v>
      </c>
      <c r="DC23">
        <v>1742539716</v>
      </c>
      <c r="DD23">
        <v>389.31566666666703</v>
      </c>
      <c r="DE23">
        <v>400.01299999999998</v>
      </c>
      <c r="DF23">
        <v>19.720833333333299</v>
      </c>
      <c r="DG23">
        <v>17.769500000000001</v>
      </c>
      <c r="DH23">
        <v>387.72733333333298</v>
      </c>
      <c r="DI23">
        <v>19.792400000000001</v>
      </c>
      <c r="DJ23">
        <v>500.05200000000002</v>
      </c>
      <c r="DK23">
        <v>95.544300000000007</v>
      </c>
      <c r="DL23">
        <v>0.100020233333333</v>
      </c>
      <c r="DM23">
        <v>24.975633333333299</v>
      </c>
      <c r="DN23">
        <v>25.0076</v>
      </c>
      <c r="DO23">
        <v>999.9</v>
      </c>
      <c r="DP23">
        <v>0</v>
      </c>
      <c r="DQ23">
        <v>0</v>
      </c>
      <c r="DR23">
        <v>9995.8166666666693</v>
      </c>
      <c r="DS23">
        <v>0</v>
      </c>
      <c r="DT23">
        <v>1091.3900000000001</v>
      </c>
      <c r="DU23">
        <v>-10.6969333333333</v>
      </c>
      <c r="DV23">
        <v>397.14833333333303</v>
      </c>
      <c r="DW23">
        <v>407.249666666667</v>
      </c>
      <c r="DX23">
        <v>1.95133666666667</v>
      </c>
      <c r="DY23">
        <v>400.01299999999998</v>
      </c>
      <c r="DZ23">
        <v>17.769500000000001</v>
      </c>
      <c r="EA23">
        <v>1.88421333333333</v>
      </c>
      <c r="EB23">
        <v>1.69777333333333</v>
      </c>
      <c r="EC23">
        <v>16.503499999999999</v>
      </c>
      <c r="ED23">
        <v>14.876099999999999</v>
      </c>
      <c r="EE23">
        <v>1800.03666666667</v>
      </c>
      <c r="EF23">
        <v>0.97799899999999995</v>
      </c>
      <c r="EG23">
        <v>2.20011666666667E-2</v>
      </c>
      <c r="EH23">
        <v>0</v>
      </c>
      <c r="EI23">
        <v>235.01533333333299</v>
      </c>
      <c r="EJ23">
        <v>5.0006000000000004</v>
      </c>
      <c r="EK23">
        <v>4567.5266666666703</v>
      </c>
      <c r="EL23">
        <v>18194.3</v>
      </c>
      <c r="EM23">
        <v>49.395666666666699</v>
      </c>
      <c r="EN23">
        <v>50</v>
      </c>
      <c r="EO23">
        <v>49.811999999999998</v>
      </c>
      <c r="EP23">
        <v>49.436999999999998</v>
      </c>
      <c r="EQ23">
        <v>50.811999999999998</v>
      </c>
      <c r="ER23">
        <v>1755.54666666667</v>
      </c>
      <c r="ES23">
        <v>39.49</v>
      </c>
      <c r="ET23">
        <v>0</v>
      </c>
      <c r="EU23">
        <v>151.700000047684</v>
      </c>
      <c r="EV23">
        <v>0</v>
      </c>
      <c r="EW23">
        <v>233.867307692308</v>
      </c>
      <c r="EX23">
        <v>9.8042392930853701</v>
      </c>
      <c r="EY23">
        <v>189.99726470964501</v>
      </c>
      <c r="EZ23">
        <v>4549.2315384615404</v>
      </c>
      <c r="FA23">
        <v>15</v>
      </c>
      <c r="FB23">
        <v>1742539663</v>
      </c>
      <c r="FC23" t="s">
        <v>448</v>
      </c>
      <c r="FD23">
        <v>1742539663</v>
      </c>
      <c r="FE23">
        <v>1742539661</v>
      </c>
      <c r="FF23">
        <v>42</v>
      </c>
      <c r="FG23">
        <v>1.1299999999999999</v>
      </c>
      <c r="FH23">
        <v>3.0000000000000001E-3</v>
      </c>
      <c r="FI23">
        <v>1.589</v>
      </c>
      <c r="FJ23">
        <v>-7.1999999999999995E-2</v>
      </c>
      <c r="FK23">
        <v>401</v>
      </c>
      <c r="FL23">
        <v>17</v>
      </c>
      <c r="FM23">
        <v>0.37</v>
      </c>
      <c r="FN23">
        <v>0.14000000000000001</v>
      </c>
      <c r="FO23">
        <v>-10.5672904761905</v>
      </c>
      <c r="FP23">
        <v>-1.2840779220779299</v>
      </c>
      <c r="FQ23">
        <v>0.13910728612173501</v>
      </c>
      <c r="FR23">
        <v>0</v>
      </c>
      <c r="FS23">
        <v>233.372735294118</v>
      </c>
      <c r="FT23">
        <v>9.9827196180282805</v>
      </c>
      <c r="FU23">
        <v>1.00669933325589</v>
      </c>
      <c r="FV23">
        <v>0</v>
      </c>
      <c r="FW23">
        <v>2.0037890476190499</v>
      </c>
      <c r="FX23">
        <v>-0.18147506493506499</v>
      </c>
      <c r="FY23">
        <v>2.3408144269475701E-2</v>
      </c>
      <c r="FZ23">
        <v>0</v>
      </c>
      <c r="GA23">
        <v>0</v>
      </c>
      <c r="GB23">
        <v>3</v>
      </c>
      <c r="GC23" t="s">
        <v>449</v>
      </c>
      <c r="GD23">
        <v>3.1399599999999999</v>
      </c>
      <c r="GE23">
        <v>2.7469800000000002</v>
      </c>
      <c r="GF23">
        <v>8.2170000000000007E-2</v>
      </c>
      <c r="GG23">
        <v>8.6344699999999996E-2</v>
      </c>
      <c r="GH23">
        <v>9.4951400000000005E-2</v>
      </c>
      <c r="GI23">
        <v>9.03949E-2</v>
      </c>
      <c r="GJ23">
        <v>24096.2</v>
      </c>
      <c r="GK23">
        <v>30046.2</v>
      </c>
      <c r="GL23">
        <v>26777.1</v>
      </c>
      <c r="GM23">
        <v>31042.6</v>
      </c>
      <c r="GN23">
        <v>34192.400000000001</v>
      </c>
      <c r="GO23">
        <v>37655.599999999999</v>
      </c>
      <c r="GP23">
        <v>41313.1</v>
      </c>
      <c r="GQ23">
        <v>45017</v>
      </c>
      <c r="GR23">
        <v>1.6830700000000001</v>
      </c>
      <c r="GS23">
        <v>1.8666799999999999</v>
      </c>
      <c r="GT23">
        <v>7.5589900000000002E-2</v>
      </c>
      <c r="GU23">
        <v>0</v>
      </c>
      <c r="GV23">
        <v>23.7714</v>
      </c>
      <c r="GW23">
        <v>999.9</v>
      </c>
      <c r="GX23">
        <v>49.225000000000001</v>
      </c>
      <c r="GY23">
        <v>35.097000000000001</v>
      </c>
      <c r="GZ23">
        <v>29.258500000000002</v>
      </c>
      <c r="HA23">
        <v>61.017200000000003</v>
      </c>
      <c r="HB23">
        <v>19.166699999999999</v>
      </c>
      <c r="HC23">
        <v>1</v>
      </c>
      <c r="HD23">
        <v>0.70471300000000003</v>
      </c>
      <c r="HE23">
        <v>6.5285599999999997</v>
      </c>
      <c r="HF23">
        <v>20.055599999999998</v>
      </c>
      <c r="HG23">
        <v>5.2226800000000004</v>
      </c>
      <c r="HH23">
        <v>11.982699999999999</v>
      </c>
      <c r="HI23">
        <v>4.9514500000000004</v>
      </c>
      <c r="HJ23">
        <v>3.2850000000000001</v>
      </c>
      <c r="HK23">
        <v>9999</v>
      </c>
      <c r="HL23">
        <v>9999</v>
      </c>
      <c r="HM23">
        <v>999.9</v>
      </c>
      <c r="HN23">
        <v>9999</v>
      </c>
      <c r="HO23">
        <v>1.85944</v>
      </c>
      <c r="HP23">
        <v>1.86008</v>
      </c>
      <c r="HQ23">
        <v>1.8557699999999999</v>
      </c>
      <c r="HR23">
        <v>1.8585199999999999</v>
      </c>
      <c r="HS23">
        <v>1.86249</v>
      </c>
      <c r="HT23">
        <v>1.85806</v>
      </c>
      <c r="HU23">
        <v>1.8549899999999999</v>
      </c>
      <c r="HV23">
        <v>1.86233</v>
      </c>
      <c r="HW23">
        <v>5</v>
      </c>
      <c r="HX23">
        <v>0</v>
      </c>
      <c r="HY23">
        <v>0</v>
      </c>
      <c r="HZ23">
        <v>0</v>
      </c>
      <c r="IA23" t="s">
        <v>421</v>
      </c>
      <c r="IB23" t="s">
        <v>422</v>
      </c>
      <c r="IC23" t="s">
        <v>423</v>
      </c>
      <c r="ID23" t="s">
        <v>423</v>
      </c>
      <c r="IE23" t="s">
        <v>423</v>
      </c>
      <c r="IF23" t="s">
        <v>423</v>
      </c>
      <c r="IG23">
        <v>0</v>
      </c>
      <c r="IH23">
        <v>100</v>
      </c>
      <c r="II23">
        <v>100</v>
      </c>
      <c r="IJ23">
        <v>1.589</v>
      </c>
      <c r="IK23">
        <v>-7.1599999999999997E-2</v>
      </c>
      <c r="IL23">
        <v>1.58890000000002</v>
      </c>
      <c r="IM23">
        <v>0</v>
      </c>
      <c r="IN23">
        <v>0</v>
      </c>
      <c r="IO23">
        <v>0</v>
      </c>
      <c r="IP23">
        <v>-7.1569999999997705E-2</v>
      </c>
      <c r="IQ23">
        <v>0</v>
      </c>
      <c r="IR23">
        <v>0</v>
      </c>
      <c r="IS23">
        <v>0</v>
      </c>
      <c r="IT23">
        <v>-1</v>
      </c>
      <c r="IU23">
        <v>-1</v>
      </c>
      <c r="IV23">
        <v>-1</v>
      </c>
      <c r="IW23">
        <v>-1</v>
      </c>
      <c r="IX23">
        <v>0.9</v>
      </c>
      <c r="IY23">
        <v>0.9</v>
      </c>
      <c r="IZ23">
        <v>1.0437000000000001</v>
      </c>
      <c r="JA23">
        <v>2.7831999999999999</v>
      </c>
      <c r="JB23">
        <v>1.69678</v>
      </c>
      <c r="JC23">
        <v>2.36328</v>
      </c>
      <c r="JD23">
        <v>1.4978</v>
      </c>
      <c r="JE23">
        <v>2.4157700000000002</v>
      </c>
      <c r="JF23">
        <v>39.416600000000003</v>
      </c>
      <c r="JG23">
        <v>15.1302</v>
      </c>
      <c r="JH23">
        <v>18</v>
      </c>
      <c r="JI23">
        <v>378.44299999999998</v>
      </c>
      <c r="JJ23">
        <v>500.89499999999998</v>
      </c>
      <c r="JK23">
        <v>17.4575</v>
      </c>
      <c r="JL23">
        <v>35.293999999999997</v>
      </c>
      <c r="JM23">
        <v>30.001200000000001</v>
      </c>
      <c r="JN23">
        <v>35.5047</v>
      </c>
      <c r="JO23">
        <v>35.534500000000001</v>
      </c>
      <c r="JP23">
        <v>20.914999999999999</v>
      </c>
      <c r="JQ23">
        <v>47.008200000000002</v>
      </c>
      <c r="JR23">
        <v>100</v>
      </c>
      <c r="JS23">
        <v>17.2652</v>
      </c>
      <c r="JT23">
        <v>400</v>
      </c>
      <c r="JU23">
        <v>17.857900000000001</v>
      </c>
      <c r="JV23">
        <v>102.02</v>
      </c>
      <c r="JW23">
        <v>99.931899999999999</v>
      </c>
    </row>
    <row r="24" spans="1:283" x14ac:dyDescent="0.25">
      <c r="A24">
        <v>12</v>
      </c>
      <c r="B24">
        <v>1742539871</v>
      </c>
      <c r="C24">
        <v>1539.9000000953699</v>
      </c>
      <c r="D24" t="s">
        <v>450</v>
      </c>
      <c r="E24" t="s">
        <v>451</v>
      </c>
      <c r="F24">
        <v>2</v>
      </c>
      <c r="H24">
        <v>1742539869.5</v>
      </c>
      <c r="I24">
        <f t="shared" si="0"/>
        <v>4.9654404529749898E-3</v>
      </c>
      <c r="J24">
        <f t="shared" si="1"/>
        <v>4.96544045297499</v>
      </c>
      <c r="K24">
        <f t="shared" si="2"/>
        <v>28.347407568595855</v>
      </c>
      <c r="L24">
        <f t="shared" si="3"/>
        <v>388.44450000000001</v>
      </c>
      <c r="M24">
        <f t="shared" si="4"/>
        <v>252.62608039786519</v>
      </c>
      <c r="N24">
        <f t="shared" si="5"/>
        <v>24.159484934095271</v>
      </c>
      <c r="O24">
        <f t="shared" si="6"/>
        <v>37.148258923632</v>
      </c>
      <c r="P24">
        <f t="shared" si="7"/>
        <v>0.37343045442611694</v>
      </c>
      <c r="Q24">
        <f t="shared" si="8"/>
        <v>3.0077989320159664</v>
      </c>
      <c r="R24">
        <f t="shared" si="9"/>
        <v>0.34945315154799017</v>
      </c>
      <c r="S24">
        <f t="shared" si="10"/>
        <v>0.22043406595996889</v>
      </c>
      <c r="T24">
        <f t="shared" si="11"/>
        <v>289.57626523806374</v>
      </c>
      <c r="U24">
        <f t="shared" si="12"/>
        <v>25.338795669364618</v>
      </c>
      <c r="V24">
        <f t="shared" si="13"/>
        <v>25.02225</v>
      </c>
      <c r="W24">
        <f t="shared" si="14"/>
        <v>3.1838979566137988</v>
      </c>
      <c r="X24">
        <f t="shared" si="15"/>
        <v>58.761589486944402</v>
      </c>
      <c r="Y24">
        <f t="shared" si="16"/>
        <v>1.8608677018895998</v>
      </c>
      <c r="Z24">
        <f t="shared" si="17"/>
        <v>3.1668096764180382</v>
      </c>
      <c r="AA24">
        <f t="shared" si="18"/>
        <v>1.323030254724199</v>
      </c>
      <c r="AB24">
        <f t="shared" si="19"/>
        <v>-218.97592397619704</v>
      </c>
      <c r="AC24">
        <f t="shared" si="20"/>
        <v>-14.634620156061914</v>
      </c>
      <c r="AD24">
        <f t="shared" si="21"/>
        <v>-1.0289461546970124</v>
      </c>
      <c r="AE24">
        <f t="shared" si="22"/>
        <v>54.936774951107793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50870.794841608957</v>
      </c>
      <c r="AK24" t="s">
        <v>415</v>
      </c>
      <c r="AL24">
        <v>10180.200000000001</v>
      </c>
      <c r="AM24">
        <v>191.60769230769199</v>
      </c>
      <c r="AN24">
        <v>979.671341309485</v>
      </c>
      <c r="AO24">
        <f t="shared" si="26"/>
        <v>0.80441635451785476</v>
      </c>
      <c r="AP24">
        <v>-2.5320139233462702</v>
      </c>
      <c r="AQ24" t="s">
        <v>452</v>
      </c>
      <c r="AR24">
        <v>10132.799999999999</v>
      </c>
      <c r="AS24">
        <v>239.81196</v>
      </c>
      <c r="AT24">
        <v>360.32849964532301</v>
      </c>
      <c r="AU24">
        <f t="shared" si="27"/>
        <v>0.33446296855216651</v>
      </c>
      <c r="AV24">
        <v>0.5</v>
      </c>
      <c r="AW24">
        <f t="shared" si="28"/>
        <v>1513.2389996052143</v>
      </c>
      <c r="AX24">
        <f t="shared" si="29"/>
        <v>28.347407568595855</v>
      </c>
      <c r="AY24">
        <f t="shared" si="30"/>
        <v>253.06120396843534</v>
      </c>
      <c r="AZ24">
        <f t="shared" si="31"/>
        <v>2.0406176089829954E-2</v>
      </c>
      <c r="BA24">
        <f t="shared" si="32"/>
        <v>1.7188283532215489</v>
      </c>
      <c r="BB24">
        <f t="shared" si="33"/>
        <v>143.40017822248345</v>
      </c>
      <c r="BC24" t="s">
        <v>417</v>
      </c>
      <c r="BD24">
        <v>0</v>
      </c>
      <c r="BE24">
        <f t="shared" si="34"/>
        <v>143.40017822248345</v>
      </c>
      <c r="BF24">
        <f t="shared" si="35"/>
        <v>0.60202931945812088</v>
      </c>
      <c r="BG24">
        <f t="shared" si="36"/>
        <v>0.55555926886287277</v>
      </c>
      <c r="BH24">
        <f t="shared" si="37"/>
        <v>0.74060050017499957</v>
      </c>
      <c r="BI24">
        <f t="shared" si="38"/>
        <v>0.71429565533167849</v>
      </c>
      <c r="BJ24">
        <f t="shared" si="39"/>
        <v>0.78590459342802765</v>
      </c>
      <c r="BK24">
        <f t="shared" si="40"/>
        <v>0.33220736016705987</v>
      </c>
      <c r="BL24">
        <f t="shared" si="41"/>
        <v>0.66779263983294013</v>
      </c>
      <c r="BM24">
        <v>1730</v>
      </c>
      <c r="BN24">
        <v>290</v>
      </c>
      <c r="BO24">
        <v>318.37</v>
      </c>
      <c r="BP24">
        <v>115</v>
      </c>
      <c r="BQ24">
        <v>10132.799999999999</v>
      </c>
      <c r="BR24">
        <v>316.86</v>
      </c>
      <c r="BS24">
        <v>1.51</v>
      </c>
      <c r="BT24">
        <v>300</v>
      </c>
      <c r="BU24">
        <v>24.2</v>
      </c>
      <c r="BV24">
        <v>360.32849964532301</v>
      </c>
      <c r="BW24">
        <v>1.2388782863118799</v>
      </c>
      <c r="BX24">
        <v>-44.043343138194302</v>
      </c>
      <c r="BY24">
        <v>1.11530181734142</v>
      </c>
      <c r="BZ24">
        <v>0.98236181992435301</v>
      </c>
      <c r="CA24">
        <v>-6.8722048943270298E-3</v>
      </c>
      <c r="CB24">
        <v>290</v>
      </c>
      <c r="CC24">
        <v>314.42</v>
      </c>
      <c r="CD24">
        <v>705</v>
      </c>
      <c r="CE24">
        <v>10081.6</v>
      </c>
      <c r="CF24">
        <v>316.64</v>
      </c>
      <c r="CG24">
        <v>-2.2200000000000002</v>
      </c>
      <c r="CU24">
        <f t="shared" si="42"/>
        <v>1800.0650000000001</v>
      </c>
      <c r="CV24">
        <f t="shared" si="43"/>
        <v>1513.2389996052143</v>
      </c>
      <c r="CW24">
        <f t="shared" si="44"/>
        <v>0.84065797602042935</v>
      </c>
      <c r="CX24">
        <f t="shared" si="45"/>
        <v>0.16086989371942886</v>
      </c>
      <c r="CY24">
        <v>1.9</v>
      </c>
      <c r="CZ24">
        <v>0.5</v>
      </c>
      <c r="DA24" t="s">
        <v>418</v>
      </c>
      <c r="DB24">
        <v>2</v>
      </c>
      <c r="DC24">
        <v>1742539869.5</v>
      </c>
      <c r="DD24">
        <v>388.44450000000001</v>
      </c>
      <c r="DE24">
        <v>399.95100000000002</v>
      </c>
      <c r="DF24">
        <v>19.458349999999999</v>
      </c>
      <c r="DG24">
        <v>17.607949999999999</v>
      </c>
      <c r="DH24">
        <v>386.87950000000001</v>
      </c>
      <c r="DI24">
        <v>19.514749999999999</v>
      </c>
      <c r="DJ24">
        <v>499.93299999999999</v>
      </c>
      <c r="DK24">
        <v>95.533799999999999</v>
      </c>
      <c r="DL24">
        <v>9.9575999999999998E-2</v>
      </c>
      <c r="DM24">
        <v>24.931999999999999</v>
      </c>
      <c r="DN24">
        <v>25.02225</v>
      </c>
      <c r="DO24">
        <v>999.9</v>
      </c>
      <c r="DP24">
        <v>0</v>
      </c>
      <c r="DQ24">
        <v>0</v>
      </c>
      <c r="DR24">
        <v>10000.94</v>
      </c>
      <c r="DS24">
        <v>0</v>
      </c>
      <c r="DT24">
        <v>1334.825</v>
      </c>
      <c r="DU24">
        <v>-11.506500000000001</v>
      </c>
      <c r="DV24">
        <v>396.15300000000002</v>
      </c>
      <c r="DW24">
        <v>407.11950000000002</v>
      </c>
      <c r="DX24">
        <v>1.850355</v>
      </c>
      <c r="DY24">
        <v>399.95100000000002</v>
      </c>
      <c r="DZ24">
        <v>17.607949999999999</v>
      </c>
      <c r="EA24">
        <v>1.8589249999999999</v>
      </c>
      <c r="EB24">
        <v>1.6821550000000001</v>
      </c>
      <c r="EC24">
        <v>16.2913</v>
      </c>
      <c r="ED24">
        <v>14.732699999999999</v>
      </c>
      <c r="EE24">
        <v>1800.0650000000001</v>
      </c>
      <c r="EF24">
        <v>0.97800450000000005</v>
      </c>
      <c r="EG24">
        <v>2.1995899999999999E-2</v>
      </c>
      <c r="EH24">
        <v>0</v>
      </c>
      <c r="EI24">
        <v>240.00149999999999</v>
      </c>
      <c r="EJ24">
        <v>5.0006000000000004</v>
      </c>
      <c r="EK24">
        <v>4665.875</v>
      </c>
      <c r="EL24">
        <v>18194.650000000001</v>
      </c>
      <c r="EM24">
        <v>49.811999999999998</v>
      </c>
      <c r="EN24">
        <v>50.375</v>
      </c>
      <c r="EO24">
        <v>50.25</v>
      </c>
      <c r="EP24">
        <v>49.811999999999998</v>
      </c>
      <c r="EQ24">
        <v>51.25</v>
      </c>
      <c r="ER24">
        <v>1755.585</v>
      </c>
      <c r="ES24">
        <v>39.479999999999997</v>
      </c>
      <c r="ET24">
        <v>0</v>
      </c>
      <c r="EU24">
        <v>151.5</v>
      </c>
      <c r="EV24">
        <v>0</v>
      </c>
      <c r="EW24">
        <v>239.81196</v>
      </c>
      <c r="EX24">
        <v>4.4000002159423499E-2</v>
      </c>
      <c r="EY24">
        <v>20.552307647584499</v>
      </c>
      <c r="EZ24">
        <v>4663.5248000000001</v>
      </c>
      <c r="FA24">
        <v>15</v>
      </c>
      <c r="FB24">
        <v>1742539781</v>
      </c>
      <c r="FC24" t="s">
        <v>453</v>
      </c>
      <c r="FD24">
        <v>1742539781</v>
      </c>
      <c r="FE24">
        <v>1742539781</v>
      </c>
      <c r="FF24">
        <v>43</v>
      </c>
      <c r="FG24">
        <v>-2.4E-2</v>
      </c>
      <c r="FH24">
        <v>1.4999999999999999E-2</v>
      </c>
      <c r="FI24">
        <v>1.5649999999999999</v>
      </c>
      <c r="FJ24">
        <v>-5.6000000000000001E-2</v>
      </c>
      <c r="FK24">
        <v>400</v>
      </c>
      <c r="FL24">
        <v>18</v>
      </c>
      <c r="FM24">
        <v>0.25</v>
      </c>
      <c r="FN24">
        <v>0.2</v>
      </c>
      <c r="FO24">
        <v>-11.562200000000001</v>
      </c>
      <c r="FP24">
        <v>4.27870129870229E-2</v>
      </c>
      <c r="FQ24">
        <v>2.8004948542304901E-2</v>
      </c>
      <c r="FR24">
        <v>1</v>
      </c>
      <c r="FS24">
        <v>239.76073529411801</v>
      </c>
      <c r="FT24">
        <v>0.26290298046729599</v>
      </c>
      <c r="FU24">
        <v>0.216610155215681</v>
      </c>
      <c r="FV24">
        <v>1</v>
      </c>
      <c r="FW24">
        <v>1.94150142857143</v>
      </c>
      <c r="FX24">
        <v>-0.43041506493506698</v>
      </c>
      <c r="FY24">
        <v>4.4602973132347297E-2</v>
      </c>
      <c r="FZ24">
        <v>0</v>
      </c>
      <c r="GA24">
        <v>2</v>
      </c>
      <c r="GB24">
        <v>3</v>
      </c>
      <c r="GC24" t="s">
        <v>428</v>
      </c>
      <c r="GD24">
        <v>3.1398899999999998</v>
      </c>
      <c r="GE24">
        <v>2.74674</v>
      </c>
      <c r="GF24">
        <v>8.20462E-2</v>
      </c>
      <c r="GG24">
        <v>8.6335599999999998E-2</v>
      </c>
      <c r="GH24">
        <v>9.3971100000000002E-2</v>
      </c>
      <c r="GI24">
        <v>8.9755600000000005E-2</v>
      </c>
      <c r="GJ24">
        <v>24102.1</v>
      </c>
      <c r="GK24">
        <v>30050.7</v>
      </c>
      <c r="GL24">
        <v>26779.7</v>
      </c>
      <c r="GM24">
        <v>31046.7</v>
      </c>
      <c r="GN24">
        <v>34232.400000000001</v>
      </c>
      <c r="GO24">
        <v>37686.9</v>
      </c>
      <c r="GP24">
        <v>41317</v>
      </c>
      <c r="GQ24">
        <v>45023</v>
      </c>
      <c r="GR24">
        <v>1.6833</v>
      </c>
      <c r="GS24">
        <v>1.8673</v>
      </c>
      <c r="GT24">
        <v>7.7504699999999996E-2</v>
      </c>
      <c r="GU24">
        <v>0</v>
      </c>
      <c r="GV24">
        <v>23.749300000000002</v>
      </c>
      <c r="GW24">
        <v>999.9</v>
      </c>
      <c r="GX24">
        <v>49.274000000000001</v>
      </c>
      <c r="GY24">
        <v>35.067</v>
      </c>
      <c r="GZ24">
        <v>29.240200000000002</v>
      </c>
      <c r="HA24">
        <v>60.837200000000003</v>
      </c>
      <c r="HB24">
        <v>19.174700000000001</v>
      </c>
      <c r="HC24">
        <v>1</v>
      </c>
      <c r="HD24">
        <v>0.701631</v>
      </c>
      <c r="HE24">
        <v>6.42265</v>
      </c>
      <c r="HF24">
        <v>20.0611</v>
      </c>
      <c r="HG24">
        <v>5.2165400000000002</v>
      </c>
      <c r="HH24">
        <v>11.9825</v>
      </c>
      <c r="HI24">
        <v>4.9479499999999996</v>
      </c>
      <c r="HJ24">
        <v>3.2843300000000002</v>
      </c>
      <c r="HK24">
        <v>9999</v>
      </c>
      <c r="HL24">
        <v>9999</v>
      </c>
      <c r="HM24">
        <v>999.9</v>
      </c>
      <c r="HN24">
        <v>9999</v>
      </c>
      <c r="HO24">
        <v>1.8594200000000001</v>
      </c>
      <c r="HP24">
        <v>1.86006</v>
      </c>
      <c r="HQ24">
        <v>1.8557399999999999</v>
      </c>
      <c r="HR24">
        <v>1.8585199999999999</v>
      </c>
      <c r="HS24">
        <v>1.86249</v>
      </c>
      <c r="HT24">
        <v>1.85805</v>
      </c>
      <c r="HU24">
        <v>1.855</v>
      </c>
      <c r="HV24">
        <v>1.86233</v>
      </c>
      <c r="HW24">
        <v>5</v>
      </c>
      <c r="HX24">
        <v>0</v>
      </c>
      <c r="HY24">
        <v>0</v>
      </c>
      <c r="HZ24">
        <v>0</v>
      </c>
      <c r="IA24" t="s">
        <v>421</v>
      </c>
      <c r="IB24" t="s">
        <v>422</v>
      </c>
      <c r="IC24" t="s">
        <v>423</v>
      </c>
      <c r="ID24" t="s">
        <v>423</v>
      </c>
      <c r="IE24" t="s">
        <v>423</v>
      </c>
      <c r="IF24" t="s">
        <v>423</v>
      </c>
      <c r="IG24">
        <v>0</v>
      </c>
      <c r="IH24">
        <v>100</v>
      </c>
      <c r="II24">
        <v>100</v>
      </c>
      <c r="IJ24">
        <v>1.5640000000000001</v>
      </c>
      <c r="IK24">
        <v>-5.6399999999999999E-2</v>
      </c>
      <c r="IL24">
        <v>1.56470000000002</v>
      </c>
      <c r="IM24">
        <v>0</v>
      </c>
      <c r="IN24">
        <v>0</v>
      </c>
      <c r="IO24">
        <v>0</v>
      </c>
      <c r="IP24">
        <v>-5.6429999999998898E-2</v>
      </c>
      <c r="IQ24">
        <v>0</v>
      </c>
      <c r="IR24">
        <v>0</v>
      </c>
      <c r="IS24">
        <v>0</v>
      </c>
      <c r="IT24">
        <v>-1</v>
      </c>
      <c r="IU24">
        <v>-1</v>
      </c>
      <c r="IV24">
        <v>-1</v>
      </c>
      <c r="IW24">
        <v>-1</v>
      </c>
      <c r="IX24">
        <v>1.5</v>
      </c>
      <c r="IY24">
        <v>1.5</v>
      </c>
      <c r="IZ24">
        <v>1.0400400000000001</v>
      </c>
      <c r="JA24">
        <v>2.7795399999999999</v>
      </c>
      <c r="JB24">
        <v>1.69678</v>
      </c>
      <c r="JC24">
        <v>2.36328</v>
      </c>
      <c r="JD24">
        <v>1.4978</v>
      </c>
      <c r="JE24">
        <v>2.3877000000000002</v>
      </c>
      <c r="JF24">
        <v>39.366700000000002</v>
      </c>
      <c r="JG24">
        <v>15.0426</v>
      </c>
      <c r="JH24">
        <v>18</v>
      </c>
      <c r="JI24">
        <v>378.17099999999999</v>
      </c>
      <c r="JJ24">
        <v>500.71600000000001</v>
      </c>
      <c r="JK24">
        <v>16.942900000000002</v>
      </c>
      <c r="JL24">
        <v>35.2196</v>
      </c>
      <c r="JM24">
        <v>30.0002</v>
      </c>
      <c r="JN24">
        <v>35.425699999999999</v>
      </c>
      <c r="JO24">
        <v>35.454000000000001</v>
      </c>
      <c r="JP24">
        <v>20.849599999999999</v>
      </c>
      <c r="JQ24">
        <v>48.2102</v>
      </c>
      <c r="JR24">
        <v>100</v>
      </c>
      <c r="JS24">
        <v>16.929400000000001</v>
      </c>
      <c r="JT24">
        <v>400</v>
      </c>
      <c r="JU24">
        <v>17.4879</v>
      </c>
      <c r="JV24">
        <v>102.03</v>
      </c>
      <c r="JW24">
        <v>99.9452</v>
      </c>
    </row>
    <row r="25" spans="1:283" x14ac:dyDescent="0.25">
      <c r="A25">
        <v>13</v>
      </c>
      <c r="B25">
        <v>1742540025</v>
      </c>
      <c r="C25">
        <v>1693.9000000953699</v>
      </c>
      <c r="D25" t="s">
        <v>454</v>
      </c>
      <c r="E25" t="s">
        <v>455</v>
      </c>
      <c r="F25">
        <v>2</v>
      </c>
      <c r="H25">
        <v>1742540023</v>
      </c>
      <c r="I25">
        <f t="shared" si="0"/>
        <v>4.1998962173875271E-3</v>
      </c>
      <c r="J25">
        <f t="shared" si="1"/>
        <v>4.1998962173875274</v>
      </c>
      <c r="K25">
        <f t="shared" si="2"/>
        <v>40.527163716534531</v>
      </c>
      <c r="L25">
        <f t="shared" si="3"/>
        <v>583.62699999999995</v>
      </c>
      <c r="M25">
        <f t="shared" si="4"/>
        <v>350.32475445177852</v>
      </c>
      <c r="N25">
        <f t="shared" si="5"/>
        <v>33.500598305182514</v>
      </c>
      <c r="O25">
        <f t="shared" si="6"/>
        <v>55.810654081968472</v>
      </c>
      <c r="P25">
        <f t="shared" si="7"/>
        <v>0.30541494213618131</v>
      </c>
      <c r="Q25">
        <f t="shared" si="8"/>
        <v>3.0068100824185255</v>
      </c>
      <c r="R25">
        <f t="shared" si="9"/>
        <v>0.28916763122730521</v>
      </c>
      <c r="S25">
        <f t="shared" si="10"/>
        <v>0.18211746670961554</v>
      </c>
      <c r="T25">
        <f t="shared" si="11"/>
        <v>289.56415347178694</v>
      </c>
      <c r="U25">
        <f t="shared" si="12"/>
        <v>25.525873304559582</v>
      </c>
      <c r="V25">
        <f t="shared" si="13"/>
        <v>25.022966666666701</v>
      </c>
      <c r="W25">
        <f t="shared" si="14"/>
        <v>3.1840339748512028</v>
      </c>
      <c r="X25">
        <f t="shared" si="15"/>
        <v>57.862190895915198</v>
      </c>
      <c r="Y25">
        <f t="shared" si="16"/>
        <v>1.8315585788480491</v>
      </c>
      <c r="Z25">
        <f t="shared" si="17"/>
        <v>3.1653806233205537</v>
      </c>
      <c r="AA25">
        <f t="shared" si="18"/>
        <v>1.3524753960031537</v>
      </c>
      <c r="AB25">
        <f t="shared" si="19"/>
        <v>-185.21542318678993</v>
      </c>
      <c r="AC25">
        <f t="shared" si="20"/>
        <v>-15.972563236772613</v>
      </c>
      <c r="AD25">
        <f t="shared" si="21"/>
        <v>-1.123346248232175</v>
      </c>
      <c r="AE25">
        <f t="shared" si="22"/>
        <v>87.252820799992222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50843.888904432271</v>
      </c>
      <c r="AK25" t="s">
        <v>415</v>
      </c>
      <c r="AL25">
        <v>10180.200000000001</v>
      </c>
      <c r="AM25">
        <v>191.60769230769199</v>
      </c>
      <c r="AN25">
        <v>979.671341309485</v>
      </c>
      <c r="AO25">
        <f t="shared" si="26"/>
        <v>0.80441635451785476</v>
      </c>
      <c r="AP25">
        <v>-2.5320139233462702</v>
      </c>
      <c r="AQ25" t="s">
        <v>456</v>
      </c>
      <c r="AR25">
        <v>10123.700000000001</v>
      </c>
      <c r="AS25">
        <v>256.76811538461499</v>
      </c>
      <c r="AT25">
        <v>408.20688790032602</v>
      </c>
      <c r="AU25">
        <f t="shared" si="27"/>
        <v>0.37098534347291223</v>
      </c>
      <c r="AV25">
        <v>0.5</v>
      </c>
      <c r="AW25">
        <f t="shared" si="28"/>
        <v>1513.1734017988558</v>
      </c>
      <c r="AX25">
        <f t="shared" si="29"/>
        <v>40.527163716534531</v>
      </c>
      <c r="AY25">
        <f t="shared" si="30"/>
        <v>280.6825771002118</v>
      </c>
      <c r="AZ25">
        <f t="shared" si="31"/>
        <v>2.8456208382127379E-2</v>
      </c>
      <c r="BA25">
        <f t="shared" si="32"/>
        <v>1.399938291949391</v>
      </c>
      <c r="BB25">
        <f t="shared" si="33"/>
        <v>150.42152221469166</v>
      </c>
      <c r="BC25" t="s">
        <v>417</v>
      </c>
      <c r="BD25">
        <v>0</v>
      </c>
      <c r="BE25">
        <f t="shared" si="34"/>
        <v>150.42152221469166</v>
      </c>
      <c r="BF25">
        <f t="shared" si="35"/>
        <v>0.63150665343152945</v>
      </c>
      <c r="BG25">
        <f t="shared" si="36"/>
        <v>0.58746070442333986</v>
      </c>
      <c r="BH25">
        <f t="shared" si="37"/>
        <v>0.68913425152503249</v>
      </c>
      <c r="BI25">
        <f t="shared" si="38"/>
        <v>0.6991659045702433</v>
      </c>
      <c r="BJ25">
        <f t="shared" si="39"/>
        <v>0.72515012478117591</v>
      </c>
      <c r="BK25">
        <f t="shared" si="40"/>
        <v>0.34414994738855564</v>
      </c>
      <c r="BL25">
        <f t="shared" si="41"/>
        <v>0.65585005261144436</v>
      </c>
      <c r="BM25">
        <v>1731</v>
      </c>
      <c r="BN25">
        <v>290</v>
      </c>
      <c r="BO25">
        <v>360.43</v>
      </c>
      <c r="BP25">
        <v>145</v>
      </c>
      <c r="BQ25">
        <v>10123.700000000001</v>
      </c>
      <c r="BR25">
        <v>358.89</v>
      </c>
      <c r="BS25">
        <v>1.54</v>
      </c>
      <c r="BT25">
        <v>300</v>
      </c>
      <c r="BU25">
        <v>24.2</v>
      </c>
      <c r="BV25">
        <v>408.20688790032602</v>
      </c>
      <c r="BW25">
        <v>1.5355381262218599</v>
      </c>
      <c r="BX25">
        <v>-49.926590868050297</v>
      </c>
      <c r="BY25">
        <v>1.3820110674913</v>
      </c>
      <c r="BZ25">
        <v>0.97899618197052496</v>
      </c>
      <c r="CA25">
        <v>-6.8706800889877699E-3</v>
      </c>
      <c r="CB25">
        <v>290</v>
      </c>
      <c r="CC25">
        <v>357.36</v>
      </c>
      <c r="CD25">
        <v>785</v>
      </c>
      <c r="CE25">
        <v>10073.700000000001</v>
      </c>
      <c r="CF25">
        <v>358.65</v>
      </c>
      <c r="CG25">
        <v>-1.29</v>
      </c>
      <c r="CU25">
        <f t="shared" si="42"/>
        <v>1799.9866666666701</v>
      </c>
      <c r="CV25">
        <f t="shared" si="43"/>
        <v>1513.1734017988558</v>
      </c>
      <c r="CW25">
        <f t="shared" si="44"/>
        <v>0.84065811698541448</v>
      </c>
      <c r="CX25">
        <f t="shared" si="45"/>
        <v>0.16087016578185009</v>
      </c>
      <c r="CY25">
        <v>1.9</v>
      </c>
      <c r="CZ25">
        <v>0.5</v>
      </c>
      <c r="DA25" t="s">
        <v>418</v>
      </c>
      <c r="DB25">
        <v>2</v>
      </c>
      <c r="DC25">
        <v>1742540023</v>
      </c>
      <c r="DD25">
        <v>583.62699999999995</v>
      </c>
      <c r="DE25">
        <v>599.96266666666702</v>
      </c>
      <c r="DF25">
        <v>19.153099999999998</v>
      </c>
      <c r="DG25">
        <v>17.587333333333302</v>
      </c>
      <c r="DH25">
        <v>581.09900000000005</v>
      </c>
      <c r="DI25">
        <v>19.225933333333298</v>
      </c>
      <c r="DJ25">
        <v>499.88066666666703</v>
      </c>
      <c r="DK25">
        <v>95.527633333333299</v>
      </c>
      <c r="DL25">
        <v>9.9632166666666702E-2</v>
      </c>
      <c r="DM25">
        <v>24.924433333333301</v>
      </c>
      <c r="DN25">
        <v>25.022966666666701</v>
      </c>
      <c r="DO25">
        <v>999.9</v>
      </c>
      <c r="DP25">
        <v>0</v>
      </c>
      <c r="DQ25">
        <v>0</v>
      </c>
      <c r="DR25">
        <v>9995.8333333333303</v>
      </c>
      <c r="DS25">
        <v>0</v>
      </c>
      <c r="DT25">
        <v>1277.2166666666701</v>
      </c>
      <c r="DU25">
        <v>-16.335566666666701</v>
      </c>
      <c r="DV25">
        <v>595.02366666666705</v>
      </c>
      <c r="DW25">
        <v>610.703666666667</v>
      </c>
      <c r="DX25">
        <v>1.5657666666666701</v>
      </c>
      <c r="DY25">
        <v>599.96266666666702</v>
      </c>
      <c r="DZ25">
        <v>17.587333333333302</v>
      </c>
      <c r="EA25">
        <v>1.82965</v>
      </c>
      <c r="EB25">
        <v>1.68007666666667</v>
      </c>
      <c r="EC25">
        <v>16.042400000000001</v>
      </c>
      <c r="ED25">
        <v>14.7135333333333</v>
      </c>
      <c r="EE25">
        <v>1799.9866666666701</v>
      </c>
      <c r="EF25">
        <v>0.97800233333333297</v>
      </c>
      <c r="EG25">
        <v>2.1997533333333302E-2</v>
      </c>
      <c r="EH25">
        <v>0</v>
      </c>
      <c r="EI25">
        <v>256.827333333333</v>
      </c>
      <c r="EJ25">
        <v>5.0006000000000004</v>
      </c>
      <c r="EK25">
        <v>4991.95</v>
      </c>
      <c r="EL25">
        <v>18193.833333333299</v>
      </c>
      <c r="EM25">
        <v>50.186999999999998</v>
      </c>
      <c r="EN25">
        <v>50.686999999999998</v>
      </c>
      <c r="EO25">
        <v>50.625</v>
      </c>
      <c r="EP25">
        <v>50.125</v>
      </c>
      <c r="EQ25">
        <v>51.561999999999998</v>
      </c>
      <c r="ER25">
        <v>1755.4966666666701</v>
      </c>
      <c r="ES25">
        <v>39.4866666666667</v>
      </c>
      <c r="ET25">
        <v>0</v>
      </c>
      <c r="EU25">
        <v>153.09999990463299</v>
      </c>
      <c r="EV25">
        <v>0</v>
      </c>
      <c r="EW25">
        <v>256.76811538461499</v>
      </c>
      <c r="EX25">
        <v>1.57165812763656</v>
      </c>
      <c r="EY25">
        <v>26.0564102070887</v>
      </c>
      <c r="EZ25">
        <v>4989.8465384615401</v>
      </c>
      <c r="FA25">
        <v>15</v>
      </c>
      <c r="FB25">
        <v>1742539984</v>
      </c>
      <c r="FC25" t="s">
        <v>457</v>
      </c>
      <c r="FD25">
        <v>1742539980</v>
      </c>
      <c r="FE25">
        <v>1742539984</v>
      </c>
      <c r="FF25">
        <v>44</v>
      </c>
      <c r="FG25">
        <v>0.96399999999999997</v>
      </c>
      <c r="FH25">
        <v>-1.6E-2</v>
      </c>
      <c r="FI25">
        <v>2.528</v>
      </c>
      <c r="FJ25">
        <v>-7.2999999999999995E-2</v>
      </c>
      <c r="FK25">
        <v>600</v>
      </c>
      <c r="FL25">
        <v>17</v>
      </c>
      <c r="FM25">
        <v>0.32</v>
      </c>
      <c r="FN25">
        <v>0.12</v>
      </c>
      <c r="FO25">
        <v>-16.401785</v>
      </c>
      <c r="FP25">
        <v>0.23635037593984901</v>
      </c>
      <c r="FQ25">
        <v>5.7551692199274203E-2</v>
      </c>
      <c r="FR25">
        <v>1</v>
      </c>
      <c r="FS25">
        <v>256.68364705882402</v>
      </c>
      <c r="FT25">
        <v>1.35358288957826</v>
      </c>
      <c r="FU25">
        <v>0.20039503374628601</v>
      </c>
      <c r="FV25">
        <v>0</v>
      </c>
      <c r="FW25">
        <v>1.631475</v>
      </c>
      <c r="FX25">
        <v>-0.6121822556391</v>
      </c>
      <c r="FY25">
        <v>6.2930616515333798E-2</v>
      </c>
      <c r="FZ25">
        <v>0</v>
      </c>
      <c r="GA25">
        <v>1</v>
      </c>
      <c r="GB25">
        <v>3</v>
      </c>
      <c r="GC25" t="s">
        <v>458</v>
      </c>
      <c r="GD25">
        <v>3.13984</v>
      </c>
      <c r="GE25">
        <v>2.7463099999999998</v>
      </c>
      <c r="GF25">
        <v>0.110916</v>
      </c>
      <c r="GG25">
        <v>0.116248</v>
      </c>
      <c r="GH25">
        <v>9.3033500000000005E-2</v>
      </c>
      <c r="GI25">
        <v>8.9787400000000003E-2</v>
      </c>
      <c r="GJ25">
        <v>23346.3</v>
      </c>
      <c r="GK25">
        <v>29070.799999999999</v>
      </c>
      <c r="GL25">
        <v>26781.9</v>
      </c>
      <c r="GM25">
        <v>31050.9</v>
      </c>
      <c r="GN25">
        <v>34271.4</v>
      </c>
      <c r="GO25">
        <v>37690.800000000003</v>
      </c>
      <c r="GP25">
        <v>41321.4</v>
      </c>
      <c r="GQ25">
        <v>45029.3</v>
      </c>
      <c r="GR25">
        <v>1.68405</v>
      </c>
      <c r="GS25">
        <v>1.8687800000000001</v>
      </c>
      <c r="GT25">
        <v>8.0328399999999994E-2</v>
      </c>
      <c r="GU25">
        <v>0</v>
      </c>
      <c r="GV25">
        <v>23.709399999999999</v>
      </c>
      <c r="GW25">
        <v>999.9</v>
      </c>
      <c r="GX25">
        <v>49.322000000000003</v>
      </c>
      <c r="GY25">
        <v>35.036999999999999</v>
      </c>
      <c r="GZ25">
        <v>29.223700000000001</v>
      </c>
      <c r="HA25">
        <v>60.857199999999999</v>
      </c>
      <c r="HB25">
        <v>19.230799999999999</v>
      </c>
      <c r="HC25">
        <v>1</v>
      </c>
      <c r="HD25">
        <v>0.69536600000000004</v>
      </c>
      <c r="HE25">
        <v>6.2331599999999998</v>
      </c>
      <c r="HF25">
        <v>20.069400000000002</v>
      </c>
      <c r="HG25">
        <v>5.2183400000000004</v>
      </c>
      <c r="HH25">
        <v>11.9818</v>
      </c>
      <c r="HI25">
        <v>4.9493</v>
      </c>
      <c r="HJ25">
        <v>3.2843300000000002</v>
      </c>
      <c r="HK25">
        <v>9999</v>
      </c>
      <c r="HL25">
        <v>9999</v>
      </c>
      <c r="HM25">
        <v>999.9</v>
      </c>
      <c r="HN25">
        <v>9999</v>
      </c>
      <c r="HO25">
        <v>1.85944</v>
      </c>
      <c r="HP25">
        <v>1.86005</v>
      </c>
      <c r="HQ25">
        <v>1.8557399999999999</v>
      </c>
      <c r="HR25">
        <v>1.8585199999999999</v>
      </c>
      <c r="HS25">
        <v>1.86249</v>
      </c>
      <c r="HT25">
        <v>1.85805</v>
      </c>
      <c r="HU25">
        <v>1.8549599999999999</v>
      </c>
      <c r="HV25">
        <v>1.86232</v>
      </c>
      <c r="HW25">
        <v>5</v>
      </c>
      <c r="HX25">
        <v>0</v>
      </c>
      <c r="HY25">
        <v>0</v>
      </c>
      <c r="HZ25">
        <v>0</v>
      </c>
      <c r="IA25" t="s">
        <v>421</v>
      </c>
      <c r="IB25" t="s">
        <v>422</v>
      </c>
      <c r="IC25" t="s">
        <v>423</v>
      </c>
      <c r="ID25" t="s">
        <v>423</v>
      </c>
      <c r="IE25" t="s">
        <v>423</v>
      </c>
      <c r="IF25" t="s">
        <v>423</v>
      </c>
      <c r="IG25">
        <v>0</v>
      </c>
      <c r="IH25">
        <v>100</v>
      </c>
      <c r="II25">
        <v>100</v>
      </c>
      <c r="IJ25">
        <v>2.5289999999999999</v>
      </c>
      <c r="IK25">
        <v>-7.2900000000000006E-2</v>
      </c>
      <c r="IL25">
        <v>2.5282727272727898</v>
      </c>
      <c r="IM25">
        <v>0</v>
      </c>
      <c r="IN25">
        <v>0</v>
      </c>
      <c r="IO25">
        <v>0</v>
      </c>
      <c r="IP25">
        <v>-7.2863636363635506E-2</v>
      </c>
      <c r="IQ25">
        <v>0</v>
      </c>
      <c r="IR25">
        <v>0</v>
      </c>
      <c r="IS25">
        <v>0</v>
      </c>
      <c r="IT25">
        <v>-1</v>
      </c>
      <c r="IU25">
        <v>-1</v>
      </c>
      <c r="IV25">
        <v>-1</v>
      </c>
      <c r="IW25">
        <v>-1</v>
      </c>
      <c r="IX25">
        <v>0.8</v>
      </c>
      <c r="IY25">
        <v>0.7</v>
      </c>
      <c r="IZ25">
        <v>1.4404300000000001</v>
      </c>
      <c r="JA25">
        <v>2.78931</v>
      </c>
      <c r="JB25">
        <v>1.69678</v>
      </c>
      <c r="JC25">
        <v>2.36328</v>
      </c>
      <c r="JD25">
        <v>1.4978</v>
      </c>
      <c r="JE25">
        <v>2.4414099999999999</v>
      </c>
      <c r="JF25">
        <v>39.366700000000002</v>
      </c>
      <c r="JG25">
        <v>14.963800000000001</v>
      </c>
      <c r="JH25">
        <v>18</v>
      </c>
      <c r="JI25">
        <v>378.238</v>
      </c>
      <c r="JJ25">
        <v>501.21499999999997</v>
      </c>
      <c r="JK25">
        <v>16.950800000000001</v>
      </c>
      <c r="JL25">
        <v>35.1616</v>
      </c>
      <c r="JM25">
        <v>30.0001</v>
      </c>
      <c r="JN25">
        <v>35.3611</v>
      </c>
      <c r="JO25">
        <v>35.388500000000001</v>
      </c>
      <c r="JP25">
        <v>28.834800000000001</v>
      </c>
      <c r="JQ25">
        <v>47.9377</v>
      </c>
      <c r="JR25">
        <v>100</v>
      </c>
      <c r="JS25">
        <v>16.915600000000001</v>
      </c>
      <c r="JT25">
        <v>600</v>
      </c>
      <c r="JU25">
        <v>17.730899999999998</v>
      </c>
      <c r="JV25">
        <v>102.04</v>
      </c>
      <c r="JW25">
        <v>99.959100000000007</v>
      </c>
    </row>
    <row r="26" spans="1:283" x14ac:dyDescent="0.25">
      <c r="A26">
        <v>14</v>
      </c>
      <c r="B26">
        <v>1742540163</v>
      </c>
      <c r="C26">
        <v>1831.9000000953699</v>
      </c>
      <c r="D26" t="s">
        <v>459</v>
      </c>
      <c r="E26" t="s">
        <v>460</v>
      </c>
      <c r="F26">
        <v>2</v>
      </c>
      <c r="H26">
        <v>1742540161.5</v>
      </c>
      <c r="I26">
        <f t="shared" si="0"/>
        <v>5.1002787962412125E-3</v>
      </c>
      <c r="J26">
        <f t="shared" si="1"/>
        <v>5.1002787962412128</v>
      </c>
      <c r="K26">
        <f t="shared" si="2"/>
        <v>47.089865677869362</v>
      </c>
      <c r="L26">
        <f t="shared" si="3"/>
        <v>780.64850000000001</v>
      </c>
      <c r="M26">
        <f t="shared" si="4"/>
        <v>549.81345159725572</v>
      </c>
      <c r="N26">
        <f t="shared" si="5"/>
        <v>52.573164715890123</v>
      </c>
      <c r="O26">
        <f t="shared" si="6"/>
        <v>74.645613082918246</v>
      </c>
      <c r="P26">
        <f t="shared" si="7"/>
        <v>0.37032411596393167</v>
      </c>
      <c r="Q26">
        <f t="shared" si="8"/>
        <v>3.006576612406151</v>
      </c>
      <c r="R26">
        <f t="shared" si="9"/>
        <v>0.34672160580638245</v>
      </c>
      <c r="S26">
        <f t="shared" si="10"/>
        <v>0.21869611858186866</v>
      </c>
      <c r="T26">
        <f t="shared" si="11"/>
        <v>289.56944323765663</v>
      </c>
      <c r="U26">
        <f t="shared" si="12"/>
        <v>25.174567210796098</v>
      </c>
      <c r="V26">
        <f t="shared" si="13"/>
        <v>25.030200000000001</v>
      </c>
      <c r="W26">
        <f t="shared" si="14"/>
        <v>3.1854070943720361</v>
      </c>
      <c r="X26">
        <f t="shared" si="15"/>
        <v>57.779601523896638</v>
      </c>
      <c r="Y26">
        <f t="shared" si="16"/>
        <v>1.8156183024453254</v>
      </c>
      <c r="Z26">
        <f t="shared" si="17"/>
        <v>3.1423171059676092</v>
      </c>
      <c r="AA26">
        <f t="shared" si="18"/>
        <v>1.3697887919267107</v>
      </c>
      <c r="AB26">
        <f t="shared" si="19"/>
        <v>-224.92229491423748</v>
      </c>
      <c r="AC26">
        <f t="shared" si="20"/>
        <v>-37.005274466291766</v>
      </c>
      <c r="AD26">
        <f t="shared" si="21"/>
        <v>-2.6012633963260141</v>
      </c>
      <c r="AE26">
        <f t="shared" si="22"/>
        <v>25.040610460801346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50858.012879584348</v>
      </c>
      <c r="AK26" t="s">
        <v>415</v>
      </c>
      <c r="AL26">
        <v>10180.200000000001</v>
      </c>
      <c r="AM26">
        <v>191.60769230769199</v>
      </c>
      <c r="AN26">
        <v>979.671341309485</v>
      </c>
      <c r="AO26">
        <f t="shared" si="26"/>
        <v>0.80441635451785476</v>
      </c>
      <c r="AP26">
        <v>-2.5320139233462702</v>
      </c>
      <c r="AQ26" t="s">
        <v>461</v>
      </c>
      <c r="AR26">
        <v>10114.299999999999</v>
      </c>
      <c r="AS26">
        <v>261.49995999999999</v>
      </c>
      <c r="AT26">
        <v>420.05139540453598</v>
      </c>
      <c r="AU26">
        <f t="shared" si="27"/>
        <v>0.37745722818475813</v>
      </c>
      <c r="AV26">
        <v>0.5</v>
      </c>
      <c r="AW26">
        <f t="shared" si="28"/>
        <v>1513.1975996050035</v>
      </c>
      <c r="AX26">
        <f t="shared" si="29"/>
        <v>47.089865677869362</v>
      </c>
      <c r="AY26">
        <f t="shared" si="30"/>
        <v>285.58368582136706</v>
      </c>
      <c r="AZ26">
        <f t="shared" si="31"/>
        <v>3.2792729524662639E-2</v>
      </c>
      <c r="BA26">
        <f t="shared" si="32"/>
        <v>1.3322654132978171</v>
      </c>
      <c r="BB26">
        <f t="shared" si="33"/>
        <v>152.00091602478199</v>
      </c>
      <c r="BC26" t="s">
        <v>417</v>
      </c>
      <c r="BD26">
        <v>0</v>
      </c>
      <c r="BE26">
        <f t="shared" si="34"/>
        <v>152.00091602478199</v>
      </c>
      <c r="BF26">
        <f t="shared" si="35"/>
        <v>0.63813733822168239</v>
      </c>
      <c r="BG26">
        <f t="shared" si="36"/>
        <v>0.59149842138469788</v>
      </c>
      <c r="BH26">
        <f t="shared" si="37"/>
        <v>0.67613862814108683</v>
      </c>
      <c r="BI26">
        <f t="shared" si="38"/>
        <v>0.69405036451068813</v>
      </c>
      <c r="BJ26">
        <f t="shared" si="39"/>
        <v>0.71012023789423095</v>
      </c>
      <c r="BK26">
        <f t="shared" si="40"/>
        <v>0.34381765059423552</v>
      </c>
      <c r="BL26">
        <f t="shared" si="41"/>
        <v>0.65618234940576448</v>
      </c>
      <c r="BM26">
        <v>1732</v>
      </c>
      <c r="BN26">
        <v>290</v>
      </c>
      <c r="BO26">
        <v>374.26</v>
      </c>
      <c r="BP26">
        <v>185</v>
      </c>
      <c r="BQ26">
        <v>10114.299999999999</v>
      </c>
      <c r="BR26">
        <v>373.34</v>
      </c>
      <c r="BS26">
        <v>0.92</v>
      </c>
      <c r="BT26">
        <v>300</v>
      </c>
      <c r="BU26">
        <v>24.2</v>
      </c>
      <c r="BV26">
        <v>420.05139540453598</v>
      </c>
      <c r="BW26">
        <v>1.53177648806467</v>
      </c>
      <c r="BX26">
        <v>-47.245626814956303</v>
      </c>
      <c r="BY26">
        <v>1.3784230883778501</v>
      </c>
      <c r="BZ26">
        <v>0.97672068149105695</v>
      </c>
      <c r="CA26">
        <v>-6.8698088987764099E-3</v>
      </c>
      <c r="CB26">
        <v>290</v>
      </c>
      <c r="CC26">
        <v>372.9</v>
      </c>
      <c r="CD26">
        <v>825</v>
      </c>
      <c r="CE26">
        <v>10070</v>
      </c>
      <c r="CF26">
        <v>373.13</v>
      </c>
      <c r="CG26">
        <v>-0.23</v>
      </c>
      <c r="CU26">
        <f t="shared" si="42"/>
        <v>1800.0150000000001</v>
      </c>
      <c r="CV26">
        <f t="shared" si="43"/>
        <v>1513.1975996050035</v>
      </c>
      <c r="CW26">
        <f t="shared" si="44"/>
        <v>0.84065832762782722</v>
      </c>
      <c r="CX26">
        <f t="shared" si="45"/>
        <v>0.16087057232170654</v>
      </c>
      <c r="CY26">
        <v>1.9</v>
      </c>
      <c r="CZ26">
        <v>0.5</v>
      </c>
      <c r="DA26" t="s">
        <v>418</v>
      </c>
      <c r="DB26">
        <v>2</v>
      </c>
      <c r="DC26">
        <v>1742540161.5</v>
      </c>
      <c r="DD26">
        <v>780.64850000000001</v>
      </c>
      <c r="DE26">
        <v>800.05200000000002</v>
      </c>
      <c r="DF26">
        <v>18.987850000000002</v>
      </c>
      <c r="DG26">
        <v>17.0869</v>
      </c>
      <c r="DH26">
        <v>777.60799999999995</v>
      </c>
      <c r="DI26">
        <v>19.048649999999999</v>
      </c>
      <c r="DJ26">
        <v>500.09350000000001</v>
      </c>
      <c r="DK26">
        <v>95.519850000000005</v>
      </c>
      <c r="DL26">
        <v>0.10015449999999999</v>
      </c>
      <c r="DM26">
        <v>24.8019</v>
      </c>
      <c r="DN26">
        <v>25.030200000000001</v>
      </c>
      <c r="DO26">
        <v>999.9</v>
      </c>
      <c r="DP26">
        <v>0</v>
      </c>
      <c r="DQ26">
        <v>0</v>
      </c>
      <c r="DR26">
        <v>9995.2900000000009</v>
      </c>
      <c r="DS26">
        <v>0</v>
      </c>
      <c r="DT26">
        <v>998.64750000000004</v>
      </c>
      <c r="DU26">
        <v>-19.403400000000001</v>
      </c>
      <c r="DV26">
        <v>795.75800000000004</v>
      </c>
      <c r="DW26">
        <v>813.96</v>
      </c>
      <c r="DX26">
        <v>1.9008750000000001</v>
      </c>
      <c r="DY26">
        <v>800.05200000000002</v>
      </c>
      <c r="DZ26">
        <v>17.0869</v>
      </c>
      <c r="EA26">
        <v>1.813715</v>
      </c>
      <c r="EB26">
        <v>1.6321399999999999</v>
      </c>
      <c r="EC26">
        <v>15.9055</v>
      </c>
      <c r="ED26">
        <v>14.265650000000001</v>
      </c>
      <c r="EE26">
        <v>1800.0150000000001</v>
      </c>
      <c r="EF26">
        <v>0.97799449999999999</v>
      </c>
      <c r="EG26">
        <v>2.2005199999999999E-2</v>
      </c>
      <c r="EH26">
        <v>0</v>
      </c>
      <c r="EI26">
        <v>261.69200000000001</v>
      </c>
      <c r="EJ26">
        <v>5.0006000000000004</v>
      </c>
      <c r="EK26">
        <v>5091.4799999999996</v>
      </c>
      <c r="EL26">
        <v>18194.05</v>
      </c>
      <c r="EM26">
        <v>50.436999999999998</v>
      </c>
      <c r="EN26">
        <v>50.875</v>
      </c>
      <c r="EO26">
        <v>50.875</v>
      </c>
      <c r="EP26">
        <v>50.25</v>
      </c>
      <c r="EQ26">
        <v>51.780999999999999</v>
      </c>
      <c r="ER26">
        <v>1755.5150000000001</v>
      </c>
      <c r="ES26">
        <v>39.5</v>
      </c>
      <c r="ET26">
        <v>0</v>
      </c>
      <c r="EU26">
        <v>136.89999985694899</v>
      </c>
      <c r="EV26">
        <v>0</v>
      </c>
      <c r="EW26">
        <v>261.49995999999999</v>
      </c>
      <c r="EX26">
        <v>0.93115384574165005</v>
      </c>
      <c r="EY26">
        <v>18.819230789394901</v>
      </c>
      <c r="EZ26">
        <v>5089.7712000000001</v>
      </c>
      <c r="FA26">
        <v>15</v>
      </c>
      <c r="FB26">
        <v>1742540093</v>
      </c>
      <c r="FC26" t="s">
        <v>462</v>
      </c>
      <c r="FD26">
        <v>1742540093</v>
      </c>
      <c r="FE26">
        <v>1742540087</v>
      </c>
      <c r="FF26">
        <v>45</v>
      </c>
      <c r="FG26">
        <v>0.51200000000000001</v>
      </c>
      <c r="FH26">
        <v>1.2E-2</v>
      </c>
      <c r="FI26">
        <v>3.0409999999999999</v>
      </c>
      <c r="FJ26">
        <v>-6.0999999999999999E-2</v>
      </c>
      <c r="FK26">
        <v>800</v>
      </c>
      <c r="FL26">
        <v>18</v>
      </c>
      <c r="FM26">
        <v>0.15</v>
      </c>
      <c r="FN26">
        <v>0.15</v>
      </c>
      <c r="FO26">
        <v>-19.442699999999999</v>
      </c>
      <c r="FP26">
        <v>-0.44713246753249702</v>
      </c>
      <c r="FQ26">
        <v>0.14144107640723799</v>
      </c>
      <c r="FR26">
        <v>1</v>
      </c>
      <c r="FS26">
        <v>261.41941176470601</v>
      </c>
      <c r="FT26">
        <v>0.61317035930505703</v>
      </c>
      <c r="FU26">
        <v>0.17360979195192999</v>
      </c>
      <c r="FV26">
        <v>1</v>
      </c>
      <c r="FW26">
        <v>1.9252119047619001</v>
      </c>
      <c r="FX26">
        <v>7.4040000000004394E-2</v>
      </c>
      <c r="FY26">
        <v>2.3598789641893901E-2</v>
      </c>
      <c r="FZ26">
        <v>1</v>
      </c>
      <c r="GA26">
        <v>3</v>
      </c>
      <c r="GB26">
        <v>3</v>
      </c>
      <c r="GC26" t="s">
        <v>420</v>
      </c>
      <c r="GD26">
        <v>3.1396999999999999</v>
      </c>
      <c r="GE26">
        <v>2.7461000000000002</v>
      </c>
      <c r="GF26">
        <v>0.13550899999999999</v>
      </c>
      <c r="GG26">
        <v>0.14144399999999999</v>
      </c>
      <c r="GH26">
        <v>9.2347299999999993E-2</v>
      </c>
      <c r="GI26">
        <v>8.7871599999999994E-2</v>
      </c>
      <c r="GJ26">
        <v>22702.400000000001</v>
      </c>
      <c r="GK26">
        <v>28245</v>
      </c>
      <c r="GL26">
        <v>26784.6</v>
      </c>
      <c r="GM26">
        <v>31055</v>
      </c>
      <c r="GN26">
        <v>34300.6</v>
      </c>
      <c r="GO26">
        <v>37775.1</v>
      </c>
      <c r="GP26">
        <v>41325.4</v>
      </c>
      <c r="GQ26">
        <v>45035.4</v>
      </c>
      <c r="GR26">
        <v>1.68455</v>
      </c>
      <c r="GS26">
        <v>1.8692200000000001</v>
      </c>
      <c r="GT26">
        <v>8.3960599999999996E-2</v>
      </c>
      <c r="GU26">
        <v>0</v>
      </c>
      <c r="GV26">
        <v>23.649100000000001</v>
      </c>
      <c r="GW26">
        <v>999.9</v>
      </c>
      <c r="GX26">
        <v>49.322000000000003</v>
      </c>
      <c r="GY26">
        <v>35.027000000000001</v>
      </c>
      <c r="GZ26">
        <v>29.2103</v>
      </c>
      <c r="HA26">
        <v>61.007199999999997</v>
      </c>
      <c r="HB26">
        <v>19.2468</v>
      </c>
      <c r="HC26">
        <v>1</v>
      </c>
      <c r="HD26">
        <v>0.69477100000000003</v>
      </c>
      <c r="HE26">
        <v>6.8104699999999996</v>
      </c>
      <c r="HF26">
        <v>20.046600000000002</v>
      </c>
      <c r="HG26">
        <v>5.2171399999999997</v>
      </c>
      <c r="HH26">
        <v>11.9857</v>
      </c>
      <c r="HI26">
        <v>4.9490499999999997</v>
      </c>
      <c r="HJ26">
        <v>3.2845</v>
      </c>
      <c r="HK26">
        <v>9999</v>
      </c>
      <c r="HL26">
        <v>9999</v>
      </c>
      <c r="HM26">
        <v>999.9</v>
      </c>
      <c r="HN26">
        <v>9999</v>
      </c>
      <c r="HO26">
        <v>1.8594299999999999</v>
      </c>
      <c r="HP26">
        <v>1.86005</v>
      </c>
      <c r="HQ26">
        <v>1.8557399999999999</v>
      </c>
      <c r="HR26">
        <v>1.8585199999999999</v>
      </c>
      <c r="HS26">
        <v>1.86249</v>
      </c>
      <c r="HT26">
        <v>1.8580300000000001</v>
      </c>
      <c r="HU26">
        <v>1.8549800000000001</v>
      </c>
      <c r="HV26">
        <v>1.86233</v>
      </c>
      <c r="HW26">
        <v>5</v>
      </c>
      <c r="HX26">
        <v>0</v>
      </c>
      <c r="HY26">
        <v>0</v>
      </c>
      <c r="HZ26">
        <v>0</v>
      </c>
      <c r="IA26" t="s">
        <v>421</v>
      </c>
      <c r="IB26" t="s">
        <v>422</v>
      </c>
      <c r="IC26" t="s">
        <v>423</v>
      </c>
      <c r="ID26" t="s">
        <v>423</v>
      </c>
      <c r="IE26" t="s">
        <v>423</v>
      </c>
      <c r="IF26" t="s">
        <v>423</v>
      </c>
      <c r="IG26">
        <v>0</v>
      </c>
      <c r="IH26">
        <v>100</v>
      </c>
      <c r="II26">
        <v>100</v>
      </c>
      <c r="IJ26">
        <v>3.0409999999999999</v>
      </c>
      <c r="IK26">
        <v>-6.08E-2</v>
      </c>
      <c r="IL26">
        <v>3.04063636363639</v>
      </c>
      <c r="IM26">
        <v>0</v>
      </c>
      <c r="IN26">
        <v>0</v>
      </c>
      <c r="IO26">
        <v>0</v>
      </c>
      <c r="IP26">
        <v>-6.0863636363635003E-2</v>
      </c>
      <c r="IQ26">
        <v>0</v>
      </c>
      <c r="IR26">
        <v>0</v>
      </c>
      <c r="IS26">
        <v>0</v>
      </c>
      <c r="IT26">
        <v>-1</v>
      </c>
      <c r="IU26">
        <v>-1</v>
      </c>
      <c r="IV26">
        <v>-1</v>
      </c>
      <c r="IW26">
        <v>-1</v>
      </c>
      <c r="IX26">
        <v>1.2</v>
      </c>
      <c r="IY26">
        <v>1.3</v>
      </c>
      <c r="IZ26">
        <v>1.8176300000000001</v>
      </c>
      <c r="JA26">
        <v>2.7795399999999999</v>
      </c>
      <c r="JB26">
        <v>1.69678</v>
      </c>
      <c r="JC26">
        <v>2.36328</v>
      </c>
      <c r="JD26">
        <v>1.4978</v>
      </c>
      <c r="JE26">
        <v>2.36572</v>
      </c>
      <c r="JF26">
        <v>39.316899999999997</v>
      </c>
      <c r="JG26">
        <v>14.8238</v>
      </c>
      <c r="JH26">
        <v>18</v>
      </c>
      <c r="JI26">
        <v>378.18299999999999</v>
      </c>
      <c r="JJ26">
        <v>501.029</v>
      </c>
      <c r="JK26">
        <v>16.5199</v>
      </c>
      <c r="JL26">
        <v>35.102899999999998</v>
      </c>
      <c r="JM26">
        <v>30.000800000000002</v>
      </c>
      <c r="JN26">
        <v>35.297699999999999</v>
      </c>
      <c r="JO26">
        <v>35.323</v>
      </c>
      <c r="JP26">
        <v>36.382199999999997</v>
      </c>
      <c r="JQ26">
        <v>51.147100000000002</v>
      </c>
      <c r="JR26">
        <v>100</v>
      </c>
      <c r="JS26">
        <v>16.498899999999999</v>
      </c>
      <c r="JT26">
        <v>800</v>
      </c>
      <c r="JU26">
        <v>16.913</v>
      </c>
      <c r="JV26">
        <v>102.05</v>
      </c>
      <c r="JW26">
        <v>99.972300000000004</v>
      </c>
    </row>
    <row r="27" spans="1:283" x14ac:dyDescent="0.25">
      <c r="A27">
        <v>16</v>
      </c>
      <c r="B27">
        <v>1742540452</v>
      </c>
      <c r="C27">
        <v>2120.9000000953702</v>
      </c>
      <c r="D27" t="s">
        <v>463</v>
      </c>
      <c r="E27" t="s">
        <v>464</v>
      </c>
      <c r="F27">
        <v>2</v>
      </c>
      <c r="H27">
        <v>1742540450</v>
      </c>
      <c r="I27">
        <f t="shared" si="0"/>
        <v>3.8633768792170533E-3</v>
      </c>
      <c r="J27">
        <f t="shared" si="1"/>
        <v>3.8633768792170531</v>
      </c>
      <c r="K27">
        <f t="shared" si="2"/>
        <v>51.603188702419807</v>
      </c>
      <c r="L27">
        <f t="shared" si="3"/>
        <v>1178.6966666666699</v>
      </c>
      <c r="M27">
        <f t="shared" si="4"/>
        <v>829.5155924106806</v>
      </c>
      <c r="N27">
        <f t="shared" si="5"/>
        <v>79.306913402883509</v>
      </c>
      <c r="O27">
        <f t="shared" si="6"/>
        <v>112.69082260399647</v>
      </c>
      <c r="P27">
        <f t="shared" si="7"/>
        <v>0.26485208813685385</v>
      </c>
      <c r="Q27">
        <f t="shared" si="8"/>
        <v>3.0052862183329019</v>
      </c>
      <c r="R27">
        <f t="shared" si="9"/>
        <v>0.25253449837072062</v>
      </c>
      <c r="S27">
        <f t="shared" si="10"/>
        <v>0.15889300193539344</v>
      </c>
      <c r="T27">
        <f t="shared" si="11"/>
        <v>289.57290123766631</v>
      </c>
      <c r="U27">
        <f t="shared" si="12"/>
        <v>25.282036048675376</v>
      </c>
      <c r="V27">
        <f t="shared" si="13"/>
        <v>25.0379</v>
      </c>
      <c r="W27">
        <f t="shared" si="14"/>
        <v>3.1868693708394398</v>
      </c>
      <c r="X27">
        <f t="shared" si="15"/>
        <v>56.775643395829036</v>
      </c>
      <c r="Y27">
        <f t="shared" si="16"/>
        <v>1.7621005233886009</v>
      </c>
      <c r="Z27">
        <f t="shared" si="17"/>
        <v>3.1036205280908393</v>
      </c>
      <c r="AA27">
        <f t="shared" si="18"/>
        <v>1.4247688474508389</v>
      </c>
      <c r="AB27">
        <f t="shared" si="19"/>
        <v>-170.37492037347204</v>
      </c>
      <c r="AC27">
        <f t="shared" si="20"/>
        <v>-71.834706533584196</v>
      </c>
      <c r="AD27">
        <f t="shared" si="21"/>
        <v>-5.0466705803558574</v>
      </c>
      <c r="AE27">
        <f t="shared" si="22"/>
        <v>42.316603750254231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50856.520899055955</v>
      </c>
      <c r="AK27" t="s">
        <v>415</v>
      </c>
      <c r="AL27">
        <v>10180.200000000001</v>
      </c>
      <c r="AM27">
        <v>191.60769230769199</v>
      </c>
      <c r="AN27">
        <v>979.671341309485</v>
      </c>
      <c r="AO27">
        <f t="shared" si="26"/>
        <v>0.80441635451785476</v>
      </c>
      <c r="AP27">
        <v>-2.5320139233462702</v>
      </c>
      <c r="AQ27" t="s">
        <v>465</v>
      </c>
      <c r="AR27">
        <v>10122</v>
      </c>
      <c r="AS27">
        <v>254.53847999999999</v>
      </c>
      <c r="AT27">
        <v>408.06037812462898</v>
      </c>
      <c r="AU27">
        <f t="shared" si="27"/>
        <v>0.37622348641195602</v>
      </c>
      <c r="AV27">
        <v>0.5</v>
      </c>
      <c r="AW27">
        <f t="shared" si="28"/>
        <v>1513.2157996050109</v>
      </c>
      <c r="AX27">
        <f t="shared" si="29"/>
        <v>51.603188702419807</v>
      </c>
      <c r="AY27">
        <f t="shared" si="30"/>
        <v>284.65366191052652</v>
      </c>
      <c r="AZ27">
        <f t="shared" si="31"/>
        <v>3.5774938802447601E-2</v>
      </c>
      <c r="BA27">
        <f t="shared" si="32"/>
        <v>1.4007999644853433</v>
      </c>
      <c r="BB27">
        <f t="shared" si="33"/>
        <v>150.40162353089377</v>
      </c>
      <c r="BC27" t="s">
        <v>417</v>
      </c>
      <c r="BD27">
        <v>0</v>
      </c>
      <c r="BE27">
        <f t="shared" si="34"/>
        <v>150.40162353089377</v>
      </c>
      <c r="BF27">
        <f t="shared" si="35"/>
        <v>0.63142311384870986</v>
      </c>
      <c r="BG27">
        <f t="shared" si="36"/>
        <v>0.59583420080833438</v>
      </c>
      <c r="BH27">
        <f t="shared" si="37"/>
        <v>0.68929438870149584</v>
      </c>
      <c r="BI27">
        <f t="shared" si="38"/>
        <v>0.70926307772622799</v>
      </c>
      <c r="BJ27">
        <f t="shared" si="39"/>
        <v>0.72533603587589845</v>
      </c>
      <c r="BK27">
        <f t="shared" si="40"/>
        <v>0.35206634044803781</v>
      </c>
      <c r="BL27">
        <f t="shared" si="41"/>
        <v>0.64793365955196225</v>
      </c>
      <c r="BM27">
        <v>1734</v>
      </c>
      <c r="BN27">
        <v>290</v>
      </c>
      <c r="BO27">
        <v>365.55</v>
      </c>
      <c r="BP27">
        <v>175</v>
      </c>
      <c r="BQ27">
        <v>10122</v>
      </c>
      <c r="BR27">
        <v>364.04</v>
      </c>
      <c r="BS27">
        <v>1.51</v>
      </c>
      <c r="BT27">
        <v>300</v>
      </c>
      <c r="BU27">
        <v>24.2</v>
      </c>
      <c r="BV27">
        <v>408.06037812462898</v>
      </c>
      <c r="BW27">
        <v>1.7192245124544201</v>
      </c>
      <c r="BX27">
        <v>-44.555779734561597</v>
      </c>
      <c r="BY27">
        <v>1.54808801620157</v>
      </c>
      <c r="BZ27">
        <v>0.96730330152315003</v>
      </c>
      <c r="CA27">
        <v>-6.8732088987764201E-3</v>
      </c>
      <c r="CB27">
        <v>290</v>
      </c>
      <c r="CC27">
        <v>364.84</v>
      </c>
      <c r="CD27">
        <v>875</v>
      </c>
      <c r="CE27">
        <v>10074.5</v>
      </c>
      <c r="CF27">
        <v>363.83</v>
      </c>
      <c r="CG27">
        <v>1.01</v>
      </c>
      <c r="CU27">
        <f t="shared" si="42"/>
        <v>1800.03666666667</v>
      </c>
      <c r="CV27">
        <f t="shared" si="43"/>
        <v>1513.2157996050109</v>
      </c>
      <c r="CW27">
        <f t="shared" si="44"/>
        <v>0.84065831970367721</v>
      </c>
      <c r="CX27">
        <f t="shared" si="45"/>
        <v>0.16087055702809708</v>
      </c>
      <c r="CY27">
        <v>1.9</v>
      </c>
      <c r="CZ27">
        <v>0.5</v>
      </c>
      <c r="DA27" t="s">
        <v>418</v>
      </c>
      <c r="DB27">
        <v>2</v>
      </c>
      <c r="DC27">
        <v>1742540450</v>
      </c>
      <c r="DD27">
        <v>1178.6966666666699</v>
      </c>
      <c r="DE27">
        <v>1200.0433333333301</v>
      </c>
      <c r="DF27">
        <v>18.430800000000001</v>
      </c>
      <c r="DG27">
        <v>16.9893</v>
      </c>
      <c r="DH27">
        <v>1174.27</v>
      </c>
      <c r="DI27">
        <v>18.496466666666699</v>
      </c>
      <c r="DJ27">
        <v>499.83533333333298</v>
      </c>
      <c r="DK27">
        <v>95.506666666666703</v>
      </c>
      <c r="DL27">
        <v>9.9629499999999996E-2</v>
      </c>
      <c r="DM27">
        <v>24.594533333333299</v>
      </c>
      <c r="DN27">
        <v>25.0379</v>
      </c>
      <c r="DO27">
        <v>999.9</v>
      </c>
      <c r="DP27">
        <v>0</v>
      </c>
      <c r="DQ27">
        <v>0</v>
      </c>
      <c r="DR27">
        <v>9989.1666666666697</v>
      </c>
      <c r="DS27">
        <v>0</v>
      </c>
      <c r="DT27">
        <v>1011.63633333333</v>
      </c>
      <c r="DU27">
        <v>-21.345233333333301</v>
      </c>
      <c r="DV27">
        <v>1200.83</v>
      </c>
      <c r="DW27">
        <v>1220.7833333333299</v>
      </c>
      <c r="DX27">
        <v>1.4414433333333301</v>
      </c>
      <c r="DY27">
        <v>1200.0433333333301</v>
      </c>
      <c r="DZ27">
        <v>16.9893</v>
      </c>
      <c r="EA27">
        <v>1.7602599999999999</v>
      </c>
      <c r="EB27">
        <v>1.62259333333333</v>
      </c>
      <c r="EC27">
        <v>15.438266666666699</v>
      </c>
      <c r="ED27">
        <v>14.1750666666667</v>
      </c>
      <c r="EE27">
        <v>1800.03666666667</v>
      </c>
      <c r="EF27">
        <v>0.97799700000000001</v>
      </c>
      <c r="EG27">
        <v>2.2003100000000001E-2</v>
      </c>
      <c r="EH27">
        <v>0</v>
      </c>
      <c r="EI27">
        <v>254.41266666666701</v>
      </c>
      <c r="EJ27">
        <v>5.0006000000000004</v>
      </c>
      <c r="EK27">
        <v>4948.1833333333298</v>
      </c>
      <c r="EL27">
        <v>18194.266666666699</v>
      </c>
      <c r="EM27">
        <v>49.625</v>
      </c>
      <c r="EN27">
        <v>50.061999999999998</v>
      </c>
      <c r="EO27">
        <v>50.125</v>
      </c>
      <c r="EP27">
        <v>49.061999999999998</v>
      </c>
      <c r="EQ27">
        <v>50.957999999999998</v>
      </c>
      <c r="ER27">
        <v>1755.53666666667</v>
      </c>
      <c r="ES27">
        <v>39.5</v>
      </c>
      <c r="ET27">
        <v>0</v>
      </c>
      <c r="EU27">
        <v>134.69999980926499</v>
      </c>
      <c r="EV27">
        <v>0</v>
      </c>
      <c r="EW27">
        <v>254.53847999999999</v>
      </c>
      <c r="EX27">
        <v>1.17761539042161</v>
      </c>
      <c r="EY27">
        <v>5.1153846213713896</v>
      </c>
      <c r="EZ27">
        <v>4947.7503999999999</v>
      </c>
      <c r="FA27">
        <v>15</v>
      </c>
      <c r="FB27">
        <v>1742540399</v>
      </c>
      <c r="FC27" t="s">
        <v>466</v>
      </c>
      <c r="FD27">
        <v>1742540399</v>
      </c>
      <c r="FE27">
        <v>1742540382</v>
      </c>
      <c r="FF27">
        <v>47</v>
      </c>
      <c r="FG27">
        <v>1.387</v>
      </c>
      <c r="FH27">
        <v>8.9999999999999993E-3</v>
      </c>
      <c r="FI27">
        <v>4.4249999999999998</v>
      </c>
      <c r="FJ27">
        <v>-6.6000000000000003E-2</v>
      </c>
      <c r="FK27">
        <v>1200</v>
      </c>
      <c r="FL27">
        <v>17</v>
      </c>
      <c r="FM27">
        <v>0.13</v>
      </c>
      <c r="FN27">
        <v>0.19</v>
      </c>
      <c r="FO27">
        <v>-21.278345000000002</v>
      </c>
      <c r="FP27">
        <v>0.472560902255583</v>
      </c>
      <c r="FQ27">
        <v>0.20811501261321799</v>
      </c>
      <c r="FR27">
        <v>1</v>
      </c>
      <c r="FS27">
        <v>254.46623529411801</v>
      </c>
      <c r="FT27">
        <v>0.73961802832170997</v>
      </c>
      <c r="FU27">
        <v>0.170120901441492</v>
      </c>
      <c r="FV27">
        <v>1</v>
      </c>
      <c r="FW27">
        <v>1.44519</v>
      </c>
      <c r="FX27">
        <v>7.2463759398497599E-2</v>
      </c>
      <c r="FY27">
        <v>2.17068947571964E-2</v>
      </c>
      <c r="FZ27">
        <v>1</v>
      </c>
      <c r="GA27">
        <v>3</v>
      </c>
      <c r="GB27">
        <v>3</v>
      </c>
      <c r="GC27" t="s">
        <v>420</v>
      </c>
      <c r="GD27">
        <v>3.1399400000000002</v>
      </c>
      <c r="GE27">
        <v>2.7474799999999999</v>
      </c>
      <c r="GF27">
        <v>0.17659900000000001</v>
      </c>
      <c r="GG27">
        <v>0.18318200000000001</v>
      </c>
      <c r="GH27">
        <v>9.0445200000000003E-2</v>
      </c>
      <c r="GI27">
        <v>8.7421799999999994E-2</v>
      </c>
      <c r="GJ27">
        <v>21627.599999999999</v>
      </c>
      <c r="GK27">
        <v>26876.6</v>
      </c>
      <c r="GL27">
        <v>26792.1</v>
      </c>
      <c r="GM27">
        <v>31063.5</v>
      </c>
      <c r="GN27">
        <v>34381</v>
      </c>
      <c r="GO27">
        <v>37803.599999999999</v>
      </c>
      <c r="GP27">
        <v>41335.9</v>
      </c>
      <c r="GQ27">
        <v>45047.4</v>
      </c>
      <c r="GR27">
        <v>1.6863300000000001</v>
      </c>
      <c r="GS27">
        <v>1.8728</v>
      </c>
      <c r="GT27">
        <v>9.1798599999999994E-2</v>
      </c>
      <c r="GU27">
        <v>0</v>
      </c>
      <c r="GV27">
        <v>23.526499999999999</v>
      </c>
      <c r="GW27">
        <v>999.9</v>
      </c>
      <c r="GX27">
        <v>49.249000000000002</v>
      </c>
      <c r="GY27">
        <v>34.896000000000001</v>
      </c>
      <c r="GZ27">
        <v>28.96</v>
      </c>
      <c r="HA27">
        <v>60.787300000000002</v>
      </c>
      <c r="HB27">
        <v>19.118600000000001</v>
      </c>
      <c r="HC27">
        <v>1</v>
      </c>
      <c r="HD27">
        <v>0.68522899999999998</v>
      </c>
      <c r="HE27">
        <v>7.0889899999999999</v>
      </c>
      <c r="HF27">
        <v>20.0365</v>
      </c>
      <c r="HG27">
        <v>5.2211800000000004</v>
      </c>
      <c r="HH27">
        <v>11.9857</v>
      </c>
      <c r="HI27">
        <v>4.9508999999999999</v>
      </c>
      <c r="HJ27">
        <v>3.2847</v>
      </c>
      <c r="HK27">
        <v>9999</v>
      </c>
      <c r="HL27">
        <v>9999</v>
      </c>
      <c r="HM27">
        <v>999.9</v>
      </c>
      <c r="HN27">
        <v>9999</v>
      </c>
      <c r="HO27">
        <v>1.8594299999999999</v>
      </c>
      <c r="HP27">
        <v>1.86006</v>
      </c>
      <c r="HQ27">
        <v>1.85572</v>
      </c>
      <c r="HR27">
        <v>1.8585100000000001</v>
      </c>
      <c r="HS27">
        <v>1.86249</v>
      </c>
      <c r="HT27">
        <v>1.8579699999999999</v>
      </c>
      <c r="HU27">
        <v>1.85494</v>
      </c>
      <c r="HV27">
        <v>1.86233</v>
      </c>
      <c r="HW27">
        <v>5</v>
      </c>
      <c r="HX27">
        <v>0</v>
      </c>
      <c r="HY27">
        <v>0</v>
      </c>
      <c r="HZ27">
        <v>0</v>
      </c>
      <c r="IA27" t="s">
        <v>421</v>
      </c>
      <c r="IB27" t="s">
        <v>422</v>
      </c>
      <c r="IC27" t="s">
        <v>423</v>
      </c>
      <c r="ID27" t="s">
        <v>423</v>
      </c>
      <c r="IE27" t="s">
        <v>423</v>
      </c>
      <c r="IF27" t="s">
        <v>423</v>
      </c>
      <c r="IG27">
        <v>0</v>
      </c>
      <c r="IH27">
        <v>100</v>
      </c>
      <c r="II27">
        <v>100</v>
      </c>
      <c r="IJ27">
        <v>4.43</v>
      </c>
      <c r="IK27">
        <v>-6.5699999999999995E-2</v>
      </c>
      <c r="IL27">
        <v>4.4254545454548397</v>
      </c>
      <c r="IM27">
        <v>0</v>
      </c>
      <c r="IN27">
        <v>0</v>
      </c>
      <c r="IO27">
        <v>0</v>
      </c>
      <c r="IP27">
        <v>-6.5689999999992907E-2</v>
      </c>
      <c r="IQ27">
        <v>0</v>
      </c>
      <c r="IR27">
        <v>0</v>
      </c>
      <c r="IS27">
        <v>0</v>
      </c>
      <c r="IT27">
        <v>-1</v>
      </c>
      <c r="IU27">
        <v>-1</v>
      </c>
      <c r="IV27">
        <v>-1</v>
      </c>
      <c r="IW27">
        <v>-1</v>
      </c>
      <c r="IX27">
        <v>0.9</v>
      </c>
      <c r="IY27">
        <v>1.2</v>
      </c>
      <c r="IZ27">
        <v>2.52441</v>
      </c>
      <c r="JA27">
        <v>2.7685499999999998</v>
      </c>
      <c r="JB27">
        <v>1.69678</v>
      </c>
      <c r="JC27">
        <v>2.36328</v>
      </c>
      <c r="JD27">
        <v>1.4978</v>
      </c>
      <c r="JE27">
        <v>2.4267599999999998</v>
      </c>
      <c r="JF27">
        <v>39.068300000000001</v>
      </c>
      <c r="JG27">
        <v>14.6486</v>
      </c>
      <c r="JH27">
        <v>18</v>
      </c>
      <c r="JI27">
        <v>378.40300000000002</v>
      </c>
      <c r="JJ27">
        <v>502.36599999999999</v>
      </c>
      <c r="JK27">
        <v>16.059100000000001</v>
      </c>
      <c r="JL27">
        <v>34.967799999999997</v>
      </c>
      <c r="JM27">
        <v>30.000599999999999</v>
      </c>
      <c r="JN27">
        <v>35.157400000000003</v>
      </c>
      <c r="JO27">
        <v>35.1815</v>
      </c>
      <c r="JP27">
        <v>50.517000000000003</v>
      </c>
      <c r="JQ27">
        <v>51.581600000000002</v>
      </c>
      <c r="JR27">
        <v>100</v>
      </c>
      <c r="JS27">
        <v>16.0077</v>
      </c>
      <c r="JT27">
        <v>1200</v>
      </c>
      <c r="JU27">
        <v>16.889500000000002</v>
      </c>
      <c r="JV27">
        <v>102.077</v>
      </c>
      <c r="JW27">
        <v>99.999399999999994</v>
      </c>
    </row>
    <row r="28" spans="1:283" x14ac:dyDescent="0.25">
      <c r="A28">
        <v>17</v>
      </c>
      <c r="B28">
        <v>1742540605</v>
      </c>
      <c r="C28">
        <v>2273.9000000953702</v>
      </c>
      <c r="D28" t="s">
        <v>467</v>
      </c>
      <c r="E28" t="s">
        <v>468</v>
      </c>
      <c r="F28">
        <v>2</v>
      </c>
      <c r="H28">
        <v>1742540603.5</v>
      </c>
      <c r="I28">
        <f t="shared" si="0"/>
        <v>3.600691194190524E-3</v>
      </c>
      <c r="J28">
        <f t="shared" si="1"/>
        <v>3.600691194190524</v>
      </c>
      <c r="K28">
        <f t="shared" si="2"/>
        <v>52.268350618726856</v>
      </c>
      <c r="L28">
        <f t="shared" si="3"/>
        <v>1478.105</v>
      </c>
      <c r="M28">
        <f t="shared" si="4"/>
        <v>1088.6339238425749</v>
      </c>
      <c r="N28">
        <f t="shared" si="5"/>
        <v>104.06887451109037</v>
      </c>
      <c r="O28">
        <f t="shared" si="6"/>
        <v>141.30068923101049</v>
      </c>
      <c r="P28">
        <f t="shared" si="7"/>
        <v>0.24265497851325812</v>
      </c>
      <c r="Q28">
        <f t="shared" si="8"/>
        <v>3.0066357355495912</v>
      </c>
      <c r="R28">
        <f t="shared" si="9"/>
        <v>0.23227647696486323</v>
      </c>
      <c r="S28">
        <f t="shared" si="10"/>
        <v>0.14606827367114952</v>
      </c>
      <c r="T28">
        <f t="shared" si="11"/>
        <v>289.56726823784533</v>
      </c>
      <c r="U28">
        <f t="shared" si="12"/>
        <v>25.197445026221644</v>
      </c>
      <c r="V28">
        <f t="shared" si="13"/>
        <v>24.9649</v>
      </c>
      <c r="W28">
        <f t="shared" si="14"/>
        <v>3.1730297817756021</v>
      </c>
      <c r="X28">
        <f t="shared" si="15"/>
        <v>56.219205097186261</v>
      </c>
      <c r="Y28">
        <f t="shared" si="16"/>
        <v>1.729123216352785</v>
      </c>
      <c r="Z28">
        <f t="shared" si="17"/>
        <v>3.07568065639428</v>
      </c>
      <c r="AA28">
        <f t="shared" si="18"/>
        <v>1.4439065654228171</v>
      </c>
      <c r="AB28">
        <f t="shared" si="19"/>
        <v>-158.7904816638021</v>
      </c>
      <c r="AC28">
        <f t="shared" si="20"/>
        <v>-84.531888421636125</v>
      </c>
      <c r="AD28">
        <f t="shared" si="21"/>
        <v>-5.9293346621185341</v>
      </c>
      <c r="AE28">
        <f t="shared" si="22"/>
        <v>40.315563490288554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50920.473121488205</v>
      </c>
      <c r="AK28" t="s">
        <v>415</v>
      </c>
      <c r="AL28">
        <v>10180.200000000001</v>
      </c>
      <c r="AM28">
        <v>191.60769230769199</v>
      </c>
      <c r="AN28">
        <v>979.671341309485</v>
      </c>
      <c r="AO28">
        <f t="shared" si="26"/>
        <v>0.80441635451785476</v>
      </c>
      <c r="AP28">
        <v>-2.5320139233462702</v>
      </c>
      <c r="AQ28" t="s">
        <v>469</v>
      </c>
      <c r="AR28">
        <v>10133.799999999999</v>
      </c>
      <c r="AS28">
        <v>248.22156000000001</v>
      </c>
      <c r="AT28">
        <v>397.205511985312</v>
      </c>
      <c r="AU28">
        <f t="shared" si="27"/>
        <v>0.37508027328387417</v>
      </c>
      <c r="AV28">
        <v>0.5</v>
      </c>
      <c r="AW28">
        <f t="shared" si="28"/>
        <v>1513.1888996051011</v>
      </c>
      <c r="AX28">
        <f t="shared" si="29"/>
        <v>52.268350618726856</v>
      </c>
      <c r="AY28">
        <f t="shared" si="30"/>
        <v>283.78365299700306</v>
      </c>
      <c r="AZ28">
        <f t="shared" si="31"/>
        <v>3.6215151033935321E-2</v>
      </c>
      <c r="BA28">
        <f t="shared" si="32"/>
        <v>1.4664092308611054</v>
      </c>
      <c r="BB28">
        <f t="shared" si="33"/>
        <v>148.90180995945286</v>
      </c>
      <c r="BC28" t="s">
        <v>417</v>
      </c>
      <c r="BD28">
        <v>0</v>
      </c>
      <c r="BE28">
        <f t="shared" si="34"/>
        <v>148.90180995945286</v>
      </c>
      <c r="BF28">
        <f t="shared" si="35"/>
        <v>0.62512652652977541</v>
      </c>
      <c r="BG28">
        <f t="shared" si="36"/>
        <v>0.60000697037451467</v>
      </c>
      <c r="BH28">
        <f t="shared" si="37"/>
        <v>0.70111602236741133</v>
      </c>
      <c r="BI28">
        <f t="shared" si="38"/>
        <v>0.72463780121268173</v>
      </c>
      <c r="BJ28">
        <f t="shared" si="39"/>
        <v>0.73911013413949234</v>
      </c>
      <c r="BK28">
        <f t="shared" si="40"/>
        <v>0.3599289436302513</v>
      </c>
      <c r="BL28">
        <f t="shared" si="41"/>
        <v>0.6400710563697487</v>
      </c>
      <c r="BM28">
        <v>1735</v>
      </c>
      <c r="BN28">
        <v>290</v>
      </c>
      <c r="BO28">
        <v>352.16</v>
      </c>
      <c r="BP28">
        <v>145</v>
      </c>
      <c r="BQ28">
        <v>10133.799999999999</v>
      </c>
      <c r="BR28">
        <v>351.6</v>
      </c>
      <c r="BS28">
        <v>0.56000000000000005</v>
      </c>
      <c r="BT28">
        <v>300</v>
      </c>
      <c r="BU28">
        <v>24.2</v>
      </c>
      <c r="BV28">
        <v>397.205511985312</v>
      </c>
      <c r="BW28">
        <v>1.39782242653065</v>
      </c>
      <c r="BX28">
        <v>-46.219798243294598</v>
      </c>
      <c r="BY28">
        <v>1.2594831611050401</v>
      </c>
      <c r="BZ28">
        <v>0.97963194264815801</v>
      </c>
      <c r="CA28">
        <v>-6.8769130144605102E-3</v>
      </c>
      <c r="CB28">
        <v>290</v>
      </c>
      <c r="CC28">
        <v>350.97</v>
      </c>
      <c r="CD28">
        <v>855</v>
      </c>
      <c r="CE28">
        <v>10082.299999999999</v>
      </c>
      <c r="CF28">
        <v>351.36</v>
      </c>
      <c r="CG28">
        <v>-0.39</v>
      </c>
      <c r="CU28">
        <f t="shared" si="42"/>
        <v>1800.0050000000001</v>
      </c>
      <c r="CV28">
        <f t="shared" si="43"/>
        <v>1513.1888996051011</v>
      </c>
      <c r="CW28">
        <f t="shared" si="44"/>
        <v>0.8406581646190433</v>
      </c>
      <c r="CX28">
        <f t="shared" si="45"/>
        <v>0.16087025771475374</v>
      </c>
      <c r="CY28">
        <v>1.9</v>
      </c>
      <c r="CZ28">
        <v>0.5</v>
      </c>
      <c r="DA28" t="s">
        <v>418</v>
      </c>
      <c r="DB28">
        <v>2</v>
      </c>
      <c r="DC28">
        <v>1742540603.5</v>
      </c>
      <c r="DD28">
        <v>1478.105</v>
      </c>
      <c r="DE28">
        <v>1499.99</v>
      </c>
      <c r="DF28">
        <v>18.08785</v>
      </c>
      <c r="DG28">
        <v>16.744299999999999</v>
      </c>
      <c r="DH28">
        <v>1472.865</v>
      </c>
      <c r="DI28">
        <v>18.165849999999999</v>
      </c>
      <c r="DJ28">
        <v>499.98649999999998</v>
      </c>
      <c r="DK28">
        <v>95.496049999999997</v>
      </c>
      <c r="DL28">
        <v>9.9790100000000007E-2</v>
      </c>
      <c r="DM28">
        <v>24.4434</v>
      </c>
      <c r="DN28">
        <v>24.9649</v>
      </c>
      <c r="DO28">
        <v>999.9</v>
      </c>
      <c r="DP28">
        <v>0</v>
      </c>
      <c r="DQ28">
        <v>0</v>
      </c>
      <c r="DR28">
        <v>9998.125</v>
      </c>
      <c r="DS28">
        <v>0</v>
      </c>
      <c r="DT28">
        <v>1139.55</v>
      </c>
      <c r="DU28">
        <v>-21.888400000000001</v>
      </c>
      <c r="DV28">
        <v>1505.335</v>
      </c>
      <c r="DW28">
        <v>1525.5350000000001</v>
      </c>
      <c r="DX28">
        <v>1.34352</v>
      </c>
      <c r="DY28">
        <v>1499.99</v>
      </c>
      <c r="DZ28">
        <v>16.744299999999999</v>
      </c>
      <c r="EA28">
        <v>1.7273149999999999</v>
      </c>
      <c r="EB28">
        <v>1.5990150000000001</v>
      </c>
      <c r="EC28">
        <v>15.1441</v>
      </c>
      <c r="ED28">
        <v>13.949350000000001</v>
      </c>
      <c r="EE28">
        <v>1800.0050000000001</v>
      </c>
      <c r="EF28">
        <v>0.97800149999999997</v>
      </c>
      <c r="EG28">
        <v>2.1998150000000001E-2</v>
      </c>
      <c r="EH28">
        <v>0</v>
      </c>
      <c r="EI28">
        <v>248.27799999999999</v>
      </c>
      <c r="EJ28">
        <v>5.0006000000000004</v>
      </c>
      <c r="EK28">
        <v>4807.6899999999996</v>
      </c>
      <c r="EL28">
        <v>18194</v>
      </c>
      <c r="EM28">
        <v>48.75</v>
      </c>
      <c r="EN28">
        <v>49.436999999999998</v>
      </c>
      <c r="EO28">
        <v>49.280999999999999</v>
      </c>
      <c r="EP28">
        <v>48.405999999999999</v>
      </c>
      <c r="EQ28">
        <v>50.186999999999998</v>
      </c>
      <c r="ER28">
        <v>1755.5150000000001</v>
      </c>
      <c r="ES28">
        <v>39.49</v>
      </c>
      <c r="ET28">
        <v>0</v>
      </c>
      <c r="EU28">
        <v>151.5</v>
      </c>
      <c r="EV28">
        <v>0</v>
      </c>
      <c r="EW28">
        <v>248.22156000000001</v>
      </c>
      <c r="EX28">
        <v>1.0785384636342501</v>
      </c>
      <c r="EY28">
        <v>15.983846138626699</v>
      </c>
      <c r="EZ28">
        <v>4806.5172000000002</v>
      </c>
      <c r="FA28">
        <v>15</v>
      </c>
      <c r="FB28">
        <v>1742540533</v>
      </c>
      <c r="FC28" t="s">
        <v>470</v>
      </c>
      <c r="FD28">
        <v>1742540533</v>
      </c>
      <c r="FE28">
        <v>1742540527</v>
      </c>
      <c r="FF28">
        <v>48</v>
      </c>
      <c r="FG28">
        <v>0.81599999999999995</v>
      </c>
      <c r="FH28">
        <v>-1.2E-2</v>
      </c>
      <c r="FI28">
        <v>5.2380000000000004</v>
      </c>
      <c r="FJ28">
        <v>-7.8E-2</v>
      </c>
      <c r="FK28">
        <v>1500</v>
      </c>
      <c r="FL28">
        <v>17</v>
      </c>
      <c r="FM28">
        <v>0.16</v>
      </c>
      <c r="FN28">
        <v>0.18</v>
      </c>
      <c r="FO28">
        <v>-22.090364999999998</v>
      </c>
      <c r="FP28">
        <v>0.83958045112777802</v>
      </c>
      <c r="FQ28">
        <v>0.120855104463982</v>
      </c>
      <c r="FR28">
        <v>0</v>
      </c>
      <c r="FS28">
        <v>248.12347058823499</v>
      </c>
      <c r="FT28">
        <v>1.46759358437817</v>
      </c>
      <c r="FU28">
        <v>0.224381402618021</v>
      </c>
      <c r="FV28">
        <v>0</v>
      </c>
      <c r="FW28">
        <v>1.4375465000000001</v>
      </c>
      <c r="FX28">
        <v>-0.56989939849624005</v>
      </c>
      <c r="FY28">
        <v>5.5554695325867799E-2</v>
      </c>
      <c r="FZ28">
        <v>0</v>
      </c>
      <c r="GA28">
        <v>0</v>
      </c>
      <c r="GB28">
        <v>3</v>
      </c>
      <c r="GC28" t="s">
        <v>449</v>
      </c>
      <c r="GD28">
        <v>3.1397499999999998</v>
      </c>
      <c r="GE28">
        <v>2.7467299999999999</v>
      </c>
      <c r="GF28">
        <v>0.202569</v>
      </c>
      <c r="GG28">
        <v>0.20951600000000001</v>
      </c>
      <c r="GH28">
        <v>8.9323299999999994E-2</v>
      </c>
      <c r="GI28">
        <v>8.6628700000000003E-2</v>
      </c>
      <c r="GJ28">
        <v>20944.099999999999</v>
      </c>
      <c r="GK28">
        <v>26008.7</v>
      </c>
      <c r="GL28">
        <v>26793.3</v>
      </c>
      <c r="GM28">
        <v>31065.3</v>
      </c>
      <c r="GN28">
        <v>34425.199999999997</v>
      </c>
      <c r="GO28">
        <v>37839.1</v>
      </c>
      <c r="GP28">
        <v>41338.1</v>
      </c>
      <c r="GQ28">
        <v>45050.400000000001</v>
      </c>
      <c r="GR28">
        <v>1.68665</v>
      </c>
      <c r="GS28">
        <v>1.8737699999999999</v>
      </c>
      <c r="GT28">
        <v>9.1209999999999999E-2</v>
      </c>
      <c r="GU28">
        <v>0</v>
      </c>
      <c r="GV28">
        <v>23.468699999999998</v>
      </c>
      <c r="GW28">
        <v>999.9</v>
      </c>
      <c r="GX28">
        <v>49.371000000000002</v>
      </c>
      <c r="GY28">
        <v>34.814999999999998</v>
      </c>
      <c r="GZ28">
        <v>28.900500000000001</v>
      </c>
      <c r="HA28">
        <v>60.877299999999998</v>
      </c>
      <c r="HB28">
        <v>19.1266</v>
      </c>
      <c r="HC28">
        <v>1</v>
      </c>
      <c r="HD28">
        <v>0.68196100000000004</v>
      </c>
      <c r="HE28">
        <v>6.68757</v>
      </c>
      <c r="HF28">
        <v>20.0535</v>
      </c>
      <c r="HG28">
        <v>5.2222299999999997</v>
      </c>
      <c r="HH28">
        <v>11.984500000000001</v>
      </c>
      <c r="HI28">
        <v>4.9504999999999999</v>
      </c>
      <c r="HJ28">
        <v>3.2850000000000001</v>
      </c>
      <c r="HK28">
        <v>9999</v>
      </c>
      <c r="HL28">
        <v>9999</v>
      </c>
      <c r="HM28">
        <v>999.9</v>
      </c>
      <c r="HN28">
        <v>9999</v>
      </c>
      <c r="HO28">
        <v>1.8594299999999999</v>
      </c>
      <c r="HP28">
        <v>1.86006</v>
      </c>
      <c r="HQ28">
        <v>1.8557600000000001</v>
      </c>
      <c r="HR28">
        <v>1.8585199999999999</v>
      </c>
      <c r="HS28">
        <v>1.86249</v>
      </c>
      <c r="HT28">
        <v>1.85806</v>
      </c>
      <c r="HU28">
        <v>1.85497</v>
      </c>
      <c r="HV28">
        <v>1.8623400000000001</v>
      </c>
      <c r="HW28">
        <v>5</v>
      </c>
      <c r="HX28">
        <v>0</v>
      </c>
      <c r="HY28">
        <v>0</v>
      </c>
      <c r="HZ28">
        <v>0</v>
      </c>
      <c r="IA28" t="s">
        <v>421</v>
      </c>
      <c r="IB28" t="s">
        <v>422</v>
      </c>
      <c r="IC28" t="s">
        <v>423</v>
      </c>
      <c r="ID28" t="s">
        <v>423</v>
      </c>
      <c r="IE28" t="s">
        <v>423</v>
      </c>
      <c r="IF28" t="s">
        <v>423</v>
      </c>
      <c r="IG28">
        <v>0</v>
      </c>
      <c r="IH28">
        <v>100</v>
      </c>
      <c r="II28">
        <v>100</v>
      </c>
      <c r="IJ28">
        <v>5.23</v>
      </c>
      <c r="IK28">
        <v>-7.8E-2</v>
      </c>
      <c r="IL28">
        <v>5.2381818181818298</v>
      </c>
      <c r="IM28">
        <v>0</v>
      </c>
      <c r="IN28">
        <v>0</v>
      </c>
      <c r="IO28">
        <v>0</v>
      </c>
      <c r="IP28">
        <v>-7.7999999999995906E-2</v>
      </c>
      <c r="IQ28">
        <v>0</v>
      </c>
      <c r="IR28">
        <v>0</v>
      </c>
      <c r="IS28">
        <v>0</v>
      </c>
      <c r="IT28">
        <v>-1</v>
      </c>
      <c r="IU28">
        <v>-1</v>
      </c>
      <c r="IV28">
        <v>-1</v>
      </c>
      <c r="IW28">
        <v>-1</v>
      </c>
      <c r="IX28">
        <v>1.2</v>
      </c>
      <c r="IY28">
        <v>1.3</v>
      </c>
      <c r="IZ28">
        <v>3.0188000000000001</v>
      </c>
      <c r="JA28">
        <v>2.7624499999999999</v>
      </c>
      <c r="JB28">
        <v>1.69678</v>
      </c>
      <c r="JC28">
        <v>2.36328</v>
      </c>
      <c r="JD28">
        <v>1.4978</v>
      </c>
      <c r="JE28">
        <v>2.4352999999999998</v>
      </c>
      <c r="JF28">
        <v>39.043599999999998</v>
      </c>
      <c r="JG28">
        <v>14.587300000000001</v>
      </c>
      <c r="JH28">
        <v>18</v>
      </c>
      <c r="JI28">
        <v>378.39600000000002</v>
      </c>
      <c r="JJ28">
        <v>502.74900000000002</v>
      </c>
      <c r="JK28">
        <v>16.038900000000002</v>
      </c>
      <c r="JL28">
        <v>34.954999999999998</v>
      </c>
      <c r="JM28">
        <v>29.999300000000002</v>
      </c>
      <c r="JN28">
        <v>35.122300000000003</v>
      </c>
      <c r="JO28">
        <v>35.145499999999998</v>
      </c>
      <c r="JP28">
        <v>60.392899999999997</v>
      </c>
      <c r="JQ28">
        <v>51.994399999999999</v>
      </c>
      <c r="JR28">
        <v>100</v>
      </c>
      <c r="JS28">
        <v>16.069900000000001</v>
      </c>
      <c r="JT28">
        <v>1500</v>
      </c>
      <c r="JU28">
        <v>16.904299999999999</v>
      </c>
      <c r="JV28">
        <v>102.08199999999999</v>
      </c>
      <c r="JW28">
        <v>100.006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2025-03-23T15:06:22Z</dcterms:created>
  <dcterms:modified xsi:type="dcterms:W3CDTF">2025-07-09T11:19:37Z</dcterms:modified>
</cp:coreProperties>
</file>