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博士学习资料\根据Vcmax25计算A\A-Q\winter wheat\"/>
    </mc:Choice>
  </mc:AlternateContent>
  <xr:revisionPtr revIDLastSave="0" documentId="13_ncr:1_{FE37D4E3-03B8-4EF0-834F-0DD34814EB29}" xr6:coauthVersionLast="47" xr6:coauthVersionMax="47" xr10:uidLastSave="{00000000-0000-0000-0000-000000000000}"/>
  <bookViews>
    <workbookView xWindow="3768" yWindow="3768" windowWidth="21300" windowHeight="10368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U28" i="1" l="1"/>
  <c r="CX28" i="1" l="1"/>
  <c r="T28" i="1" s="1"/>
  <c r="CW28" i="1"/>
  <c r="CV28" i="1" s="1"/>
  <c r="AW28" i="1" s="1"/>
  <c r="CU28" i="1"/>
  <c r="BJ28" i="1"/>
  <c r="BI28" i="1"/>
  <c r="BB28" i="1"/>
  <c r="BE28" i="1" s="1"/>
  <c r="BA28" i="1"/>
  <c r="AY28" i="1"/>
  <c r="AO28" i="1"/>
  <c r="AJ28" i="1"/>
  <c r="AH28" i="1" s="1"/>
  <c r="Z28" i="1"/>
  <c r="X28" i="1" s="1"/>
  <c r="Y28" i="1"/>
  <c r="Q28" i="1"/>
  <c r="CX27" i="1"/>
  <c r="CW27" i="1"/>
  <c r="CU27" i="1"/>
  <c r="CV27" i="1" s="1"/>
  <c r="AW27" i="1" s="1"/>
  <c r="AY27" i="1" s="1"/>
  <c r="BJ27" i="1"/>
  <c r="BI27" i="1"/>
  <c r="BH27" i="1"/>
  <c r="BG27" i="1"/>
  <c r="BK27" i="1" s="1"/>
  <c r="BL27" i="1" s="1"/>
  <c r="BE27" i="1"/>
  <c r="BF27" i="1" s="1"/>
  <c r="BB27" i="1"/>
  <c r="BA27" i="1"/>
  <c r="AU27" i="1"/>
  <c r="AO27" i="1"/>
  <c r="AJ27" i="1"/>
  <c r="AH27" i="1"/>
  <c r="L27" i="1" s="1"/>
  <c r="Z27" i="1"/>
  <c r="X27" i="1" s="1"/>
  <c r="Y27" i="1"/>
  <c r="Q27" i="1"/>
  <c r="O27" i="1"/>
  <c r="CX26" i="1"/>
  <c r="CW26" i="1"/>
  <c r="CU26" i="1"/>
  <c r="T26" i="1" s="1"/>
  <c r="BJ26" i="1"/>
  <c r="BI26" i="1"/>
  <c r="BA26" i="1"/>
  <c r="AU26" i="1"/>
  <c r="AO26" i="1"/>
  <c r="BB26" i="1" s="1"/>
  <c r="BE26" i="1" s="1"/>
  <c r="AJ26" i="1"/>
  <c r="AH26" i="1"/>
  <c r="L26" i="1" s="1"/>
  <c r="Z26" i="1"/>
  <c r="X26" i="1" s="1"/>
  <c r="Y26" i="1"/>
  <c r="Q26" i="1"/>
  <c r="O26" i="1"/>
  <c r="CX25" i="1"/>
  <c r="CW25" i="1"/>
  <c r="CU25" i="1"/>
  <c r="T25" i="1" s="1"/>
  <c r="BJ25" i="1"/>
  <c r="BI25" i="1"/>
  <c r="BA25" i="1"/>
  <c r="AU25" i="1"/>
  <c r="AO25" i="1"/>
  <c r="BB25" i="1" s="1"/>
  <c r="BE25" i="1" s="1"/>
  <c r="AJ25" i="1"/>
  <c r="AH25" i="1" s="1"/>
  <c r="Z25" i="1"/>
  <c r="X25" i="1" s="1"/>
  <c r="Y25" i="1"/>
  <c r="Q25" i="1"/>
  <c r="CX24" i="1"/>
  <c r="CW24" i="1"/>
  <c r="CU24" i="1"/>
  <c r="CV24" i="1" s="1"/>
  <c r="AW24" i="1" s="1"/>
  <c r="AY24" i="1" s="1"/>
  <c r="BJ24" i="1"/>
  <c r="BI24" i="1"/>
  <c r="BA24" i="1"/>
  <c r="AU24" i="1"/>
  <c r="AO24" i="1"/>
  <c r="BB24" i="1" s="1"/>
  <c r="BE24" i="1" s="1"/>
  <c r="AJ24" i="1"/>
  <c r="AI24" i="1"/>
  <c r="AH24" i="1"/>
  <c r="L24" i="1" s="1"/>
  <c r="Z24" i="1"/>
  <c r="X24" i="1" s="1"/>
  <c r="Y24" i="1"/>
  <c r="T24" i="1"/>
  <c r="Q24" i="1"/>
  <c r="O24" i="1"/>
  <c r="K24" i="1"/>
  <c r="AX24" i="1" s="1"/>
  <c r="CX23" i="1"/>
  <c r="CW23" i="1"/>
  <c r="CU23" i="1"/>
  <c r="CV23" i="1" s="1"/>
  <c r="AW23" i="1" s="1"/>
  <c r="AY23" i="1" s="1"/>
  <c r="BJ23" i="1"/>
  <c r="BI23" i="1"/>
  <c r="BB23" i="1"/>
  <c r="BE23" i="1" s="1"/>
  <c r="BA23" i="1"/>
  <c r="AU23" i="1"/>
  <c r="AO23" i="1"/>
  <c r="AJ23" i="1"/>
  <c r="AH23" i="1" s="1"/>
  <c r="Z23" i="1"/>
  <c r="X23" i="1" s="1"/>
  <c r="Y23" i="1"/>
  <c r="T23" i="1"/>
  <c r="Q23" i="1"/>
  <c r="CX22" i="1"/>
  <c r="CW22" i="1"/>
  <c r="CV22" i="1" s="1"/>
  <c r="AW22" i="1" s="1"/>
  <c r="CU22" i="1"/>
  <c r="BJ22" i="1"/>
  <c r="BI22" i="1"/>
  <c r="BB22" i="1"/>
  <c r="BE22" i="1" s="1"/>
  <c r="BA22" i="1"/>
  <c r="AX22" i="1"/>
  <c r="AU22" i="1"/>
  <c r="AO22" i="1"/>
  <c r="AJ22" i="1"/>
  <c r="AI22" i="1"/>
  <c r="AH22" i="1"/>
  <c r="L22" i="1" s="1"/>
  <c r="Z22" i="1"/>
  <c r="X22" i="1" s="1"/>
  <c r="Y22" i="1"/>
  <c r="T22" i="1"/>
  <c r="Q22" i="1"/>
  <c r="O22" i="1"/>
  <c r="K22" i="1"/>
  <c r="CX21" i="1"/>
  <c r="CW21" i="1"/>
  <c r="CU21" i="1"/>
  <c r="CV21" i="1" s="1"/>
  <c r="AW21" i="1" s="1"/>
  <c r="AY21" i="1" s="1"/>
  <c r="BJ21" i="1"/>
  <c r="BI21" i="1"/>
  <c r="BB21" i="1"/>
  <c r="BE21" i="1" s="1"/>
  <c r="BA21" i="1"/>
  <c r="AU21" i="1"/>
  <c r="AO21" i="1"/>
  <c r="AJ21" i="1"/>
  <c r="AH21" i="1" s="1"/>
  <c r="Z21" i="1"/>
  <c r="X21" i="1" s="1"/>
  <c r="Y21" i="1"/>
  <c r="T21" i="1"/>
  <c r="Q21" i="1"/>
  <c r="CX20" i="1"/>
  <c r="CW20" i="1"/>
  <c r="CU20" i="1"/>
  <c r="CV20" i="1" s="1"/>
  <c r="AW20" i="1" s="1"/>
  <c r="BJ20" i="1"/>
  <c r="BI20" i="1"/>
  <c r="BB20" i="1"/>
  <c r="BE20" i="1" s="1"/>
  <c r="BA20" i="1"/>
  <c r="AU20" i="1"/>
  <c r="AY20" i="1" s="1"/>
  <c r="AO20" i="1"/>
  <c r="AJ20" i="1"/>
  <c r="AH20" i="1" s="1"/>
  <c r="Z20" i="1"/>
  <c r="X20" i="1" s="1"/>
  <c r="Y20" i="1"/>
  <c r="T20" i="1"/>
  <c r="Q20" i="1"/>
  <c r="CX19" i="1"/>
  <c r="CW19" i="1"/>
  <c r="CU19" i="1"/>
  <c r="CV19" i="1" s="1"/>
  <c r="AW19" i="1" s="1"/>
  <c r="AY19" i="1" s="1"/>
  <c r="BJ19" i="1"/>
  <c r="BI19" i="1"/>
  <c r="BB19" i="1"/>
  <c r="BE19" i="1" s="1"/>
  <c r="BA19" i="1"/>
  <c r="AU19" i="1"/>
  <c r="AO19" i="1"/>
  <c r="AJ19" i="1"/>
  <c r="AH19" i="1" s="1"/>
  <c r="Z19" i="1"/>
  <c r="X19" i="1" s="1"/>
  <c r="Y19" i="1"/>
  <c r="T19" i="1"/>
  <c r="Q19" i="1"/>
  <c r="CX18" i="1"/>
  <c r="T18" i="1" s="1"/>
  <c r="CW18" i="1"/>
  <c r="CU18" i="1"/>
  <c r="CV18" i="1" s="1"/>
  <c r="AW18" i="1" s="1"/>
  <c r="BJ18" i="1"/>
  <c r="BI18" i="1"/>
  <c r="BB18" i="1"/>
  <c r="BE18" i="1" s="1"/>
  <c r="BA18" i="1"/>
  <c r="AU18" i="1"/>
  <c r="AY18" i="1" s="1"/>
  <c r="AO18" i="1"/>
  <c r="AJ18" i="1"/>
  <c r="AH18" i="1"/>
  <c r="K18" i="1" s="1"/>
  <c r="AX18" i="1" s="1"/>
  <c r="AZ18" i="1" s="1"/>
  <c r="Z18" i="1"/>
  <c r="X18" i="1" s="1"/>
  <c r="Y18" i="1"/>
  <c r="Q18" i="1"/>
  <c r="O18" i="1"/>
  <c r="L18" i="1"/>
  <c r="CX17" i="1"/>
  <c r="CW17" i="1"/>
  <c r="CU17" i="1"/>
  <c r="CV17" i="1" s="1"/>
  <c r="AW17" i="1" s="1"/>
  <c r="BJ17" i="1"/>
  <c r="BI17" i="1"/>
  <c r="BA17" i="1"/>
  <c r="AU17" i="1"/>
  <c r="AO17" i="1"/>
  <c r="BB17" i="1" s="1"/>
  <c r="BE17" i="1" s="1"/>
  <c r="AJ17" i="1"/>
  <c r="AH17" i="1" s="1"/>
  <c r="Z17" i="1"/>
  <c r="X17" i="1" s="1"/>
  <c r="Y17" i="1"/>
  <c r="Q17" i="1"/>
  <c r="L21" i="1" l="1"/>
  <c r="K21" i="1"/>
  <c r="AX21" i="1" s="1"/>
  <c r="AZ21" i="1" s="1"/>
  <c r="J21" i="1"/>
  <c r="I21" i="1" s="1"/>
  <c r="AI21" i="1"/>
  <c r="O21" i="1"/>
  <c r="O23" i="1"/>
  <c r="L23" i="1"/>
  <c r="K23" i="1"/>
  <c r="AX23" i="1" s="1"/>
  <c r="AZ23" i="1" s="1"/>
  <c r="AI23" i="1"/>
  <c r="J23" i="1"/>
  <c r="I23" i="1" s="1"/>
  <c r="U23" i="1" s="1"/>
  <c r="V23" i="1" s="1"/>
  <c r="BH18" i="1"/>
  <c r="BG18" i="1"/>
  <c r="BK18" i="1" s="1"/>
  <c r="BL18" i="1" s="1"/>
  <c r="BF18" i="1"/>
  <c r="K20" i="1"/>
  <c r="AX20" i="1" s="1"/>
  <c r="AZ20" i="1" s="1"/>
  <c r="J20" i="1"/>
  <c r="I20" i="1" s="1"/>
  <c r="AI20" i="1"/>
  <c r="O20" i="1"/>
  <c r="L20" i="1"/>
  <c r="U26" i="1"/>
  <c r="V26" i="1" s="1"/>
  <c r="O28" i="1"/>
  <c r="L28" i="1"/>
  <c r="K28" i="1"/>
  <c r="AX28" i="1" s="1"/>
  <c r="AZ28" i="1" s="1"/>
  <c r="J28" i="1"/>
  <c r="I28" i="1" s="1"/>
  <c r="AI28" i="1"/>
  <c r="BH22" i="1"/>
  <c r="BF22" i="1"/>
  <c r="BG22" i="1"/>
  <c r="BK22" i="1" s="1"/>
  <c r="BL22" i="1" s="1"/>
  <c r="BH19" i="1"/>
  <c r="BF19" i="1"/>
  <c r="BG19" i="1"/>
  <c r="BK19" i="1" s="1"/>
  <c r="BL19" i="1" s="1"/>
  <c r="AY22" i="1"/>
  <c r="AZ22" i="1"/>
  <c r="BG24" i="1"/>
  <c r="BK24" i="1" s="1"/>
  <c r="BL24" i="1" s="1"/>
  <c r="BH24" i="1"/>
  <c r="BF24" i="1"/>
  <c r="BH23" i="1"/>
  <c r="BG23" i="1"/>
  <c r="BK23" i="1" s="1"/>
  <c r="BL23" i="1" s="1"/>
  <c r="BF23" i="1"/>
  <c r="O25" i="1"/>
  <c r="L25" i="1"/>
  <c r="K25" i="1"/>
  <c r="AX25" i="1" s="1"/>
  <c r="AZ25" i="1" s="1"/>
  <c r="J25" i="1"/>
  <c r="I25" i="1" s="1"/>
  <c r="AI25" i="1"/>
  <c r="BG17" i="1"/>
  <c r="BK17" i="1" s="1"/>
  <c r="BL17" i="1" s="1"/>
  <c r="BF17" i="1"/>
  <c r="BH17" i="1"/>
  <c r="BG25" i="1"/>
  <c r="BK25" i="1" s="1"/>
  <c r="BL25" i="1" s="1"/>
  <c r="BF25" i="1"/>
  <c r="BH25" i="1"/>
  <c r="AZ24" i="1"/>
  <c r="U25" i="1"/>
  <c r="V25" i="1" s="1"/>
  <c r="BF21" i="1"/>
  <c r="BH21" i="1"/>
  <c r="BG21" i="1"/>
  <c r="BK21" i="1" s="1"/>
  <c r="BL21" i="1" s="1"/>
  <c r="BH26" i="1"/>
  <c r="BG26" i="1"/>
  <c r="BK26" i="1" s="1"/>
  <c r="BL26" i="1" s="1"/>
  <c r="BF26" i="1"/>
  <c r="BF20" i="1"/>
  <c r="BH20" i="1"/>
  <c r="BG20" i="1"/>
  <c r="BK20" i="1" s="1"/>
  <c r="BL20" i="1" s="1"/>
  <c r="O17" i="1"/>
  <c r="L17" i="1"/>
  <c r="K17" i="1"/>
  <c r="AX17" i="1" s="1"/>
  <c r="AZ17" i="1" s="1"/>
  <c r="AI17" i="1"/>
  <c r="J17" i="1"/>
  <c r="I17" i="1" s="1"/>
  <c r="BH28" i="1"/>
  <c r="BG28" i="1"/>
  <c r="BK28" i="1" s="1"/>
  <c r="BL28" i="1" s="1"/>
  <c r="BF28" i="1"/>
  <c r="AY17" i="1"/>
  <c r="AI19" i="1"/>
  <c r="O19" i="1"/>
  <c r="L19" i="1"/>
  <c r="K19" i="1"/>
  <c r="AX19" i="1" s="1"/>
  <c r="AZ19" i="1" s="1"/>
  <c r="J19" i="1"/>
  <c r="I19" i="1" s="1"/>
  <c r="U19" i="1" s="1"/>
  <c r="V19" i="1" s="1"/>
  <c r="U28" i="1"/>
  <c r="V28" i="1" s="1"/>
  <c r="AI18" i="1"/>
  <c r="J18" i="1"/>
  <c r="I18" i="1" s="1"/>
  <c r="CV26" i="1"/>
  <c r="AW26" i="1" s="1"/>
  <c r="AY26" i="1" s="1"/>
  <c r="CV25" i="1"/>
  <c r="AW25" i="1" s="1"/>
  <c r="AY25" i="1" s="1"/>
  <c r="U21" i="1"/>
  <c r="V21" i="1" s="1"/>
  <c r="AI27" i="1"/>
  <c r="J27" i="1"/>
  <c r="I27" i="1" s="1"/>
  <c r="AI26" i="1"/>
  <c r="K27" i="1"/>
  <c r="AX27" i="1" s="1"/>
  <c r="AZ27" i="1" s="1"/>
  <c r="J26" i="1"/>
  <c r="I26" i="1" s="1"/>
  <c r="K26" i="1"/>
  <c r="AX26" i="1" s="1"/>
  <c r="AZ26" i="1" s="1"/>
  <c r="J24" i="1"/>
  <c r="I24" i="1" s="1"/>
  <c r="J22" i="1"/>
  <c r="I22" i="1" s="1"/>
  <c r="T27" i="1"/>
  <c r="T17" i="1"/>
  <c r="W23" i="1" l="1"/>
  <c r="AA23" i="1" s="1"/>
  <c r="AD23" i="1"/>
  <c r="AC23" i="1"/>
  <c r="AD19" i="1"/>
  <c r="W19" i="1"/>
  <c r="AA19" i="1" s="1"/>
  <c r="AC19" i="1"/>
  <c r="W26" i="1"/>
  <c r="AA26" i="1" s="1"/>
  <c r="AC26" i="1"/>
  <c r="AD26" i="1"/>
  <c r="AC21" i="1"/>
  <c r="AD21" i="1"/>
  <c r="W21" i="1"/>
  <c r="AA21" i="1" s="1"/>
  <c r="W25" i="1"/>
  <c r="AA25" i="1" s="1"/>
  <c r="AD25" i="1"/>
  <c r="AB17" i="1"/>
  <c r="R17" i="1"/>
  <c r="P17" i="1" s="1"/>
  <c r="S17" i="1" s="1"/>
  <c r="M17" i="1" s="1"/>
  <c r="N17" i="1" s="1"/>
  <c r="AB27" i="1"/>
  <c r="R27" i="1"/>
  <c r="P27" i="1" s="1"/>
  <c r="S27" i="1" s="1"/>
  <c r="M27" i="1" s="1"/>
  <c r="N27" i="1" s="1"/>
  <c r="AB28" i="1"/>
  <c r="R28" i="1"/>
  <c r="P28" i="1" s="1"/>
  <c r="S28" i="1" s="1"/>
  <c r="M28" i="1" s="1"/>
  <c r="N28" i="1" s="1"/>
  <c r="AB18" i="1"/>
  <c r="R18" i="1"/>
  <c r="P18" i="1" s="1"/>
  <c r="S18" i="1" s="1"/>
  <c r="M18" i="1" s="1"/>
  <c r="N18" i="1" s="1"/>
  <c r="AD28" i="1"/>
  <c r="AE28" i="1" s="1"/>
  <c r="W28" i="1"/>
  <c r="AA28" i="1" s="1"/>
  <c r="R19" i="1"/>
  <c r="P19" i="1" s="1"/>
  <c r="S19" i="1" s="1"/>
  <c r="M19" i="1" s="1"/>
  <c r="N19" i="1" s="1"/>
  <c r="AB19" i="1"/>
  <c r="AB20" i="1"/>
  <c r="U17" i="1"/>
  <c r="V17" i="1" s="1"/>
  <c r="U27" i="1"/>
  <c r="V27" i="1" s="1"/>
  <c r="AB22" i="1"/>
  <c r="AB24" i="1"/>
  <c r="U22" i="1"/>
  <c r="V22" i="1" s="1"/>
  <c r="AB23" i="1"/>
  <c r="R23" i="1"/>
  <c r="P23" i="1" s="1"/>
  <c r="S23" i="1" s="1"/>
  <c r="M23" i="1" s="1"/>
  <c r="N23" i="1" s="1"/>
  <c r="R26" i="1"/>
  <c r="P26" i="1" s="1"/>
  <c r="S26" i="1" s="1"/>
  <c r="M26" i="1" s="1"/>
  <c r="N26" i="1" s="1"/>
  <c r="AB26" i="1"/>
  <c r="AC28" i="1"/>
  <c r="U20" i="1"/>
  <c r="V20" i="1" s="1"/>
  <c r="R25" i="1"/>
  <c r="P25" i="1" s="1"/>
  <c r="S25" i="1" s="1"/>
  <c r="M25" i="1" s="1"/>
  <c r="N25" i="1" s="1"/>
  <c r="AB25" i="1"/>
  <c r="U24" i="1"/>
  <c r="V24" i="1" s="1"/>
  <c r="AC25" i="1"/>
  <c r="R21" i="1"/>
  <c r="P21" i="1" s="1"/>
  <c r="S21" i="1" s="1"/>
  <c r="M21" i="1" s="1"/>
  <c r="N21" i="1" s="1"/>
  <c r="AB21" i="1"/>
  <c r="U18" i="1"/>
  <c r="V18" i="1" s="1"/>
  <c r="AD20" i="1" l="1"/>
  <c r="W20" i="1"/>
  <c r="AA20" i="1" s="1"/>
  <c r="AC20" i="1"/>
  <c r="AD24" i="1"/>
  <c r="W24" i="1"/>
  <c r="AA24" i="1" s="1"/>
  <c r="AC24" i="1"/>
  <c r="AE25" i="1"/>
  <c r="W27" i="1"/>
  <c r="AA27" i="1" s="1"/>
  <c r="AD27" i="1"/>
  <c r="AE27" i="1" s="1"/>
  <c r="AC27" i="1"/>
  <c r="AE21" i="1"/>
  <c r="W17" i="1"/>
  <c r="AA17" i="1" s="1"/>
  <c r="AD17" i="1"/>
  <c r="AE17" i="1" s="1"/>
  <c r="AC17" i="1"/>
  <c r="AE19" i="1"/>
  <c r="R20" i="1"/>
  <c r="P20" i="1" s="1"/>
  <c r="S20" i="1" s="1"/>
  <c r="M20" i="1" s="1"/>
  <c r="N20" i="1" s="1"/>
  <c r="AD22" i="1"/>
  <c r="AE22" i="1" s="1"/>
  <c r="W22" i="1"/>
  <c r="AA22" i="1" s="1"/>
  <c r="AC22" i="1"/>
  <c r="R24" i="1"/>
  <c r="P24" i="1" s="1"/>
  <c r="S24" i="1" s="1"/>
  <c r="M24" i="1" s="1"/>
  <c r="N24" i="1" s="1"/>
  <c r="R22" i="1"/>
  <c r="P22" i="1" s="1"/>
  <c r="S22" i="1" s="1"/>
  <c r="M22" i="1" s="1"/>
  <c r="N22" i="1" s="1"/>
  <c r="AE26" i="1"/>
  <c r="AD18" i="1"/>
  <c r="AE18" i="1" s="1"/>
  <c r="W18" i="1"/>
  <c r="AA18" i="1" s="1"/>
  <c r="AC18" i="1"/>
  <c r="AE23" i="1"/>
  <c r="AE24" i="1" l="1"/>
  <c r="AE20" i="1"/>
</calcChain>
</file>

<file path=xl/sharedStrings.xml><?xml version="1.0" encoding="utf-8"?>
<sst xmlns="http://schemas.openxmlformats.org/spreadsheetml/2006/main" count="1013" uniqueCount="469">
  <si>
    <t>File opened</t>
  </si>
  <si>
    <t>2025-03-23 10:08:04</t>
  </si>
  <si>
    <t>Console s/n</t>
  </si>
  <si>
    <t>68C-831466</t>
  </si>
  <si>
    <t>Console ver</t>
  </si>
  <si>
    <t>Bluestem v.2.1.09</t>
  </si>
  <si>
    <t>Scripts ver</t>
  </si>
  <si>
    <t>2022.06  2.1.09, Dec 2022</t>
  </si>
  <si>
    <t>Head s/n</t>
  </si>
  <si>
    <t>68H-581466</t>
  </si>
  <si>
    <t>Head ver</t>
  </si>
  <si>
    <t>1.4.22</t>
  </si>
  <si>
    <t>Head cal</t>
  </si>
  <si>
    <t>{"co2aspan1": "1.00041", "co2bspanconc1": "2500", "tazero": "0.0360317", "co2bspan1": "1.00065", "h2obspanconc1": "12.19", "h2obspan2b": "0.0707396", "co2bspan2a": "0.2895", "flowazero": "0.32141", "h2oaspan2b": "0.0702245", "h2oaspan1": "1.00892", "co2aspanconc1": "2500", "co2bspanconc2": "296.4", "chamberpressurezero": "2.59849", "h2oaspan2": "0", "ssb_ref": "38055.7", "co2aspanconc2": "296.4", "h2obspan2a": "0.0718603", "oxygen": "21", "co2bspan2b": "0.286965", "co2aspan2b": "0.280855", "h2oaspanconc2": "0", "h2oazero": "1.0921", "h2oaspan2a": "0.0696039", "co2azero": "1.01306", "ssa_ref": "33370.9", "co2aspan2": "-0.0310123", "h2obspan1": "0.984405", "flowbzero": "0.29782", "h2obspan2": "0", "co2bspan2": "-0.0324831", "co2bzero": "0.939697", "co2aspan2a": "0.283228", "h2oaspanconc1": "12.19", "h2obspanconc2": "0", "flowmeterzero": "2.496", "h2obzero": "1.0866", "tbzero": "0.125013"}</t>
  </si>
  <si>
    <t>CO2 rangematch</t>
  </si>
  <si>
    <t>Thu May 16 10:16</t>
  </si>
  <si>
    <t>H2O rangematch</t>
  </si>
  <si>
    <t>Fri May 17 09:32</t>
  </si>
  <si>
    <t>Chamber type</t>
  </si>
  <si>
    <t>6800-01A</t>
  </si>
  <si>
    <t>Chamber s/n</t>
  </si>
  <si>
    <t>MPF-651371</t>
  </si>
  <si>
    <t>Chamber rev</t>
  </si>
  <si>
    <t>0</t>
  </si>
  <si>
    <t>Chamber cal</t>
  </si>
  <si>
    <t>Fluorometer</t>
  </si>
  <si>
    <t>Flr. Version</t>
  </si>
  <si>
    <t>10:08:04</t>
  </si>
  <si>
    <t>Stability Definition:	ΔH2O (Meas2): Slp&lt;0.1 Per=20	ΔCO2 (Meas2): Slp&lt;0.5 Per=20	F (FlrLS): Slp&lt;1 Per=20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</si>
  <si>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</si>
  <si>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</si>
  <si>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</si>
  <si>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</si>
  <si>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</si>
  <si>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</si>
  <si>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</si>
  <si>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</si>
  <si>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</si>
  <si>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</si>
  <si>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</si>
  <si>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</si>
  <si>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</si>
  <si>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</si>
  <si>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</si>
  <si>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</si>
  <si>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</si>
  <si>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</si>
  <si>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</si>
  <si>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</si>
  <si>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</si>
  <si>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</si>
  <si>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</si>
  <si>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</si>
  <si>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</si>
  <si>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</si>
  <si>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</si>
  <si>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</si>
  <si>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</si>
  <si>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</si>
  <si>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</si>
  <si>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</si>
  <si>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</si>
  <si>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</si>
  <si>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</si>
  <si>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</si>
  <si>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</si>
  <si>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</si>
  <si>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</si>
  <si>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</si>
  <si>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</si>
  <si>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</si>
  <si>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</si>
  <si>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</si>
  <si>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</si>
  <si>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</si>
  <si>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</si>
  <si>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</si>
  <si>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</si>
  <si>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</si>
  <si>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</si>
  <si>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4.13527 184.194 297.091 6.57423 0.749154 49.3738 532.887 760.424</t>
  </si>
  <si>
    <t>Fs_true</t>
  </si>
  <si>
    <t>0.825898 232.506 394.77 603.69 840.458 1018.23 1198.43 1402.32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</si>
  <si>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</si>
  <si>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</si>
  <si>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</si>
  <si>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</si>
  <si>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</si>
  <si>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</si>
  <si>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</si>
  <si>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</si>
  <si>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</si>
  <si>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</si>
  <si>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</si>
  <si>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</si>
  <si>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</si>
  <si>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</si>
  <si>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</si>
  <si>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</si>
  <si>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</si>
  <si>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</si>
  <si>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</si>
  <si>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</si>
  <si>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</si>
  <si>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</si>
  <si>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</si>
  <si>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</si>
  <si>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</si>
  <si>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</si>
  <si>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</si>
  <si>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</si>
  <si>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xm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</si>
  <si>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</si>
  <si>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</si>
  <si>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</si>
  <si>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</si>
  <si>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</si>
  <si>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</si>
  <si>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</si>
  <si>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</si>
  <si>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</si>
  <si>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</si>
  <si>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</si>
  <si>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</si>
  <si>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</si>
  <si>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</si>
  <si>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</si>
  <si>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</si>
  <si>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</si>
  <si>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</si>
  <si>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</si>
  <si>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</si>
  <si>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</si>
  <si>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</si>
  <si>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</si>
  <si>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</si>
  <si>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</si>
  <si>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</si>
  <si>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</si>
  <si>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</si>
  <si>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</si>
  <si>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</si>
  <si>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</si>
  <si>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</si>
  <si>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</si>
  <si>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</si>
  <si>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</si>
  <si>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</si>
  <si>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</si>
  <si>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</si>
  <si>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</si>
  <si>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</si>
  <si>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</si>
  <si>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</si>
  <si>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</si>
  <si>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</si>
  <si>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</si>
  <si>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</si>
  <si>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</si>
  <si>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</si>
  <si>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</si>
  <si>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</si>
  <si>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</si>
  <si>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</si>
  <si>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</si>
  <si>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</si>
  <si>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</si>
  <si>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</si>
  <si>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</si>
  <si>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</si>
  <si>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</si>
  <si>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</si>
  <si>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</si>
  <si>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</si>
  <si>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</si>
  <si>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</si>
  <si>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</si>
  <si>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</si>
  <si>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</si>
  <si>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</si>
  <si>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</si>
  <si>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</si>
  <si>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</si>
  <si>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</si>
  <si>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</si>
  <si>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</si>
  <si>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</si>
  <si>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</si>
  <si>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</si>
  <si>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</si>
  <si>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</si>
  <si>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</si>
  <si>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</si>
  <si>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</si>
  <si>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</si>
  <si>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</si>
  <si>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</si>
  <si>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</si>
  <si>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</si>
  <si>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</si>
  <si>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</si>
  <si>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</si>
  <si>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</si>
  <si>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</si>
  <si>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</si>
  <si>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</si>
  <si>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</si>
  <si>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</si>
  <si>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</si>
  <si>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</si>
  <si>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</si>
  <si>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</si>
  <si>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</si>
  <si>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</si>
  <si>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</si>
  <si>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</si>
  <si>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</si>
  <si>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</si>
  <si>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</si>
  <si>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</si>
  <si>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</si>
  <si>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</si>
  <si>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</si>
  <si>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</si>
  <si>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</si>
  <si>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</si>
  <si>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</si>
  <si>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</si>
  <si>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</si>
  <si>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</si>
  <si>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</si>
  <si>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</si>
  <si>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</si>
  <si>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</si>
  <si>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</si>
  <si>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</si>
  <si>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</si>
  <si>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</si>
  <si>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</si>
  <si>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</si>
  <si>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</si>
  <si>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</si>
  <si>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</si>
  <si>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</si>
  <si>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</si>
  <si>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</si>
  <si>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</si>
  <si>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</si>
  <si>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</si>
  <si>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</si>
  <si>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</si>
  <si>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</si>
  <si>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</si>
  <si>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</si>
  <si>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</si>
  <si>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</si>
  <si>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</si>
  <si>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</si>
  <si>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</si>
  <si>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</si>
  <si>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</si>
  <si>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</si>
  <si>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</si>
  <si>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</si>
  <si>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</si>
  <si>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</si>
  <si>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</si>
  <si>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</si>
  <si>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</si>
  <si>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</si>
  <si>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</si>
  <si>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</si>
  <si>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</si>
  <si>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</si>
  <si>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</si>
  <si>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</si>
  <si>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</si>
  <si>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</si>
  <si>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</si>
  <si>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</si>
  <si>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</si>
  <si>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</si>
  <si>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</si>
  <si>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</si>
  <si>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</si>
  <si>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</si>
  <si>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</si>
  <si>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</si>
  <si>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</si>
  <si>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</si>
  <si>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</si>
  <si>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</si>
  <si>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</si>
  <si>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</si>
  <si>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</si>
  <si>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</si>
  <si>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</si>
  <si>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</si>
  <si>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</si>
  <si>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</si>
  <si>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</si>
  <si>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</si>
  <si>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</si>
  <si>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</si>
  <si>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</si>
  <si>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</si>
  <si>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</si>
  <si>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</si>
  <si>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</si>
  <si>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</si>
  <si>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</si>
  <si>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</si>
  <si>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</si>
  <si>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</si>
  <si>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</si>
  <si>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</si>
  <si>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</si>
  <si>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</si>
  <si>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AccCO2_soda</t>
  </si>
  <si>
    <t>CO2_hrs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</si>
  <si>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</si>
  <si>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</si>
  <si>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</si>
  <si>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</si>
  <si>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</si>
  <si>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</si>
  <si>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</si>
  <si>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</si>
  <si>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</si>
  <si>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</si>
  <si>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</si>
  <si>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</si>
  <si>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</si>
  <si>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</si>
  <si>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</si>
  <si>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</si>
  <si>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</si>
  <si>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</si>
  <si>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</si>
  <si>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</si>
  <si>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</si>
  <si>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</si>
  <si>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</si>
  <si>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</si>
  <si>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</si>
  <si>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</si>
  <si>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</si>
  <si>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</si>
  <si>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</si>
  <si>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</si>
  <si>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</si>
  <si>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</si>
  <si>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</si>
  <si>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</si>
  <si>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</si>
  <si>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</si>
  <si>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</si>
  <si>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</si>
  <si>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</si>
  <si>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</si>
  <si>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</si>
  <si>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</si>
  <si>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</si>
  <si>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</si>
  <si>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</si>
  <si>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</si>
  <si>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</si>
  <si>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</si>
  <si>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</si>
  <si>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</si>
  <si>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</si>
  <si>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</si>
  <si>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</si>
  <si>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</si>
  <si>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</si>
  <si>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</si>
  <si>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</si>
  <si>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</si>
  <si>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</si>
  <si>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</si>
  <si>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</si>
  <si>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</si>
  <si>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</si>
  <si>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</si>
  <si>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</si>
  <si>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</si>
  <si>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</si>
  <si>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</si>
  <si>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</si>
  <si>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</si>
  <si>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</si>
  <si>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</si>
  <si>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</si>
  <si>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</si>
  <si>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</si>
  <si>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</si>
  <si>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</si>
  <si>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</si>
  <si>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</si>
  <si>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</si>
  <si>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</si>
  <si>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</si>
  <si>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</si>
  <si>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</si>
  <si>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</si>
  <si>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</si>
  <si>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</si>
  <si>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</si>
  <si>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</si>
  <si>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</si>
  <si>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</si>
  <si>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</si>
  <si>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</si>
  <si>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20250321 10:36:47</t>
  </si>
  <si>
    <t>10:36:47</t>
  </si>
  <si>
    <t>MPF-1635-20241213-17_15_10</t>
  </si>
  <si>
    <t>MPF-1686-20250323-10_35_32</t>
  </si>
  <si>
    <t>-</t>
  </si>
  <si>
    <t>0: Broadleaf</t>
  </si>
  <si>
    <t>10:33:59</t>
  </si>
  <si>
    <t>3/3</t>
  </si>
  <si>
    <t>11111111</t>
  </si>
  <si>
    <t>oooooooo</t>
  </si>
  <si>
    <t>off</t>
  </si>
  <si>
    <t>20250321 10:39:02</t>
  </si>
  <si>
    <t>10:39:02</t>
  </si>
  <si>
    <t>MPF-1687-20250323-10_37_47</t>
  </si>
  <si>
    <t>20250321 10:41:35</t>
  </si>
  <si>
    <t>10:41:35</t>
  </si>
  <si>
    <t>MPF-1688-20250323-10_40_20</t>
  </si>
  <si>
    <t>1/3</t>
  </si>
  <si>
    <t>20250321 10:44:08</t>
  </si>
  <si>
    <t>10:44:08</t>
  </si>
  <si>
    <t>MPF-1689-20250323-10_42_53</t>
  </si>
  <si>
    <t>10:42:45</t>
  </si>
  <si>
    <t>0/3</t>
  </si>
  <si>
    <t>20250321 10:46:41</t>
  </si>
  <si>
    <t>10:46:41</t>
  </si>
  <si>
    <t>MPF-1690-20250323-10_45_26</t>
  </si>
  <si>
    <t>10:45:46</t>
  </si>
  <si>
    <t>20250321 10:49:14</t>
  </si>
  <si>
    <t>10:49:14</t>
  </si>
  <si>
    <t>MPF-1691-20250323-10_47_59</t>
  </si>
  <si>
    <t>10:48:28</t>
  </si>
  <si>
    <t>2/3</t>
  </si>
  <si>
    <t>20250321 10:51:47</t>
  </si>
  <si>
    <t>10:51:47</t>
  </si>
  <si>
    <t>MPF-1692-20250323-10_50_32</t>
  </si>
  <si>
    <t>10:50:48</t>
  </si>
  <si>
    <t>20250321 10:54:20</t>
  </si>
  <si>
    <t>10:54:20</t>
  </si>
  <si>
    <t>MPF-1693-20250323-10_53_05</t>
  </si>
  <si>
    <t>10:53:01</t>
  </si>
  <si>
    <t>20250321 10:56:53</t>
  </si>
  <si>
    <t>10:56:53</t>
  </si>
  <si>
    <t>MPF-1694-20250323-10_55_38</t>
  </si>
  <si>
    <t>10:55:36</t>
  </si>
  <si>
    <t>20250321 10:59:26</t>
  </si>
  <si>
    <t>10:59:26</t>
  </si>
  <si>
    <t>MPF-1695-20250323-10_58_12</t>
  </si>
  <si>
    <t>10:59:50</t>
  </si>
  <si>
    <t>20250321 11:02:22</t>
  </si>
  <si>
    <t>11:02:22</t>
  </si>
  <si>
    <t>MPF-1696-20250323-11_01_07</t>
  </si>
  <si>
    <t>11:00:50</t>
  </si>
  <si>
    <t>20250321 11:04:55</t>
  </si>
  <si>
    <t>11:04:55</t>
  </si>
  <si>
    <t>MPF-1697-20250323-11_03_40</t>
  </si>
  <si>
    <t>11:03:20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</si>
</sst>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W28"/>
  <sheetViews>
    <sheetView tabSelected="1" topLeftCell="A16" workbookViewId="0">
      <selection activeCell="O39" sqref="O39"/>
    </sheetView>
  </sheetViews>
  <sheetFormatPr defaultRowHeight="14.4" x14ac:dyDescent="0.25"/>
  <sheetData>
    <row r="2" spans="1:283" x14ac:dyDescent="0.25">
      <c r="A2" t="s">
        <v>29</v>
      </c>
      <c r="B2" t="s">
        <v>30</v>
      </c>
      <c r="C2" t="s">
        <v>31</v>
      </c>
    </row>
    <row r="3" spans="1:283" x14ac:dyDescent="0.25">
      <c r="B3">
        <v>4</v>
      </c>
      <c r="C3">
        <v>21</v>
      </c>
    </row>
    <row r="4" spans="1:283" x14ac:dyDescent="0.25">
      <c r="A4" t="s">
        <v>32</v>
      </c>
      <c r="B4" t="s">
        <v>33</v>
      </c>
      <c r="C4" t="s">
        <v>34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83" x14ac:dyDescent="0.25">
      <c r="B5" t="s">
        <v>19</v>
      </c>
      <c r="C5" t="s">
        <v>35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83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83" x14ac:dyDescent="0.25">
      <c r="B7">
        <v>0</v>
      </c>
      <c r="C7">
        <v>1</v>
      </c>
      <c r="D7">
        <v>0</v>
      </c>
      <c r="E7">
        <v>0</v>
      </c>
    </row>
    <row r="8" spans="1:283" x14ac:dyDescent="0.25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83" x14ac:dyDescent="0.25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3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83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3" x14ac:dyDescent="0.25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83" x14ac:dyDescent="0.25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0</v>
      </c>
    </row>
    <row r="14" spans="1:283" x14ac:dyDescent="0.25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86</v>
      </c>
      <c r="I14" t="s">
        <v>86</v>
      </c>
      <c r="J14" t="s">
        <v>86</v>
      </c>
      <c r="K14" t="s">
        <v>86</v>
      </c>
      <c r="L14" t="s">
        <v>86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  <c r="S14" t="s">
        <v>86</v>
      </c>
      <c r="T14" t="s">
        <v>86</v>
      </c>
      <c r="U14" t="s">
        <v>86</v>
      </c>
      <c r="V14" t="s">
        <v>86</v>
      </c>
      <c r="W14" t="s">
        <v>86</v>
      </c>
      <c r="X14" t="s">
        <v>86</v>
      </c>
      <c r="Y14" t="s">
        <v>86</v>
      </c>
      <c r="Z14" t="s">
        <v>86</v>
      </c>
      <c r="AA14" t="s">
        <v>86</v>
      </c>
      <c r="AB14" t="s">
        <v>86</v>
      </c>
      <c r="AC14" t="s">
        <v>86</v>
      </c>
      <c r="AD14" t="s">
        <v>86</v>
      </c>
      <c r="AE14" t="s">
        <v>86</v>
      </c>
      <c r="AF14" t="s">
        <v>87</v>
      </c>
      <c r="AG14" t="s">
        <v>87</v>
      </c>
      <c r="AH14" t="s">
        <v>87</v>
      </c>
      <c r="AI14" t="s">
        <v>87</v>
      </c>
      <c r="AJ14" t="s">
        <v>87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88</v>
      </c>
      <c r="AY14" t="s">
        <v>88</v>
      </c>
      <c r="AZ14" t="s">
        <v>88</v>
      </c>
      <c r="BA14" t="s">
        <v>88</v>
      </c>
      <c r="BB14" t="s">
        <v>88</v>
      </c>
      <c r="BC14" t="s">
        <v>88</v>
      </c>
      <c r="BD14" t="s">
        <v>88</v>
      </c>
      <c r="BE14" t="s">
        <v>88</v>
      </c>
      <c r="BF14" t="s">
        <v>88</v>
      </c>
      <c r="BG14" t="s">
        <v>88</v>
      </c>
      <c r="BH14" t="s">
        <v>88</v>
      </c>
      <c r="BI14" t="s">
        <v>88</v>
      </c>
      <c r="BJ14" t="s">
        <v>88</v>
      </c>
      <c r="BK14" t="s">
        <v>88</v>
      </c>
      <c r="BL14" t="s">
        <v>88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89</v>
      </c>
      <c r="CE14" t="s">
        <v>89</v>
      </c>
      <c r="CF14" t="s">
        <v>89</v>
      </c>
      <c r="CG14" t="s">
        <v>89</v>
      </c>
      <c r="CH14" t="s">
        <v>90</v>
      </c>
      <c r="CI14" t="s">
        <v>90</v>
      </c>
      <c r="CJ14" t="s">
        <v>90</v>
      </c>
      <c r="CK14" t="s">
        <v>90</v>
      </c>
      <c r="CL14" t="s">
        <v>90</v>
      </c>
      <c r="CM14" t="s">
        <v>90</v>
      </c>
      <c r="CN14" t="s">
        <v>90</v>
      </c>
      <c r="CO14" t="s">
        <v>90</v>
      </c>
      <c r="CP14" t="s">
        <v>90</v>
      </c>
      <c r="CQ14" t="s">
        <v>90</v>
      </c>
      <c r="CR14" t="s">
        <v>90</v>
      </c>
      <c r="CS14" t="s">
        <v>90</v>
      </c>
      <c r="CT14" t="s">
        <v>90</v>
      </c>
      <c r="CU14" t="s">
        <v>91</v>
      </c>
      <c r="CV14" t="s">
        <v>91</v>
      </c>
      <c r="CW14" t="s">
        <v>91</v>
      </c>
      <c r="CX14" t="s">
        <v>91</v>
      </c>
      <c r="CY14" t="s">
        <v>92</v>
      </c>
      <c r="CZ14" t="s">
        <v>92</v>
      </c>
      <c r="DA14" t="s">
        <v>92</v>
      </c>
      <c r="DB14" t="s">
        <v>92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93</v>
      </c>
      <c r="DJ14" t="s">
        <v>93</v>
      </c>
      <c r="DK14" t="s">
        <v>93</v>
      </c>
      <c r="DL14" t="s">
        <v>93</v>
      </c>
      <c r="DM14" t="s">
        <v>93</v>
      </c>
      <c r="DN14" t="s">
        <v>93</v>
      </c>
      <c r="DO14" t="s">
        <v>93</v>
      </c>
      <c r="DP14" t="s">
        <v>93</v>
      </c>
      <c r="DQ14" t="s">
        <v>93</v>
      </c>
      <c r="DR14" t="s">
        <v>93</v>
      </c>
      <c r="DS14" t="s">
        <v>93</v>
      </c>
      <c r="DT14" t="s">
        <v>93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94</v>
      </c>
      <c r="EB14" t="s">
        <v>94</v>
      </c>
      <c r="EC14" t="s">
        <v>94</v>
      </c>
      <c r="ED14" t="s">
        <v>94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95</v>
      </c>
      <c r="EU14" t="s">
        <v>95</v>
      </c>
      <c r="EV14" t="s">
        <v>95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97</v>
      </c>
      <c r="FC14" t="s">
        <v>97</v>
      </c>
      <c r="FD14" t="s">
        <v>97</v>
      </c>
      <c r="FE14" t="s">
        <v>97</v>
      </c>
      <c r="FF14" t="s">
        <v>97</v>
      </c>
      <c r="FG14" t="s">
        <v>97</v>
      </c>
      <c r="FH14" t="s">
        <v>97</v>
      </c>
      <c r="FI14" t="s">
        <v>97</v>
      </c>
      <c r="FJ14" t="s">
        <v>97</v>
      </c>
      <c r="FK14" t="s">
        <v>97</v>
      </c>
      <c r="FL14" t="s">
        <v>97</v>
      </c>
      <c r="FM14" t="s">
        <v>97</v>
      </c>
      <c r="FN14" t="s">
        <v>97</v>
      </c>
      <c r="FO14" t="s">
        <v>98</v>
      </c>
      <c r="FP14" t="s">
        <v>98</v>
      </c>
      <c r="FQ14" t="s">
        <v>98</v>
      </c>
      <c r="FR14" t="s">
        <v>98</v>
      </c>
      <c r="FS14" t="s">
        <v>98</v>
      </c>
      <c r="FT14" t="s">
        <v>98</v>
      </c>
      <c r="FU14" t="s">
        <v>98</v>
      </c>
      <c r="FV14" t="s">
        <v>98</v>
      </c>
      <c r="FW14" t="s">
        <v>98</v>
      </c>
      <c r="FX14" t="s">
        <v>98</v>
      </c>
      <c r="FY14" t="s">
        <v>98</v>
      </c>
      <c r="FZ14" t="s">
        <v>98</v>
      </c>
      <c r="GA14" t="s">
        <v>98</v>
      </c>
      <c r="GB14" t="s">
        <v>98</v>
      </c>
      <c r="GC14" t="s">
        <v>98</v>
      </c>
      <c r="GD14" t="s">
        <v>99</v>
      </c>
      <c r="GE14" t="s">
        <v>99</v>
      </c>
      <c r="GF14" t="s">
        <v>99</v>
      </c>
      <c r="GG14" t="s">
        <v>99</v>
      </c>
      <c r="GH14" t="s">
        <v>99</v>
      </c>
      <c r="GI14" t="s">
        <v>99</v>
      </c>
      <c r="GJ14" t="s">
        <v>99</v>
      </c>
      <c r="GK14" t="s">
        <v>99</v>
      </c>
      <c r="GL14" t="s">
        <v>99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100</v>
      </c>
      <c r="GW14" t="s">
        <v>100</v>
      </c>
      <c r="GX14" t="s">
        <v>100</v>
      </c>
      <c r="GY14" t="s">
        <v>100</v>
      </c>
      <c r="GZ14" t="s">
        <v>100</v>
      </c>
      <c r="HA14" t="s">
        <v>100</v>
      </c>
      <c r="HB14" t="s">
        <v>100</v>
      </c>
      <c r="HC14" t="s">
        <v>100</v>
      </c>
      <c r="HD14" t="s">
        <v>100</v>
      </c>
      <c r="HE14" t="s">
        <v>100</v>
      </c>
      <c r="HF14" t="s">
        <v>100</v>
      </c>
      <c r="HG14" t="s">
        <v>100</v>
      </c>
      <c r="HH14" t="s">
        <v>100</v>
      </c>
      <c r="HI14" t="s">
        <v>100</v>
      </c>
      <c r="HJ14" t="s">
        <v>100</v>
      </c>
      <c r="HK14" t="s">
        <v>100</v>
      </c>
      <c r="HL14" t="s">
        <v>100</v>
      </c>
      <c r="HM14" t="s">
        <v>100</v>
      </c>
      <c r="HN14" t="s">
        <v>100</v>
      </c>
      <c r="HO14" t="s">
        <v>101</v>
      </c>
      <c r="HP14" t="s">
        <v>101</v>
      </c>
      <c r="HQ14" t="s">
        <v>101</v>
      </c>
      <c r="HR14" t="s">
        <v>101</v>
      </c>
      <c r="HS14" t="s">
        <v>101</v>
      </c>
      <c r="HT14" t="s">
        <v>101</v>
      </c>
      <c r="HU14" t="s">
        <v>101</v>
      </c>
      <c r="HV14" t="s">
        <v>101</v>
      </c>
      <c r="HW14" t="s">
        <v>101</v>
      </c>
      <c r="HX14" t="s">
        <v>101</v>
      </c>
      <c r="HY14" t="s">
        <v>101</v>
      </c>
      <c r="HZ14" t="s">
        <v>101</v>
      </c>
      <c r="IA14" t="s">
        <v>101</v>
      </c>
      <c r="IB14" t="s">
        <v>101</v>
      </c>
      <c r="IC14" t="s">
        <v>101</v>
      </c>
      <c r="ID14" t="s">
        <v>101</v>
      </c>
      <c r="IE14" t="s">
        <v>101</v>
      </c>
      <c r="IF14" t="s">
        <v>101</v>
      </c>
      <c r="IG14" t="s">
        <v>101</v>
      </c>
      <c r="IH14" t="s">
        <v>102</v>
      </c>
      <c r="II14" t="s">
        <v>102</v>
      </c>
      <c r="IJ14" t="s">
        <v>102</v>
      </c>
      <c r="IK14" t="s">
        <v>102</v>
      </c>
      <c r="IL14" t="s">
        <v>102</v>
      </c>
      <c r="IM14" t="s">
        <v>102</v>
      </c>
      <c r="IN14" t="s">
        <v>102</v>
      </c>
      <c r="IO14" t="s">
        <v>102</v>
      </c>
      <c r="IP14" t="s">
        <v>102</v>
      </c>
      <c r="IQ14" t="s">
        <v>102</v>
      </c>
      <c r="IR14" t="s">
        <v>102</v>
      </c>
      <c r="IS14" t="s">
        <v>102</v>
      </c>
      <c r="IT14" t="s">
        <v>102</v>
      </c>
      <c r="IU14" t="s">
        <v>102</v>
      </c>
      <c r="IV14" t="s">
        <v>102</v>
      </c>
      <c r="IW14" t="s">
        <v>102</v>
      </c>
      <c r="IX14" t="s">
        <v>102</v>
      </c>
      <c r="IY14" t="s">
        <v>102</v>
      </c>
      <c r="IZ14" t="s">
        <v>103</v>
      </c>
      <c r="JA14" t="s">
        <v>103</v>
      </c>
      <c r="JB14" t="s">
        <v>103</v>
      </c>
      <c r="JC14" t="s">
        <v>103</v>
      </c>
      <c r="JD14" t="s">
        <v>103</v>
      </c>
      <c r="JE14" t="s">
        <v>103</v>
      </c>
      <c r="JF14" t="s">
        <v>103</v>
      </c>
      <c r="JG14" t="s">
        <v>103</v>
      </c>
      <c r="JH14" t="s">
        <v>104</v>
      </c>
      <c r="JI14" t="s">
        <v>104</v>
      </c>
      <c r="JJ14" t="s">
        <v>104</v>
      </c>
      <c r="JK14" t="s">
        <v>104</v>
      </c>
      <c r="JL14" t="s">
        <v>104</v>
      </c>
      <c r="JM14" t="s">
        <v>104</v>
      </c>
      <c r="JN14" t="s">
        <v>104</v>
      </c>
      <c r="JO14" t="s">
        <v>104</v>
      </c>
      <c r="JP14" t="s">
        <v>104</v>
      </c>
      <c r="JQ14" t="s">
        <v>104</v>
      </c>
      <c r="JR14" t="s">
        <v>104</v>
      </c>
      <c r="JS14" t="s">
        <v>104</v>
      </c>
      <c r="JT14" t="s">
        <v>104</v>
      </c>
      <c r="JU14" t="s">
        <v>104</v>
      </c>
      <c r="JV14" t="s">
        <v>104</v>
      </c>
      <c r="JW14" t="s">
        <v>104</v>
      </c>
    </row>
    <row r="15" spans="1:283" x14ac:dyDescent="0.25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 t="s">
        <v>112</v>
      </c>
      <c r="I15" t="s">
        <v>113</v>
      </c>
      <c r="J15" t="s">
        <v>114</v>
      </c>
      <c r="K15" s="1" t="s">
        <v>115</v>
      </c>
      <c r="L15" t="s">
        <v>116</v>
      </c>
      <c r="M15" s="1" t="s">
        <v>117</v>
      </c>
      <c r="N15" t="s">
        <v>118</v>
      </c>
      <c r="O15" t="s">
        <v>119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129</v>
      </c>
      <c r="Z15" t="s">
        <v>130</v>
      </c>
      <c r="AA15" s="1" t="s">
        <v>131</v>
      </c>
      <c r="AB15" t="s">
        <v>132</v>
      </c>
      <c r="AC15" t="s">
        <v>133</v>
      </c>
      <c r="AD15" t="s">
        <v>134</v>
      </c>
      <c r="AE15" t="s">
        <v>135</v>
      </c>
      <c r="AF15" t="s">
        <v>87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163</v>
      </c>
      <c r="BI15" t="s">
        <v>164</v>
      </c>
      <c r="BJ15" t="s">
        <v>165</v>
      </c>
      <c r="BK15" t="s">
        <v>166</v>
      </c>
      <c r="BL15" t="s">
        <v>167</v>
      </c>
      <c r="BM15" t="s">
        <v>168</v>
      </c>
      <c r="BN15" t="s">
        <v>169</v>
      </c>
      <c r="BO15" t="s">
        <v>170</v>
      </c>
      <c r="BP15" t="s">
        <v>171</v>
      </c>
      <c r="BQ15" t="s">
        <v>172</v>
      </c>
      <c r="BR15" t="s">
        <v>173</v>
      </c>
      <c r="BS15" t="s">
        <v>174</v>
      </c>
      <c r="BT15" t="s">
        <v>175</v>
      </c>
      <c r="BU15" t="s">
        <v>176</v>
      </c>
      <c r="BV15" t="s">
        <v>177</v>
      </c>
      <c r="BW15" t="s">
        <v>178</v>
      </c>
      <c r="BX15" t="s">
        <v>179</v>
      </c>
      <c r="BY15" t="s">
        <v>180</v>
      </c>
      <c r="BZ15" t="s">
        <v>181</v>
      </c>
      <c r="CA15" t="s">
        <v>182</v>
      </c>
      <c r="CB15" t="s">
        <v>183</v>
      </c>
      <c r="CC15" t="s">
        <v>184</v>
      </c>
      <c r="CD15" t="s">
        <v>185</v>
      </c>
      <c r="CE15" t="s">
        <v>186</v>
      </c>
      <c r="CF15" t="s">
        <v>187</v>
      </c>
      <c r="CG15" t="s">
        <v>188</v>
      </c>
      <c r="CH15" t="s">
        <v>168</v>
      </c>
      <c r="CI15" t="s">
        <v>189</v>
      </c>
      <c r="CJ15" t="s">
        <v>190</v>
      </c>
      <c r="CK15" t="s">
        <v>191</v>
      </c>
      <c r="CL15" t="s">
        <v>142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s="1" t="s">
        <v>200</v>
      </c>
      <c r="CV15" s="1" t="s">
        <v>201</v>
      </c>
      <c r="CW15" s="1" t="s">
        <v>202</v>
      </c>
      <c r="CX15" s="1" t="s">
        <v>203</v>
      </c>
      <c r="CY15" s="1" t="s">
        <v>204</v>
      </c>
      <c r="CZ15" s="1" t="s">
        <v>205</v>
      </c>
      <c r="DA15" s="1" t="s">
        <v>206</v>
      </c>
      <c r="DB15" s="1" t="s">
        <v>207</v>
      </c>
      <c r="DC15" s="1" t="s">
        <v>112</v>
      </c>
      <c r="DD15" s="1" t="s">
        <v>208</v>
      </c>
      <c r="DE15" s="1" t="s">
        <v>209</v>
      </c>
      <c r="DF15" s="1" t="s">
        <v>210</v>
      </c>
      <c r="DG15" s="1" t="s">
        <v>211</v>
      </c>
      <c r="DH15" s="1" t="s">
        <v>212</v>
      </c>
      <c r="DI15" s="1" t="s">
        <v>213</v>
      </c>
      <c r="DJ15" s="1" t="s">
        <v>214</v>
      </c>
      <c r="DK15" s="1" t="s">
        <v>215</v>
      </c>
      <c r="DL15" s="1" t="s">
        <v>216</v>
      </c>
      <c r="DM15" s="1" t="s">
        <v>217</v>
      </c>
      <c r="DN15" s="1" t="s">
        <v>218</v>
      </c>
      <c r="DO15" s="1" t="s">
        <v>219</v>
      </c>
      <c r="DP15" s="1" t="s">
        <v>220</v>
      </c>
      <c r="DQ15" t="s">
        <v>221</v>
      </c>
      <c r="DR15" t="s">
        <v>222</v>
      </c>
      <c r="DS15" t="s">
        <v>223</v>
      </c>
      <c r="DT15" t="s">
        <v>224</v>
      </c>
      <c r="DU15" t="s">
        <v>225</v>
      </c>
      <c r="DV15" t="s">
        <v>226</v>
      </c>
      <c r="DW15" t="s">
        <v>227</v>
      </c>
      <c r="DX15" t="s">
        <v>228</v>
      </c>
      <c r="DY15" t="s">
        <v>229</v>
      </c>
      <c r="DZ15" t="s">
        <v>230</v>
      </c>
      <c r="EA15" t="s">
        <v>231</v>
      </c>
      <c r="EB15" t="s">
        <v>232</v>
      </c>
      <c r="EC15" t="s">
        <v>233</v>
      </c>
      <c r="ED15" t="s">
        <v>234</v>
      </c>
      <c r="EE15" s="1" t="s">
        <v>235</v>
      </c>
      <c r="EF15" t="s">
        <v>236</v>
      </c>
      <c r="EG15" t="s">
        <v>237</v>
      </c>
      <c r="EH15" t="s">
        <v>238</v>
      </c>
      <c r="EI15" t="s">
        <v>239</v>
      </c>
      <c r="EJ15" t="s">
        <v>240</v>
      </c>
      <c r="EK15" t="s">
        <v>241</v>
      </c>
      <c r="EL15" t="s">
        <v>242</v>
      </c>
      <c r="EM15" t="s">
        <v>243</v>
      </c>
      <c r="EN15" t="s">
        <v>244</v>
      </c>
      <c r="EO15" t="s">
        <v>245</v>
      </c>
      <c r="EP15" t="s">
        <v>246</v>
      </c>
      <c r="EQ15" t="s">
        <v>247</v>
      </c>
      <c r="ER15" t="s">
        <v>248</v>
      </c>
      <c r="ES15" t="s">
        <v>249</v>
      </c>
      <c r="ET15" t="s">
        <v>250</v>
      </c>
      <c r="EU15" t="s">
        <v>251</v>
      </c>
      <c r="EV15" t="s">
        <v>252</v>
      </c>
      <c r="EW15" t="s">
        <v>253</v>
      </c>
      <c r="EX15" t="s">
        <v>254</v>
      </c>
      <c r="EY15" t="s">
        <v>255</v>
      </c>
      <c r="EZ15" t="s">
        <v>256</v>
      </c>
      <c r="FA15" t="s">
        <v>257</v>
      </c>
      <c r="FB15" t="s">
        <v>106</v>
      </c>
      <c r="FC15" t="s">
        <v>109</v>
      </c>
      <c r="FD15" t="s">
        <v>258</v>
      </c>
      <c r="FE15" t="s">
        <v>259</v>
      </c>
      <c r="FF15" t="s">
        <v>260</v>
      </c>
      <c r="FG15" t="s">
        <v>261</v>
      </c>
      <c r="FH15" t="s">
        <v>262</v>
      </c>
      <c r="FI15" t="s">
        <v>263</v>
      </c>
      <c r="FJ15" t="s">
        <v>264</v>
      </c>
      <c r="FK15" t="s">
        <v>265</v>
      </c>
      <c r="FL15" t="s">
        <v>266</v>
      </c>
      <c r="FM15" t="s">
        <v>267</v>
      </c>
      <c r="FN15" t="s">
        <v>268</v>
      </c>
      <c r="FO15" t="s">
        <v>269</v>
      </c>
      <c r="FP15" t="s">
        <v>270</v>
      </c>
      <c r="FQ15" t="s">
        <v>271</v>
      </c>
      <c r="FR15" t="s">
        <v>272</v>
      </c>
      <c r="FS15" t="s">
        <v>273</v>
      </c>
      <c r="FT15" t="s">
        <v>274</v>
      </c>
      <c r="FU15" t="s">
        <v>275</v>
      </c>
      <c r="FV15" t="s">
        <v>276</v>
      </c>
      <c r="FW15" t="s">
        <v>277</v>
      </c>
      <c r="FX15" t="s">
        <v>278</v>
      </c>
      <c r="FY15" t="s">
        <v>279</v>
      </c>
      <c r="FZ15" t="s">
        <v>280</v>
      </c>
      <c r="GA15" t="s">
        <v>281</v>
      </c>
      <c r="GB15" t="s">
        <v>282</v>
      </c>
      <c r="GC15" t="s">
        <v>283</v>
      </c>
      <c r="GD15" t="s">
        <v>284</v>
      </c>
      <c r="GE15" t="s">
        <v>285</v>
      </c>
      <c r="GF15" t="s">
        <v>286</v>
      </c>
      <c r="GG15" t="s">
        <v>287</v>
      </c>
      <c r="GH15" t="s">
        <v>288</v>
      </c>
      <c r="GI15" t="s">
        <v>289</v>
      </c>
      <c r="GJ15" t="s">
        <v>290</v>
      </c>
      <c r="GK15" t="s">
        <v>291</v>
      </c>
      <c r="GL15" t="s">
        <v>292</v>
      </c>
      <c r="GM15" t="s">
        <v>293</v>
      </c>
      <c r="GN15" t="s">
        <v>294</v>
      </c>
      <c r="GO15" t="s">
        <v>295</v>
      </c>
      <c r="GP15" t="s">
        <v>296</v>
      </c>
      <c r="GQ15" t="s">
        <v>297</v>
      </c>
      <c r="GR15" t="s">
        <v>298</v>
      </c>
      <c r="GS15" t="s">
        <v>299</v>
      </c>
      <c r="GT15" t="s">
        <v>300</v>
      </c>
      <c r="GU15" t="s">
        <v>301</v>
      </c>
      <c r="GV15" t="s">
        <v>302</v>
      </c>
      <c r="GW15" t="s">
        <v>303</v>
      </c>
      <c r="GX15" t="s">
        <v>304</v>
      </c>
      <c r="GY15" t="s">
        <v>305</v>
      </c>
      <c r="GZ15" t="s">
        <v>306</v>
      </c>
      <c r="HA15" t="s">
        <v>307</v>
      </c>
      <c r="HB15" t="s">
        <v>308</v>
      </c>
      <c r="HC15" t="s">
        <v>309</v>
      </c>
      <c r="HD15" t="s">
        <v>310</v>
      </c>
      <c r="HE15" t="s">
        <v>311</v>
      </c>
      <c r="HF15" t="s">
        <v>312</v>
      </c>
      <c r="HG15" t="s">
        <v>313</v>
      </c>
      <c r="HH15" t="s">
        <v>314</v>
      </c>
      <c r="HI15" t="s">
        <v>315</v>
      </c>
      <c r="HJ15" t="s">
        <v>316</v>
      </c>
      <c r="HK15" t="s">
        <v>317</v>
      </c>
      <c r="HL15" t="s">
        <v>318</v>
      </c>
      <c r="HM15" t="s">
        <v>319</v>
      </c>
      <c r="HN15" t="s">
        <v>320</v>
      </c>
      <c r="HO15" t="s">
        <v>321</v>
      </c>
      <c r="HP15" t="s">
        <v>322</v>
      </c>
      <c r="HQ15" t="s">
        <v>323</v>
      </c>
      <c r="HR15" t="s">
        <v>324</v>
      </c>
      <c r="HS15" t="s">
        <v>325</v>
      </c>
      <c r="HT15" t="s">
        <v>326</v>
      </c>
      <c r="HU15" t="s">
        <v>327</v>
      </c>
      <c r="HV15" t="s">
        <v>328</v>
      </c>
      <c r="HW15" t="s">
        <v>329</v>
      </c>
      <c r="HX15" t="s">
        <v>330</v>
      </c>
      <c r="HY15" t="s">
        <v>331</v>
      </c>
      <c r="HZ15" t="s">
        <v>332</v>
      </c>
      <c r="IA15" t="s">
        <v>333</v>
      </c>
      <c r="IB15" t="s">
        <v>334</v>
      </c>
      <c r="IC15" t="s">
        <v>335</v>
      </c>
      <c r="ID15" t="s">
        <v>336</v>
      </c>
      <c r="IE15" t="s">
        <v>337</v>
      </c>
      <c r="IF15" t="s">
        <v>338</v>
      </c>
      <c r="IG15" t="s">
        <v>339</v>
      </c>
      <c r="IH15" t="s">
        <v>340</v>
      </c>
      <c r="II15" t="s">
        <v>341</v>
      </c>
      <c r="IJ15" t="s">
        <v>342</v>
      </c>
      <c r="IK15" t="s">
        <v>343</v>
      </c>
      <c r="IL15" t="s">
        <v>344</v>
      </c>
      <c r="IM15" t="s">
        <v>345</v>
      </c>
      <c r="IN15" t="s">
        <v>346</v>
      </c>
      <c r="IO15" t="s">
        <v>347</v>
      </c>
      <c r="IP15" t="s">
        <v>348</v>
      </c>
      <c r="IQ15" t="s">
        <v>349</v>
      </c>
      <c r="IR15" t="s">
        <v>350</v>
      </c>
      <c r="IS15" t="s">
        <v>351</v>
      </c>
      <c r="IT15" t="s">
        <v>352</v>
      </c>
      <c r="IU15" t="s">
        <v>353</v>
      </c>
      <c r="IV15" t="s">
        <v>354</v>
      </c>
      <c r="IW15" t="s">
        <v>355</v>
      </c>
      <c r="IX15" t="s">
        <v>356</v>
      </c>
      <c r="IY15" t="s">
        <v>357</v>
      </c>
      <c r="IZ15" t="s">
        <v>358</v>
      </c>
      <c r="JA15" t="s">
        <v>359</v>
      </c>
      <c r="JB15" t="s">
        <v>360</v>
      </c>
      <c r="JC15" t="s">
        <v>361</v>
      </c>
      <c r="JD15" t="s">
        <v>362</v>
      </c>
      <c r="JE15" t="s">
        <v>363</v>
      </c>
      <c r="JF15" t="s">
        <v>364</v>
      </c>
      <c r="JG15" t="s">
        <v>365</v>
      </c>
      <c r="JH15" t="s">
        <v>366</v>
      </c>
      <c r="JI15" t="s">
        <v>367</v>
      </c>
      <c r="JJ15" t="s">
        <v>368</v>
      </c>
      <c r="JK15" t="s">
        <v>369</v>
      </c>
      <c r="JL15" t="s">
        <v>370</v>
      </c>
      <c r="JM15" t="s">
        <v>371</v>
      </c>
      <c r="JN15" t="s">
        <v>372</v>
      </c>
      <c r="JO15" t="s">
        <v>373</v>
      </c>
      <c r="JP15" t="s">
        <v>374</v>
      </c>
      <c r="JQ15" t="s">
        <v>375</v>
      </c>
      <c r="JR15" t="s">
        <v>376</v>
      </c>
      <c r="JS15" t="s">
        <v>377</v>
      </c>
      <c r="JT15" t="s">
        <v>378</v>
      </c>
      <c r="JU15" t="s">
        <v>379</v>
      </c>
      <c r="JV15" t="s">
        <v>380</v>
      </c>
      <c r="JW15" t="s">
        <v>381</v>
      </c>
    </row>
    <row r="16" spans="1:283" x14ac:dyDescent="0.25">
      <c r="B16" t="s">
        <v>382</v>
      </c>
      <c r="C16" t="s">
        <v>382</v>
      </c>
      <c r="F16" t="s">
        <v>382</v>
      </c>
      <c r="H16" t="s">
        <v>382</v>
      </c>
      <c r="I16" t="s">
        <v>383</v>
      </c>
      <c r="J16" t="s">
        <v>384</v>
      </c>
      <c r="K16" t="s">
        <v>385</v>
      </c>
      <c r="L16" t="s">
        <v>386</v>
      </c>
      <c r="M16" t="s">
        <v>386</v>
      </c>
      <c r="N16" t="s">
        <v>215</v>
      </c>
      <c r="O16" t="s">
        <v>215</v>
      </c>
      <c r="P16" t="s">
        <v>383</v>
      </c>
      <c r="Q16" t="s">
        <v>383</v>
      </c>
      <c r="R16" t="s">
        <v>383</v>
      </c>
      <c r="S16" t="s">
        <v>383</v>
      </c>
      <c r="T16" t="s">
        <v>387</v>
      </c>
      <c r="U16" t="s">
        <v>388</v>
      </c>
      <c r="V16" t="s">
        <v>388</v>
      </c>
      <c r="W16" t="s">
        <v>389</v>
      </c>
      <c r="X16" t="s">
        <v>390</v>
      </c>
      <c r="Y16" t="s">
        <v>389</v>
      </c>
      <c r="Z16" t="s">
        <v>389</v>
      </c>
      <c r="AA16" t="s">
        <v>389</v>
      </c>
      <c r="AB16" t="s">
        <v>387</v>
      </c>
      <c r="AC16" t="s">
        <v>387</v>
      </c>
      <c r="AD16" t="s">
        <v>387</v>
      </c>
      <c r="AE16" t="s">
        <v>387</v>
      </c>
      <c r="AF16" t="s">
        <v>391</v>
      </c>
      <c r="AG16" t="s">
        <v>390</v>
      </c>
      <c r="AI16" t="s">
        <v>390</v>
      </c>
      <c r="AJ16" t="s">
        <v>391</v>
      </c>
      <c r="AP16" t="s">
        <v>385</v>
      </c>
      <c r="AW16" t="s">
        <v>385</v>
      </c>
      <c r="AX16" t="s">
        <v>385</v>
      </c>
      <c r="AY16" t="s">
        <v>385</v>
      </c>
      <c r="AZ16" t="s">
        <v>392</v>
      </c>
      <c r="BN16" t="s">
        <v>393</v>
      </c>
      <c r="BP16" t="s">
        <v>393</v>
      </c>
      <c r="BQ16" t="s">
        <v>385</v>
      </c>
      <c r="BT16" t="s">
        <v>393</v>
      </c>
      <c r="BU16" t="s">
        <v>390</v>
      </c>
      <c r="BX16" t="s">
        <v>394</v>
      </c>
      <c r="BY16" t="s">
        <v>394</v>
      </c>
      <c r="CA16" t="s">
        <v>395</v>
      </c>
      <c r="CB16" t="s">
        <v>393</v>
      </c>
      <c r="CD16" t="s">
        <v>393</v>
      </c>
      <c r="CE16" t="s">
        <v>385</v>
      </c>
      <c r="CI16" t="s">
        <v>393</v>
      </c>
      <c r="CK16" t="s">
        <v>396</v>
      </c>
      <c r="CN16" t="s">
        <v>393</v>
      </c>
      <c r="CO16" t="s">
        <v>393</v>
      </c>
      <c r="CQ16" t="s">
        <v>393</v>
      </c>
      <c r="CS16" t="s">
        <v>393</v>
      </c>
      <c r="CU16" t="s">
        <v>385</v>
      </c>
      <c r="CV16" t="s">
        <v>385</v>
      </c>
      <c r="CX16" t="s">
        <v>397</v>
      </c>
      <c r="CY16" t="s">
        <v>398</v>
      </c>
      <c r="DB16" t="s">
        <v>383</v>
      </c>
      <c r="DC16" t="s">
        <v>382</v>
      </c>
      <c r="DD16" t="s">
        <v>386</v>
      </c>
      <c r="DE16" t="s">
        <v>386</v>
      </c>
      <c r="DF16" t="s">
        <v>399</v>
      </c>
      <c r="DG16" t="s">
        <v>399</v>
      </c>
      <c r="DH16" t="s">
        <v>386</v>
      </c>
      <c r="DI16" t="s">
        <v>399</v>
      </c>
      <c r="DJ16" t="s">
        <v>391</v>
      </c>
      <c r="DK16" t="s">
        <v>389</v>
      </c>
      <c r="DL16" t="s">
        <v>389</v>
      </c>
      <c r="DM16" t="s">
        <v>388</v>
      </c>
      <c r="DN16" t="s">
        <v>388</v>
      </c>
      <c r="DO16" t="s">
        <v>388</v>
      </c>
      <c r="DP16" t="s">
        <v>388</v>
      </c>
      <c r="DQ16" t="s">
        <v>388</v>
      </c>
      <c r="DR16" t="s">
        <v>400</v>
      </c>
      <c r="DS16" t="s">
        <v>385</v>
      </c>
      <c r="DT16" t="s">
        <v>385</v>
      </c>
      <c r="DU16" t="s">
        <v>386</v>
      </c>
      <c r="DV16" t="s">
        <v>386</v>
      </c>
      <c r="DW16" t="s">
        <v>386</v>
      </c>
      <c r="DX16" t="s">
        <v>399</v>
      </c>
      <c r="DY16" t="s">
        <v>386</v>
      </c>
      <c r="DZ16" t="s">
        <v>399</v>
      </c>
      <c r="EA16" t="s">
        <v>389</v>
      </c>
      <c r="EB16" t="s">
        <v>389</v>
      </c>
      <c r="EC16" t="s">
        <v>388</v>
      </c>
      <c r="ED16" t="s">
        <v>388</v>
      </c>
      <c r="EE16" t="s">
        <v>385</v>
      </c>
      <c r="EJ16" t="s">
        <v>385</v>
      </c>
      <c r="EM16" t="s">
        <v>388</v>
      </c>
      <c r="EN16" t="s">
        <v>388</v>
      </c>
      <c r="EO16" t="s">
        <v>388</v>
      </c>
      <c r="EP16" t="s">
        <v>388</v>
      </c>
      <c r="EQ16" t="s">
        <v>388</v>
      </c>
      <c r="ER16" t="s">
        <v>385</v>
      </c>
      <c r="ES16" t="s">
        <v>385</v>
      </c>
      <c r="ET16" t="s">
        <v>385</v>
      </c>
      <c r="EU16" t="s">
        <v>382</v>
      </c>
      <c r="EX16" t="s">
        <v>401</v>
      </c>
      <c r="EY16" t="s">
        <v>401</v>
      </c>
      <c r="FA16" t="s">
        <v>382</v>
      </c>
      <c r="FB16" t="s">
        <v>402</v>
      </c>
      <c r="FD16" t="s">
        <v>382</v>
      </c>
      <c r="FE16" t="s">
        <v>382</v>
      </c>
      <c r="FG16" t="s">
        <v>403</v>
      </c>
      <c r="FH16" t="s">
        <v>404</v>
      </c>
      <c r="FI16" t="s">
        <v>403</v>
      </c>
      <c r="FJ16" t="s">
        <v>404</v>
      </c>
      <c r="FK16" t="s">
        <v>403</v>
      </c>
      <c r="FL16" t="s">
        <v>404</v>
      </c>
      <c r="FM16" t="s">
        <v>390</v>
      </c>
      <c r="FN16" t="s">
        <v>390</v>
      </c>
      <c r="FO16" t="s">
        <v>386</v>
      </c>
      <c r="FP16" t="s">
        <v>405</v>
      </c>
      <c r="FQ16" t="s">
        <v>386</v>
      </c>
      <c r="FT16" t="s">
        <v>406</v>
      </c>
      <c r="FW16" t="s">
        <v>399</v>
      </c>
      <c r="FX16" t="s">
        <v>407</v>
      </c>
      <c r="FY16" t="s">
        <v>399</v>
      </c>
      <c r="GD16" t="s">
        <v>408</v>
      </c>
      <c r="GE16" t="s">
        <v>408</v>
      </c>
      <c r="GR16" t="s">
        <v>408</v>
      </c>
      <c r="GS16" t="s">
        <v>408</v>
      </c>
      <c r="GT16" t="s">
        <v>409</v>
      </c>
      <c r="GU16" t="s">
        <v>409</v>
      </c>
      <c r="GV16" t="s">
        <v>388</v>
      </c>
      <c r="GW16" t="s">
        <v>388</v>
      </c>
      <c r="GX16" t="s">
        <v>390</v>
      </c>
      <c r="GY16" t="s">
        <v>388</v>
      </c>
      <c r="GZ16" t="s">
        <v>399</v>
      </c>
      <c r="HA16" t="s">
        <v>390</v>
      </c>
      <c r="HB16" t="s">
        <v>390</v>
      </c>
      <c r="HD16" t="s">
        <v>408</v>
      </c>
      <c r="HE16" t="s">
        <v>408</v>
      </c>
      <c r="HF16" t="s">
        <v>408</v>
      </c>
      <c r="HG16" t="s">
        <v>408</v>
      </c>
      <c r="HH16" t="s">
        <v>408</v>
      </c>
      <c r="HI16" t="s">
        <v>408</v>
      </c>
      <c r="HJ16" t="s">
        <v>408</v>
      </c>
      <c r="HK16" t="s">
        <v>410</v>
      </c>
      <c r="HL16" t="s">
        <v>410</v>
      </c>
      <c r="HM16" t="s">
        <v>411</v>
      </c>
      <c r="HN16" t="s">
        <v>410</v>
      </c>
      <c r="HO16" t="s">
        <v>408</v>
      </c>
      <c r="HP16" t="s">
        <v>408</v>
      </c>
      <c r="HQ16" t="s">
        <v>408</v>
      </c>
      <c r="HR16" t="s">
        <v>408</v>
      </c>
      <c r="HS16" t="s">
        <v>408</v>
      </c>
      <c r="HT16" t="s">
        <v>408</v>
      </c>
      <c r="HU16" t="s">
        <v>408</v>
      </c>
      <c r="HV16" t="s">
        <v>408</v>
      </c>
      <c r="HW16" t="s">
        <v>408</v>
      </c>
      <c r="HX16" t="s">
        <v>408</v>
      </c>
      <c r="HY16" t="s">
        <v>408</v>
      </c>
      <c r="HZ16" t="s">
        <v>408</v>
      </c>
      <c r="IG16" t="s">
        <v>408</v>
      </c>
      <c r="IH16" t="s">
        <v>390</v>
      </c>
      <c r="II16" t="s">
        <v>390</v>
      </c>
      <c r="IJ16" t="s">
        <v>403</v>
      </c>
      <c r="IK16" t="s">
        <v>404</v>
      </c>
      <c r="IL16" t="s">
        <v>404</v>
      </c>
      <c r="IP16" t="s">
        <v>404</v>
      </c>
      <c r="IT16" t="s">
        <v>386</v>
      </c>
      <c r="IU16" t="s">
        <v>386</v>
      </c>
      <c r="IV16" t="s">
        <v>399</v>
      </c>
      <c r="IW16" t="s">
        <v>399</v>
      </c>
      <c r="IX16" t="s">
        <v>412</v>
      </c>
      <c r="IY16" t="s">
        <v>412</v>
      </c>
      <c r="IZ16" t="s">
        <v>408</v>
      </c>
      <c r="JA16" t="s">
        <v>408</v>
      </c>
      <c r="JB16" t="s">
        <v>408</v>
      </c>
      <c r="JC16" t="s">
        <v>408</v>
      </c>
      <c r="JD16" t="s">
        <v>408</v>
      </c>
      <c r="JE16" t="s">
        <v>408</v>
      </c>
      <c r="JF16" t="s">
        <v>388</v>
      </c>
      <c r="JG16" t="s">
        <v>408</v>
      </c>
      <c r="JI16" t="s">
        <v>391</v>
      </c>
      <c r="JJ16" t="s">
        <v>391</v>
      </c>
      <c r="JK16" t="s">
        <v>388</v>
      </c>
      <c r="JL16" t="s">
        <v>388</v>
      </c>
      <c r="JM16" t="s">
        <v>388</v>
      </c>
      <c r="JN16" t="s">
        <v>388</v>
      </c>
      <c r="JO16" t="s">
        <v>388</v>
      </c>
      <c r="JP16" t="s">
        <v>390</v>
      </c>
      <c r="JQ16" t="s">
        <v>390</v>
      </c>
      <c r="JR16" t="s">
        <v>390</v>
      </c>
      <c r="JS16" t="s">
        <v>388</v>
      </c>
      <c r="JT16" t="s">
        <v>386</v>
      </c>
      <c r="JU16" t="s">
        <v>399</v>
      </c>
      <c r="JV16" t="s">
        <v>390</v>
      </c>
      <c r="JW16" t="s">
        <v>390</v>
      </c>
    </row>
    <row r="17" spans="1:283" x14ac:dyDescent="0.25">
      <c r="A17">
        <v>1</v>
      </c>
      <c r="B17">
        <v>1742524607</v>
      </c>
      <c r="C17">
        <v>0</v>
      </c>
      <c r="D17" t="s">
        <v>413</v>
      </c>
      <c r="E17" t="s">
        <v>414</v>
      </c>
      <c r="F17">
        <v>2</v>
      </c>
      <c r="H17">
        <v>1742524598.5</v>
      </c>
      <c r="I17">
        <f t="shared" ref="I17:I28" si="0">(J17)/1000</f>
        <v>3.7150169785868329E-3</v>
      </c>
      <c r="J17">
        <f t="shared" ref="J17:J28" si="1">1000*DJ17*AH17*(DF17-DG17)/(100*CY17*(1000-AH17*DF17))</f>
        <v>3.7150169785868328</v>
      </c>
      <c r="K17">
        <f t="shared" ref="K17:K28" si="2">DJ17*AH17*(DE17-DD17*(1000-AH17*DG17)/(1000-AH17*DF17))/(100*CY17)</f>
        <v>28.269738411400404</v>
      </c>
      <c r="L17">
        <f t="shared" ref="L17:L28" si="3">DD17 - IF(AH17&gt;1, K17*CY17*100/(AJ17*DR17), 0)</f>
        <v>410.01224999999999</v>
      </c>
      <c r="M17">
        <f t="shared" ref="M17:M28" si="4">((S17-I17/2)*L17-K17)/(S17+I17/2)</f>
        <v>230.07843015569316</v>
      </c>
      <c r="N17">
        <f t="shared" ref="N17:N28" si="5">M17*(DK17+DL17)/1000</f>
        <v>22.1255350362622</v>
      </c>
      <c r="O17">
        <f t="shared" ref="O17:O28" si="6">(DD17 - IF(AH17&gt;1, K17*CY17*100/(AJ17*DR17), 0))*(DK17+DL17)/1000</f>
        <v>39.428904293778807</v>
      </c>
      <c r="P17">
        <f t="shared" ref="P17:P28" si="7">2/((1/R17-1/Q17)+SIGN(R17)*SQRT((1/R17-1/Q17)*(1/R17-1/Q17) + 4*CZ17/((CZ17+1)*(CZ17+1))*(2*1/R17*1/Q17-1/Q17*1/Q17)))</f>
        <v>0.27319898442064067</v>
      </c>
      <c r="Q17">
        <f t="shared" ref="Q17:Q28" si="8">IF(LEFT(DA17,1)&lt;&gt;"0",IF(LEFT(DA17,1)="1",3,DB17),$D$5+$E$5*(DR17*DK17/($K$5*1000))+$F$5*(DR17*DK17/($K$5*1000))*MAX(MIN(CY17,$J$5),$I$5)*MAX(MIN(CY17,$J$5),$I$5)+$G$5*MAX(MIN(CY17,$J$5),$I$5)*(DR17*DK17/($K$5*1000))+$H$5*(DR17*DK17/($K$5*1000))*(DR17*DK17/($K$5*1000)))</f>
        <v>3.016647658550867</v>
      </c>
      <c r="R17">
        <f t="shared" ref="R17:R28" si="9">I17*(1000-(1000*0.61365*EXP(17.502*V17/(240.97+V17))/(DK17+DL17)+DF17)/2)/(1000*0.61365*EXP(17.502*V17/(240.97+V17))/(DK17+DL17)-DF17)</f>
        <v>0.26016014113092994</v>
      </c>
      <c r="S17">
        <f t="shared" ref="S17:S28" si="10">1/((CZ17+1)/(P17/1.6)+1/(Q17/1.37)) + CZ17/((CZ17+1)/(P17/1.6) + CZ17/(Q17/1.37))</f>
        <v>0.16371970710785355</v>
      </c>
      <c r="T17">
        <f t="shared" ref="T17:T28" si="11">(CU17*CX17)</f>
        <v>321.50621930692847</v>
      </c>
      <c r="U17">
        <f t="shared" ref="U17:U28" si="12">(DM17+(T17+2*0.95*0.0000000567*(((DM17+$B$7)+273)^4-(DM17+273)^4)-44100*I17)/(1.84*29.3*Q17+8*0.95*0.0000000567*(DM17+273)^3))</f>
        <v>25.313082526398862</v>
      </c>
      <c r="V17">
        <f t="shared" ref="V17:V28" si="13">($C$7*DN17+$D$7*DO17+$E$7*U17)</f>
        <v>24.995318749999999</v>
      </c>
      <c r="W17">
        <f t="shared" ref="W17:W28" si="14">0.61365*EXP(17.502*V17/(240.97+V17))</f>
        <v>3.1787902760231441</v>
      </c>
      <c r="X17">
        <f t="shared" ref="X17:X28" si="15">(Y17/Z17*100)</f>
        <v>60.001883819737998</v>
      </c>
      <c r="Y17">
        <f t="shared" ref="Y17:Y28" si="16">DF17*(DK17+DL17)/1000</f>
        <v>1.8414208676969506</v>
      </c>
      <c r="Z17">
        <f t="shared" ref="Z17:Z28" si="17">0.61365*EXP(17.502*DM17/(240.97+DM17))</f>
        <v>3.0689384240486186</v>
      </c>
      <c r="AA17">
        <f t="shared" ref="AA17:AA28" si="18">(W17-DF17*(DK17+DL17)/1000)</f>
        <v>1.3373694083261936</v>
      </c>
      <c r="AB17">
        <f t="shared" ref="AB17:AB28" si="19">(-I17*44100)</f>
        <v>-163.83224875567933</v>
      </c>
      <c r="AC17">
        <f t="shared" ref="AC17:AC28" si="20">2*29.3*Q17*0.92*(DM17-V17)</f>
        <v>-95.721000845861056</v>
      </c>
      <c r="AD17">
        <f t="shared" ref="AD17:AD28" si="21">2*0.95*0.0000000567*(((DM17+$B$7)+273)^4-(V17+273)^4)</f>
        <v>-6.6916821788330356</v>
      </c>
      <c r="AE17">
        <f t="shared" ref="AE17:AE28" si="22">T17+AD17+AB17+AC17</f>
        <v>55.261287526555037</v>
      </c>
      <c r="AF17">
        <v>0</v>
      </c>
      <c r="AG17">
        <v>0</v>
      </c>
      <c r="AH17">
        <f t="shared" ref="AH17:AH28" si="23">IF(AF17*$H$13&gt;=AJ17,1,(AJ17/(AJ17-AF17*$H$13)))</f>
        <v>1</v>
      </c>
      <c r="AI17">
        <f t="shared" ref="AI17:AI28" si="24">(AH17-1)*100</f>
        <v>0</v>
      </c>
      <c r="AJ17">
        <f t="shared" ref="AJ17:AJ28" si="25">MAX(0,($B$13+$C$13*DR17)/(1+$D$13*DR17)*DK17/(DM17+273)*$E$13)</f>
        <v>51224.374158154315</v>
      </c>
      <c r="AK17" t="s">
        <v>415</v>
      </c>
      <c r="AL17">
        <v>10173.1</v>
      </c>
      <c r="AM17">
        <v>172.44800000000001</v>
      </c>
      <c r="AN17">
        <v>740.47517406175598</v>
      </c>
      <c r="AO17">
        <f t="shared" ref="AO17:AO28" si="26">1-AM17/AN17</f>
        <v>0.76711170604942147</v>
      </c>
      <c r="AP17">
        <v>-1.7981232714261199</v>
      </c>
      <c r="AQ17" t="s">
        <v>416</v>
      </c>
      <c r="AR17">
        <v>10148.299999999999</v>
      </c>
      <c r="AS17">
        <v>219.80796000000001</v>
      </c>
      <c r="AT17">
        <v>337.36154593244498</v>
      </c>
      <c r="AU17">
        <f t="shared" ref="AU17:AU27" si="27">1-AS17/AT17</f>
        <v>0.3484498673597628</v>
      </c>
      <c r="AV17">
        <v>0.5</v>
      </c>
      <c r="AW17">
        <f t="shared" ref="AW17:AW28" si="28">CV17</f>
        <v>1681.1759996408953</v>
      </c>
      <c r="AX17">
        <f t="shared" ref="AX17:AX28" si="29">K17</f>
        <v>28.269738411400404</v>
      </c>
      <c r="AY17">
        <f t="shared" ref="AY17:AY28" si="30">AU17*AV17*AW17</f>
        <v>292.90277704164328</v>
      </c>
      <c r="AZ17">
        <f t="shared" ref="AZ17:AZ28" si="31">(AX17-AP17)/AW17</f>
        <v>1.788501720774572E-2</v>
      </c>
      <c r="BA17">
        <f t="shared" ref="BA17:BA28" si="32">(AN17-AT17)/AT17</f>
        <v>1.1949009393324055</v>
      </c>
      <c r="BB17">
        <f t="shared" ref="BB17:BB28" si="33">AM17/(AO17+AM17/AT17)</f>
        <v>134.90644482587712</v>
      </c>
      <c r="BC17" t="s">
        <v>417</v>
      </c>
      <c r="BD17">
        <v>0</v>
      </c>
      <c r="BE17">
        <f t="shared" ref="BE17:BE28" si="34">IF(BD17&lt;&gt;0, BD17, BB17)</f>
        <v>134.90644482587712</v>
      </c>
      <c r="BF17">
        <f t="shared" ref="BF17:BF28" si="35">1-BE17/AT17</f>
        <v>0.60011315322555614</v>
      </c>
      <c r="BG17">
        <f t="shared" ref="BG17:BG28" si="36">(AT17-AS17)/(AT17-BE17)</f>
        <v>0.58064027673260443</v>
      </c>
      <c r="BH17">
        <f t="shared" ref="BH17:BH28" si="37">(AN17-AT17)/(AN17-BE17)</f>
        <v>0.66567774831763427</v>
      </c>
      <c r="BI17">
        <f t="shared" ref="BI17:BI28" si="38">(AT17-AS17)/(AT17-AM17)</f>
        <v>0.71281946712006006</v>
      </c>
      <c r="BJ17">
        <f t="shared" ref="BJ17:BJ28" si="39">(AN17-AT17)/(AN17-AM17)</f>
        <v>0.70967313983729308</v>
      </c>
      <c r="BK17">
        <f t="shared" ref="BK17:BK28" si="40">(BG17*BE17/AS17)</f>
        <v>0.35636614550587303</v>
      </c>
      <c r="BL17">
        <f t="shared" ref="BL17:BL28" si="41">(1-BK17)</f>
        <v>0.64363385449412691</v>
      </c>
      <c r="BM17">
        <v>1686</v>
      </c>
      <c r="BN17">
        <v>290</v>
      </c>
      <c r="BO17">
        <v>295.41000000000003</v>
      </c>
      <c r="BP17">
        <v>175</v>
      </c>
      <c r="BQ17">
        <v>10148.299999999999</v>
      </c>
      <c r="BR17">
        <v>293.39999999999998</v>
      </c>
      <c r="BS17">
        <v>2.0099999999999998</v>
      </c>
      <c r="BT17">
        <v>300</v>
      </c>
      <c r="BU17">
        <v>24.1</v>
      </c>
      <c r="BV17">
        <v>337.36154593244498</v>
      </c>
      <c r="BW17">
        <v>1.48251493101211</v>
      </c>
      <c r="BX17">
        <v>-44.613466334403</v>
      </c>
      <c r="BY17">
        <v>1.3430565471127101</v>
      </c>
      <c r="BZ17">
        <v>0.97525247602809795</v>
      </c>
      <c r="CA17">
        <v>-6.7232925472747503E-3</v>
      </c>
      <c r="CB17">
        <v>290</v>
      </c>
      <c r="CC17">
        <v>291.35000000000002</v>
      </c>
      <c r="CD17">
        <v>825</v>
      </c>
      <c r="CE17">
        <v>10109.1</v>
      </c>
      <c r="CF17">
        <v>293.23</v>
      </c>
      <c r="CG17">
        <v>-1.88</v>
      </c>
      <c r="CU17">
        <f t="shared" ref="CU17:CU28" si="42">$B$11*DS17+$C$11*DT17+$F$11*EE17*(1-EH17)</f>
        <v>1999.9749999999999</v>
      </c>
      <c r="CV17">
        <f t="shared" ref="CV17:CV28" si="43">CU17*CW17</f>
        <v>1681.1759996408953</v>
      </c>
      <c r="CW17">
        <f t="shared" ref="CW17:CW28" si="44">($B$11*$D$9+$C$11*$D$9+$F$11*((ER17+EJ17)/MAX(ER17+EJ17+ES17, 0.1)*$I$9+ES17/MAX(ER17+EJ17+ES17, 0.1)*$J$9))/($B$11+$C$11+$F$11)</f>
        <v>0.84059850730178898</v>
      </c>
      <c r="CX17">
        <f t="shared" ref="CX17:CX28" si="45">($B$11*$K$9+$C$11*$K$9+$F$11*((ER17+EJ17)/MAX(ER17+EJ17+ES17, 0.1)*$P$9+ES17/MAX(ER17+EJ17+ES17, 0.1)*$Q$9))/($B$11+$C$11+$F$11)</f>
        <v>0.16075511909245291</v>
      </c>
      <c r="CY17">
        <v>1.9</v>
      </c>
      <c r="CZ17">
        <v>0.5</v>
      </c>
      <c r="DA17" t="s">
        <v>418</v>
      </c>
      <c r="DB17">
        <v>2</v>
      </c>
      <c r="DC17">
        <v>1742524598.5</v>
      </c>
      <c r="DD17">
        <v>410.01224999999999</v>
      </c>
      <c r="DE17">
        <v>421.33193749999998</v>
      </c>
      <c r="DF17">
        <v>19.148518750000001</v>
      </c>
      <c r="DG17">
        <v>17.764043749999999</v>
      </c>
      <c r="DH17">
        <v>407.66031249999997</v>
      </c>
      <c r="DI17">
        <v>19.174812500000002</v>
      </c>
      <c r="DJ17">
        <v>500.072</v>
      </c>
      <c r="DK17">
        <v>96.064925000000002</v>
      </c>
      <c r="DL17">
        <v>0.100261025</v>
      </c>
      <c r="DM17">
        <v>24.406749999999999</v>
      </c>
      <c r="DN17">
        <v>24.995318749999999</v>
      </c>
      <c r="DO17">
        <v>999.9</v>
      </c>
      <c r="DP17">
        <v>0</v>
      </c>
      <c r="DQ17">
        <v>0</v>
      </c>
      <c r="DR17">
        <v>9996.9556250000005</v>
      </c>
      <c r="DS17">
        <v>0</v>
      </c>
      <c r="DT17">
        <v>816.982125</v>
      </c>
      <c r="DU17">
        <v>-11.319743750000001</v>
      </c>
      <c r="DV17">
        <v>418.01662499999998</v>
      </c>
      <c r="DW17">
        <v>428.952</v>
      </c>
      <c r="DX17">
        <v>1.3844818750000001</v>
      </c>
      <c r="DY17">
        <v>421.33193749999998</v>
      </c>
      <c r="DZ17">
        <v>17.764043749999999</v>
      </c>
      <c r="EA17">
        <v>1.8394993749999999</v>
      </c>
      <c r="EB17">
        <v>1.7065025</v>
      </c>
      <c r="EC17">
        <v>16.12655625</v>
      </c>
      <c r="ED17">
        <v>14.9557</v>
      </c>
      <c r="EE17">
        <v>1999.9749999999999</v>
      </c>
      <c r="EF17">
        <v>0.97999950000000002</v>
      </c>
      <c r="EG17">
        <v>2.0000793749999999E-2</v>
      </c>
      <c r="EH17">
        <v>0</v>
      </c>
      <c r="EI17">
        <v>219.7636875</v>
      </c>
      <c r="EJ17">
        <v>5.0006000000000004</v>
      </c>
      <c r="EK17">
        <v>4622.8731250000001</v>
      </c>
      <c r="EL17">
        <v>20233.78125</v>
      </c>
      <c r="EM17">
        <v>44.925375000000003</v>
      </c>
      <c r="EN17">
        <v>44.5</v>
      </c>
      <c r="EO17">
        <v>45.194875000000003</v>
      </c>
      <c r="EP17">
        <v>43.702750000000002</v>
      </c>
      <c r="EQ17">
        <v>46.375</v>
      </c>
      <c r="ER17">
        <v>1955.075</v>
      </c>
      <c r="ES17">
        <v>39.9</v>
      </c>
      <c r="ET17">
        <v>0</v>
      </c>
      <c r="EU17">
        <v>1742524753.0999999</v>
      </c>
      <c r="EV17">
        <v>0</v>
      </c>
      <c r="EW17">
        <v>219.80796000000001</v>
      </c>
      <c r="EX17">
        <v>6.6307696477984096E-2</v>
      </c>
      <c r="EY17">
        <v>-2.5415384624661099</v>
      </c>
      <c r="EZ17">
        <v>4622.8328000000001</v>
      </c>
      <c r="FA17">
        <v>15</v>
      </c>
      <c r="FB17">
        <v>1742524439</v>
      </c>
      <c r="FC17" t="s">
        <v>419</v>
      </c>
      <c r="FD17">
        <v>1742524439</v>
      </c>
      <c r="FE17">
        <v>1742524431</v>
      </c>
      <c r="FF17">
        <v>1</v>
      </c>
      <c r="FG17">
        <v>-5.3999999999999999E-2</v>
      </c>
      <c r="FH17">
        <v>0.122</v>
      </c>
      <c r="FI17">
        <v>2.3519999999999999</v>
      </c>
      <c r="FJ17">
        <v>-2.5999999999999999E-2</v>
      </c>
      <c r="FK17">
        <v>421</v>
      </c>
      <c r="FL17">
        <v>18</v>
      </c>
      <c r="FM17">
        <v>0.23</v>
      </c>
      <c r="FN17">
        <v>0.13</v>
      </c>
      <c r="FO17">
        <v>-11.346842857142899</v>
      </c>
      <c r="FP17">
        <v>0.361971428571433</v>
      </c>
      <c r="FQ17">
        <v>4.6691699796987E-2</v>
      </c>
      <c r="FR17">
        <v>1</v>
      </c>
      <c r="FS17">
        <v>219.78888235294099</v>
      </c>
      <c r="FT17">
        <v>-0.12754774460469601</v>
      </c>
      <c r="FU17">
        <v>0.17630033944545401</v>
      </c>
      <c r="FV17">
        <v>1</v>
      </c>
      <c r="FW17">
        <v>1.3783909523809501</v>
      </c>
      <c r="FX17">
        <v>7.7812987012987E-2</v>
      </c>
      <c r="FY17">
        <v>1.1910958901369499E-2</v>
      </c>
      <c r="FZ17">
        <v>1</v>
      </c>
      <c r="GA17">
        <v>3</v>
      </c>
      <c r="GB17">
        <v>3</v>
      </c>
      <c r="GC17" t="s">
        <v>420</v>
      </c>
      <c r="GD17">
        <v>3.1421000000000001</v>
      </c>
      <c r="GE17">
        <v>2.7477</v>
      </c>
      <c r="GF17">
        <v>8.7390099999999998E-2</v>
      </c>
      <c r="GG17">
        <v>9.18654E-2</v>
      </c>
      <c r="GH17">
        <v>9.4787800000000005E-2</v>
      </c>
      <c r="GI17">
        <v>9.2236299999999993E-2</v>
      </c>
      <c r="GJ17">
        <v>24105.5</v>
      </c>
      <c r="GK17">
        <v>30243.8</v>
      </c>
      <c r="GL17">
        <v>26907.8</v>
      </c>
      <c r="GM17">
        <v>31411.9</v>
      </c>
      <c r="GN17">
        <v>34334.300000000003</v>
      </c>
      <c r="GO17">
        <v>37995.300000000003</v>
      </c>
      <c r="GP17">
        <v>41498.400000000001</v>
      </c>
      <c r="GQ17">
        <v>45543.7</v>
      </c>
      <c r="GR17">
        <v>1.75257</v>
      </c>
      <c r="GS17">
        <v>2.00745</v>
      </c>
      <c r="GT17">
        <v>0.14507400000000001</v>
      </c>
      <c r="GU17">
        <v>0</v>
      </c>
      <c r="GV17">
        <v>22.584099999999999</v>
      </c>
      <c r="GW17">
        <v>999.9</v>
      </c>
      <c r="GX17">
        <v>48.761000000000003</v>
      </c>
      <c r="GY17">
        <v>27.190999999999999</v>
      </c>
      <c r="GZ17">
        <v>18.370200000000001</v>
      </c>
      <c r="HA17">
        <v>60.117600000000003</v>
      </c>
      <c r="HB17">
        <v>23.257200000000001</v>
      </c>
      <c r="HC17">
        <v>1</v>
      </c>
      <c r="HD17">
        <v>0.11285100000000001</v>
      </c>
      <c r="HE17">
        <v>2.16506</v>
      </c>
      <c r="HF17">
        <v>20.178000000000001</v>
      </c>
      <c r="HG17">
        <v>5.2222299999999997</v>
      </c>
      <c r="HH17">
        <v>11.974</v>
      </c>
      <c r="HI17">
        <v>4.9530500000000002</v>
      </c>
      <c r="HJ17">
        <v>3.2851300000000001</v>
      </c>
      <c r="HK17">
        <v>9999</v>
      </c>
      <c r="HL17">
        <v>9999</v>
      </c>
      <c r="HM17">
        <v>999.9</v>
      </c>
      <c r="HN17">
        <v>9999</v>
      </c>
      <c r="HO17">
        <v>1.8595900000000001</v>
      </c>
      <c r="HP17">
        <v>1.8602000000000001</v>
      </c>
      <c r="HQ17">
        <v>1.85568</v>
      </c>
      <c r="HR17">
        <v>1.85849</v>
      </c>
      <c r="HS17">
        <v>1.8626400000000001</v>
      </c>
      <c r="HT17">
        <v>1.85819</v>
      </c>
      <c r="HU17">
        <v>1.855</v>
      </c>
      <c r="HV17">
        <v>1.8625400000000001</v>
      </c>
      <c r="HW17">
        <v>5</v>
      </c>
      <c r="HX17">
        <v>0</v>
      </c>
      <c r="HY17">
        <v>0</v>
      </c>
      <c r="HZ17">
        <v>0</v>
      </c>
      <c r="IA17" t="s">
        <v>421</v>
      </c>
      <c r="IB17" t="s">
        <v>422</v>
      </c>
      <c r="IC17" t="s">
        <v>423</v>
      </c>
      <c r="ID17" t="s">
        <v>423</v>
      </c>
      <c r="IE17" t="s">
        <v>423</v>
      </c>
      <c r="IF17" t="s">
        <v>423</v>
      </c>
      <c r="IG17">
        <v>0</v>
      </c>
      <c r="IH17">
        <v>100</v>
      </c>
      <c r="II17">
        <v>100</v>
      </c>
      <c r="IJ17">
        <v>2.351</v>
      </c>
      <c r="IK17">
        <v>-2.63E-2</v>
      </c>
      <c r="IL17">
        <v>2.3518181818181998</v>
      </c>
      <c r="IM17">
        <v>0</v>
      </c>
      <c r="IN17">
        <v>0</v>
      </c>
      <c r="IO17">
        <v>0</v>
      </c>
      <c r="IP17">
        <v>-2.6290909090903401E-2</v>
      </c>
      <c r="IQ17">
        <v>0</v>
      </c>
      <c r="IR17">
        <v>0</v>
      </c>
      <c r="IS17">
        <v>0</v>
      </c>
      <c r="IT17">
        <v>-1</v>
      </c>
      <c r="IU17">
        <v>-1</v>
      </c>
      <c r="IV17">
        <v>-1</v>
      </c>
      <c r="IW17">
        <v>-1</v>
      </c>
      <c r="IX17">
        <v>2.8</v>
      </c>
      <c r="IY17">
        <v>2.9</v>
      </c>
      <c r="IZ17">
        <v>1.0656699999999999</v>
      </c>
      <c r="JA17">
        <v>2.6953100000000001</v>
      </c>
      <c r="JB17">
        <v>1.69678</v>
      </c>
      <c r="JC17">
        <v>2.36206</v>
      </c>
      <c r="JD17">
        <v>1.4978</v>
      </c>
      <c r="JE17">
        <v>2.34375</v>
      </c>
      <c r="JF17">
        <v>31.608000000000001</v>
      </c>
      <c r="JG17">
        <v>15.103899999999999</v>
      </c>
      <c r="JH17">
        <v>18</v>
      </c>
      <c r="JI17">
        <v>376.71</v>
      </c>
      <c r="JJ17">
        <v>538.14300000000003</v>
      </c>
      <c r="JK17">
        <v>19.4346</v>
      </c>
      <c r="JL17">
        <v>28.3977</v>
      </c>
      <c r="JM17">
        <v>30.0001</v>
      </c>
      <c r="JN17">
        <v>28.477399999999999</v>
      </c>
      <c r="JO17">
        <v>28.479099999999999</v>
      </c>
      <c r="JP17">
        <v>21.348299999999998</v>
      </c>
      <c r="JQ17">
        <v>0</v>
      </c>
      <c r="JR17">
        <v>50</v>
      </c>
      <c r="JS17">
        <v>19.448699999999999</v>
      </c>
      <c r="JT17">
        <v>421.21699999999998</v>
      </c>
      <c r="JU17">
        <v>19.131699999999999</v>
      </c>
      <c r="JV17">
        <v>102.494</v>
      </c>
      <c r="JW17">
        <v>101.10899999999999</v>
      </c>
    </row>
    <row r="18" spans="1:283" x14ac:dyDescent="0.25">
      <c r="A18">
        <v>2</v>
      </c>
      <c r="B18">
        <v>1742524742</v>
      </c>
      <c r="C18">
        <v>135</v>
      </c>
      <c r="D18" t="s">
        <v>424</v>
      </c>
      <c r="E18" t="s">
        <v>425</v>
      </c>
      <c r="F18">
        <v>2</v>
      </c>
      <c r="H18">
        <v>1742524733.5</v>
      </c>
      <c r="I18">
        <f t="shared" si="0"/>
        <v>2.75064970430539E-3</v>
      </c>
      <c r="J18">
        <f t="shared" si="1"/>
        <v>2.7506497043053901</v>
      </c>
      <c r="K18">
        <f t="shared" si="2"/>
        <v>27.599092844910473</v>
      </c>
      <c r="L18">
        <f t="shared" si="3"/>
        <v>410.04162500000001</v>
      </c>
      <c r="M18">
        <f t="shared" si="4"/>
        <v>179.36888757370255</v>
      </c>
      <c r="N18">
        <f t="shared" si="5"/>
        <v>17.246451473857245</v>
      </c>
      <c r="O18">
        <f t="shared" si="6"/>
        <v>39.425806133286571</v>
      </c>
      <c r="P18">
        <f t="shared" si="7"/>
        <v>0.20336231096379639</v>
      </c>
      <c r="Q18">
        <f t="shared" si="8"/>
        <v>3.0154976681765948</v>
      </c>
      <c r="R18">
        <f t="shared" si="9"/>
        <v>0.19603886507546059</v>
      </c>
      <c r="S18">
        <f t="shared" si="10"/>
        <v>0.12316030098723899</v>
      </c>
      <c r="T18">
        <f t="shared" si="11"/>
        <v>289.56457498783823</v>
      </c>
      <c r="U18">
        <f t="shared" si="12"/>
        <v>25.581000983674311</v>
      </c>
      <c r="V18">
        <f t="shared" si="13"/>
        <v>25.052637499999999</v>
      </c>
      <c r="W18">
        <f t="shared" si="14"/>
        <v>3.1896697468608948</v>
      </c>
      <c r="X18">
        <f t="shared" si="15"/>
        <v>60.380007104476249</v>
      </c>
      <c r="Y18">
        <f t="shared" si="16"/>
        <v>1.876104077667426</v>
      </c>
      <c r="Z18">
        <f t="shared" si="17"/>
        <v>3.1071610747265739</v>
      </c>
      <c r="AA18">
        <f t="shared" si="18"/>
        <v>1.3135656691934687</v>
      </c>
      <c r="AB18">
        <f t="shared" si="19"/>
        <v>-121.30365195986769</v>
      </c>
      <c r="AC18">
        <f t="shared" si="20"/>
        <v>-71.374989447512746</v>
      </c>
      <c r="AD18">
        <f t="shared" si="21"/>
        <v>-4.9982442088472077</v>
      </c>
      <c r="AE18">
        <f t="shared" si="22"/>
        <v>91.887689371610577</v>
      </c>
      <c r="AF18">
        <v>0</v>
      </c>
      <c r="AG18">
        <v>0</v>
      </c>
      <c r="AH18">
        <f t="shared" si="23"/>
        <v>1</v>
      </c>
      <c r="AI18">
        <f t="shared" si="24"/>
        <v>0</v>
      </c>
      <c r="AJ18">
        <f t="shared" si="25"/>
        <v>51155.648678692472</v>
      </c>
      <c r="AK18" t="s">
        <v>415</v>
      </c>
      <c r="AL18">
        <v>10173.1</v>
      </c>
      <c r="AM18">
        <v>172.44800000000001</v>
      </c>
      <c r="AN18">
        <v>740.47517406175598</v>
      </c>
      <c r="AO18">
        <f t="shared" si="26"/>
        <v>0.76711170604942147</v>
      </c>
      <c r="AP18">
        <v>-1.7981232714261199</v>
      </c>
      <c r="AQ18" t="s">
        <v>426</v>
      </c>
      <c r="AR18">
        <v>10162.299999999999</v>
      </c>
      <c r="AS18">
        <v>221.62688461538499</v>
      </c>
      <c r="AT18">
        <v>357.05365985498901</v>
      </c>
      <c r="AU18">
        <f t="shared" si="27"/>
        <v>0.37928969918584554</v>
      </c>
      <c r="AV18">
        <v>0.5</v>
      </c>
      <c r="AW18">
        <f t="shared" si="28"/>
        <v>1513.1747246050975</v>
      </c>
      <c r="AX18">
        <f t="shared" si="29"/>
        <v>27.599092844910473</v>
      </c>
      <c r="AY18">
        <f t="shared" si="30"/>
        <v>286.96579305554604</v>
      </c>
      <c r="AZ18">
        <f t="shared" si="31"/>
        <v>1.9427509353890753E-2</v>
      </c>
      <c r="BA18">
        <f t="shared" si="32"/>
        <v>1.0738484360095533</v>
      </c>
      <c r="BB18">
        <f t="shared" si="33"/>
        <v>137.94882853378687</v>
      </c>
      <c r="BC18" t="s">
        <v>417</v>
      </c>
      <c r="BD18">
        <v>0</v>
      </c>
      <c r="BE18">
        <f t="shared" si="34"/>
        <v>137.94882853378687</v>
      </c>
      <c r="BF18">
        <f t="shared" si="35"/>
        <v>0.61364678746098744</v>
      </c>
      <c r="BG18">
        <f t="shared" si="36"/>
        <v>0.61809123250720011</v>
      </c>
      <c r="BH18">
        <f t="shared" si="37"/>
        <v>0.63635642997617037</v>
      </c>
      <c r="BI18">
        <f t="shared" si="38"/>
        <v>0.73360034218877213</v>
      </c>
      <c r="BJ18">
        <f t="shared" si="39"/>
        <v>0.67500558373829023</v>
      </c>
      <c r="BK18">
        <f t="shared" si="40"/>
        <v>0.38472300686508759</v>
      </c>
      <c r="BL18">
        <f t="shared" si="41"/>
        <v>0.61527699313491246</v>
      </c>
      <c r="BM18">
        <v>1687</v>
      </c>
      <c r="BN18">
        <v>290</v>
      </c>
      <c r="BO18">
        <v>309.49</v>
      </c>
      <c r="BP18">
        <v>105</v>
      </c>
      <c r="BQ18">
        <v>10162.299999999999</v>
      </c>
      <c r="BR18">
        <v>306.97000000000003</v>
      </c>
      <c r="BS18">
        <v>2.52</v>
      </c>
      <c r="BT18">
        <v>300</v>
      </c>
      <c r="BU18">
        <v>24.1</v>
      </c>
      <c r="BV18">
        <v>357.05365985498901</v>
      </c>
      <c r="BW18">
        <v>1.2118934744002701</v>
      </c>
      <c r="BX18">
        <v>-50.895358844508202</v>
      </c>
      <c r="BY18">
        <v>1.09447624649445</v>
      </c>
      <c r="BZ18">
        <v>0.98721716890514899</v>
      </c>
      <c r="CA18">
        <v>-6.8901501668520602E-3</v>
      </c>
      <c r="CB18">
        <v>290</v>
      </c>
      <c r="CC18">
        <v>304.55</v>
      </c>
      <c r="CD18">
        <v>835</v>
      </c>
      <c r="CE18">
        <v>10108.299999999999</v>
      </c>
      <c r="CF18">
        <v>306.7</v>
      </c>
      <c r="CG18">
        <v>-2.15</v>
      </c>
      <c r="CU18">
        <f t="shared" si="42"/>
        <v>1799.9881250000001</v>
      </c>
      <c r="CV18">
        <f t="shared" si="43"/>
        <v>1513.1747246050975</v>
      </c>
      <c r="CW18">
        <f t="shared" si="44"/>
        <v>0.84065817078937533</v>
      </c>
      <c r="CX18">
        <f t="shared" si="45"/>
        <v>0.16087026962349443</v>
      </c>
      <c r="CY18">
        <v>1.9</v>
      </c>
      <c r="CZ18">
        <v>0.5</v>
      </c>
      <c r="DA18" t="s">
        <v>418</v>
      </c>
      <c r="DB18">
        <v>2</v>
      </c>
      <c r="DC18">
        <v>1742524733.5</v>
      </c>
      <c r="DD18">
        <v>410.04162500000001</v>
      </c>
      <c r="DE18">
        <v>420.95818750000001</v>
      </c>
      <c r="DF18">
        <v>19.512112500000001</v>
      </c>
      <c r="DG18">
        <v>18.487231250000001</v>
      </c>
      <c r="DH18">
        <v>407.68975</v>
      </c>
      <c r="DI18">
        <v>19.538399999999999</v>
      </c>
      <c r="DJ18">
        <v>499.98568749999998</v>
      </c>
      <c r="DK18">
        <v>96.050725</v>
      </c>
      <c r="DL18">
        <v>0.10001611874999999</v>
      </c>
      <c r="DM18">
        <v>24.613600000000002</v>
      </c>
      <c r="DN18">
        <v>25.052637499999999</v>
      </c>
      <c r="DO18">
        <v>999.9</v>
      </c>
      <c r="DP18">
        <v>0</v>
      </c>
      <c r="DQ18">
        <v>0</v>
      </c>
      <c r="DR18">
        <v>9991.7518749999999</v>
      </c>
      <c r="DS18">
        <v>0</v>
      </c>
      <c r="DT18">
        <v>888.640625</v>
      </c>
      <c r="DU18">
        <v>-10.916700000000001</v>
      </c>
      <c r="DV18">
        <v>418.20168749999999</v>
      </c>
      <c r="DW18">
        <v>428.88724999999999</v>
      </c>
      <c r="DX18">
        <v>1.024874375</v>
      </c>
      <c r="DY18">
        <v>420.95818750000001</v>
      </c>
      <c r="DZ18">
        <v>18.487231250000001</v>
      </c>
      <c r="EA18">
        <v>1.8741525000000001</v>
      </c>
      <c r="EB18">
        <v>1.77571375</v>
      </c>
      <c r="EC18">
        <v>16.41936875</v>
      </c>
      <c r="ED18">
        <v>15.574612500000001</v>
      </c>
      <c r="EE18">
        <v>1799.9881250000001</v>
      </c>
      <c r="EF18">
        <v>0.97799918750000003</v>
      </c>
      <c r="EG18">
        <v>2.200111875E-2</v>
      </c>
      <c r="EH18">
        <v>0</v>
      </c>
      <c r="EI18">
        <v>221.60987499999999</v>
      </c>
      <c r="EJ18">
        <v>5.0006000000000004</v>
      </c>
      <c r="EK18">
        <v>4198.7993749999996</v>
      </c>
      <c r="EL18">
        <v>18193.787499999999</v>
      </c>
      <c r="EM18">
        <v>45</v>
      </c>
      <c r="EN18">
        <v>44.749937500000001</v>
      </c>
      <c r="EO18">
        <v>45.375</v>
      </c>
      <c r="EP18">
        <v>44.003875000000001</v>
      </c>
      <c r="EQ18">
        <v>46.484250000000003</v>
      </c>
      <c r="ER18">
        <v>1755.4981250000001</v>
      </c>
      <c r="ES18">
        <v>39.49</v>
      </c>
      <c r="ET18">
        <v>0</v>
      </c>
      <c r="EU18">
        <v>133.90000009536701</v>
      </c>
      <c r="EV18">
        <v>0</v>
      </c>
      <c r="EW18">
        <v>221.62688461538499</v>
      </c>
      <c r="EX18">
        <v>-0.74150427025326404</v>
      </c>
      <c r="EY18">
        <v>-8.9466666553002305</v>
      </c>
      <c r="EZ18">
        <v>4198.585</v>
      </c>
      <c r="FA18">
        <v>15</v>
      </c>
      <c r="FB18">
        <v>1742524439</v>
      </c>
      <c r="FC18" t="s">
        <v>419</v>
      </c>
      <c r="FD18">
        <v>1742524439</v>
      </c>
      <c r="FE18">
        <v>1742524431</v>
      </c>
      <c r="FF18">
        <v>1</v>
      </c>
      <c r="FG18">
        <v>-5.3999999999999999E-2</v>
      </c>
      <c r="FH18">
        <v>0.122</v>
      </c>
      <c r="FI18">
        <v>2.3519999999999999</v>
      </c>
      <c r="FJ18">
        <v>-2.5999999999999999E-2</v>
      </c>
      <c r="FK18">
        <v>421</v>
      </c>
      <c r="FL18">
        <v>18</v>
      </c>
      <c r="FM18">
        <v>0.23</v>
      </c>
      <c r="FN18">
        <v>0.13</v>
      </c>
      <c r="FO18">
        <v>-10.911215</v>
      </c>
      <c r="FP18">
        <v>-3.7258646616536703E-2</v>
      </c>
      <c r="FQ18">
        <v>5.0382430221258802E-2</v>
      </c>
      <c r="FR18">
        <v>1</v>
      </c>
      <c r="FS18">
        <v>221.65711764705901</v>
      </c>
      <c r="FT18">
        <v>-0.62401833645475002</v>
      </c>
      <c r="FU18">
        <v>0.18543379422727099</v>
      </c>
      <c r="FV18">
        <v>1</v>
      </c>
      <c r="FW18">
        <v>1.0274445000000001</v>
      </c>
      <c r="FX18">
        <v>-9.0590526315790607E-2</v>
      </c>
      <c r="FY18">
        <v>1.23039983237157E-2</v>
      </c>
      <c r="FZ18">
        <v>1</v>
      </c>
      <c r="GA18">
        <v>3</v>
      </c>
      <c r="GB18">
        <v>3</v>
      </c>
      <c r="GC18" t="s">
        <v>420</v>
      </c>
      <c r="GD18">
        <v>3.1419600000000001</v>
      </c>
      <c r="GE18">
        <v>2.7469800000000002</v>
      </c>
      <c r="GF18">
        <v>8.7370299999999998E-2</v>
      </c>
      <c r="GG18">
        <v>9.1820899999999997E-2</v>
      </c>
      <c r="GH18">
        <v>9.6221000000000001E-2</v>
      </c>
      <c r="GI18">
        <v>9.4843899999999995E-2</v>
      </c>
      <c r="GJ18">
        <v>24106.1</v>
      </c>
      <c r="GK18">
        <v>30242.3</v>
      </c>
      <c r="GL18">
        <v>26908.1</v>
      </c>
      <c r="GM18">
        <v>31409.1</v>
      </c>
      <c r="GN18">
        <v>34280.400000000001</v>
      </c>
      <c r="GO18">
        <v>37883.300000000003</v>
      </c>
      <c r="GP18">
        <v>41499.599999999999</v>
      </c>
      <c r="GQ18">
        <v>45539.8</v>
      </c>
      <c r="GR18">
        <v>1.7515799999999999</v>
      </c>
      <c r="GS18">
        <v>2.0062000000000002</v>
      </c>
      <c r="GT18">
        <v>0.13700899999999999</v>
      </c>
      <c r="GU18">
        <v>0</v>
      </c>
      <c r="GV18">
        <v>22.8172</v>
      </c>
      <c r="GW18">
        <v>999.9</v>
      </c>
      <c r="GX18">
        <v>49.493000000000002</v>
      </c>
      <c r="GY18">
        <v>27.300999999999998</v>
      </c>
      <c r="GZ18">
        <v>18.7713</v>
      </c>
      <c r="HA18">
        <v>60.057600000000001</v>
      </c>
      <c r="HB18">
        <v>23.421500000000002</v>
      </c>
      <c r="HC18">
        <v>1</v>
      </c>
      <c r="HD18">
        <v>0.117586</v>
      </c>
      <c r="HE18">
        <v>2.4575200000000001</v>
      </c>
      <c r="HF18">
        <v>20.1752</v>
      </c>
      <c r="HG18">
        <v>5.2238800000000003</v>
      </c>
      <c r="HH18">
        <v>11.974</v>
      </c>
      <c r="HI18">
        <v>4.9530500000000002</v>
      </c>
      <c r="HJ18">
        <v>3.2851300000000001</v>
      </c>
      <c r="HK18">
        <v>9999</v>
      </c>
      <c r="HL18">
        <v>9999</v>
      </c>
      <c r="HM18">
        <v>999.9</v>
      </c>
      <c r="HN18">
        <v>9999</v>
      </c>
      <c r="HO18">
        <v>1.85958</v>
      </c>
      <c r="HP18">
        <v>1.8602000000000001</v>
      </c>
      <c r="HQ18">
        <v>1.85568</v>
      </c>
      <c r="HR18">
        <v>1.8585100000000001</v>
      </c>
      <c r="HS18">
        <v>1.8626400000000001</v>
      </c>
      <c r="HT18">
        <v>1.85822</v>
      </c>
      <c r="HU18">
        <v>1.855</v>
      </c>
      <c r="HV18">
        <v>1.8626199999999999</v>
      </c>
      <c r="HW18">
        <v>5</v>
      </c>
      <c r="HX18">
        <v>0</v>
      </c>
      <c r="HY18">
        <v>0</v>
      </c>
      <c r="HZ18">
        <v>0</v>
      </c>
      <c r="IA18" t="s">
        <v>421</v>
      </c>
      <c r="IB18" t="s">
        <v>422</v>
      </c>
      <c r="IC18" t="s">
        <v>423</v>
      </c>
      <c r="ID18" t="s">
        <v>423</v>
      </c>
      <c r="IE18" t="s">
        <v>423</v>
      </c>
      <c r="IF18" t="s">
        <v>423</v>
      </c>
      <c r="IG18">
        <v>0</v>
      </c>
      <c r="IH18">
        <v>100</v>
      </c>
      <c r="II18">
        <v>100</v>
      </c>
      <c r="IJ18">
        <v>2.3519999999999999</v>
      </c>
      <c r="IK18">
        <v>-2.63E-2</v>
      </c>
      <c r="IL18">
        <v>2.3518181818181998</v>
      </c>
      <c r="IM18">
        <v>0</v>
      </c>
      <c r="IN18">
        <v>0</v>
      </c>
      <c r="IO18">
        <v>0</v>
      </c>
      <c r="IP18">
        <v>-2.6290909090903401E-2</v>
      </c>
      <c r="IQ18">
        <v>0</v>
      </c>
      <c r="IR18">
        <v>0</v>
      </c>
      <c r="IS18">
        <v>0</v>
      </c>
      <c r="IT18">
        <v>-1</v>
      </c>
      <c r="IU18">
        <v>-1</v>
      </c>
      <c r="IV18">
        <v>-1</v>
      </c>
      <c r="IW18">
        <v>-1</v>
      </c>
      <c r="IX18">
        <v>5</v>
      </c>
      <c r="IY18">
        <v>5.2</v>
      </c>
      <c r="IZ18">
        <v>1.0656699999999999</v>
      </c>
      <c r="JA18">
        <v>2.6953100000000001</v>
      </c>
      <c r="JB18">
        <v>1.69678</v>
      </c>
      <c r="JC18">
        <v>2.36084</v>
      </c>
      <c r="JD18">
        <v>1.4978</v>
      </c>
      <c r="JE18">
        <v>2.32666</v>
      </c>
      <c r="JF18">
        <v>31.651700000000002</v>
      </c>
      <c r="JG18">
        <v>15.0777</v>
      </c>
      <c r="JH18">
        <v>18</v>
      </c>
      <c r="JI18">
        <v>376.459</v>
      </c>
      <c r="JJ18">
        <v>537.70600000000002</v>
      </c>
      <c r="JK18">
        <v>19.644400000000001</v>
      </c>
      <c r="JL18">
        <v>28.451799999999999</v>
      </c>
      <c r="JM18">
        <v>30.000499999999999</v>
      </c>
      <c r="JN18">
        <v>28.520600000000002</v>
      </c>
      <c r="JO18">
        <v>28.525099999999998</v>
      </c>
      <c r="JP18">
        <v>21.345099999999999</v>
      </c>
      <c r="JQ18">
        <v>9.2230500000000006</v>
      </c>
      <c r="JR18">
        <v>50</v>
      </c>
      <c r="JS18">
        <v>19.594799999999999</v>
      </c>
      <c r="JT18">
        <v>420.76900000000001</v>
      </c>
      <c r="JU18">
        <v>18.021100000000001</v>
      </c>
      <c r="JV18">
        <v>102.496</v>
      </c>
      <c r="JW18">
        <v>101.1</v>
      </c>
    </row>
    <row r="19" spans="1:283" x14ac:dyDescent="0.25">
      <c r="A19">
        <v>3</v>
      </c>
      <c r="B19">
        <v>1742524895</v>
      </c>
      <c r="C19">
        <v>288</v>
      </c>
      <c r="D19" t="s">
        <v>427</v>
      </c>
      <c r="E19" t="s">
        <v>428</v>
      </c>
      <c r="F19">
        <v>2</v>
      </c>
      <c r="H19">
        <v>1742524886.5</v>
      </c>
      <c r="I19">
        <f t="shared" si="0"/>
        <v>2.238485239207306E-3</v>
      </c>
      <c r="J19">
        <f t="shared" si="1"/>
        <v>2.2384852392073058</v>
      </c>
      <c r="K19">
        <f t="shared" si="2"/>
        <v>25.885610655011611</v>
      </c>
      <c r="L19">
        <f t="shared" si="3"/>
        <v>410.1171875</v>
      </c>
      <c r="M19">
        <f t="shared" si="4"/>
        <v>143.9762025920096</v>
      </c>
      <c r="N19">
        <f t="shared" si="5"/>
        <v>13.841506971949601</v>
      </c>
      <c r="O19">
        <f t="shared" si="6"/>
        <v>39.427626287544925</v>
      </c>
      <c r="P19">
        <f t="shared" si="7"/>
        <v>0.1634478866409883</v>
      </c>
      <c r="Q19">
        <f t="shared" si="8"/>
        <v>3.016396580010809</v>
      </c>
      <c r="R19">
        <f t="shared" si="9"/>
        <v>0.1586822151030185</v>
      </c>
      <c r="S19">
        <f t="shared" si="10"/>
        <v>9.959298678332755E-2</v>
      </c>
      <c r="T19">
        <f t="shared" si="11"/>
        <v>241.74161156504752</v>
      </c>
      <c r="U19">
        <f t="shared" si="12"/>
        <v>25.639304098003795</v>
      </c>
      <c r="V19">
        <f t="shared" si="13"/>
        <v>25.018137500000002</v>
      </c>
      <c r="W19">
        <f t="shared" si="14"/>
        <v>3.1831175315204625</v>
      </c>
      <c r="X19">
        <f t="shared" si="15"/>
        <v>59.217648080051035</v>
      </c>
      <c r="Y19">
        <f t="shared" si="16"/>
        <v>1.8625221601937203</v>
      </c>
      <c r="Z19">
        <f t="shared" si="17"/>
        <v>3.145214679373864</v>
      </c>
      <c r="AA19">
        <f t="shared" si="18"/>
        <v>1.3205953713267422</v>
      </c>
      <c r="AB19">
        <f t="shared" si="19"/>
        <v>-98.717199049042193</v>
      </c>
      <c r="AC19">
        <f t="shared" si="20"/>
        <v>-32.654090462245939</v>
      </c>
      <c r="AD19">
        <f t="shared" si="21"/>
        <v>-2.2879656097609264</v>
      </c>
      <c r="AE19">
        <f t="shared" si="22"/>
        <v>108.08235644399846</v>
      </c>
      <c r="AF19">
        <v>0</v>
      </c>
      <c r="AG19">
        <v>0</v>
      </c>
      <c r="AH19">
        <f t="shared" si="23"/>
        <v>1</v>
      </c>
      <c r="AI19">
        <f t="shared" si="24"/>
        <v>0</v>
      </c>
      <c r="AJ19">
        <f t="shared" si="25"/>
        <v>51145.995845870151</v>
      </c>
      <c r="AK19" t="s">
        <v>415</v>
      </c>
      <c r="AL19">
        <v>10173.1</v>
      </c>
      <c r="AM19">
        <v>172.44800000000001</v>
      </c>
      <c r="AN19">
        <v>740.47517406175598</v>
      </c>
      <c r="AO19">
        <f t="shared" si="26"/>
        <v>0.76711170604942147</v>
      </c>
      <c r="AP19">
        <v>-1.7981232714261199</v>
      </c>
      <c r="AQ19" t="s">
        <v>429</v>
      </c>
      <c r="AR19">
        <v>10156.5</v>
      </c>
      <c r="AS19">
        <v>226.85819230769201</v>
      </c>
      <c r="AT19">
        <v>396.94028654526602</v>
      </c>
      <c r="AU19">
        <f t="shared" si="27"/>
        <v>0.4284828222347199</v>
      </c>
      <c r="AV19">
        <v>0.5</v>
      </c>
      <c r="AW19">
        <f t="shared" si="28"/>
        <v>1261.2331495155686</v>
      </c>
      <c r="AX19">
        <f t="shared" si="29"/>
        <v>25.885610655011611</v>
      </c>
      <c r="AY19">
        <f t="shared" si="30"/>
        <v>270.20836970020764</v>
      </c>
      <c r="AZ19">
        <f t="shared" si="31"/>
        <v>2.1949735413369743E-2</v>
      </c>
      <c r="BA19">
        <f t="shared" si="32"/>
        <v>0.86545734751797265</v>
      </c>
      <c r="BB19">
        <f t="shared" si="33"/>
        <v>143.52070149372062</v>
      </c>
      <c r="BC19" t="s">
        <v>417</v>
      </c>
      <c r="BD19">
        <v>0</v>
      </c>
      <c r="BE19">
        <f t="shared" si="34"/>
        <v>143.52070149372062</v>
      </c>
      <c r="BF19">
        <f t="shared" si="35"/>
        <v>0.63843251401151524</v>
      </c>
      <c r="BG19">
        <f t="shared" si="36"/>
        <v>0.67114818376401097</v>
      </c>
      <c r="BH19">
        <f t="shared" si="37"/>
        <v>0.57547920872196334</v>
      </c>
      <c r="BI19">
        <f t="shared" si="38"/>
        <v>0.75763001417547204</v>
      </c>
      <c r="BJ19">
        <f t="shared" si="39"/>
        <v>0.60478600884531064</v>
      </c>
      <c r="BK19">
        <f t="shared" si="40"/>
        <v>0.42459854396354263</v>
      </c>
      <c r="BL19">
        <f t="shared" si="41"/>
        <v>0.57540145603645731</v>
      </c>
      <c r="BM19">
        <v>1688</v>
      </c>
      <c r="BN19">
        <v>290</v>
      </c>
      <c r="BO19">
        <v>339.98</v>
      </c>
      <c r="BP19">
        <v>165</v>
      </c>
      <c r="BQ19">
        <v>10156.5</v>
      </c>
      <c r="BR19">
        <v>336.52</v>
      </c>
      <c r="BS19">
        <v>3.46</v>
      </c>
      <c r="BT19">
        <v>300</v>
      </c>
      <c r="BU19">
        <v>24.1</v>
      </c>
      <c r="BV19">
        <v>396.94028654526602</v>
      </c>
      <c r="BW19">
        <v>1.25582989000166</v>
      </c>
      <c r="BX19">
        <v>-61.3637271303581</v>
      </c>
      <c r="BY19">
        <v>1.12949216703922</v>
      </c>
      <c r="BZ19">
        <v>0.99060275500180395</v>
      </c>
      <c r="CA19">
        <v>-7.1446222469410499E-3</v>
      </c>
      <c r="CB19">
        <v>290</v>
      </c>
      <c r="CC19">
        <v>331.65</v>
      </c>
      <c r="CD19">
        <v>675</v>
      </c>
      <c r="CE19">
        <v>10123</v>
      </c>
      <c r="CF19">
        <v>336.32</v>
      </c>
      <c r="CG19">
        <v>-4.67</v>
      </c>
      <c r="CU19">
        <f t="shared" si="42"/>
        <v>1500.0262499999999</v>
      </c>
      <c r="CV19">
        <f t="shared" si="43"/>
        <v>1261.2331495155686</v>
      </c>
      <c r="CW19">
        <f t="shared" si="44"/>
        <v>0.84080738554779866</v>
      </c>
      <c r="CX19">
        <f t="shared" si="45"/>
        <v>0.16115825410725149</v>
      </c>
      <c r="CY19">
        <v>1.9</v>
      </c>
      <c r="CZ19">
        <v>0.5</v>
      </c>
      <c r="DA19" t="s">
        <v>418</v>
      </c>
      <c r="DB19">
        <v>2</v>
      </c>
      <c r="DC19">
        <v>1742524886.5</v>
      </c>
      <c r="DD19">
        <v>410.1171875</v>
      </c>
      <c r="DE19">
        <v>420.30256250000002</v>
      </c>
      <c r="DF19">
        <v>19.373531249999999</v>
      </c>
      <c r="DG19">
        <v>18.5393875</v>
      </c>
      <c r="DH19">
        <v>407.76531249999999</v>
      </c>
      <c r="DI19">
        <v>19.399812499999999</v>
      </c>
      <c r="DJ19">
        <v>500.00062500000001</v>
      </c>
      <c r="DK19">
        <v>96.037456250000005</v>
      </c>
      <c r="DL19">
        <v>0.1000076</v>
      </c>
      <c r="DM19">
        <v>24.817337500000001</v>
      </c>
      <c r="DN19">
        <v>25.018137500000002</v>
      </c>
      <c r="DO19">
        <v>999.9</v>
      </c>
      <c r="DP19">
        <v>0</v>
      </c>
      <c r="DQ19">
        <v>0</v>
      </c>
      <c r="DR19">
        <v>9998.3556250000001</v>
      </c>
      <c r="DS19">
        <v>0</v>
      </c>
      <c r="DT19">
        <v>884.49093749999997</v>
      </c>
      <c r="DU19">
        <v>-10.185643750000001</v>
      </c>
      <c r="DV19">
        <v>418.21956249999999</v>
      </c>
      <c r="DW19">
        <v>428.24206249999997</v>
      </c>
      <c r="DX19">
        <v>0.83413300000000001</v>
      </c>
      <c r="DY19">
        <v>420.30256250000002</v>
      </c>
      <c r="DZ19">
        <v>18.5393875</v>
      </c>
      <c r="EA19">
        <v>1.860584375</v>
      </c>
      <c r="EB19">
        <v>1.780475625</v>
      </c>
      <c r="EC19">
        <v>16.305193750000001</v>
      </c>
      <c r="ED19">
        <v>15.616325</v>
      </c>
      <c r="EE19">
        <v>1500.0262499999999</v>
      </c>
      <c r="EF19">
        <v>0.97299637500000002</v>
      </c>
      <c r="EG19">
        <v>2.7003918750000001E-2</v>
      </c>
      <c r="EH19">
        <v>0</v>
      </c>
      <c r="EI19">
        <v>226.8249375</v>
      </c>
      <c r="EJ19">
        <v>5.0006000000000004</v>
      </c>
      <c r="EK19">
        <v>3576.9381250000001</v>
      </c>
      <c r="EL19">
        <v>15129.143749999999</v>
      </c>
      <c r="EM19">
        <v>44.601374999999997</v>
      </c>
      <c r="EN19">
        <v>44.811999999999998</v>
      </c>
      <c r="EO19">
        <v>45.311999999999998</v>
      </c>
      <c r="EP19">
        <v>44.073812500000003</v>
      </c>
      <c r="EQ19">
        <v>46.280999999999999</v>
      </c>
      <c r="ER19">
        <v>1454.65625</v>
      </c>
      <c r="ES19">
        <v>40.369999999999997</v>
      </c>
      <c r="ET19">
        <v>0</v>
      </c>
      <c r="EU19">
        <v>151.700000047684</v>
      </c>
      <c r="EV19">
        <v>0</v>
      </c>
      <c r="EW19">
        <v>226.85819230769201</v>
      </c>
      <c r="EX19">
        <v>-1.5036239416509201</v>
      </c>
      <c r="EY19">
        <v>-14.2854700659746</v>
      </c>
      <c r="EZ19">
        <v>3576.6003846153799</v>
      </c>
      <c r="FA19">
        <v>15</v>
      </c>
      <c r="FB19">
        <v>1742524439</v>
      </c>
      <c r="FC19" t="s">
        <v>419</v>
      </c>
      <c r="FD19">
        <v>1742524439</v>
      </c>
      <c r="FE19">
        <v>1742524431</v>
      </c>
      <c r="FF19">
        <v>1</v>
      </c>
      <c r="FG19">
        <v>-5.3999999999999999E-2</v>
      </c>
      <c r="FH19">
        <v>0.122</v>
      </c>
      <c r="FI19">
        <v>2.3519999999999999</v>
      </c>
      <c r="FJ19">
        <v>-2.5999999999999999E-2</v>
      </c>
      <c r="FK19">
        <v>421</v>
      </c>
      <c r="FL19">
        <v>18</v>
      </c>
      <c r="FM19">
        <v>0.23</v>
      </c>
      <c r="FN19">
        <v>0.13</v>
      </c>
      <c r="FO19">
        <v>-10.207038095238101</v>
      </c>
      <c r="FP19">
        <v>0.36820519480518499</v>
      </c>
      <c r="FQ19">
        <v>5.7005826570961503E-2</v>
      </c>
      <c r="FR19">
        <v>1</v>
      </c>
      <c r="FS19">
        <v>226.925617647059</v>
      </c>
      <c r="FT19">
        <v>-1.2838655459934001</v>
      </c>
      <c r="FU19">
        <v>0.21697221490671001</v>
      </c>
      <c r="FV19">
        <v>0</v>
      </c>
      <c r="FW19">
        <v>0.85687038095238099</v>
      </c>
      <c r="FX19">
        <v>-0.33605236363636298</v>
      </c>
      <c r="FY19">
        <v>3.9052795758070101E-2</v>
      </c>
      <c r="FZ19">
        <v>0</v>
      </c>
      <c r="GA19">
        <v>1</v>
      </c>
      <c r="GB19">
        <v>3</v>
      </c>
      <c r="GC19" t="s">
        <v>430</v>
      </c>
      <c r="GD19">
        <v>3.14181</v>
      </c>
      <c r="GE19">
        <v>2.7467299999999999</v>
      </c>
      <c r="GF19">
        <v>8.7339299999999995E-2</v>
      </c>
      <c r="GG19">
        <v>9.1640100000000002E-2</v>
      </c>
      <c r="GH19">
        <v>9.6021899999999993E-2</v>
      </c>
      <c r="GI19">
        <v>9.5539600000000002E-2</v>
      </c>
      <c r="GJ19">
        <v>24103.4</v>
      </c>
      <c r="GK19">
        <v>30237.7</v>
      </c>
      <c r="GL19">
        <v>26904.9</v>
      </c>
      <c r="GM19">
        <v>31398.7</v>
      </c>
      <c r="GN19">
        <v>34284.300000000003</v>
      </c>
      <c r="GO19">
        <v>37842.199999999997</v>
      </c>
      <c r="GP19">
        <v>41494.5</v>
      </c>
      <c r="GQ19">
        <v>45524.7</v>
      </c>
      <c r="GR19">
        <v>1.7499</v>
      </c>
      <c r="GS19">
        <v>2.0013999999999998</v>
      </c>
      <c r="GT19">
        <v>0.121407</v>
      </c>
      <c r="GU19">
        <v>0</v>
      </c>
      <c r="GV19">
        <v>23.0441</v>
      </c>
      <c r="GW19">
        <v>999.9</v>
      </c>
      <c r="GX19">
        <v>50.69</v>
      </c>
      <c r="GY19">
        <v>27.573</v>
      </c>
      <c r="GZ19">
        <v>19.5366</v>
      </c>
      <c r="HA19">
        <v>60.2376</v>
      </c>
      <c r="HB19">
        <v>23.4495</v>
      </c>
      <c r="HC19">
        <v>1</v>
      </c>
      <c r="HD19">
        <v>0.12920000000000001</v>
      </c>
      <c r="HE19">
        <v>1.8967000000000001</v>
      </c>
      <c r="HF19">
        <v>20.1858</v>
      </c>
      <c r="HG19">
        <v>5.2226800000000004</v>
      </c>
      <c r="HH19">
        <v>11.974</v>
      </c>
      <c r="HI19">
        <v>4.9517499999999997</v>
      </c>
      <c r="HJ19">
        <v>3.2851699999999999</v>
      </c>
      <c r="HK19">
        <v>9999</v>
      </c>
      <c r="HL19">
        <v>9999</v>
      </c>
      <c r="HM19">
        <v>999.9</v>
      </c>
      <c r="HN19">
        <v>9999</v>
      </c>
      <c r="HO19">
        <v>1.8595900000000001</v>
      </c>
      <c r="HP19">
        <v>1.8602799999999999</v>
      </c>
      <c r="HQ19">
        <v>1.8557399999999999</v>
      </c>
      <c r="HR19">
        <v>1.8585199999999999</v>
      </c>
      <c r="HS19">
        <v>1.8626400000000001</v>
      </c>
      <c r="HT19">
        <v>1.85822</v>
      </c>
      <c r="HU19">
        <v>1.85501</v>
      </c>
      <c r="HV19">
        <v>1.8626199999999999</v>
      </c>
      <c r="HW19">
        <v>5</v>
      </c>
      <c r="HX19">
        <v>0</v>
      </c>
      <c r="HY19">
        <v>0</v>
      </c>
      <c r="HZ19">
        <v>0</v>
      </c>
      <c r="IA19" t="s">
        <v>421</v>
      </c>
      <c r="IB19" t="s">
        <v>422</v>
      </c>
      <c r="IC19" t="s">
        <v>423</v>
      </c>
      <c r="ID19" t="s">
        <v>423</v>
      </c>
      <c r="IE19" t="s">
        <v>423</v>
      </c>
      <c r="IF19" t="s">
        <v>423</v>
      </c>
      <c r="IG19">
        <v>0</v>
      </c>
      <c r="IH19">
        <v>100</v>
      </c>
      <c r="II19">
        <v>100</v>
      </c>
      <c r="IJ19">
        <v>2.3519999999999999</v>
      </c>
      <c r="IK19">
        <v>-2.63E-2</v>
      </c>
      <c r="IL19">
        <v>2.3518181818181998</v>
      </c>
      <c r="IM19">
        <v>0</v>
      </c>
      <c r="IN19">
        <v>0</v>
      </c>
      <c r="IO19">
        <v>0</v>
      </c>
      <c r="IP19">
        <v>-2.6290909090903401E-2</v>
      </c>
      <c r="IQ19">
        <v>0</v>
      </c>
      <c r="IR19">
        <v>0</v>
      </c>
      <c r="IS19">
        <v>0</v>
      </c>
      <c r="IT19">
        <v>-1</v>
      </c>
      <c r="IU19">
        <v>-1</v>
      </c>
      <c r="IV19">
        <v>-1</v>
      </c>
      <c r="IW19">
        <v>-1</v>
      </c>
      <c r="IX19">
        <v>7.6</v>
      </c>
      <c r="IY19">
        <v>7.7</v>
      </c>
      <c r="IZ19">
        <v>1.0632299999999999</v>
      </c>
      <c r="JA19">
        <v>2.7050800000000002</v>
      </c>
      <c r="JB19">
        <v>1.69678</v>
      </c>
      <c r="JC19">
        <v>2.36084</v>
      </c>
      <c r="JD19">
        <v>1.4978</v>
      </c>
      <c r="JE19">
        <v>2.3327599999999999</v>
      </c>
      <c r="JF19">
        <v>31.936499999999999</v>
      </c>
      <c r="JG19">
        <v>15.068899999999999</v>
      </c>
      <c r="JH19">
        <v>18</v>
      </c>
      <c r="JI19">
        <v>376.29500000000002</v>
      </c>
      <c r="JJ19">
        <v>535.46799999999996</v>
      </c>
      <c r="JK19">
        <v>20.491399999999999</v>
      </c>
      <c r="JL19">
        <v>28.605899999999998</v>
      </c>
      <c r="JM19">
        <v>30.000800000000002</v>
      </c>
      <c r="JN19">
        <v>28.639500000000002</v>
      </c>
      <c r="JO19">
        <v>28.639800000000001</v>
      </c>
      <c r="JP19">
        <v>21.3109</v>
      </c>
      <c r="JQ19">
        <v>13.287800000000001</v>
      </c>
      <c r="JR19">
        <v>50</v>
      </c>
      <c r="JS19">
        <v>20.4712</v>
      </c>
      <c r="JT19">
        <v>420.17899999999997</v>
      </c>
      <c r="JU19">
        <v>18.688500000000001</v>
      </c>
      <c r="JV19">
        <v>102.48399999999999</v>
      </c>
      <c r="JW19">
        <v>101.06699999999999</v>
      </c>
    </row>
    <row r="20" spans="1:283" x14ac:dyDescent="0.25">
      <c r="A20">
        <v>4</v>
      </c>
      <c r="B20">
        <v>1742525048</v>
      </c>
      <c r="C20">
        <v>441</v>
      </c>
      <c r="D20" t="s">
        <v>431</v>
      </c>
      <c r="E20" t="s">
        <v>432</v>
      </c>
      <c r="F20">
        <v>2</v>
      </c>
      <c r="H20">
        <v>1742525040</v>
      </c>
      <c r="I20">
        <f t="shared" si="0"/>
        <v>2.8214933815424864E-3</v>
      </c>
      <c r="J20">
        <f t="shared" si="1"/>
        <v>2.8214933815424863</v>
      </c>
      <c r="K20">
        <f t="shared" si="2"/>
        <v>23.150172810305264</v>
      </c>
      <c r="L20">
        <f t="shared" si="3"/>
        <v>410.0566</v>
      </c>
      <c r="M20">
        <f t="shared" si="4"/>
        <v>223.06173821664729</v>
      </c>
      <c r="N20">
        <f t="shared" si="5"/>
        <v>21.44308509175837</v>
      </c>
      <c r="O20">
        <f t="shared" si="6"/>
        <v>39.41903544971526</v>
      </c>
      <c r="P20">
        <f t="shared" si="7"/>
        <v>0.21260254141497903</v>
      </c>
      <c r="Q20">
        <f t="shared" si="8"/>
        <v>3.0168607684067021</v>
      </c>
      <c r="R20">
        <f t="shared" si="9"/>
        <v>0.20461598962527522</v>
      </c>
      <c r="S20">
        <f t="shared" si="10"/>
        <v>0.12857755652487909</v>
      </c>
      <c r="T20">
        <f t="shared" si="11"/>
        <v>193.80408805833335</v>
      </c>
      <c r="U20">
        <f t="shared" si="12"/>
        <v>25.371476227871813</v>
      </c>
      <c r="V20">
        <f t="shared" si="13"/>
        <v>24.985099999999999</v>
      </c>
      <c r="W20">
        <f t="shared" si="14"/>
        <v>3.1768541007076876</v>
      </c>
      <c r="X20">
        <f t="shared" si="15"/>
        <v>59.416367821936198</v>
      </c>
      <c r="Y20">
        <f t="shared" si="16"/>
        <v>1.8861949204509745</v>
      </c>
      <c r="Z20">
        <f t="shared" si="17"/>
        <v>3.1745375720435769</v>
      </c>
      <c r="AA20">
        <f t="shared" si="18"/>
        <v>1.2906591802567131</v>
      </c>
      <c r="AB20">
        <f t="shared" si="19"/>
        <v>-124.42785812602365</v>
      </c>
      <c r="AC20">
        <f t="shared" si="20"/>
        <v>-1.989690472424652</v>
      </c>
      <c r="AD20">
        <f t="shared" si="21"/>
        <v>-0.13947564005689472</v>
      </c>
      <c r="AE20">
        <f t="shared" si="22"/>
        <v>67.247063819828142</v>
      </c>
      <c r="AF20">
        <v>0</v>
      </c>
      <c r="AG20">
        <v>0</v>
      </c>
      <c r="AH20">
        <f t="shared" si="23"/>
        <v>1</v>
      </c>
      <c r="AI20">
        <f t="shared" si="24"/>
        <v>0</v>
      </c>
      <c r="AJ20">
        <f t="shared" si="25"/>
        <v>51132.384098952964</v>
      </c>
      <c r="AK20" t="s">
        <v>415</v>
      </c>
      <c r="AL20">
        <v>10173.1</v>
      </c>
      <c r="AM20">
        <v>172.44800000000001</v>
      </c>
      <c r="AN20">
        <v>740.47517406175598</v>
      </c>
      <c r="AO20">
        <f t="shared" si="26"/>
        <v>0.76711170604942147</v>
      </c>
      <c r="AP20">
        <v>-1.7981232714261199</v>
      </c>
      <c r="AQ20" t="s">
        <v>433</v>
      </c>
      <c r="AR20">
        <v>10168.5</v>
      </c>
      <c r="AS20">
        <v>236.052153846154</v>
      </c>
      <c r="AT20">
        <v>453.35210870926198</v>
      </c>
      <c r="AU20">
        <f t="shared" si="27"/>
        <v>0.47931828415176525</v>
      </c>
      <c r="AV20">
        <v>0.5</v>
      </c>
      <c r="AW20">
        <f t="shared" si="28"/>
        <v>1009.1869994084652</v>
      </c>
      <c r="AX20">
        <f t="shared" si="29"/>
        <v>23.150172810305264</v>
      </c>
      <c r="AY20">
        <f t="shared" si="30"/>
        <v>241.86089047236703</v>
      </c>
      <c r="AZ20">
        <f t="shared" si="31"/>
        <v>2.4721182591883193E-2</v>
      </c>
      <c r="BA20">
        <f t="shared" si="32"/>
        <v>0.6333334726730655</v>
      </c>
      <c r="BB20">
        <f t="shared" si="33"/>
        <v>150.28201163285632</v>
      </c>
      <c r="BC20" t="s">
        <v>417</v>
      </c>
      <c r="BD20">
        <v>0</v>
      </c>
      <c r="BE20">
        <f t="shared" si="34"/>
        <v>150.28201163285632</v>
      </c>
      <c r="BF20">
        <f t="shared" si="35"/>
        <v>0.66850929168340256</v>
      </c>
      <c r="BG20">
        <f t="shared" si="36"/>
        <v>0.71699569492111737</v>
      </c>
      <c r="BH20">
        <f t="shared" si="37"/>
        <v>0.48648998943135607</v>
      </c>
      <c r="BI20">
        <f t="shared" si="38"/>
        <v>0.77357342995653788</v>
      </c>
      <c r="BJ20">
        <f t="shared" si="39"/>
        <v>0.50547417177136311</v>
      </c>
      <c r="BK20">
        <f t="shared" si="40"/>
        <v>0.4564735106593007</v>
      </c>
      <c r="BL20">
        <f t="shared" si="41"/>
        <v>0.54352648934069925</v>
      </c>
      <c r="BM20">
        <v>1689</v>
      </c>
      <c r="BN20">
        <v>290</v>
      </c>
      <c r="BO20">
        <v>387.08</v>
      </c>
      <c r="BP20">
        <v>135</v>
      </c>
      <c r="BQ20">
        <v>10168.5</v>
      </c>
      <c r="BR20">
        <v>381.56</v>
      </c>
      <c r="BS20">
        <v>5.52</v>
      </c>
      <c r="BT20">
        <v>300</v>
      </c>
      <c r="BU20">
        <v>24.1</v>
      </c>
      <c r="BV20">
        <v>453.35210870926198</v>
      </c>
      <c r="BW20">
        <v>1.4272186361206201</v>
      </c>
      <c r="BX20">
        <v>-73.005146351476597</v>
      </c>
      <c r="BY20">
        <v>1.27835919167484</v>
      </c>
      <c r="BZ20">
        <v>0.991487752738343</v>
      </c>
      <c r="CA20">
        <v>-7.3991038932146903E-3</v>
      </c>
      <c r="CB20">
        <v>290</v>
      </c>
      <c r="CC20">
        <v>373.6</v>
      </c>
      <c r="CD20">
        <v>625</v>
      </c>
      <c r="CE20">
        <v>10133.4</v>
      </c>
      <c r="CF20">
        <v>381.31</v>
      </c>
      <c r="CG20">
        <v>-7.71</v>
      </c>
      <c r="CU20">
        <f t="shared" si="42"/>
        <v>1200.0046666666699</v>
      </c>
      <c r="CV20">
        <f t="shared" si="43"/>
        <v>1009.1869994084652</v>
      </c>
      <c r="CW20">
        <f t="shared" si="44"/>
        <v>0.84098589567301341</v>
      </c>
      <c r="CX20">
        <f t="shared" si="45"/>
        <v>0.16150277864891593</v>
      </c>
      <c r="CY20">
        <v>1.9</v>
      </c>
      <c r="CZ20">
        <v>0.5</v>
      </c>
      <c r="DA20" t="s">
        <v>418</v>
      </c>
      <c r="DB20">
        <v>2</v>
      </c>
      <c r="DC20">
        <v>1742525040</v>
      </c>
      <c r="DD20">
        <v>410.0566</v>
      </c>
      <c r="DE20">
        <v>419.29340000000002</v>
      </c>
      <c r="DF20">
        <v>19.6211466666667</v>
      </c>
      <c r="DG20">
        <v>18.5700066666667</v>
      </c>
      <c r="DH20">
        <v>407.8064</v>
      </c>
      <c r="DI20">
        <v>19.618379999999998</v>
      </c>
      <c r="DJ20">
        <v>499.99540000000002</v>
      </c>
      <c r="DK20">
        <v>96.030713333333296</v>
      </c>
      <c r="DL20">
        <v>0.10000484</v>
      </c>
      <c r="DM20">
        <v>24.9728666666667</v>
      </c>
      <c r="DN20">
        <v>24.985099999999999</v>
      </c>
      <c r="DO20">
        <v>999.9</v>
      </c>
      <c r="DP20">
        <v>0</v>
      </c>
      <c r="DQ20">
        <v>0</v>
      </c>
      <c r="DR20">
        <v>10001.755999999999</v>
      </c>
      <c r="DS20">
        <v>0</v>
      </c>
      <c r="DT20">
        <v>890.31686666666701</v>
      </c>
      <c r="DU20">
        <v>-9.2368799999999993</v>
      </c>
      <c r="DV20">
        <v>418.263466666667</v>
      </c>
      <c r="DW20">
        <v>427.22699999999998</v>
      </c>
      <c r="DX20">
        <v>1.0511413333333299</v>
      </c>
      <c r="DY20">
        <v>419.29340000000002</v>
      </c>
      <c r="DZ20">
        <v>18.5700066666667</v>
      </c>
      <c r="EA20">
        <v>1.8842319999999999</v>
      </c>
      <c r="EB20">
        <v>1.7832906666666699</v>
      </c>
      <c r="EC20">
        <v>16.503640000000001</v>
      </c>
      <c r="ED20">
        <v>15.641073333333299</v>
      </c>
      <c r="EE20">
        <v>1200.0046666666699</v>
      </c>
      <c r="EF20">
        <v>0.96700033333333302</v>
      </c>
      <c r="EG20">
        <v>3.299966E-2</v>
      </c>
      <c r="EH20">
        <v>0</v>
      </c>
      <c r="EI20">
        <v>236.06006666666701</v>
      </c>
      <c r="EJ20">
        <v>5.0006000000000004</v>
      </c>
      <c r="EK20">
        <v>2968.4673333333299</v>
      </c>
      <c r="EL20">
        <v>12069.753333333299</v>
      </c>
      <c r="EM20">
        <v>43.903933333333299</v>
      </c>
      <c r="EN20">
        <v>44.733199999999997</v>
      </c>
      <c r="EO20">
        <v>45</v>
      </c>
      <c r="EP20">
        <v>43.941200000000002</v>
      </c>
      <c r="EQ20">
        <v>45.8414</v>
      </c>
      <c r="ER20">
        <v>1155.56866666667</v>
      </c>
      <c r="ES20">
        <v>39.436</v>
      </c>
      <c r="ET20">
        <v>0</v>
      </c>
      <c r="EU20">
        <v>151.700000047684</v>
      </c>
      <c r="EV20">
        <v>0</v>
      </c>
      <c r="EW20">
        <v>236.052153846154</v>
      </c>
      <c r="EX20">
        <v>-1.1854358883253899</v>
      </c>
      <c r="EY20">
        <v>-23.579829097606599</v>
      </c>
      <c r="EZ20">
        <v>2968.3373076923099</v>
      </c>
      <c r="FA20">
        <v>15</v>
      </c>
      <c r="FB20">
        <v>1742524965</v>
      </c>
      <c r="FC20" t="s">
        <v>434</v>
      </c>
      <c r="FD20">
        <v>1742524957</v>
      </c>
      <c r="FE20">
        <v>1742524965</v>
      </c>
      <c r="FF20">
        <v>2</v>
      </c>
      <c r="FG20">
        <v>-0.10199999999999999</v>
      </c>
      <c r="FH20">
        <v>2.9000000000000001E-2</v>
      </c>
      <c r="FI20">
        <v>2.25</v>
      </c>
      <c r="FJ20">
        <v>3.0000000000000001E-3</v>
      </c>
      <c r="FK20">
        <v>420</v>
      </c>
      <c r="FL20">
        <v>19</v>
      </c>
      <c r="FM20">
        <v>0.28000000000000003</v>
      </c>
      <c r="FN20">
        <v>0.14000000000000001</v>
      </c>
      <c r="FO20">
        <v>-9.2640061904761897</v>
      </c>
      <c r="FP20">
        <v>0.687747272727256</v>
      </c>
      <c r="FQ20">
        <v>8.37805295301043E-2</v>
      </c>
      <c r="FR20">
        <v>0</v>
      </c>
      <c r="FS20">
        <v>236.148588235294</v>
      </c>
      <c r="FT20">
        <v>-2.0416806735341</v>
      </c>
      <c r="FU20">
        <v>0.29809099653383497</v>
      </c>
      <c r="FV20">
        <v>0</v>
      </c>
      <c r="FW20">
        <v>1.0671776190476201</v>
      </c>
      <c r="FX20">
        <v>-0.233368831168832</v>
      </c>
      <c r="FY20">
        <v>2.7551243668197601E-2</v>
      </c>
      <c r="FZ20">
        <v>0</v>
      </c>
      <c r="GA20">
        <v>0</v>
      </c>
      <c r="GB20">
        <v>3</v>
      </c>
      <c r="GC20" t="s">
        <v>435</v>
      </c>
      <c r="GD20">
        <v>3.14202</v>
      </c>
      <c r="GE20">
        <v>2.74735</v>
      </c>
      <c r="GF20">
        <v>8.7307099999999999E-2</v>
      </c>
      <c r="GG20">
        <v>9.1438000000000005E-2</v>
      </c>
      <c r="GH20">
        <v>9.6495600000000001E-2</v>
      </c>
      <c r="GI20">
        <v>9.5312800000000003E-2</v>
      </c>
      <c r="GJ20">
        <v>24099</v>
      </c>
      <c r="GK20">
        <v>30233.1</v>
      </c>
      <c r="GL20">
        <v>26899.9</v>
      </c>
      <c r="GM20">
        <v>31387.5</v>
      </c>
      <c r="GN20">
        <v>34260.699999999997</v>
      </c>
      <c r="GO20">
        <v>37839.199999999997</v>
      </c>
      <c r="GP20">
        <v>41487.4</v>
      </c>
      <c r="GQ20">
        <v>45508.9</v>
      </c>
      <c r="GR20">
        <v>1.7482200000000001</v>
      </c>
      <c r="GS20">
        <v>1.9954499999999999</v>
      </c>
      <c r="GT20">
        <v>0.108484</v>
      </c>
      <c r="GU20">
        <v>0</v>
      </c>
      <c r="GV20">
        <v>23.2361</v>
      </c>
      <c r="GW20">
        <v>999.9</v>
      </c>
      <c r="GX20">
        <v>51.398000000000003</v>
      </c>
      <c r="GY20">
        <v>27.905999999999999</v>
      </c>
      <c r="GZ20">
        <v>20.200900000000001</v>
      </c>
      <c r="HA20">
        <v>60.507599999999996</v>
      </c>
      <c r="HB20">
        <v>23.349399999999999</v>
      </c>
      <c r="HC20">
        <v>1</v>
      </c>
      <c r="HD20">
        <v>0.14233999999999999</v>
      </c>
      <c r="HE20">
        <v>1.38209</v>
      </c>
      <c r="HF20">
        <v>20.1935</v>
      </c>
      <c r="HG20">
        <v>5.2211800000000004</v>
      </c>
      <c r="HH20">
        <v>11.974</v>
      </c>
      <c r="HI20">
        <v>4.9534500000000001</v>
      </c>
      <c r="HJ20">
        <v>3.2850999999999999</v>
      </c>
      <c r="HK20">
        <v>9999</v>
      </c>
      <c r="HL20">
        <v>9999</v>
      </c>
      <c r="HM20">
        <v>999.9</v>
      </c>
      <c r="HN20">
        <v>9999</v>
      </c>
      <c r="HO20">
        <v>1.8595900000000001</v>
      </c>
      <c r="HP20">
        <v>1.8602799999999999</v>
      </c>
      <c r="HQ20">
        <v>1.8557699999999999</v>
      </c>
      <c r="HR20">
        <v>1.8585199999999999</v>
      </c>
      <c r="HS20">
        <v>1.8626400000000001</v>
      </c>
      <c r="HT20">
        <v>1.85822</v>
      </c>
      <c r="HU20">
        <v>1.8550199999999999</v>
      </c>
      <c r="HV20">
        <v>1.8626</v>
      </c>
      <c r="HW20">
        <v>5</v>
      </c>
      <c r="HX20">
        <v>0</v>
      </c>
      <c r="HY20">
        <v>0</v>
      </c>
      <c r="HZ20">
        <v>0</v>
      </c>
      <c r="IA20" t="s">
        <v>421</v>
      </c>
      <c r="IB20" t="s">
        <v>422</v>
      </c>
      <c r="IC20" t="s">
        <v>423</v>
      </c>
      <c r="ID20" t="s">
        <v>423</v>
      </c>
      <c r="IE20" t="s">
        <v>423</v>
      </c>
      <c r="IF20" t="s">
        <v>423</v>
      </c>
      <c r="IG20">
        <v>0</v>
      </c>
      <c r="IH20">
        <v>100</v>
      </c>
      <c r="II20">
        <v>100</v>
      </c>
      <c r="IJ20">
        <v>2.25</v>
      </c>
      <c r="IK20">
        <v>2.8E-3</v>
      </c>
      <c r="IL20">
        <v>2.2502000000000599</v>
      </c>
      <c r="IM20">
        <v>0</v>
      </c>
      <c r="IN20">
        <v>0</v>
      </c>
      <c r="IO20">
        <v>0</v>
      </c>
      <c r="IP20">
        <v>2.7500000000024701E-3</v>
      </c>
      <c r="IQ20">
        <v>0</v>
      </c>
      <c r="IR20">
        <v>0</v>
      </c>
      <c r="IS20">
        <v>0</v>
      </c>
      <c r="IT20">
        <v>-1</v>
      </c>
      <c r="IU20">
        <v>-1</v>
      </c>
      <c r="IV20">
        <v>-1</v>
      </c>
      <c r="IW20">
        <v>-1</v>
      </c>
      <c r="IX20">
        <v>1.5</v>
      </c>
      <c r="IY20">
        <v>1.4</v>
      </c>
      <c r="IZ20">
        <v>1.0620099999999999</v>
      </c>
      <c r="JA20">
        <v>2.7038600000000002</v>
      </c>
      <c r="JB20">
        <v>1.69678</v>
      </c>
      <c r="JC20">
        <v>2.36084</v>
      </c>
      <c r="JD20">
        <v>1.4978</v>
      </c>
      <c r="JE20">
        <v>2.36572</v>
      </c>
      <c r="JF20">
        <v>32.266599999999997</v>
      </c>
      <c r="JG20">
        <v>15.068899999999999</v>
      </c>
      <c r="JH20">
        <v>18</v>
      </c>
      <c r="JI20">
        <v>376.32</v>
      </c>
      <c r="JJ20">
        <v>532.74800000000005</v>
      </c>
      <c r="JK20">
        <v>21.369199999999999</v>
      </c>
      <c r="JL20">
        <v>28.786300000000001</v>
      </c>
      <c r="JM20">
        <v>30.000499999999999</v>
      </c>
      <c r="JN20">
        <v>28.793299999999999</v>
      </c>
      <c r="JO20">
        <v>28.787700000000001</v>
      </c>
      <c r="JP20">
        <v>21.266200000000001</v>
      </c>
      <c r="JQ20">
        <v>19.938600000000001</v>
      </c>
      <c r="JR20">
        <v>50</v>
      </c>
      <c r="JS20">
        <v>21.2898</v>
      </c>
      <c r="JT20">
        <v>419.30599999999998</v>
      </c>
      <c r="JU20">
        <v>18.693000000000001</v>
      </c>
      <c r="JV20">
        <v>102.465</v>
      </c>
      <c r="JW20">
        <v>101.03100000000001</v>
      </c>
    </row>
    <row r="21" spans="1:283" x14ac:dyDescent="0.25">
      <c r="A21">
        <v>5</v>
      </c>
      <c r="B21">
        <v>1742525201</v>
      </c>
      <c r="C21">
        <v>594</v>
      </c>
      <c r="D21" t="s">
        <v>436</v>
      </c>
      <c r="E21" t="s">
        <v>437</v>
      </c>
      <c r="F21">
        <v>2</v>
      </c>
      <c r="H21">
        <v>1742525193</v>
      </c>
      <c r="I21">
        <f t="shared" si="0"/>
        <v>1.5458384812406258E-3</v>
      </c>
      <c r="J21">
        <f t="shared" si="1"/>
        <v>1.5458384812406258</v>
      </c>
      <c r="K21">
        <f t="shared" si="2"/>
        <v>20.221288444484873</v>
      </c>
      <c r="L21">
        <f t="shared" si="3"/>
        <v>410.05433333333298</v>
      </c>
      <c r="M21">
        <f t="shared" si="4"/>
        <v>120.38449121817955</v>
      </c>
      <c r="N21">
        <f t="shared" si="5"/>
        <v>11.572304053302098</v>
      </c>
      <c r="O21">
        <f t="shared" si="6"/>
        <v>39.417647370434899</v>
      </c>
      <c r="P21">
        <f t="shared" si="7"/>
        <v>0.11604111224307756</v>
      </c>
      <c r="Q21">
        <f t="shared" si="8"/>
        <v>3.0146036683877435</v>
      </c>
      <c r="R21">
        <f t="shared" si="9"/>
        <v>0.11361553142209817</v>
      </c>
      <c r="S21">
        <f t="shared" si="10"/>
        <v>7.1223413066767022E-2</v>
      </c>
      <c r="T21">
        <f t="shared" si="11"/>
        <v>161.90102257278966</v>
      </c>
      <c r="U21">
        <f t="shared" si="12"/>
        <v>25.518782119704255</v>
      </c>
      <c r="V21">
        <f t="shared" si="13"/>
        <v>25.01268</v>
      </c>
      <c r="W21">
        <f t="shared" si="14"/>
        <v>3.1820821252120322</v>
      </c>
      <c r="X21">
        <f t="shared" si="15"/>
        <v>60.103692483098349</v>
      </c>
      <c r="Y21">
        <f t="shared" si="16"/>
        <v>1.9088116451698927</v>
      </c>
      <c r="Z21">
        <f t="shared" si="17"/>
        <v>3.1758641878893981</v>
      </c>
      <c r="AA21">
        <f t="shared" si="18"/>
        <v>1.2732704800421395</v>
      </c>
      <c r="AB21">
        <f t="shared" si="19"/>
        <v>-68.171477022711599</v>
      </c>
      <c r="AC21">
        <f t="shared" si="20"/>
        <v>-5.3318481541786982</v>
      </c>
      <c r="AD21">
        <f t="shared" si="21"/>
        <v>-0.37410306972254409</v>
      </c>
      <c r="AE21">
        <f t="shared" si="22"/>
        <v>88.02359432617682</v>
      </c>
      <c r="AF21">
        <v>0</v>
      </c>
      <c r="AG21">
        <v>0</v>
      </c>
      <c r="AH21">
        <f t="shared" si="23"/>
        <v>1</v>
      </c>
      <c r="AI21">
        <f t="shared" si="24"/>
        <v>0</v>
      </c>
      <c r="AJ21">
        <f t="shared" si="25"/>
        <v>51066.801951981302</v>
      </c>
      <c r="AK21" t="s">
        <v>415</v>
      </c>
      <c r="AL21">
        <v>10173.1</v>
      </c>
      <c r="AM21">
        <v>172.44800000000001</v>
      </c>
      <c r="AN21">
        <v>740.47517406175598</v>
      </c>
      <c r="AO21">
        <f t="shared" si="26"/>
        <v>0.76711170604942147</v>
      </c>
      <c r="AP21">
        <v>-1.7981232714261199</v>
      </c>
      <c r="AQ21" t="s">
        <v>438</v>
      </c>
      <c r="AR21">
        <v>10175.9</v>
      </c>
      <c r="AS21">
        <v>243.65468000000001</v>
      </c>
      <c r="AT21">
        <v>503.22532106791903</v>
      </c>
      <c r="AU21">
        <f t="shared" si="27"/>
        <v>0.51581395092971771</v>
      </c>
      <c r="AV21">
        <v>0.5</v>
      </c>
      <c r="AW21">
        <f t="shared" si="28"/>
        <v>841.17795184082343</v>
      </c>
      <c r="AX21">
        <f t="shared" si="29"/>
        <v>20.221288444484873</v>
      </c>
      <c r="AY21">
        <f t="shared" si="30"/>
        <v>216.94566138699147</v>
      </c>
      <c r="AZ21">
        <f t="shared" si="31"/>
        <v>2.6176876923276443E-2</v>
      </c>
      <c r="BA21">
        <f t="shared" si="32"/>
        <v>0.47145849594841027</v>
      </c>
      <c r="BB21">
        <f t="shared" si="33"/>
        <v>155.3869531038512</v>
      </c>
      <c r="BC21" t="s">
        <v>417</v>
      </c>
      <c r="BD21">
        <v>0</v>
      </c>
      <c r="BE21">
        <f t="shared" si="34"/>
        <v>155.3869531038512</v>
      </c>
      <c r="BF21">
        <f t="shared" si="35"/>
        <v>0.69121793638265872</v>
      </c>
      <c r="BG21">
        <f t="shared" si="36"/>
        <v>0.74623924493209737</v>
      </c>
      <c r="BH21">
        <f t="shared" si="37"/>
        <v>0.40549415369431324</v>
      </c>
      <c r="BI21">
        <f t="shared" si="38"/>
        <v>0.78472925601396049</v>
      </c>
      <c r="BJ21">
        <f t="shared" si="39"/>
        <v>0.41767342096919313</v>
      </c>
      <c r="BK21">
        <f t="shared" si="40"/>
        <v>0.47590238183201378</v>
      </c>
      <c r="BL21">
        <f t="shared" si="41"/>
        <v>0.52409761816798617</v>
      </c>
      <c r="BM21">
        <v>1690</v>
      </c>
      <c r="BN21">
        <v>290</v>
      </c>
      <c r="BO21">
        <v>429.43</v>
      </c>
      <c r="BP21">
        <v>125</v>
      </c>
      <c r="BQ21">
        <v>10175.9</v>
      </c>
      <c r="BR21">
        <v>423.63</v>
      </c>
      <c r="BS21">
        <v>5.8</v>
      </c>
      <c r="BT21">
        <v>300</v>
      </c>
      <c r="BU21">
        <v>24.1</v>
      </c>
      <c r="BV21">
        <v>503.22532106791903</v>
      </c>
      <c r="BW21">
        <v>1.5413488884303701</v>
      </c>
      <c r="BX21">
        <v>-80.993275655746601</v>
      </c>
      <c r="BY21">
        <v>1.37690882944226</v>
      </c>
      <c r="BZ21">
        <v>0.99197268716909004</v>
      </c>
      <c r="CA21">
        <v>-7.5699010011123502E-3</v>
      </c>
      <c r="CB21">
        <v>290</v>
      </c>
      <c r="CC21">
        <v>413.46</v>
      </c>
      <c r="CD21">
        <v>655</v>
      </c>
      <c r="CE21">
        <v>10136</v>
      </c>
      <c r="CF21">
        <v>423.32</v>
      </c>
      <c r="CG21">
        <v>-9.86</v>
      </c>
      <c r="CU21">
        <f t="shared" si="42"/>
        <v>999.98113333333299</v>
      </c>
      <c r="CV21">
        <f t="shared" si="43"/>
        <v>841.17795184082343</v>
      </c>
      <c r="CW21">
        <f t="shared" si="44"/>
        <v>0.84119382236427231</v>
      </c>
      <c r="CX21">
        <f t="shared" si="45"/>
        <v>0.16190407716304553</v>
      </c>
      <c r="CY21">
        <v>1.9</v>
      </c>
      <c r="CZ21">
        <v>0.5</v>
      </c>
      <c r="DA21" t="s">
        <v>418</v>
      </c>
      <c r="DB21">
        <v>2</v>
      </c>
      <c r="DC21">
        <v>1742525193</v>
      </c>
      <c r="DD21">
        <v>410.05433333333298</v>
      </c>
      <c r="DE21">
        <v>417.97873333333303</v>
      </c>
      <c r="DF21">
        <v>19.857006666666699</v>
      </c>
      <c r="DG21">
        <v>19.281293333333299</v>
      </c>
      <c r="DH21">
        <v>407.81593333333302</v>
      </c>
      <c r="DI21">
        <v>19.844806666666699</v>
      </c>
      <c r="DJ21">
        <v>500.03553333333298</v>
      </c>
      <c r="DK21">
        <v>96.027699999999996</v>
      </c>
      <c r="DL21">
        <v>0.100164446666667</v>
      </c>
      <c r="DM21">
        <v>24.979873333333298</v>
      </c>
      <c r="DN21">
        <v>25.01268</v>
      </c>
      <c r="DO21">
        <v>999.9</v>
      </c>
      <c r="DP21">
        <v>0</v>
      </c>
      <c r="DQ21">
        <v>0</v>
      </c>
      <c r="DR21">
        <v>9988.9546666666593</v>
      </c>
      <c r="DS21">
        <v>0</v>
      </c>
      <c r="DT21">
        <v>889.80560000000003</v>
      </c>
      <c r="DU21">
        <v>-7.92440266666667</v>
      </c>
      <c r="DV21">
        <v>418.36160000000001</v>
      </c>
      <c r="DW21">
        <v>426.19619999999998</v>
      </c>
      <c r="DX21">
        <v>0.57571813333333299</v>
      </c>
      <c r="DY21">
        <v>417.97873333333303</v>
      </c>
      <c r="DZ21">
        <v>19.281293333333299</v>
      </c>
      <c r="EA21">
        <v>1.9068240000000001</v>
      </c>
      <c r="EB21">
        <v>1.85153733333333</v>
      </c>
      <c r="EC21">
        <v>16.691133333333301</v>
      </c>
      <c r="ED21">
        <v>16.228813333333299</v>
      </c>
      <c r="EE21">
        <v>999.98113333333299</v>
      </c>
      <c r="EF21">
        <v>0.96000540000000001</v>
      </c>
      <c r="EG21">
        <v>3.99947133333333E-2</v>
      </c>
      <c r="EH21">
        <v>0</v>
      </c>
      <c r="EI21">
        <v>243.660866666667</v>
      </c>
      <c r="EJ21">
        <v>5.0006000000000004</v>
      </c>
      <c r="EK21">
        <v>2546.38666666667</v>
      </c>
      <c r="EL21">
        <v>10026.9</v>
      </c>
      <c r="EM21">
        <v>43.420466666666698</v>
      </c>
      <c r="EN21">
        <v>44.686999999999998</v>
      </c>
      <c r="EO21">
        <v>44.686999999999998</v>
      </c>
      <c r="EP21">
        <v>44.037199999999999</v>
      </c>
      <c r="EQ21">
        <v>45.561999999999998</v>
      </c>
      <c r="ER21">
        <v>955.18733333333296</v>
      </c>
      <c r="ES21">
        <v>39.793333333333301</v>
      </c>
      <c r="ET21">
        <v>0</v>
      </c>
      <c r="EU21">
        <v>151.5</v>
      </c>
      <c r="EV21">
        <v>0</v>
      </c>
      <c r="EW21">
        <v>243.65468000000001</v>
      </c>
      <c r="EX21">
        <v>-2.8504615354654201</v>
      </c>
      <c r="EY21">
        <v>-27.611538450393699</v>
      </c>
      <c r="EZ21">
        <v>2546.2031999999999</v>
      </c>
      <c r="FA21">
        <v>15</v>
      </c>
      <c r="FB21">
        <v>1742525146</v>
      </c>
      <c r="FC21" t="s">
        <v>439</v>
      </c>
      <c r="FD21">
        <v>1742525141</v>
      </c>
      <c r="FE21">
        <v>1742525146</v>
      </c>
      <c r="FF21">
        <v>3</v>
      </c>
      <c r="FG21">
        <v>-1.2E-2</v>
      </c>
      <c r="FH21">
        <v>8.9999999999999993E-3</v>
      </c>
      <c r="FI21">
        <v>2.238</v>
      </c>
      <c r="FJ21">
        <v>1.2E-2</v>
      </c>
      <c r="FK21">
        <v>418</v>
      </c>
      <c r="FL21">
        <v>19</v>
      </c>
      <c r="FM21">
        <v>0.17</v>
      </c>
      <c r="FN21">
        <v>0.13</v>
      </c>
      <c r="FO21">
        <v>-7.9271244999999997</v>
      </c>
      <c r="FP21">
        <v>0.21243563909774299</v>
      </c>
      <c r="FQ21">
        <v>3.5654740003960197E-2</v>
      </c>
      <c r="FR21">
        <v>1</v>
      </c>
      <c r="FS21">
        <v>243.81394117647099</v>
      </c>
      <c r="FT21">
        <v>-2.7787318511869401</v>
      </c>
      <c r="FU21">
        <v>0.31660421954533702</v>
      </c>
      <c r="FV21">
        <v>0</v>
      </c>
      <c r="FW21">
        <v>0.58428599999999997</v>
      </c>
      <c r="FX21">
        <v>-0.16136039097744301</v>
      </c>
      <c r="FY21">
        <v>1.67583587949417E-2</v>
      </c>
      <c r="FZ21">
        <v>0</v>
      </c>
      <c r="GA21">
        <v>1</v>
      </c>
      <c r="GB21">
        <v>3</v>
      </c>
      <c r="GC21" t="s">
        <v>430</v>
      </c>
      <c r="GD21">
        <v>3.1418900000000001</v>
      </c>
      <c r="GE21">
        <v>2.7467700000000002</v>
      </c>
      <c r="GF21">
        <v>8.7274500000000005E-2</v>
      </c>
      <c r="GG21">
        <v>9.1207200000000002E-2</v>
      </c>
      <c r="GH21">
        <v>9.7069100000000005E-2</v>
      </c>
      <c r="GI21">
        <v>9.7669900000000004E-2</v>
      </c>
      <c r="GJ21">
        <v>24093</v>
      </c>
      <c r="GK21">
        <v>30227.200000000001</v>
      </c>
      <c r="GL21">
        <v>26893.3</v>
      </c>
      <c r="GM21">
        <v>31374.2</v>
      </c>
      <c r="GN21">
        <v>34230.9</v>
      </c>
      <c r="GO21">
        <v>37725.199999999997</v>
      </c>
      <c r="GP21">
        <v>41477.199999999997</v>
      </c>
      <c r="GQ21">
        <v>45489.3</v>
      </c>
      <c r="GR21">
        <v>1.7458</v>
      </c>
      <c r="GS21">
        <v>1.99048</v>
      </c>
      <c r="GT21">
        <v>8.63709E-2</v>
      </c>
      <c r="GU21">
        <v>0</v>
      </c>
      <c r="GV21">
        <v>23.569199999999999</v>
      </c>
      <c r="GW21">
        <v>999.9</v>
      </c>
      <c r="GX21">
        <v>51.764000000000003</v>
      </c>
      <c r="GY21">
        <v>28.257999999999999</v>
      </c>
      <c r="GZ21">
        <v>20.766400000000001</v>
      </c>
      <c r="HA21">
        <v>60.267600000000002</v>
      </c>
      <c r="HB21">
        <v>23.381399999999999</v>
      </c>
      <c r="HC21">
        <v>1</v>
      </c>
      <c r="HD21">
        <v>0.162134</v>
      </c>
      <c r="HE21">
        <v>1.6238900000000001</v>
      </c>
      <c r="HF21">
        <v>20.185199999999998</v>
      </c>
      <c r="HG21">
        <v>5.2226800000000004</v>
      </c>
      <c r="HH21">
        <v>11.974600000000001</v>
      </c>
      <c r="HI21">
        <v>4.9531499999999999</v>
      </c>
      <c r="HJ21">
        <v>3.2852800000000002</v>
      </c>
      <c r="HK21">
        <v>9999</v>
      </c>
      <c r="HL21">
        <v>9999</v>
      </c>
      <c r="HM21">
        <v>999.9</v>
      </c>
      <c r="HN21">
        <v>9999</v>
      </c>
      <c r="HO21">
        <v>1.8595900000000001</v>
      </c>
      <c r="HP21">
        <v>1.8602300000000001</v>
      </c>
      <c r="HQ21">
        <v>1.8557699999999999</v>
      </c>
      <c r="HR21">
        <v>1.8585199999999999</v>
      </c>
      <c r="HS21">
        <v>1.8626400000000001</v>
      </c>
      <c r="HT21">
        <v>1.85822</v>
      </c>
      <c r="HU21">
        <v>1.85501</v>
      </c>
      <c r="HV21">
        <v>1.86256</v>
      </c>
      <c r="HW21">
        <v>5</v>
      </c>
      <c r="HX21">
        <v>0</v>
      </c>
      <c r="HY21">
        <v>0</v>
      </c>
      <c r="HZ21">
        <v>0</v>
      </c>
      <c r="IA21" t="s">
        <v>421</v>
      </c>
      <c r="IB21" t="s">
        <v>422</v>
      </c>
      <c r="IC21" t="s">
        <v>423</v>
      </c>
      <c r="ID21" t="s">
        <v>423</v>
      </c>
      <c r="IE21" t="s">
        <v>423</v>
      </c>
      <c r="IF21" t="s">
        <v>423</v>
      </c>
      <c r="IG21">
        <v>0</v>
      </c>
      <c r="IH21">
        <v>100</v>
      </c>
      <c r="II21">
        <v>100</v>
      </c>
      <c r="IJ21">
        <v>2.238</v>
      </c>
      <c r="IK21">
        <v>1.2200000000000001E-2</v>
      </c>
      <c r="IL21">
        <v>2.2381999999999498</v>
      </c>
      <c r="IM21">
        <v>0</v>
      </c>
      <c r="IN21">
        <v>0</v>
      </c>
      <c r="IO21">
        <v>0</v>
      </c>
      <c r="IP21">
        <v>1.2190909090904299E-2</v>
      </c>
      <c r="IQ21">
        <v>0</v>
      </c>
      <c r="IR21">
        <v>0</v>
      </c>
      <c r="IS21">
        <v>0</v>
      </c>
      <c r="IT21">
        <v>-1</v>
      </c>
      <c r="IU21">
        <v>-1</v>
      </c>
      <c r="IV21">
        <v>-1</v>
      </c>
      <c r="IW21">
        <v>-1</v>
      </c>
      <c r="IX21">
        <v>1</v>
      </c>
      <c r="IY21">
        <v>0.9</v>
      </c>
      <c r="IZ21">
        <v>1.0583499999999999</v>
      </c>
      <c r="JA21">
        <v>2.7026400000000002</v>
      </c>
      <c r="JB21">
        <v>1.69678</v>
      </c>
      <c r="JC21">
        <v>2.3596200000000001</v>
      </c>
      <c r="JD21">
        <v>1.4978</v>
      </c>
      <c r="JE21">
        <v>2.3706100000000001</v>
      </c>
      <c r="JF21">
        <v>32.642600000000002</v>
      </c>
      <c r="JG21">
        <v>15.051399999999999</v>
      </c>
      <c r="JH21">
        <v>18</v>
      </c>
      <c r="JI21">
        <v>376.14699999999999</v>
      </c>
      <c r="JJ21">
        <v>531.00900000000001</v>
      </c>
      <c r="JK21">
        <v>20.0199</v>
      </c>
      <c r="JL21">
        <v>29.002300000000002</v>
      </c>
      <c r="JM21">
        <v>30.000299999999999</v>
      </c>
      <c r="JN21">
        <v>28.9787</v>
      </c>
      <c r="JO21">
        <v>28.971499999999999</v>
      </c>
      <c r="JP21">
        <v>21.210599999999999</v>
      </c>
      <c r="JQ21">
        <v>19.884799999999998</v>
      </c>
      <c r="JR21">
        <v>50</v>
      </c>
      <c r="JS21">
        <v>20.691400000000002</v>
      </c>
      <c r="JT21">
        <v>417.89400000000001</v>
      </c>
      <c r="JU21">
        <v>19.187100000000001</v>
      </c>
      <c r="JV21">
        <v>102.44</v>
      </c>
      <c r="JW21">
        <v>100.988</v>
      </c>
    </row>
    <row r="22" spans="1:283" x14ac:dyDescent="0.25">
      <c r="A22">
        <v>6</v>
      </c>
      <c r="B22">
        <v>1742525354.0999999</v>
      </c>
      <c r="C22">
        <v>747.09999990463302</v>
      </c>
      <c r="D22" t="s">
        <v>440</v>
      </c>
      <c r="E22" t="s">
        <v>441</v>
      </c>
      <c r="F22">
        <v>2</v>
      </c>
      <c r="H22">
        <v>1742525345.5999999</v>
      </c>
      <c r="I22">
        <f t="shared" si="0"/>
        <v>2.3063415624725138E-3</v>
      </c>
      <c r="J22">
        <f t="shared" si="1"/>
        <v>2.3063415624725137</v>
      </c>
      <c r="K22">
        <f t="shared" si="2"/>
        <v>17.436152405560133</v>
      </c>
      <c r="L22">
        <f t="shared" si="3"/>
        <v>410.00518749999998</v>
      </c>
      <c r="M22">
        <f t="shared" si="4"/>
        <v>236.85099689251311</v>
      </c>
      <c r="N22">
        <f t="shared" si="5"/>
        <v>22.767579979488751</v>
      </c>
      <c r="O22">
        <f t="shared" si="6"/>
        <v>39.412229717774117</v>
      </c>
      <c r="P22">
        <f t="shared" si="7"/>
        <v>0.17257198003937774</v>
      </c>
      <c r="Q22">
        <f t="shared" si="8"/>
        <v>3.0156930472595409</v>
      </c>
      <c r="R22">
        <f t="shared" si="9"/>
        <v>0.16726748937794786</v>
      </c>
      <c r="S22">
        <f t="shared" si="10"/>
        <v>0.10500518637911263</v>
      </c>
      <c r="T22">
        <f t="shared" si="11"/>
        <v>129.98438555948937</v>
      </c>
      <c r="U22">
        <f t="shared" si="12"/>
        <v>24.977819026662193</v>
      </c>
      <c r="V22">
        <f t="shared" si="13"/>
        <v>24.989493750000001</v>
      </c>
      <c r="W22">
        <f t="shared" si="14"/>
        <v>3.1776864705517691</v>
      </c>
      <c r="X22">
        <f t="shared" si="15"/>
        <v>60.00909495526512</v>
      </c>
      <c r="Y22">
        <f t="shared" si="16"/>
        <v>1.88718388045423</v>
      </c>
      <c r="Z22">
        <f t="shared" si="17"/>
        <v>3.1448297659897486</v>
      </c>
      <c r="AA22">
        <f t="shared" si="18"/>
        <v>1.2905025900975391</v>
      </c>
      <c r="AB22">
        <f t="shared" si="19"/>
        <v>-101.70966290503786</v>
      </c>
      <c r="AC22">
        <f t="shared" si="20"/>
        <v>-28.322808126596215</v>
      </c>
      <c r="AD22">
        <f t="shared" si="21"/>
        <v>-1.984642949193985</v>
      </c>
      <c r="AE22">
        <f t="shared" si="22"/>
        <v>-2.0327284213386889</v>
      </c>
      <c r="AF22">
        <v>0</v>
      </c>
      <c r="AG22">
        <v>0</v>
      </c>
      <c r="AH22">
        <f t="shared" si="23"/>
        <v>1</v>
      </c>
      <c r="AI22">
        <f t="shared" si="24"/>
        <v>0</v>
      </c>
      <c r="AJ22">
        <f t="shared" si="25"/>
        <v>51126.038036565551</v>
      </c>
      <c r="AK22" t="s">
        <v>415</v>
      </c>
      <c r="AL22">
        <v>10173.1</v>
      </c>
      <c r="AM22">
        <v>172.44800000000001</v>
      </c>
      <c r="AN22">
        <v>740.47517406175598</v>
      </c>
      <c r="AO22">
        <f t="shared" si="26"/>
        <v>0.76711170604942147</v>
      </c>
      <c r="AP22">
        <v>-1.7981232714261199</v>
      </c>
      <c r="AQ22" t="s">
        <v>442</v>
      </c>
      <c r="AR22">
        <v>10176.200000000001</v>
      </c>
      <c r="AS22">
        <v>256.461538461538</v>
      </c>
      <c r="AT22">
        <v>582.91124470102704</v>
      </c>
      <c r="AU22">
        <f t="shared" si="27"/>
        <v>0.56003329701921234</v>
      </c>
      <c r="AV22">
        <v>0.5</v>
      </c>
      <c r="AW22">
        <f t="shared" si="28"/>
        <v>673.2075663261603</v>
      </c>
      <c r="AX22">
        <f t="shared" si="29"/>
        <v>17.436152405560133</v>
      </c>
      <c r="AY22">
        <f t="shared" si="30"/>
        <v>188.50932647395982</v>
      </c>
      <c r="AZ22">
        <f t="shared" si="31"/>
        <v>2.8571092541267575E-2</v>
      </c>
      <c r="BA22">
        <f t="shared" si="32"/>
        <v>0.27030518075104704</v>
      </c>
      <c r="BB22">
        <f t="shared" si="33"/>
        <v>162.23514932790007</v>
      </c>
      <c r="BC22" t="s">
        <v>417</v>
      </c>
      <c r="BD22">
        <v>0</v>
      </c>
      <c r="BE22">
        <f t="shared" si="34"/>
        <v>162.23514932790007</v>
      </c>
      <c r="BF22">
        <f t="shared" si="35"/>
        <v>0.72168121510315031</v>
      </c>
      <c r="BG22">
        <f t="shared" si="36"/>
        <v>0.77601201929465013</v>
      </c>
      <c r="BH22">
        <f t="shared" si="37"/>
        <v>0.27248879811329252</v>
      </c>
      <c r="BI22">
        <f t="shared" si="38"/>
        <v>0.79532019115930408</v>
      </c>
      <c r="BJ22">
        <f t="shared" si="39"/>
        <v>0.27738801338331492</v>
      </c>
      <c r="BK22">
        <f t="shared" si="40"/>
        <v>0.49089788116276839</v>
      </c>
      <c r="BL22">
        <f t="shared" si="41"/>
        <v>0.50910211883723155</v>
      </c>
      <c r="BM22">
        <v>1691</v>
      </c>
      <c r="BN22">
        <v>290</v>
      </c>
      <c r="BO22">
        <v>496.85</v>
      </c>
      <c r="BP22">
        <v>155</v>
      </c>
      <c r="BQ22">
        <v>10176.200000000001</v>
      </c>
      <c r="BR22">
        <v>490.03</v>
      </c>
      <c r="BS22">
        <v>6.82</v>
      </c>
      <c r="BT22">
        <v>300</v>
      </c>
      <c r="BU22">
        <v>24.1</v>
      </c>
      <c r="BV22">
        <v>582.91124470102704</v>
      </c>
      <c r="BW22">
        <v>1.93974683225836</v>
      </c>
      <c r="BX22">
        <v>-94.517354684188405</v>
      </c>
      <c r="BY22">
        <v>1.7283402945614601</v>
      </c>
      <c r="BZ22">
        <v>0.99072430959515501</v>
      </c>
      <c r="CA22">
        <v>-7.7419374860956697E-3</v>
      </c>
      <c r="CB22">
        <v>290</v>
      </c>
      <c r="CC22">
        <v>477.18</v>
      </c>
      <c r="CD22">
        <v>635</v>
      </c>
      <c r="CE22">
        <v>10144.200000000001</v>
      </c>
      <c r="CF22">
        <v>489.74</v>
      </c>
      <c r="CG22">
        <v>-12.56</v>
      </c>
      <c r="CU22">
        <f t="shared" si="42"/>
        <v>800.01793750000002</v>
      </c>
      <c r="CV22">
        <f t="shared" si="43"/>
        <v>673.2075663261603</v>
      </c>
      <c r="CW22">
        <f t="shared" si="44"/>
        <v>0.84149059011087524</v>
      </c>
      <c r="CX22">
        <f t="shared" si="45"/>
        <v>0.16247683891398917</v>
      </c>
      <c r="CY22">
        <v>1.9</v>
      </c>
      <c r="CZ22">
        <v>0.5</v>
      </c>
      <c r="DA22" t="s">
        <v>418</v>
      </c>
      <c r="DB22">
        <v>2</v>
      </c>
      <c r="DC22">
        <v>1742525345.5999999</v>
      </c>
      <c r="DD22">
        <v>410.00518749999998</v>
      </c>
      <c r="DE22">
        <v>416.98931249999998</v>
      </c>
      <c r="DF22">
        <v>19.632362499999999</v>
      </c>
      <c r="DG22">
        <v>18.773275000000002</v>
      </c>
      <c r="DH22">
        <v>407.73225000000002</v>
      </c>
      <c r="DI22">
        <v>19.637206249999998</v>
      </c>
      <c r="DJ22">
        <v>500.06768749999998</v>
      </c>
      <c r="DK22">
        <v>96.025949999999995</v>
      </c>
      <c r="DL22">
        <v>0.100223325</v>
      </c>
      <c r="DM22">
        <v>24.8152875</v>
      </c>
      <c r="DN22">
        <v>24.989493750000001</v>
      </c>
      <c r="DO22">
        <v>999.9</v>
      </c>
      <c r="DP22">
        <v>0</v>
      </c>
      <c r="DQ22">
        <v>0</v>
      </c>
      <c r="DR22">
        <v>9995.4650000000001</v>
      </c>
      <c r="DS22">
        <v>0</v>
      </c>
      <c r="DT22">
        <v>901.654</v>
      </c>
      <c r="DU22">
        <v>-6.9841337499999998</v>
      </c>
      <c r="DV22">
        <v>418.21581250000003</v>
      </c>
      <c r="DW22">
        <v>424.96743750000002</v>
      </c>
      <c r="DX22">
        <v>0.85908275000000001</v>
      </c>
      <c r="DY22">
        <v>416.98931249999998</v>
      </c>
      <c r="DZ22">
        <v>18.773275000000002</v>
      </c>
      <c r="EA22">
        <v>1.8852175</v>
      </c>
      <c r="EB22">
        <v>1.802721875</v>
      </c>
      <c r="EC22">
        <v>16.511868750000001</v>
      </c>
      <c r="ED22">
        <v>15.81041875</v>
      </c>
      <c r="EE22">
        <v>800.01793750000002</v>
      </c>
      <c r="EF22">
        <v>0.95000268750000005</v>
      </c>
      <c r="EG22">
        <v>4.9997168750000001E-2</v>
      </c>
      <c r="EH22">
        <v>0</v>
      </c>
      <c r="EI22">
        <v>256.50625000000002</v>
      </c>
      <c r="EJ22">
        <v>5.0006000000000004</v>
      </c>
      <c r="EK22">
        <v>2135.4412499999999</v>
      </c>
      <c r="EL22">
        <v>7985.9556249999996</v>
      </c>
      <c r="EM22">
        <v>42.742125000000001</v>
      </c>
      <c r="EN22">
        <v>44.417625000000001</v>
      </c>
      <c r="EO22">
        <v>44.234250000000003</v>
      </c>
      <c r="EP22">
        <v>43.815937499999997</v>
      </c>
      <c r="EQ22">
        <v>45.003875000000001</v>
      </c>
      <c r="ER22">
        <v>755.26812500000005</v>
      </c>
      <c r="ES22">
        <v>39.75</v>
      </c>
      <c r="ET22">
        <v>0</v>
      </c>
      <c r="EU22">
        <v>151.90000009536701</v>
      </c>
      <c r="EV22">
        <v>0</v>
      </c>
      <c r="EW22">
        <v>256.461538461538</v>
      </c>
      <c r="EX22">
        <v>-1.3589059864108699</v>
      </c>
      <c r="EY22">
        <v>-14.503247852668901</v>
      </c>
      <c r="EZ22">
        <v>2135.2015384615402</v>
      </c>
      <c r="FA22">
        <v>15</v>
      </c>
      <c r="FB22">
        <v>1742525308.0999999</v>
      </c>
      <c r="FC22" t="s">
        <v>443</v>
      </c>
      <c r="FD22">
        <v>1742525302.0999999</v>
      </c>
      <c r="FE22">
        <v>1742525308.0999999</v>
      </c>
      <c r="FF22">
        <v>4</v>
      </c>
      <c r="FG22">
        <v>3.5000000000000003E-2</v>
      </c>
      <c r="FH22">
        <v>-1.7000000000000001E-2</v>
      </c>
      <c r="FI22">
        <v>2.2730000000000001</v>
      </c>
      <c r="FJ22">
        <v>-5.0000000000000001E-3</v>
      </c>
      <c r="FK22">
        <v>417</v>
      </c>
      <c r="FL22">
        <v>19</v>
      </c>
      <c r="FM22">
        <v>0.26</v>
      </c>
      <c r="FN22">
        <v>0.12</v>
      </c>
      <c r="FO22">
        <v>-6.9882180952380901</v>
      </c>
      <c r="FP22">
        <v>-2.61498701298657E-2</v>
      </c>
      <c r="FQ22">
        <v>6.5817088794053097E-2</v>
      </c>
      <c r="FR22">
        <v>1</v>
      </c>
      <c r="FS22">
        <v>256.55894117647102</v>
      </c>
      <c r="FT22">
        <v>-1.25585943290014</v>
      </c>
      <c r="FU22">
        <v>0.18704827014255199</v>
      </c>
      <c r="FV22">
        <v>0</v>
      </c>
      <c r="FW22">
        <v>0.85263642857142896</v>
      </c>
      <c r="FX22">
        <v>7.2964363636364105E-2</v>
      </c>
      <c r="FY22">
        <v>1.4473010703247901E-2</v>
      </c>
      <c r="FZ22">
        <v>1</v>
      </c>
      <c r="GA22">
        <v>2</v>
      </c>
      <c r="GB22">
        <v>3</v>
      </c>
      <c r="GC22" t="s">
        <v>444</v>
      </c>
      <c r="GD22">
        <v>3.1416499999999998</v>
      </c>
      <c r="GE22">
        <v>2.74668</v>
      </c>
      <c r="GF22">
        <v>8.7205099999999994E-2</v>
      </c>
      <c r="GG22">
        <v>9.0995400000000004E-2</v>
      </c>
      <c r="GH22">
        <v>9.6265500000000004E-2</v>
      </c>
      <c r="GI22">
        <v>9.5803700000000006E-2</v>
      </c>
      <c r="GJ22">
        <v>24088.9</v>
      </c>
      <c r="GK22">
        <v>30220.1</v>
      </c>
      <c r="GL22">
        <v>26887.7</v>
      </c>
      <c r="GM22">
        <v>31360.3</v>
      </c>
      <c r="GN22">
        <v>34255.4</v>
      </c>
      <c r="GO22">
        <v>37787.4</v>
      </c>
      <c r="GP22">
        <v>41468.699999999997</v>
      </c>
      <c r="GQ22">
        <v>45469.5</v>
      </c>
      <c r="GR22">
        <v>1.7434000000000001</v>
      </c>
      <c r="GS22">
        <v>1.98333</v>
      </c>
      <c r="GT22">
        <v>9.0032799999999996E-2</v>
      </c>
      <c r="GU22">
        <v>0</v>
      </c>
      <c r="GV22">
        <v>23.515699999999999</v>
      </c>
      <c r="GW22">
        <v>999.9</v>
      </c>
      <c r="GX22">
        <v>51.959000000000003</v>
      </c>
      <c r="GY22">
        <v>28.640999999999998</v>
      </c>
      <c r="GZ22">
        <v>21.311900000000001</v>
      </c>
      <c r="HA22">
        <v>60.218499999999999</v>
      </c>
      <c r="HB22">
        <v>23.473600000000001</v>
      </c>
      <c r="HC22">
        <v>1</v>
      </c>
      <c r="HD22">
        <v>0.17941299999999999</v>
      </c>
      <c r="HE22">
        <v>1.7568299999999999</v>
      </c>
      <c r="HF22">
        <v>20.193100000000001</v>
      </c>
      <c r="HG22">
        <v>5.2222299999999997</v>
      </c>
      <c r="HH22">
        <v>11.9755</v>
      </c>
      <c r="HI22">
        <v>4.9524999999999997</v>
      </c>
      <c r="HJ22">
        <v>3.28505</v>
      </c>
      <c r="HK22">
        <v>9999</v>
      </c>
      <c r="HL22">
        <v>9999</v>
      </c>
      <c r="HM22">
        <v>999.9</v>
      </c>
      <c r="HN22">
        <v>9999</v>
      </c>
      <c r="HO22">
        <v>1.8595900000000001</v>
      </c>
      <c r="HP22">
        <v>1.8603099999999999</v>
      </c>
      <c r="HQ22">
        <v>1.8557699999999999</v>
      </c>
      <c r="HR22">
        <v>1.8585199999999999</v>
      </c>
      <c r="HS22">
        <v>1.8626400000000001</v>
      </c>
      <c r="HT22">
        <v>1.8582099999999999</v>
      </c>
      <c r="HU22">
        <v>1.85501</v>
      </c>
      <c r="HV22">
        <v>1.8626199999999999</v>
      </c>
      <c r="HW22">
        <v>5</v>
      </c>
      <c r="HX22">
        <v>0</v>
      </c>
      <c r="HY22">
        <v>0</v>
      </c>
      <c r="HZ22">
        <v>0</v>
      </c>
      <c r="IA22" t="s">
        <v>421</v>
      </c>
      <c r="IB22" t="s">
        <v>422</v>
      </c>
      <c r="IC22" t="s">
        <v>423</v>
      </c>
      <c r="ID22" t="s">
        <v>423</v>
      </c>
      <c r="IE22" t="s">
        <v>423</v>
      </c>
      <c r="IF22" t="s">
        <v>423</v>
      </c>
      <c r="IG22">
        <v>0</v>
      </c>
      <c r="IH22">
        <v>100</v>
      </c>
      <c r="II22">
        <v>100</v>
      </c>
      <c r="IJ22">
        <v>2.2730000000000001</v>
      </c>
      <c r="IK22">
        <v>-4.7999999999999996E-3</v>
      </c>
      <c r="IL22">
        <v>2.2729000000000501</v>
      </c>
      <c r="IM22">
        <v>0</v>
      </c>
      <c r="IN22">
        <v>0</v>
      </c>
      <c r="IO22">
        <v>0</v>
      </c>
      <c r="IP22">
        <v>-4.8299999999947803E-3</v>
      </c>
      <c r="IQ22">
        <v>0</v>
      </c>
      <c r="IR22">
        <v>0</v>
      </c>
      <c r="IS22">
        <v>0</v>
      </c>
      <c r="IT22">
        <v>-1</v>
      </c>
      <c r="IU22">
        <v>-1</v>
      </c>
      <c r="IV22">
        <v>-1</v>
      </c>
      <c r="IW22">
        <v>-1</v>
      </c>
      <c r="IX22">
        <v>0.9</v>
      </c>
      <c r="IY22">
        <v>0.8</v>
      </c>
      <c r="IZ22">
        <v>1.0559099999999999</v>
      </c>
      <c r="JA22">
        <v>2.7002000000000002</v>
      </c>
      <c r="JB22">
        <v>1.69678</v>
      </c>
      <c r="JC22">
        <v>2.3596200000000001</v>
      </c>
      <c r="JD22">
        <v>1.4978</v>
      </c>
      <c r="JE22">
        <v>2.3730500000000001</v>
      </c>
      <c r="JF22">
        <v>33.020600000000002</v>
      </c>
      <c r="JG22">
        <v>15.0251</v>
      </c>
      <c r="JH22">
        <v>18</v>
      </c>
      <c r="JI22">
        <v>376.11399999999998</v>
      </c>
      <c r="JJ22">
        <v>527.98900000000003</v>
      </c>
      <c r="JK22">
        <v>20.903600000000001</v>
      </c>
      <c r="JL22">
        <v>29.2316</v>
      </c>
      <c r="JM22">
        <v>30.000699999999998</v>
      </c>
      <c r="JN22">
        <v>29.188600000000001</v>
      </c>
      <c r="JO22">
        <v>29.177499999999998</v>
      </c>
      <c r="JP22">
        <v>21.1631</v>
      </c>
      <c r="JQ22">
        <v>26.4</v>
      </c>
      <c r="JR22">
        <v>50</v>
      </c>
      <c r="JS22">
        <v>20.896799999999999</v>
      </c>
      <c r="JT22">
        <v>416.98399999999998</v>
      </c>
      <c r="JU22">
        <v>18.7013</v>
      </c>
      <c r="JV22">
        <v>102.419</v>
      </c>
      <c r="JW22">
        <v>100.944</v>
      </c>
    </row>
    <row r="23" spans="1:283" x14ac:dyDescent="0.25">
      <c r="A23">
        <v>7</v>
      </c>
      <c r="B23">
        <v>1742525507.0999999</v>
      </c>
      <c r="C23">
        <v>900.09999990463302</v>
      </c>
      <c r="D23" t="s">
        <v>445</v>
      </c>
      <c r="E23" t="s">
        <v>446</v>
      </c>
      <c r="F23">
        <v>2</v>
      </c>
      <c r="H23">
        <v>1742525499.0999999</v>
      </c>
      <c r="I23">
        <f t="shared" si="0"/>
        <v>1.4651912241130888E-3</v>
      </c>
      <c r="J23">
        <f t="shared" si="1"/>
        <v>1.4651912241130889</v>
      </c>
      <c r="K23">
        <f t="shared" si="2"/>
        <v>15.369259100512284</v>
      </c>
      <c r="L23">
        <f t="shared" si="3"/>
        <v>410.01026666666701</v>
      </c>
      <c r="M23">
        <f t="shared" si="4"/>
        <v>172.57859386812092</v>
      </c>
      <c r="N23">
        <f t="shared" si="5"/>
        <v>16.589577861550858</v>
      </c>
      <c r="O23">
        <f t="shared" si="6"/>
        <v>39.413330995729957</v>
      </c>
      <c r="P23">
        <f t="shared" si="7"/>
        <v>0.10826119698392327</v>
      </c>
      <c r="Q23">
        <f t="shared" si="8"/>
        <v>3.0162547026753908</v>
      </c>
      <c r="R23">
        <f t="shared" si="9"/>
        <v>0.10614789654060856</v>
      </c>
      <c r="S23">
        <f t="shared" si="10"/>
        <v>6.6528871052412605E-2</v>
      </c>
      <c r="T23">
        <f t="shared" si="11"/>
        <v>98.063286367110052</v>
      </c>
      <c r="U23">
        <f t="shared" si="12"/>
        <v>25.217311041907212</v>
      </c>
      <c r="V23">
        <f t="shared" si="13"/>
        <v>24.998086666666701</v>
      </c>
      <c r="W23">
        <f t="shared" si="14"/>
        <v>3.1793148984359614</v>
      </c>
      <c r="X23">
        <f t="shared" si="15"/>
        <v>59.26961294719316</v>
      </c>
      <c r="Y23">
        <f t="shared" si="16"/>
        <v>1.887404608438533</v>
      </c>
      <c r="Z23">
        <f t="shared" si="17"/>
        <v>3.1844388964040213</v>
      </c>
      <c r="AA23">
        <f t="shared" si="18"/>
        <v>1.2919102899974284</v>
      </c>
      <c r="AB23">
        <f t="shared" si="19"/>
        <v>-64.61493298338722</v>
      </c>
      <c r="AC23">
        <f t="shared" si="20"/>
        <v>4.3927008996350194</v>
      </c>
      <c r="AD23">
        <f t="shared" si="21"/>
        <v>0.30808766313941904</v>
      </c>
      <c r="AE23">
        <f t="shared" si="22"/>
        <v>38.149141946497267</v>
      </c>
      <c r="AF23">
        <v>0</v>
      </c>
      <c r="AG23">
        <v>0</v>
      </c>
      <c r="AH23">
        <f t="shared" si="23"/>
        <v>1</v>
      </c>
      <c r="AI23">
        <f t="shared" si="24"/>
        <v>0</v>
      </c>
      <c r="AJ23">
        <f t="shared" si="25"/>
        <v>51106.086201626589</v>
      </c>
      <c r="AK23" t="s">
        <v>415</v>
      </c>
      <c r="AL23">
        <v>10173.1</v>
      </c>
      <c r="AM23">
        <v>172.44800000000001</v>
      </c>
      <c r="AN23">
        <v>740.47517406175598</v>
      </c>
      <c r="AO23">
        <f t="shared" si="26"/>
        <v>0.76711170604942147</v>
      </c>
      <c r="AP23">
        <v>-1.7981232714261199</v>
      </c>
      <c r="AQ23" t="s">
        <v>447</v>
      </c>
      <c r="AR23">
        <v>10188.200000000001</v>
      </c>
      <c r="AS23">
        <v>271.40311538461498</v>
      </c>
      <c r="AT23">
        <v>685.81277119887898</v>
      </c>
      <c r="AU23">
        <f t="shared" si="27"/>
        <v>0.60426062799884672</v>
      </c>
      <c r="AV23">
        <v>0.5</v>
      </c>
      <c r="AW23">
        <f t="shared" si="28"/>
        <v>505.17155173425368</v>
      </c>
      <c r="AX23">
        <f t="shared" si="29"/>
        <v>15.369259100512284</v>
      </c>
      <c r="AY23">
        <f t="shared" si="30"/>
        <v>152.62763954904599</v>
      </c>
      <c r="AZ23">
        <f t="shared" si="31"/>
        <v>3.3983272242870351E-2</v>
      </c>
      <c r="BA23">
        <f t="shared" si="32"/>
        <v>7.9704556634780779E-2</v>
      </c>
      <c r="BB23">
        <f t="shared" si="33"/>
        <v>169.30531109826353</v>
      </c>
      <c r="BC23" t="s">
        <v>417</v>
      </c>
      <c r="BD23">
        <v>0</v>
      </c>
      <c r="BE23">
        <f t="shared" si="34"/>
        <v>169.30531109826353</v>
      </c>
      <c r="BF23">
        <f t="shared" si="35"/>
        <v>0.75313187766640954</v>
      </c>
      <c r="BG23">
        <f t="shared" si="36"/>
        <v>0.80233043629909473</v>
      </c>
      <c r="BH23">
        <f t="shared" si="37"/>
        <v>9.5702533357175504E-2</v>
      </c>
      <c r="BI23">
        <f t="shared" si="38"/>
        <v>0.80724209969935878</v>
      </c>
      <c r="BJ23">
        <f t="shared" si="39"/>
        <v>9.6232020859153652E-2</v>
      </c>
      <c r="BK23">
        <f t="shared" si="40"/>
        <v>0.50050569216466712</v>
      </c>
      <c r="BL23">
        <f t="shared" si="41"/>
        <v>0.49949430783533288</v>
      </c>
      <c r="BM23">
        <v>1692</v>
      </c>
      <c r="BN23">
        <v>290</v>
      </c>
      <c r="BO23">
        <v>593.80999999999995</v>
      </c>
      <c r="BP23">
        <v>135</v>
      </c>
      <c r="BQ23">
        <v>10188.200000000001</v>
      </c>
      <c r="BR23">
        <v>584.91</v>
      </c>
      <c r="BS23">
        <v>8.9</v>
      </c>
      <c r="BT23">
        <v>300</v>
      </c>
      <c r="BU23">
        <v>24.1</v>
      </c>
      <c r="BV23">
        <v>685.81277119887898</v>
      </c>
      <c r="BW23">
        <v>1.8850674481825</v>
      </c>
      <c r="BX23">
        <v>-102.798838799834</v>
      </c>
      <c r="BY23">
        <v>1.6756027153959001</v>
      </c>
      <c r="BZ23">
        <v>0.99261577540613699</v>
      </c>
      <c r="CA23">
        <v>-7.9154044493882098E-3</v>
      </c>
      <c r="CB23">
        <v>290</v>
      </c>
      <c r="CC23">
        <v>569.77</v>
      </c>
      <c r="CD23">
        <v>625</v>
      </c>
      <c r="CE23">
        <v>10153.700000000001</v>
      </c>
      <c r="CF23">
        <v>584.57000000000005</v>
      </c>
      <c r="CG23">
        <v>-14.8</v>
      </c>
      <c r="CU23">
        <f t="shared" si="42"/>
        <v>599.971133333333</v>
      </c>
      <c r="CV23">
        <f t="shared" si="43"/>
        <v>505.17155173425368</v>
      </c>
      <c r="CW23">
        <f t="shared" si="44"/>
        <v>0.84199309544712642</v>
      </c>
      <c r="CX23">
        <f t="shared" si="45"/>
        <v>0.16344667421295397</v>
      </c>
      <c r="CY23">
        <v>1.9</v>
      </c>
      <c r="CZ23">
        <v>0.5</v>
      </c>
      <c r="DA23" t="s">
        <v>418</v>
      </c>
      <c r="DB23">
        <v>2</v>
      </c>
      <c r="DC23">
        <v>1742525499.0999999</v>
      </c>
      <c r="DD23">
        <v>410.01026666666701</v>
      </c>
      <c r="DE23">
        <v>416.07960000000003</v>
      </c>
      <c r="DF23">
        <v>19.634353333333301</v>
      </c>
      <c r="DG23">
        <v>19.088446666666702</v>
      </c>
      <c r="DH23">
        <v>407.785866666667</v>
      </c>
      <c r="DI23">
        <v>19.63588</v>
      </c>
      <c r="DJ23">
        <v>499.93966666666699</v>
      </c>
      <c r="DK23">
        <v>96.027733333333302</v>
      </c>
      <c r="DL23">
        <v>9.99351666666667E-2</v>
      </c>
      <c r="DM23">
        <v>25.025099999999998</v>
      </c>
      <c r="DN23">
        <v>24.998086666666701</v>
      </c>
      <c r="DO23">
        <v>999.9</v>
      </c>
      <c r="DP23">
        <v>0</v>
      </c>
      <c r="DQ23">
        <v>0</v>
      </c>
      <c r="DR23">
        <v>9998.5433333333294</v>
      </c>
      <c r="DS23">
        <v>0</v>
      </c>
      <c r="DT23">
        <v>896.58119999999997</v>
      </c>
      <c r="DU23">
        <v>-6.0692959999999996</v>
      </c>
      <c r="DV23">
        <v>418.22179999999997</v>
      </c>
      <c r="DW23">
        <v>424.17646666666701</v>
      </c>
      <c r="DX23">
        <v>0.54590386666666701</v>
      </c>
      <c r="DY23">
        <v>416.07960000000003</v>
      </c>
      <c r="DZ23">
        <v>19.088446666666702</v>
      </c>
      <c r="EA23">
        <v>1.88544133333333</v>
      </c>
      <c r="EB23">
        <v>1.833018</v>
      </c>
      <c r="EC23">
        <v>16.513733333333299</v>
      </c>
      <c r="ED23">
        <v>16.071106666666701</v>
      </c>
      <c r="EE23">
        <v>599.971133333333</v>
      </c>
      <c r="EF23">
        <v>0.9330058</v>
      </c>
      <c r="EG23">
        <v>6.6994166666666702E-2</v>
      </c>
      <c r="EH23">
        <v>0</v>
      </c>
      <c r="EI23">
        <v>271.46573333333299</v>
      </c>
      <c r="EJ23">
        <v>5.0006000000000004</v>
      </c>
      <c r="EK23">
        <v>1685.4280000000001</v>
      </c>
      <c r="EL23">
        <v>5943.6559999999999</v>
      </c>
      <c r="EM23">
        <v>41.816333333333297</v>
      </c>
      <c r="EN23">
        <v>43.866399999999999</v>
      </c>
      <c r="EO23">
        <v>43.537199999999999</v>
      </c>
      <c r="EP23">
        <v>43.295466666666698</v>
      </c>
      <c r="EQ23">
        <v>44.274799999999999</v>
      </c>
      <c r="ER23">
        <v>555.11066666666704</v>
      </c>
      <c r="ES23">
        <v>39.86</v>
      </c>
      <c r="ET23">
        <v>0</v>
      </c>
      <c r="EU23">
        <v>151.700000047684</v>
      </c>
      <c r="EV23">
        <v>0</v>
      </c>
      <c r="EW23">
        <v>271.40311538461498</v>
      </c>
      <c r="EX23">
        <v>-1.52399999370777</v>
      </c>
      <c r="EY23">
        <v>-8.1090598225879695</v>
      </c>
      <c r="EZ23">
        <v>1685.4688461538501</v>
      </c>
      <c r="FA23">
        <v>15</v>
      </c>
      <c r="FB23">
        <v>1742525448.0999999</v>
      </c>
      <c r="FC23" t="s">
        <v>448</v>
      </c>
      <c r="FD23">
        <v>1742525442.0999999</v>
      </c>
      <c r="FE23">
        <v>1742525448.0999999</v>
      </c>
      <c r="FF23">
        <v>5</v>
      </c>
      <c r="FG23">
        <v>-4.9000000000000002E-2</v>
      </c>
      <c r="FH23">
        <v>3.0000000000000001E-3</v>
      </c>
      <c r="FI23">
        <v>2.2240000000000002</v>
      </c>
      <c r="FJ23">
        <v>-2E-3</v>
      </c>
      <c r="FK23">
        <v>416</v>
      </c>
      <c r="FL23">
        <v>19</v>
      </c>
      <c r="FM23">
        <v>0.1</v>
      </c>
      <c r="FN23">
        <v>0.12</v>
      </c>
      <c r="FO23">
        <v>-6.05192142857143</v>
      </c>
      <c r="FP23">
        <v>-0.49720909090908999</v>
      </c>
      <c r="FQ23">
        <v>7.2243261559929106E-2</v>
      </c>
      <c r="FR23">
        <v>1</v>
      </c>
      <c r="FS23">
        <v>271.41250000000002</v>
      </c>
      <c r="FT23">
        <v>-0.40582123852955898</v>
      </c>
      <c r="FU23">
        <v>0.200253846258131</v>
      </c>
      <c r="FV23">
        <v>1</v>
      </c>
      <c r="FW23">
        <v>0.60315728571428595</v>
      </c>
      <c r="FX23">
        <v>-1.1060724935064901</v>
      </c>
      <c r="FY23">
        <v>0.112844180132708</v>
      </c>
      <c r="FZ23">
        <v>0</v>
      </c>
      <c r="GA23">
        <v>2</v>
      </c>
      <c r="GB23">
        <v>3</v>
      </c>
      <c r="GC23" t="s">
        <v>444</v>
      </c>
      <c r="GD23">
        <v>3.1419299999999999</v>
      </c>
      <c r="GE23">
        <v>2.74688</v>
      </c>
      <c r="GF23">
        <v>8.7194599999999997E-2</v>
      </c>
      <c r="GG23">
        <v>9.0819800000000006E-2</v>
      </c>
      <c r="GH23">
        <v>9.6429600000000004E-2</v>
      </c>
      <c r="GI23">
        <v>9.7310599999999997E-2</v>
      </c>
      <c r="GJ23">
        <v>24085.5</v>
      </c>
      <c r="GK23">
        <v>30216.6</v>
      </c>
      <c r="GL23">
        <v>26884.3</v>
      </c>
      <c r="GM23">
        <v>31351.200000000001</v>
      </c>
      <c r="GN23">
        <v>34245.4</v>
      </c>
      <c r="GO23">
        <v>37714.1</v>
      </c>
      <c r="GP23">
        <v>41463.800000000003</v>
      </c>
      <c r="GQ23">
        <v>45456.2</v>
      </c>
      <c r="GR23">
        <v>1.7416799999999999</v>
      </c>
      <c r="GS23">
        <v>1.9773000000000001</v>
      </c>
      <c r="GT23">
        <v>8.5487999999999995E-2</v>
      </c>
      <c r="GU23">
        <v>0</v>
      </c>
      <c r="GV23">
        <v>23.585999999999999</v>
      </c>
      <c r="GW23">
        <v>999.9</v>
      </c>
      <c r="GX23">
        <v>51.886000000000003</v>
      </c>
      <c r="GY23">
        <v>29.013999999999999</v>
      </c>
      <c r="GZ23">
        <v>21.745899999999999</v>
      </c>
      <c r="HA23">
        <v>60.308500000000002</v>
      </c>
      <c r="HB23">
        <v>23.605799999999999</v>
      </c>
      <c r="HC23">
        <v>1</v>
      </c>
      <c r="HD23">
        <v>0.19167699999999999</v>
      </c>
      <c r="HE23">
        <v>1.2173099999999999</v>
      </c>
      <c r="HF23">
        <v>20.1999</v>
      </c>
      <c r="HG23">
        <v>5.2259799999999998</v>
      </c>
      <c r="HH23">
        <v>11.976000000000001</v>
      </c>
      <c r="HI23">
        <v>4.9535</v>
      </c>
      <c r="HJ23">
        <v>3.2850000000000001</v>
      </c>
      <c r="HK23">
        <v>9999</v>
      </c>
      <c r="HL23">
        <v>9999</v>
      </c>
      <c r="HM23">
        <v>999.9</v>
      </c>
      <c r="HN23">
        <v>9999</v>
      </c>
      <c r="HO23">
        <v>1.8595900000000001</v>
      </c>
      <c r="HP23">
        <v>1.86026</v>
      </c>
      <c r="HQ23">
        <v>1.8557699999999999</v>
      </c>
      <c r="HR23">
        <v>1.8585199999999999</v>
      </c>
      <c r="HS23">
        <v>1.8626499999999999</v>
      </c>
      <c r="HT23">
        <v>1.85822</v>
      </c>
      <c r="HU23">
        <v>1.85503</v>
      </c>
      <c r="HV23">
        <v>1.8625700000000001</v>
      </c>
      <c r="HW23">
        <v>5</v>
      </c>
      <c r="HX23">
        <v>0</v>
      </c>
      <c r="HY23">
        <v>0</v>
      </c>
      <c r="HZ23">
        <v>0</v>
      </c>
      <c r="IA23" t="s">
        <v>421</v>
      </c>
      <c r="IB23" t="s">
        <v>422</v>
      </c>
      <c r="IC23" t="s">
        <v>423</v>
      </c>
      <c r="ID23" t="s">
        <v>423</v>
      </c>
      <c r="IE23" t="s">
        <v>423</v>
      </c>
      <c r="IF23" t="s">
        <v>423</v>
      </c>
      <c r="IG23">
        <v>0</v>
      </c>
      <c r="IH23">
        <v>100</v>
      </c>
      <c r="II23">
        <v>100</v>
      </c>
      <c r="IJ23">
        <v>2.2240000000000002</v>
      </c>
      <c r="IK23">
        <v>-1.5E-3</v>
      </c>
      <c r="IL23">
        <v>2.2244000000000601</v>
      </c>
      <c r="IM23">
        <v>0</v>
      </c>
      <c r="IN23">
        <v>0</v>
      </c>
      <c r="IO23">
        <v>0</v>
      </c>
      <c r="IP23">
        <v>-1.5299999999953699E-3</v>
      </c>
      <c r="IQ23">
        <v>0</v>
      </c>
      <c r="IR23">
        <v>0</v>
      </c>
      <c r="IS23">
        <v>0</v>
      </c>
      <c r="IT23">
        <v>-1</v>
      </c>
      <c r="IU23">
        <v>-1</v>
      </c>
      <c r="IV23">
        <v>-1</v>
      </c>
      <c r="IW23">
        <v>-1</v>
      </c>
      <c r="IX23">
        <v>1.1000000000000001</v>
      </c>
      <c r="IY23">
        <v>1</v>
      </c>
      <c r="IZ23">
        <v>1.0546899999999999</v>
      </c>
      <c r="JA23">
        <v>2.7050800000000002</v>
      </c>
      <c r="JB23">
        <v>1.69678</v>
      </c>
      <c r="JC23">
        <v>2.3584000000000001</v>
      </c>
      <c r="JD23">
        <v>1.4978</v>
      </c>
      <c r="JE23">
        <v>2.3535200000000001</v>
      </c>
      <c r="JF23">
        <v>33.355899999999998</v>
      </c>
      <c r="JG23">
        <v>15.016400000000001</v>
      </c>
      <c r="JH23">
        <v>18</v>
      </c>
      <c r="JI23">
        <v>376.21800000000002</v>
      </c>
      <c r="JJ23">
        <v>525.45600000000002</v>
      </c>
      <c r="JK23">
        <v>21.8627</v>
      </c>
      <c r="JL23">
        <v>29.386199999999999</v>
      </c>
      <c r="JM23">
        <v>29.999500000000001</v>
      </c>
      <c r="JN23">
        <v>29.363499999999998</v>
      </c>
      <c r="JO23">
        <v>29.352499999999999</v>
      </c>
      <c r="JP23">
        <v>21.120999999999999</v>
      </c>
      <c r="JQ23">
        <v>24.380099999999999</v>
      </c>
      <c r="JR23">
        <v>50</v>
      </c>
      <c r="JS23">
        <v>21.8931</v>
      </c>
      <c r="JT23">
        <v>415.93200000000002</v>
      </c>
      <c r="JU23">
        <v>19.398399999999999</v>
      </c>
      <c r="JV23">
        <v>102.407</v>
      </c>
      <c r="JW23">
        <v>100.91500000000001</v>
      </c>
    </row>
    <row r="24" spans="1:283" x14ac:dyDescent="0.25">
      <c r="A24">
        <v>8</v>
      </c>
      <c r="B24">
        <v>1742525660.0999999</v>
      </c>
      <c r="C24">
        <v>1053.0999999046301</v>
      </c>
      <c r="D24" t="s">
        <v>449</v>
      </c>
      <c r="E24" t="s">
        <v>450</v>
      </c>
      <c r="F24">
        <v>2</v>
      </c>
      <c r="H24">
        <v>1742525652.0999999</v>
      </c>
      <c r="I24">
        <f t="shared" si="0"/>
        <v>1.253921575017919E-3</v>
      </c>
      <c r="J24">
        <f t="shared" si="1"/>
        <v>1.2539215750179189</v>
      </c>
      <c r="K24">
        <f t="shared" si="2"/>
        <v>11.08345768736219</v>
      </c>
      <c r="L24">
        <f t="shared" si="3"/>
        <v>410.05726666666698</v>
      </c>
      <c r="M24">
        <f t="shared" si="4"/>
        <v>212.57130859003038</v>
      </c>
      <c r="N24">
        <f t="shared" si="5"/>
        <v>20.433389260815201</v>
      </c>
      <c r="O24">
        <f t="shared" si="6"/>
        <v>39.416701174783462</v>
      </c>
      <c r="P24">
        <f t="shared" si="7"/>
        <v>9.4340809034906048E-2</v>
      </c>
      <c r="Q24">
        <f t="shared" si="8"/>
        <v>3.0156947264960792</v>
      </c>
      <c r="R24">
        <f t="shared" si="9"/>
        <v>9.2731384924487723E-2</v>
      </c>
      <c r="S24">
        <f t="shared" si="10"/>
        <v>5.8099428946630047E-2</v>
      </c>
      <c r="T24">
        <f t="shared" si="11"/>
        <v>66.128246221331068</v>
      </c>
      <c r="U24">
        <f t="shared" si="12"/>
        <v>25.294018675846175</v>
      </c>
      <c r="V24">
        <f t="shared" si="13"/>
        <v>25.046433333333301</v>
      </c>
      <c r="W24">
        <f t="shared" si="14"/>
        <v>3.1884905875525664</v>
      </c>
      <c r="X24">
        <f t="shared" si="15"/>
        <v>59.656108823298617</v>
      </c>
      <c r="Y24">
        <f t="shared" si="16"/>
        <v>1.9232426746868425</v>
      </c>
      <c r="Z24">
        <f t="shared" si="17"/>
        <v>3.2238822018772413</v>
      </c>
      <c r="AA24">
        <f t="shared" si="18"/>
        <v>1.2652479128657239</v>
      </c>
      <c r="AB24">
        <f t="shared" si="19"/>
        <v>-55.297941458290225</v>
      </c>
      <c r="AC24">
        <f t="shared" si="20"/>
        <v>30.134056614040052</v>
      </c>
      <c r="AD24">
        <f t="shared" si="21"/>
        <v>2.1165976546600502</v>
      </c>
      <c r="AE24">
        <f t="shared" si="22"/>
        <v>43.080959031740946</v>
      </c>
      <c r="AF24">
        <v>0</v>
      </c>
      <c r="AG24">
        <v>0</v>
      </c>
      <c r="AH24">
        <f t="shared" si="23"/>
        <v>1</v>
      </c>
      <c r="AI24">
        <f t="shared" si="24"/>
        <v>0</v>
      </c>
      <c r="AJ24">
        <f t="shared" si="25"/>
        <v>51054.663836840075</v>
      </c>
      <c r="AK24" t="s">
        <v>415</v>
      </c>
      <c r="AL24">
        <v>10173.1</v>
      </c>
      <c r="AM24">
        <v>172.44800000000001</v>
      </c>
      <c r="AN24">
        <v>740.47517406175598</v>
      </c>
      <c r="AO24">
        <f t="shared" si="26"/>
        <v>0.76711170604942147</v>
      </c>
      <c r="AP24">
        <v>-1.7981232714261199</v>
      </c>
      <c r="AQ24" t="s">
        <v>451</v>
      </c>
      <c r="AR24">
        <v>10197.200000000001</v>
      </c>
      <c r="AS24">
        <v>274.10552000000001</v>
      </c>
      <c r="AT24">
        <v>781.60554307928601</v>
      </c>
      <c r="AU24">
        <f t="shared" si="27"/>
        <v>0.64930453420262557</v>
      </c>
      <c r="AV24">
        <v>0.5</v>
      </c>
      <c r="AW24">
        <f t="shared" si="28"/>
        <v>337.19132484006764</v>
      </c>
      <c r="AX24">
        <f t="shared" si="29"/>
        <v>11.08345768736219</v>
      </c>
      <c r="AY24">
        <f t="shared" si="30"/>
        <v>109.46992805622317</v>
      </c>
      <c r="AZ24">
        <f t="shared" si="31"/>
        <v>3.820258710658745E-2</v>
      </c>
      <c r="BA24">
        <f t="shared" si="32"/>
        <v>-5.2622923905438282E-2</v>
      </c>
      <c r="BB24">
        <f t="shared" si="33"/>
        <v>174.58761715977838</v>
      </c>
      <c r="BC24" t="s">
        <v>417</v>
      </c>
      <c r="BD24">
        <v>0</v>
      </c>
      <c r="BE24">
        <f t="shared" si="34"/>
        <v>174.58761715977838</v>
      </c>
      <c r="BF24">
        <f t="shared" si="35"/>
        <v>0.7766295048625721</v>
      </c>
      <c r="BG24">
        <f t="shared" si="36"/>
        <v>0.83605442509877703</v>
      </c>
      <c r="BH24">
        <f t="shared" si="37"/>
        <v>-7.2682935886951447E-2</v>
      </c>
      <c r="BI24">
        <f t="shared" si="38"/>
        <v>0.83311785078434364</v>
      </c>
      <c r="BJ24">
        <f t="shared" si="39"/>
        <v>-7.2409157335593125E-2</v>
      </c>
      <c r="BK24">
        <f t="shared" si="40"/>
        <v>0.5325129895008458</v>
      </c>
      <c r="BL24">
        <f t="shared" si="41"/>
        <v>0.4674870104991542</v>
      </c>
      <c r="BM24">
        <v>1693</v>
      </c>
      <c r="BN24">
        <v>290</v>
      </c>
      <c r="BO24">
        <v>692.69</v>
      </c>
      <c r="BP24">
        <v>125</v>
      </c>
      <c r="BQ24">
        <v>10197.200000000001</v>
      </c>
      <c r="BR24">
        <v>678.73</v>
      </c>
      <c r="BS24">
        <v>13.96</v>
      </c>
      <c r="BT24">
        <v>300</v>
      </c>
      <c r="BU24">
        <v>24.1</v>
      </c>
      <c r="BV24">
        <v>781.60554307928601</v>
      </c>
      <c r="BW24">
        <v>2.4886827639893299</v>
      </c>
      <c r="BX24">
        <v>-104.906296620354</v>
      </c>
      <c r="BY24">
        <v>2.2065577536586201</v>
      </c>
      <c r="BZ24">
        <v>0.98776402106668204</v>
      </c>
      <c r="CA24">
        <v>-8.0878883203559602E-3</v>
      </c>
      <c r="CB24">
        <v>290</v>
      </c>
      <c r="CC24">
        <v>663.93</v>
      </c>
      <c r="CD24">
        <v>625</v>
      </c>
      <c r="CE24">
        <v>10161</v>
      </c>
      <c r="CF24">
        <v>678.36</v>
      </c>
      <c r="CG24">
        <v>-14.43</v>
      </c>
      <c r="CU24">
        <f t="shared" si="42"/>
        <v>400.00753333333301</v>
      </c>
      <c r="CV24">
        <f t="shared" si="43"/>
        <v>337.19132484006764</v>
      </c>
      <c r="CW24">
        <f t="shared" si="44"/>
        <v>0.84296243630761936</v>
      </c>
      <c r="CX24">
        <f t="shared" si="45"/>
        <v>0.16531750207370541</v>
      </c>
      <c r="CY24">
        <v>1.9</v>
      </c>
      <c r="CZ24">
        <v>0.5</v>
      </c>
      <c r="DA24" t="s">
        <v>418</v>
      </c>
      <c r="DB24">
        <v>2</v>
      </c>
      <c r="DC24">
        <v>1742525652.0999999</v>
      </c>
      <c r="DD24">
        <v>410.05726666666698</v>
      </c>
      <c r="DE24">
        <v>414.46440000000001</v>
      </c>
      <c r="DF24">
        <v>20.007753333333302</v>
      </c>
      <c r="DG24">
        <v>19.540793333333301</v>
      </c>
      <c r="DH24">
        <v>407.81380000000001</v>
      </c>
      <c r="DI24">
        <v>19.995699999999999</v>
      </c>
      <c r="DJ24">
        <v>499.996466666667</v>
      </c>
      <c r="DK24">
        <v>96.024913333333302</v>
      </c>
      <c r="DL24">
        <v>9.9955993333333298E-2</v>
      </c>
      <c r="DM24">
        <v>25.231780000000001</v>
      </c>
      <c r="DN24">
        <v>25.046433333333301</v>
      </c>
      <c r="DO24">
        <v>999.9</v>
      </c>
      <c r="DP24">
        <v>0</v>
      </c>
      <c r="DQ24">
        <v>0</v>
      </c>
      <c r="DR24">
        <v>9995.5826666666708</v>
      </c>
      <c r="DS24">
        <v>0</v>
      </c>
      <c r="DT24">
        <v>901.14213333333305</v>
      </c>
      <c r="DU24">
        <v>-4.4072579999999997</v>
      </c>
      <c r="DV24">
        <v>418.42919999999998</v>
      </c>
      <c r="DW24">
        <v>422.72493333333301</v>
      </c>
      <c r="DX24">
        <v>0.46696273333333299</v>
      </c>
      <c r="DY24">
        <v>414.46440000000001</v>
      </c>
      <c r="DZ24">
        <v>19.540793333333301</v>
      </c>
      <c r="EA24">
        <v>1.92124266666667</v>
      </c>
      <c r="EB24">
        <v>1.87640266666667</v>
      </c>
      <c r="EC24">
        <v>16.809760000000001</v>
      </c>
      <c r="ED24">
        <v>16.438199999999998</v>
      </c>
      <c r="EE24">
        <v>400.00753333333301</v>
      </c>
      <c r="EF24">
        <v>0.9</v>
      </c>
      <c r="EG24">
        <v>9.9999746666666695E-2</v>
      </c>
      <c r="EH24">
        <v>0</v>
      </c>
      <c r="EI24">
        <v>274.10700000000003</v>
      </c>
      <c r="EJ24">
        <v>5.0006000000000004</v>
      </c>
      <c r="EK24">
        <v>1128.6320000000001</v>
      </c>
      <c r="EL24">
        <v>3903.7286666666701</v>
      </c>
      <c r="EM24">
        <v>40.941266666666699</v>
      </c>
      <c r="EN24">
        <v>43.3832666666667</v>
      </c>
      <c r="EO24">
        <v>42.8414</v>
      </c>
      <c r="EP24">
        <v>42.953800000000001</v>
      </c>
      <c r="EQ24">
        <v>43.582999999999998</v>
      </c>
      <c r="ER24">
        <v>355.50799999999998</v>
      </c>
      <c r="ES24">
        <v>39.5</v>
      </c>
      <c r="ET24">
        <v>0</v>
      </c>
      <c r="EU24">
        <v>151.5</v>
      </c>
      <c r="EV24">
        <v>0</v>
      </c>
      <c r="EW24">
        <v>274.10552000000001</v>
      </c>
      <c r="EX24">
        <v>-8.6230770514524394E-2</v>
      </c>
      <c r="EY24">
        <v>-1.9761538316538301</v>
      </c>
      <c r="EZ24">
        <v>1128.5776000000001</v>
      </c>
      <c r="FA24">
        <v>15</v>
      </c>
      <c r="FB24">
        <v>1742525581.0999999</v>
      </c>
      <c r="FC24" t="s">
        <v>452</v>
      </c>
      <c r="FD24">
        <v>1742525569.0999999</v>
      </c>
      <c r="FE24">
        <v>1742525581.0999999</v>
      </c>
      <c r="FF24">
        <v>6</v>
      </c>
      <c r="FG24">
        <v>1.9E-2</v>
      </c>
      <c r="FH24">
        <v>1.4E-2</v>
      </c>
      <c r="FI24">
        <v>2.2429999999999999</v>
      </c>
      <c r="FJ24">
        <v>1.2E-2</v>
      </c>
      <c r="FK24">
        <v>415</v>
      </c>
      <c r="FL24">
        <v>19</v>
      </c>
      <c r="FM24">
        <v>0.32</v>
      </c>
      <c r="FN24">
        <v>0.31</v>
      </c>
      <c r="FO24">
        <v>-4.4278285000000004</v>
      </c>
      <c r="FP24">
        <v>0.46787593984961701</v>
      </c>
      <c r="FQ24">
        <v>5.4241449674119098E-2</v>
      </c>
      <c r="FR24">
        <v>1</v>
      </c>
      <c r="FS24">
        <v>274.08726470588198</v>
      </c>
      <c r="FT24">
        <v>0.16056531248865399</v>
      </c>
      <c r="FU24">
        <v>0.15198380502414899</v>
      </c>
      <c r="FV24">
        <v>1</v>
      </c>
      <c r="FW24">
        <v>0.47962505</v>
      </c>
      <c r="FX24">
        <v>-0.26245303759398497</v>
      </c>
      <c r="FY24">
        <v>2.6093762439470099E-2</v>
      </c>
      <c r="FZ24">
        <v>0</v>
      </c>
      <c r="GA24">
        <v>2</v>
      </c>
      <c r="GB24">
        <v>3</v>
      </c>
      <c r="GC24" t="s">
        <v>444</v>
      </c>
      <c r="GD24">
        <v>3.1418499999999998</v>
      </c>
      <c r="GE24">
        <v>2.7464200000000001</v>
      </c>
      <c r="GF24">
        <v>8.7160000000000001E-2</v>
      </c>
      <c r="GG24">
        <v>9.04914E-2</v>
      </c>
      <c r="GH24">
        <v>9.7568199999999994E-2</v>
      </c>
      <c r="GI24">
        <v>9.8601800000000003E-2</v>
      </c>
      <c r="GJ24">
        <v>24084.3</v>
      </c>
      <c r="GK24">
        <v>30222.9</v>
      </c>
      <c r="GL24">
        <v>26882.5</v>
      </c>
      <c r="GM24">
        <v>31346.9</v>
      </c>
      <c r="GN24">
        <v>34200.300000000003</v>
      </c>
      <c r="GO24">
        <v>37655.199999999997</v>
      </c>
      <c r="GP24">
        <v>41461.5</v>
      </c>
      <c r="GQ24">
        <v>45449.7</v>
      </c>
      <c r="GR24">
        <v>1.7407699999999999</v>
      </c>
      <c r="GS24">
        <v>1.9754499999999999</v>
      </c>
      <c r="GT24">
        <v>7.4841099999999994E-2</v>
      </c>
      <c r="GU24">
        <v>0</v>
      </c>
      <c r="GV24">
        <v>23.8184</v>
      </c>
      <c r="GW24">
        <v>999.9</v>
      </c>
      <c r="GX24">
        <v>51.006999999999998</v>
      </c>
      <c r="GY24">
        <v>29.306000000000001</v>
      </c>
      <c r="GZ24">
        <v>21.7441</v>
      </c>
      <c r="HA24">
        <v>60.128500000000003</v>
      </c>
      <c r="HB24">
        <v>23.633800000000001</v>
      </c>
      <c r="HC24">
        <v>1</v>
      </c>
      <c r="HD24">
        <v>0.20102100000000001</v>
      </c>
      <c r="HE24">
        <v>1.53057</v>
      </c>
      <c r="HF24">
        <v>20.199100000000001</v>
      </c>
      <c r="HG24">
        <v>5.2229799999999997</v>
      </c>
      <c r="HH24">
        <v>11.9773</v>
      </c>
      <c r="HI24">
        <v>4.9525499999999996</v>
      </c>
      <c r="HJ24">
        <v>3.2850999999999999</v>
      </c>
      <c r="HK24">
        <v>9999</v>
      </c>
      <c r="HL24">
        <v>9999</v>
      </c>
      <c r="HM24">
        <v>999.9</v>
      </c>
      <c r="HN24">
        <v>9999</v>
      </c>
      <c r="HO24">
        <v>1.8595900000000001</v>
      </c>
      <c r="HP24">
        <v>1.8602799999999999</v>
      </c>
      <c r="HQ24">
        <v>1.8557699999999999</v>
      </c>
      <c r="HR24">
        <v>1.8585199999999999</v>
      </c>
      <c r="HS24">
        <v>1.8626499999999999</v>
      </c>
      <c r="HT24">
        <v>1.85822</v>
      </c>
      <c r="HU24">
        <v>1.85504</v>
      </c>
      <c r="HV24">
        <v>1.8626100000000001</v>
      </c>
      <c r="HW24">
        <v>5</v>
      </c>
      <c r="HX24">
        <v>0</v>
      </c>
      <c r="HY24">
        <v>0</v>
      </c>
      <c r="HZ24">
        <v>0</v>
      </c>
      <c r="IA24" t="s">
        <v>421</v>
      </c>
      <c r="IB24" t="s">
        <v>422</v>
      </c>
      <c r="IC24" t="s">
        <v>423</v>
      </c>
      <c r="ID24" t="s">
        <v>423</v>
      </c>
      <c r="IE24" t="s">
        <v>423</v>
      </c>
      <c r="IF24" t="s">
        <v>423</v>
      </c>
      <c r="IG24">
        <v>0</v>
      </c>
      <c r="IH24">
        <v>100</v>
      </c>
      <c r="II24">
        <v>100</v>
      </c>
      <c r="IJ24">
        <v>2.2429999999999999</v>
      </c>
      <c r="IK24">
        <v>1.2E-2</v>
      </c>
      <c r="IL24">
        <v>2.2434545454544801</v>
      </c>
      <c r="IM24">
        <v>0</v>
      </c>
      <c r="IN24">
        <v>0</v>
      </c>
      <c r="IO24">
        <v>0</v>
      </c>
      <c r="IP24">
        <v>1.20363636363656E-2</v>
      </c>
      <c r="IQ24">
        <v>0</v>
      </c>
      <c r="IR24">
        <v>0</v>
      </c>
      <c r="IS24">
        <v>0</v>
      </c>
      <c r="IT24">
        <v>-1</v>
      </c>
      <c r="IU24">
        <v>-1</v>
      </c>
      <c r="IV24">
        <v>-1</v>
      </c>
      <c r="IW24">
        <v>-1</v>
      </c>
      <c r="IX24">
        <v>1.5</v>
      </c>
      <c r="IY24">
        <v>1.3</v>
      </c>
      <c r="IZ24">
        <v>1.0522499999999999</v>
      </c>
      <c r="JA24">
        <v>2.7038600000000002</v>
      </c>
      <c r="JB24">
        <v>1.69678</v>
      </c>
      <c r="JC24">
        <v>2.3584000000000001</v>
      </c>
      <c r="JD24">
        <v>1.4978</v>
      </c>
      <c r="JE24">
        <v>2.3730500000000001</v>
      </c>
      <c r="JF24">
        <v>33.445599999999999</v>
      </c>
      <c r="JG24">
        <v>14.998900000000001</v>
      </c>
      <c r="JH24">
        <v>18</v>
      </c>
      <c r="JI24">
        <v>376.50799999999998</v>
      </c>
      <c r="JJ24">
        <v>525.42399999999998</v>
      </c>
      <c r="JK24">
        <v>22.2516</v>
      </c>
      <c r="JL24">
        <v>29.506</v>
      </c>
      <c r="JM24">
        <v>30.000599999999999</v>
      </c>
      <c r="JN24">
        <v>29.498899999999999</v>
      </c>
      <c r="JO24">
        <v>29.492100000000001</v>
      </c>
      <c r="JP24">
        <v>21.082100000000001</v>
      </c>
      <c r="JQ24">
        <v>20.475899999999999</v>
      </c>
      <c r="JR24">
        <v>50</v>
      </c>
      <c r="JS24">
        <v>22.233699999999999</v>
      </c>
      <c r="JT24">
        <v>414.46300000000002</v>
      </c>
      <c r="JU24">
        <v>19.658999999999999</v>
      </c>
      <c r="JV24">
        <v>102.401</v>
      </c>
      <c r="JW24">
        <v>100.9</v>
      </c>
    </row>
    <row r="25" spans="1:283" x14ac:dyDescent="0.25">
      <c r="A25">
        <v>9</v>
      </c>
      <c r="B25">
        <v>1742525813.0999999</v>
      </c>
      <c r="C25">
        <v>1206.0999999046301</v>
      </c>
      <c r="D25" t="s">
        <v>453</v>
      </c>
      <c r="E25" t="s">
        <v>454</v>
      </c>
      <c r="F25">
        <v>2</v>
      </c>
      <c r="H25">
        <v>1742525805.0999999</v>
      </c>
      <c r="I25">
        <f t="shared" si="0"/>
        <v>3.8154486027486268E-4</v>
      </c>
      <c r="J25">
        <f t="shared" si="1"/>
        <v>0.38154486027486267</v>
      </c>
      <c r="K25">
        <f t="shared" si="2"/>
        <v>4.53154857895567</v>
      </c>
      <c r="L25">
        <f t="shared" si="3"/>
        <v>410.13886666666701</v>
      </c>
      <c r="M25">
        <f t="shared" si="4"/>
        <v>143.84318610638047</v>
      </c>
      <c r="N25">
        <f t="shared" si="5"/>
        <v>13.827368065396579</v>
      </c>
      <c r="O25">
        <f t="shared" si="6"/>
        <v>39.42585826158269</v>
      </c>
      <c r="P25">
        <f t="shared" si="7"/>
        <v>2.7985095264355275E-2</v>
      </c>
      <c r="Q25">
        <f t="shared" si="8"/>
        <v>3.0160690578701952</v>
      </c>
      <c r="R25">
        <f t="shared" si="9"/>
        <v>2.7841635751096831E-2</v>
      </c>
      <c r="S25">
        <f t="shared" si="10"/>
        <v>1.7413850167073537E-2</v>
      </c>
      <c r="T25">
        <f t="shared" si="11"/>
        <v>33.045671097795818</v>
      </c>
      <c r="U25">
        <f t="shared" si="12"/>
        <v>25.327331471013775</v>
      </c>
      <c r="V25">
        <f t="shared" si="13"/>
        <v>25.0874466666667</v>
      </c>
      <c r="W25">
        <f t="shared" si="14"/>
        <v>3.1962926205639444</v>
      </c>
      <c r="X25">
        <f t="shared" si="15"/>
        <v>59.359816520942651</v>
      </c>
      <c r="Y25">
        <f t="shared" si="16"/>
        <v>1.9139586065962482</v>
      </c>
      <c r="Z25">
        <f t="shared" si="17"/>
        <v>3.2243337644431351</v>
      </c>
      <c r="AA25">
        <f t="shared" si="18"/>
        <v>1.2823340139676962</v>
      </c>
      <c r="AB25">
        <f t="shared" si="19"/>
        <v>-16.826128338121443</v>
      </c>
      <c r="AC25">
        <f t="shared" si="20"/>
        <v>23.851591586648489</v>
      </c>
      <c r="AD25">
        <f t="shared" si="21"/>
        <v>1.6754786898688332</v>
      </c>
      <c r="AE25">
        <f t="shared" si="22"/>
        <v>41.746613036191697</v>
      </c>
      <c r="AF25">
        <v>0</v>
      </c>
      <c r="AG25">
        <v>0</v>
      </c>
      <c r="AH25">
        <f t="shared" si="23"/>
        <v>1</v>
      </c>
      <c r="AI25">
        <f t="shared" si="24"/>
        <v>0</v>
      </c>
      <c r="AJ25">
        <f t="shared" si="25"/>
        <v>51064.988875586132</v>
      </c>
      <c r="AK25" t="s">
        <v>415</v>
      </c>
      <c r="AL25">
        <v>10173.1</v>
      </c>
      <c r="AM25">
        <v>172.44800000000001</v>
      </c>
      <c r="AN25">
        <v>740.47517406175598</v>
      </c>
      <c r="AO25">
        <f t="shared" si="26"/>
        <v>0.76711170604942147</v>
      </c>
      <c r="AP25">
        <v>-1.7981232714261199</v>
      </c>
      <c r="AQ25" t="s">
        <v>455</v>
      </c>
      <c r="AR25">
        <v>10187.700000000001</v>
      </c>
      <c r="AS25">
        <v>263.71719230769202</v>
      </c>
      <c r="AT25">
        <v>850.11875006536002</v>
      </c>
      <c r="AU25">
        <f t="shared" si="27"/>
        <v>0.6897878181284478</v>
      </c>
      <c r="AV25">
        <v>0.5</v>
      </c>
      <c r="AW25">
        <f t="shared" si="28"/>
        <v>168.56724487968717</v>
      </c>
      <c r="AX25">
        <f t="shared" si="29"/>
        <v>4.53154857895567</v>
      </c>
      <c r="AY25">
        <f t="shared" si="30"/>
        <v>58.137816026741589</v>
      </c>
      <c r="AZ25">
        <f t="shared" si="31"/>
        <v>3.7549832738261318E-2</v>
      </c>
      <c r="BA25">
        <f t="shared" si="32"/>
        <v>-0.12897442386157731</v>
      </c>
      <c r="BB25">
        <f t="shared" si="33"/>
        <v>177.78815774118024</v>
      </c>
      <c r="BC25" t="s">
        <v>417</v>
      </c>
      <c r="BD25">
        <v>0</v>
      </c>
      <c r="BE25">
        <f t="shared" si="34"/>
        <v>177.78815774118024</v>
      </c>
      <c r="BF25">
        <f t="shared" si="35"/>
        <v>0.79086667865223381</v>
      </c>
      <c r="BG25">
        <f t="shared" si="36"/>
        <v>0.87219228821722417</v>
      </c>
      <c r="BH25">
        <f t="shared" si="37"/>
        <v>-0.19485712807195391</v>
      </c>
      <c r="BI25">
        <f t="shared" si="38"/>
        <v>0.86531926854023244</v>
      </c>
      <c r="BJ25">
        <f t="shared" si="39"/>
        <v>-0.19302523014802733</v>
      </c>
      <c r="BK25">
        <f t="shared" si="40"/>
        <v>0.58799905596326141</v>
      </c>
      <c r="BL25">
        <f t="shared" si="41"/>
        <v>0.41200094403673859</v>
      </c>
      <c r="BM25">
        <v>1694</v>
      </c>
      <c r="BN25">
        <v>290</v>
      </c>
      <c r="BO25">
        <v>771.75</v>
      </c>
      <c r="BP25">
        <v>115</v>
      </c>
      <c r="BQ25">
        <v>10187.700000000001</v>
      </c>
      <c r="BR25">
        <v>747.82</v>
      </c>
      <c r="BS25">
        <v>23.93</v>
      </c>
      <c r="BT25">
        <v>300</v>
      </c>
      <c r="BU25">
        <v>24.1</v>
      </c>
      <c r="BV25">
        <v>850.11875006536002</v>
      </c>
      <c r="BW25">
        <v>3.1481754399409798</v>
      </c>
      <c r="BX25">
        <v>-104.22247719943</v>
      </c>
      <c r="BY25">
        <v>2.7791727616561501</v>
      </c>
      <c r="BZ25">
        <v>0.98047888661829696</v>
      </c>
      <c r="CA25">
        <v>-8.2446258064516192E-3</v>
      </c>
      <c r="CB25">
        <v>290</v>
      </c>
      <c r="CC25">
        <v>732.03</v>
      </c>
      <c r="CD25">
        <v>635</v>
      </c>
      <c r="CE25">
        <v>10149</v>
      </c>
      <c r="CF25">
        <v>747.43</v>
      </c>
      <c r="CG25">
        <v>-15.4</v>
      </c>
      <c r="CU25">
        <f t="shared" si="42"/>
        <v>199.97886666666699</v>
      </c>
      <c r="CV25">
        <f t="shared" si="43"/>
        <v>168.56724487968717</v>
      </c>
      <c r="CW25">
        <f t="shared" si="44"/>
        <v>0.84292529350444811</v>
      </c>
      <c r="CX25">
        <f t="shared" si="45"/>
        <v>0.16524581646358516</v>
      </c>
      <c r="CY25">
        <v>1.9</v>
      </c>
      <c r="CZ25">
        <v>0.5</v>
      </c>
      <c r="DA25" t="s">
        <v>418</v>
      </c>
      <c r="DB25">
        <v>2</v>
      </c>
      <c r="DC25">
        <v>1742525805.0999999</v>
      </c>
      <c r="DD25">
        <v>410.13886666666701</v>
      </c>
      <c r="DE25">
        <v>411.92039999999997</v>
      </c>
      <c r="DF25">
        <v>19.910506666666699</v>
      </c>
      <c r="DG25">
        <v>19.7684</v>
      </c>
      <c r="DH25">
        <v>408.0034</v>
      </c>
      <c r="DI25">
        <v>19.884806666666702</v>
      </c>
      <c r="DJ25">
        <v>499.97753333333299</v>
      </c>
      <c r="DK25">
        <v>96.028153333333293</v>
      </c>
      <c r="DL25">
        <v>9.9918073333333302E-2</v>
      </c>
      <c r="DM25">
        <v>25.2341333333333</v>
      </c>
      <c r="DN25">
        <v>25.0874466666667</v>
      </c>
      <c r="DO25">
        <v>999.9</v>
      </c>
      <c r="DP25">
        <v>0</v>
      </c>
      <c r="DQ25">
        <v>0</v>
      </c>
      <c r="DR25">
        <v>9997.4206666666705</v>
      </c>
      <c r="DS25">
        <v>0</v>
      </c>
      <c r="DT25">
        <v>906.58773333333295</v>
      </c>
      <c r="DU25">
        <v>-1.781738</v>
      </c>
      <c r="DV25">
        <v>418.47073333333299</v>
      </c>
      <c r="DW25">
        <v>420.22766666666701</v>
      </c>
      <c r="DX25">
        <v>0.14211457333333299</v>
      </c>
      <c r="DY25">
        <v>411.92039999999997</v>
      </c>
      <c r="DZ25">
        <v>19.7684</v>
      </c>
      <c r="EA25">
        <v>1.91196866666667</v>
      </c>
      <c r="EB25">
        <v>1.8983239999999999</v>
      </c>
      <c r="EC25">
        <v>16.7335666666667</v>
      </c>
      <c r="ED25">
        <v>16.620673333333301</v>
      </c>
      <c r="EE25">
        <v>199.97886666666699</v>
      </c>
      <c r="EF25">
        <v>0.89999419999999997</v>
      </c>
      <c r="EG25">
        <v>0.100005766666667</v>
      </c>
      <c r="EH25">
        <v>0</v>
      </c>
      <c r="EI25">
        <v>263.67320000000001</v>
      </c>
      <c r="EJ25">
        <v>5.0006000000000004</v>
      </c>
      <c r="EK25">
        <v>544.81659999999999</v>
      </c>
      <c r="EL25">
        <v>1926.90466666667</v>
      </c>
      <c r="EM25">
        <v>39.9664</v>
      </c>
      <c r="EN25">
        <v>42.8791333333333</v>
      </c>
      <c r="EO25">
        <v>42.099800000000002</v>
      </c>
      <c r="EP25">
        <v>42.449599999999997</v>
      </c>
      <c r="EQ25">
        <v>42.828800000000001</v>
      </c>
      <c r="ER25">
        <v>175.47933333333299</v>
      </c>
      <c r="ES25">
        <v>19.5</v>
      </c>
      <c r="ET25">
        <v>0</v>
      </c>
      <c r="EU25">
        <v>151.90000009536701</v>
      </c>
      <c r="EV25">
        <v>0</v>
      </c>
      <c r="EW25">
        <v>263.71719230769202</v>
      </c>
      <c r="EX25">
        <v>4.2652649574740602</v>
      </c>
      <c r="EY25">
        <v>2.6487179346495502</v>
      </c>
      <c r="EZ25">
        <v>544.85334615384602</v>
      </c>
      <c r="FA25">
        <v>15</v>
      </c>
      <c r="FB25">
        <v>1742525736.0999999</v>
      </c>
      <c r="FC25" t="s">
        <v>456</v>
      </c>
      <c r="FD25">
        <v>1742525736.0999999</v>
      </c>
      <c r="FE25">
        <v>1742525728.0999999</v>
      </c>
      <c r="FF25">
        <v>7</v>
      </c>
      <c r="FG25">
        <v>-0.108</v>
      </c>
      <c r="FH25">
        <v>1.4E-2</v>
      </c>
      <c r="FI25">
        <v>2.1349999999999998</v>
      </c>
      <c r="FJ25">
        <v>2.5999999999999999E-2</v>
      </c>
      <c r="FK25">
        <v>413</v>
      </c>
      <c r="FL25">
        <v>20</v>
      </c>
      <c r="FM25">
        <v>0.39</v>
      </c>
      <c r="FN25">
        <v>0.22</v>
      </c>
      <c r="FO25">
        <v>-1.806837</v>
      </c>
      <c r="FP25">
        <v>0.30714947368421303</v>
      </c>
      <c r="FQ25">
        <v>4.4596987129177201E-2</v>
      </c>
      <c r="FR25">
        <v>1</v>
      </c>
      <c r="FS25">
        <v>263.38091176470601</v>
      </c>
      <c r="FT25">
        <v>4.0513216224858599</v>
      </c>
      <c r="FU25">
        <v>0.44350312470860798</v>
      </c>
      <c r="FV25">
        <v>0</v>
      </c>
      <c r="FW25">
        <v>0.20540612499999999</v>
      </c>
      <c r="FX25">
        <v>-1.12585385413534</v>
      </c>
      <c r="FY25">
        <v>0.108544381324373</v>
      </c>
      <c r="FZ25">
        <v>0</v>
      </c>
      <c r="GA25">
        <v>1</v>
      </c>
      <c r="GB25">
        <v>3</v>
      </c>
      <c r="GC25" t="s">
        <v>430</v>
      </c>
      <c r="GD25">
        <v>3.1422599999999998</v>
      </c>
      <c r="GE25">
        <v>2.7477399999999998</v>
      </c>
      <c r="GF25">
        <v>8.7168399999999993E-2</v>
      </c>
      <c r="GG25">
        <v>9.0033600000000005E-2</v>
      </c>
      <c r="GH25">
        <v>9.72161E-2</v>
      </c>
      <c r="GI25">
        <v>9.9816500000000002E-2</v>
      </c>
      <c r="GJ25">
        <v>24081</v>
      </c>
      <c r="GK25">
        <v>30230.7</v>
      </c>
      <c r="GL25">
        <v>26879.7</v>
      </c>
      <c r="GM25">
        <v>31339.599999999999</v>
      </c>
      <c r="GN25">
        <v>34210.800000000003</v>
      </c>
      <c r="GO25">
        <v>37596.300000000003</v>
      </c>
      <c r="GP25">
        <v>41457.5</v>
      </c>
      <c r="GQ25">
        <v>45439.1</v>
      </c>
      <c r="GR25">
        <v>1.7391799999999999</v>
      </c>
      <c r="GS25">
        <v>1.9710000000000001</v>
      </c>
      <c r="GT25">
        <v>6.7859900000000001E-2</v>
      </c>
      <c r="GU25">
        <v>0</v>
      </c>
      <c r="GV25">
        <v>23.9802</v>
      </c>
      <c r="GW25">
        <v>999.9</v>
      </c>
      <c r="GX25">
        <v>51.128999999999998</v>
      </c>
      <c r="GY25">
        <v>29.556999999999999</v>
      </c>
      <c r="GZ25">
        <v>22.114999999999998</v>
      </c>
      <c r="HA25">
        <v>60.188499999999998</v>
      </c>
      <c r="HB25">
        <v>23.6739</v>
      </c>
      <c r="HC25">
        <v>1</v>
      </c>
      <c r="HD25">
        <v>0.21251500000000001</v>
      </c>
      <c r="HE25">
        <v>1.8150200000000001</v>
      </c>
      <c r="HF25">
        <v>20.197399999999998</v>
      </c>
      <c r="HG25">
        <v>5.2231300000000003</v>
      </c>
      <c r="HH25">
        <v>11.9757</v>
      </c>
      <c r="HI25">
        <v>4.95235</v>
      </c>
      <c r="HJ25">
        <v>3.2850700000000002</v>
      </c>
      <c r="HK25">
        <v>9999</v>
      </c>
      <c r="HL25">
        <v>9999</v>
      </c>
      <c r="HM25">
        <v>999.9</v>
      </c>
      <c r="HN25">
        <v>9999</v>
      </c>
      <c r="HO25">
        <v>1.8595900000000001</v>
      </c>
      <c r="HP25">
        <v>1.86032</v>
      </c>
      <c r="HQ25">
        <v>1.8557699999999999</v>
      </c>
      <c r="HR25">
        <v>1.8585199999999999</v>
      </c>
      <c r="HS25">
        <v>1.86267</v>
      </c>
      <c r="HT25">
        <v>1.85822</v>
      </c>
      <c r="HU25">
        <v>1.8550500000000001</v>
      </c>
      <c r="HV25">
        <v>1.86259</v>
      </c>
      <c r="HW25">
        <v>5</v>
      </c>
      <c r="HX25">
        <v>0</v>
      </c>
      <c r="HY25">
        <v>0</v>
      </c>
      <c r="HZ25">
        <v>0</v>
      </c>
      <c r="IA25" t="s">
        <v>421</v>
      </c>
      <c r="IB25" t="s">
        <v>422</v>
      </c>
      <c r="IC25" t="s">
        <v>423</v>
      </c>
      <c r="ID25" t="s">
        <v>423</v>
      </c>
      <c r="IE25" t="s">
        <v>423</v>
      </c>
      <c r="IF25" t="s">
        <v>423</v>
      </c>
      <c r="IG25">
        <v>0</v>
      </c>
      <c r="IH25">
        <v>100</v>
      </c>
      <c r="II25">
        <v>100</v>
      </c>
      <c r="IJ25">
        <v>2.1349999999999998</v>
      </c>
      <c r="IK25">
        <v>2.5700000000000001E-2</v>
      </c>
      <c r="IL25">
        <v>2.13539999999995</v>
      </c>
      <c r="IM25">
        <v>0</v>
      </c>
      <c r="IN25">
        <v>0</v>
      </c>
      <c r="IO25">
        <v>0</v>
      </c>
      <c r="IP25">
        <v>2.5710000000003699E-2</v>
      </c>
      <c r="IQ25">
        <v>0</v>
      </c>
      <c r="IR25">
        <v>0</v>
      </c>
      <c r="IS25">
        <v>0</v>
      </c>
      <c r="IT25">
        <v>-1</v>
      </c>
      <c r="IU25">
        <v>-1</v>
      </c>
      <c r="IV25">
        <v>-1</v>
      </c>
      <c r="IW25">
        <v>-1</v>
      </c>
      <c r="IX25">
        <v>1.3</v>
      </c>
      <c r="IY25">
        <v>1.4</v>
      </c>
      <c r="IZ25">
        <v>1.0473600000000001</v>
      </c>
      <c r="JA25">
        <v>2.7063000000000001</v>
      </c>
      <c r="JB25">
        <v>1.69678</v>
      </c>
      <c r="JC25">
        <v>2.3571800000000001</v>
      </c>
      <c r="JD25">
        <v>1.4978</v>
      </c>
      <c r="JE25">
        <v>2.4011200000000001</v>
      </c>
      <c r="JF25">
        <v>33.625399999999999</v>
      </c>
      <c r="JG25">
        <v>14.981400000000001</v>
      </c>
      <c r="JH25">
        <v>18</v>
      </c>
      <c r="JI25">
        <v>376.44799999999998</v>
      </c>
      <c r="JJ25">
        <v>523.61599999999999</v>
      </c>
      <c r="JK25">
        <v>22.241599999999998</v>
      </c>
      <c r="JL25">
        <v>29.636900000000001</v>
      </c>
      <c r="JM25">
        <v>30.000299999999999</v>
      </c>
      <c r="JN25">
        <v>29.633400000000002</v>
      </c>
      <c r="JO25">
        <v>29.629300000000001</v>
      </c>
      <c r="JP25">
        <v>20.980699999999999</v>
      </c>
      <c r="JQ25">
        <v>20.607500000000002</v>
      </c>
      <c r="JR25">
        <v>50</v>
      </c>
      <c r="JS25">
        <v>22.204899999999999</v>
      </c>
      <c r="JT25">
        <v>411.71300000000002</v>
      </c>
      <c r="JU25">
        <v>20.111599999999999</v>
      </c>
      <c r="JV25">
        <v>102.39</v>
      </c>
      <c r="JW25">
        <v>100.877</v>
      </c>
    </row>
    <row r="26" spans="1:283" x14ac:dyDescent="0.25">
      <c r="A26">
        <v>10</v>
      </c>
      <c r="B26">
        <v>1742525966.0999999</v>
      </c>
      <c r="C26">
        <v>1359.0999999046301</v>
      </c>
      <c r="D26" t="s">
        <v>457</v>
      </c>
      <c r="E26" t="s">
        <v>458</v>
      </c>
      <c r="F26">
        <v>2</v>
      </c>
      <c r="H26">
        <v>1742525957.5999999</v>
      </c>
      <c r="I26">
        <f t="shared" si="0"/>
        <v>3.8568757961650752E-4</v>
      </c>
      <c r="J26">
        <f t="shared" si="1"/>
        <v>0.38568757961650751</v>
      </c>
      <c r="K26">
        <f t="shared" si="2"/>
        <v>0.21645130017030162</v>
      </c>
      <c r="L26">
        <f t="shared" si="3"/>
        <v>410.12187499999999</v>
      </c>
      <c r="M26">
        <f t="shared" si="4"/>
        <v>389.27094105806532</v>
      </c>
      <c r="N26">
        <f t="shared" si="5"/>
        <v>37.419578346623489</v>
      </c>
      <c r="O26">
        <f t="shared" si="6"/>
        <v>39.42392306888754</v>
      </c>
      <c r="P26">
        <f t="shared" si="7"/>
        <v>2.8566829417059823E-2</v>
      </c>
      <c r="Q26">
        <f t="shared" si="8"/>
        <v>3.0165614600589485</v>
      </c>
      <c r="R26">
        <f t="shared" si="9"/>
        <v>2.8417385098468143E-2</v>
      </c>
      <c r="S26">
        <f t="shared" si="10"/>
        <v>1.7774227350990539E-2</v>
      </c>
      <c r="T26">
        <f t="shared" si="11"/>
        <v>16.508550801440933</v>
      </c>
      <c r="U26">
        <f t="shared" si="12"/>
        <v>25.052481769440583</v>
      </c>
      <c r="V26">
        <f t="shared" si="13"/>
        <v>24.967649999999999</v>
      </c>
      <c r="W26">
        <f t="shared" si="14"/>
        <v>3.1735501825668573</v>
      </c>
      <c r="X26">
        <f t="shared" si="15"/>
        <v>59.662317940101161</v>
      </c>
      <c r="Y26">
        <f t="shared" si="16"/>
        <v>1.9033392665279041</v>
      </c>
      <c r="Z26">
        <f t="shared" si="17"/>
        <v>3.1901865905357361</v>
      </c>
      <c r="AA26">
        <f t="shared" si="18"/>
        <v>1.2702109160389532</v>
      </c>
      <c r="AB26">
        <f t="shared" si="19"/>
        <v>-17.008822261087982</v>
      </c>
      <c r="AC26">
        <f t="shared" si="20"/>
        <v>14.263567578207002</v>
      </c>
      <c r="AD26">
        <f t="shared" si="21"/>
        <v>1.0002908291043353</v>
      </c>
      <c r="AE26">
        <f t="shared" si="22"/>
        <v>14.76358694766429</v>
      </c>
      <c r="AF26">
        <v>0</v>
      </c>
      <c r="AG26">
        <v>0</v>
      </c>
      <c r="AH26">
        <f t="shared" si="23"/>
        <v>1</v>
      </c>
      <c r="AI26">
        <f t="shared" si="24"/>
        <v>0</v>
      </c>
      <c r="AJ26">
        <f t="shared" si="25"/>
        <v>51109.633974402837</v>
      </c>
      <c r="AK26" t="s">
        <v>415</v>
      </c>
      <c r="AL26">
        <v>10173.1</v>
      </c>
      <c r="AM26">
        <v>172.44800000000001</v>
      </c>
      <c r="AN26">
        <v>740.47517406175598</v>
      </c>
      <c r="AO26">
        <f t="shared" si="26"/>
        <v>0.76711170604942147</v>
      </c>
      <c r="AP26">
        <v>-1.7981232714261199</v>
      </c>
      <c r="AQ26" t="s">
        <v>459</v>
      </c>
      <c r="AR26">
        <v>10186.4</v>
      </c>
      <c r="AS26">
        <v>253.82376923076899</v>
      </c>
      <c r="AT26">
        <v>892.83920310789404</v>
      </c>
      <c r="AU26">
        <f t="shared" si="27"/>
        <v>0.71571166639274919</v>
      </c>
      <c r="AV26">
        <v>0.5</v>
      </c>
      <c r="AW26">
        <f t="shared" si="28"/>
        <v>84.277203935979756</v>
      </c>
      <c r="AX26">
        <f t="shared" si="29"/>
        <v>0.21645130017030162</v>
      </c>
      <c r="AY26">
        <f t="shared" si="30"/>
        <v>30.159089033970815</v>
      </c>
      <c r="AZ26">
        <f t="shared" si="31"/>
        <v>2.3904145812986045E-2</v>
      </c>
      <c r="BA26">
        <f t="shared" si="32"/>
        <v>-0.17065114134300152</v>
      </c>
      <c r="BB26">
        <f t="shared" si="33"/>
        <v>179.58519199977192</v>
      </c>
      <c r="BC26" t="s">
        <v>417</v>
      </c>
      <c r="BD26">
        <v>0</v>
      </c>
      <c r="BE26">
        <f t="shared" si="34"/>
        <v>179.58519199977192</v>
      </c>
      <c r="BF26">
        <f t="shared" si="35"/>
        <v>0.79886054356187342</v>
      </c>
      <c r="BG26">
        <f t="shared" si="36"/>
        <v>0.89591565406599127</v>
      </c>
      <c r="BH26">
        <f t="shared" si="37"/>
        <v>-0.27164690744877718</v>
      </c>
      <c r="BI26">
        <f t="shared" si="38"/>
        <v>0.88703947399732297</v>
      </c>
      <c r="BJ26">
        <f t="shared" si="39"/>
        <v>-0.26823369726599211</v>
      </c>
      <c r="BK26">
        <f t="shared" si="40"/>
        <v>0.63387753337144337</v>
      </c>
      <c r="BL26">
        <f t="shared" si="41"/>
        <v>0.36612246662855663</v>
      </c>
      <c r="BM26">
        <v>1695</v>
      </c>
      <c r="BN26">
        <v>290</v>
      </c>
      <c r="BO26">
        <v>828.27</v>
      </c>
      <c r="BP26">
        <v>105</v>
      </c>
      <c r="BQ26">
        <v>10186.4</v>
      </c>
      <c r="BR26">
        <v>799</v>
      </c>
      <c r="BS26">
        <v>29.27</v>
      </c>
      <c r="BT26">
        <v>300</v>
      </c>
      <c r="BU26">
        <v>24.1</v>
      </c>
      <c r="BV26">
        <v>892.83920310789404</v>
      </c>
      <c r="BW26">
        <v>3.1059280241187501</v>
      </c>
      <c r="BX26">
        <v>-95.591353952700402</v>
      </c>
      <c r="BY26">
        <v>2.7365997183594999</v>
      </c>
      <c r="BZ26">
        <v>0.97756687187135305</v>
      </c>
      <c r="CA26">
        <v>-8.3254774193548299E-3</v>
      </c>
      <c r="CB26">
        <v>290</v>
      </c>
      <c r="CC26">
        <v>782.46</v>
      </c>
      <c r="CD26">
        <v>645</v>
      </c>
      <c r="CE26">
        <v>10145.4</v>
      </c>
      <c r="CF26">
        <v>798.62</v>
      </c>
      <c r="CG26">
        <v>-16.16</v>
      </c>
      <c r="CU26">
        <f t="shared" si="42"/>
        <v>99.990731249999996</v>
      </c>
      <c r="CV26">
        <f t="shared" si="43"/>
        <v>84.277203935979756</v>
      </c>
      <c r="CW26">
        <f t="shared" si="44"/>
        <v>0.84285016103409849</v>
      </c>
      <c r="CX26">
        <f t="shared" si="45"/>
        <v>0.16510081079580996</v>
      </c>
      <c r="CY26">
        <v>1.9</v>
      </c>
      <c r="CZ26">
        <v>0.5</v>
      </c>
      <c r="DA26" t="s">
        <v>418</v>
      </c>
      <c r="DB26">
        <v>2</v>
      </c>
      <c r="DC26">
        <v>1742525957.5999999</v>
      </c>
      <c r="DD26">
        <v>410.12187499999999</v>
      </c>
      <c r="DE26">
        <v>410.26425</v>
      </c>
      <c r="DF26">
        <v>19.8001875</v>
      </c>
      <c r="DG26">
        <v>19.656512500000002</v>
      </c>
      <c r="DH26">
        <v>407.90387500000003</v>
      </c>
      <c r="DI26">
        <v>19.774481250000001</v>
      </c>
      <c r="DJ26">
        <v>499.94549999999998</v>
      </c>
      <c r="DK26">
        <v>96.0275125</v>
      </c>
      <c r="DL26">
        <v>9.9822987500000002E-2</v>
      </c>
      <c r="DM26">
        <v>25.055356249999999</v>
      </c>
      <c r="DN26">
        <v>24.967649999999999</v>
      </c>
      <c r="DO26">
        <v>999.9</v>
      </c>
      <c r="DP26">
        <v>0</v>
      </c>
      <c r="DQ26">
        <v>0</v>
      </c>
      <c r="DR26">
        <v>10000.349375</v>
      </c>
      <c r="DS26">
        <v>0</v>
      </c>
      <c r="DT26">
        <v>910.2115</v>
      </c>
      <c r="DU26">
        <v>-0.22484408750000001</v>
      </c>
      <c r="DV26">
        <v>418.32237500000002</v>
      </c>
      <c r="DW26">
        <v>418.49018749999999</v>
      </c>
      <c r="DX26">
        <v>0.1436663125</v>
      </c>
      <c r="DY26">
        <v>410.26425</v>
      </c>
      <c r="DZ26">
        <v>19.656512500000002</v>
      </c>
      <c r="EA26">
        <v>1.901363125</v>
      </c>
      <c r="EB26">
        <v>1.8875668750000001</v>
      </c>
      <c r="EC26">
        <v>16.645993749999999</v>
      </c>
      <c r="ED26">
        <v>16.5314625</v>
      </c>
      <c r="EE26">
        <v>99.990731249999996</v>
      </c>
      <c r="EF26">
        <v>0.90001724999999999</v>
      </c>
      <c r="EG26">
        <v>9.9982399999999999E-2</v>
      </c>
      <c r="EH26">
        <v>0</v>
      </c>
      <c r="EI26">
        <v>253.85849999999999</v>
      </c>
      <c r="EJ26">
        <v>5.0006000000000004</v>
      </c>
      <c r="EK26">
        <v>257.95762500000001</v>
      </c>
      <c r="EL26">
        <v>938.76218749999998</v>
      </c>
      <c r="EM26">
        <v>39.0465625</v>
      </c>
      <c r="EN26">
        <v>42.296500000000002</v>
      </c>
      <c r="EO26">
        <v>41.3395625</v>
      </c>
      <c r="EP26">
        <v>41.902124999999998</v>
      </c>
      <c r="EQ26">
        <v>42.050437500000001</v>
      </c>
      <c r="ER26">
        <v>85.493750000000006</v>
      </c>
      <c r="ES26">
        <v>9.5</v>
      </c>
      <c r="ET26">
        <v>0</v>
      </c>
      <c r="EU26">
        <v>151.700000047684</v>
      </c>
      <c r="EV26">
        <v>0</v>
      </c>
      <c r="EW26">
        <v>253.82376923076899</v>
      </c>
      <c r="EX26">
        <v>2.8984615470218902</v>
      </c>
      <c r="EY26">
        <v>0.97651282584314003</v>
      </c>
      <c r="EZ26">
        <v>257.993807692308</v>
      </c>
      <c r="FA26">
        <v>15</v>
      </c>
      <c r="FB26">
        <v>1742525990.0999999</v>
      </c>
      <c r="FC26" t="s">
        <v>460</v>
      </c>
      <c r="FD26">
        <v>1742525990.0999999</v>
      </c>
      <c r="FE26">
        <v>1742525728.0999999</v>
      </c>
      <c r="FF26">
        <v>8</v>
      </c>
      <c r="FG26">
        <v>8.3000000000000004E-2</v>
      </c>
      <c r="FH26">
        <v>1.4E-2</v>
      </c>
      <c r="FI26">
        <v>2.218</v>
      </c>
      <c r="FJ26">
        <v>2.5999999999999999E-2</v>
      </c>
      <c r="FK26">
        <v>410</v>
      </c>
      <c r="FL26">
        <v>20</v>
      </c>
      <c r="FM26">
        <v>0.65</v>
      </c>
      <c r="FN26">
        <v>0.22</v>
      </c>
      <c r="FO26">
        <v>-0.24259157142857099</v>
      </c>
      <c r="FP26">
        <v>0.15674485714285699</v>
      </c>
      <c r="FQ26">
        <v>5.7095804111178303E-2</v>
      </c>
      <c r="FR26">
        <v>1</v>
      </c>
      <c r="FS26">
        <v>253.657735294118</v>
      </c>
      <c r="FT26">
        <v>2.9181818218336399</v>
      </c>
      <c r="FU26">
        <v>0.34286220082465402</v>
      </c>
      <c r="FV26">
        <v>0</v>
      </c>
      <c r="FW26">
        <v>0.16361538095238101</v>
      </c>
      <c r="FX26">
        <v>-0.32076085714285701</v>
      </c>
      <c r="FY26">
        <v>3.3509273257351098E-2</v>
      </c>
      <c r="FZ26">
        <v>0</v>
      </c>
      <c r="GA26">
        <v>1</v>
      </c>
      <c r="GB26">
        <v>3</v>
      </c>
      <c r="GC26" t="s">
        <v>430</v>
      </c>
      <c r="GD26">
        <v>3.14201</v>
      </c>
      <c r="GE26">
        <v>2.7468400000000002</v>
      </c>
      <c r="GF26">
        <v>8.7113899999999994E-2</v>
      </c>
      <c r="GG26">
        <v>8.9722200000000002E-2</v>
      </c>
      <c r="GH26">
        <v>9.6658499999999994E-2</v>
      </c>
      <c r="GI26">
        <v>9.8926E-2</v>
      </c>
      <c r="GJ26">
        <v>24081.3</v>
      </c>
      <c r="GK26">
        <v>30236.3</v>
      </c>
      <c r="GL26">
        <v>26879</v>
      </c>
      <c r="GM26">
        <v>31335.1</v>
      </c>
      <c r="GN26">
        <v>34231.1</v>
      </c>
      <c r="GO26">
        <v>37628.699999999997</v>
      </c>
      <c r="GP26">
        <v>41455.9</v>
      </c>
      <c r="GQ26">
        <v>45433.1</v>
      </c>
      <c r="GR26">
        <v>1.7382200000000001</v>
      </c>
      <c r="GS26">
        <v>1.9673799999999999</v>
      </c>
      <c r="GT26">
        <v>6.2767400000000001E-2</v>
      </c>
      <c r="GU26">
        <v>0</v>
      </c>
      <c r="GV26">
        <v>23.915700000000001</v>
      </c>
      <c r="GW26">
        <v>999.9</v>
      </c>
      <c r="GX26">
        <v>50.835999999999999</v>
      </c>
      <c r="GY26">
        <v>29.838999999999999</v>
      </c>
      <c r="GZ26">
        <v>22.346</v>
      </c>
      <c r="HA26">
        <v>60.188499999999998</v>
      </c>
      <c r="HB26">
        <v>23.669899999999998</v>
      </c>
      <c r="HC26">
        <v>1</v>
      </c>
      <c r="HD26">
        <v>0.21871399999999999</v>
      </c>
      <c r="HE26">
        <v>0.99109199999999997</v>
      </c>
      <c r="HF26">
        <v>20.2056</v>
      </c>
      <c r="HG26">
        <v>5.2229799999999997</v>
      </c>
      <c r="HH26">
        <v>11.975199999999999</v>
      </c>
      <c r="HI26">
        <v>4.9527999999999999</v>
      </c>
      <c r="HJ26">
        <v>3.2850700000000002</v>
      </c>
      <c r="HK26">
        <v>9999</v>
      </c>
      <c r="HL26">
        <v>9999</v>
      </c>
      <c r="HM26">
        <v>999.9</v>
      </c>
      <c r="HN26">
        <v>9999</v>
      </c>
      <c r="HO26">
        <v>1.8595900000000001</v>
      </c>
      <c r="HP26">
        <v>1.86025</v>
      </c>
      <c r="HQ26">
        <v>1.8557699999999999</v>
      </c>
      <c r="HR26">
        <v>1.8585199999999999</v>
      </c>
      <c r="HS26">
        <v>1.8626400000000001</v>
      </c>
      <c r="HT26">
        <v>1.8582099999999999</v>
      </c>
      <c r="HU26">
        <v>1.85503</v>
      </c>
      <c r="HV26">
        <v>1.86252</v>
      </c>
      <c r="HW26">
        <v>5</v>
      </c>
      <c r="HX26">
        <v>0</v>
      </c>
      <c r="HY26">
        <v>0</v>
      </c>
      <c r="HZ26">
        <v>0</v>
      </c>
      <c r="IA26" t="s">
        <v>421</v>
      </c>
      <c r="IB26" t="s">
        <v>422</v>
      </c>
      <c r="IC26" t="s">
        <v>423</v>
      </c>
      <c r="ID26" t="s">
        <v>423</v>
      </c>
      <c r="IE26" t="s">
        <v>423</v>
      </c>
      <c r="IF26" t="s">
        <v>423</v>
      </c>
      <c r="IG26">
        <v>0</v>
      </c>
      <c r="IH26">
        <v>100</v>
      </c>
      <c r="II26">
        <v>100</v>
      </c>
      <c r="IJ26">
        <v>2.218</v>
      </c>
      <c r="IK26">
        <v>2.5700000000000001E-2</v>
      </c>
      <c r="IL26">
        <v>2.13539999999995</v>
      </c>
      <c r="IM26">
        <v>0</v>
      </c>
      <c r="IN26">
        <v>0</v>
      </c>
      <c r="IO26">
        <v>0</v>
      </c>
      <c r="IP26">
        <v>2.5710000000003699E-2</v>
      </c>
      <c r="IQ26">
        <v>0</v>
      </c>
      <c r="IR26">
        <v>0</v>
      </c>
      <c r="IS26">
        <v>0</v>
      </c>
      <c r="IT26">
        <v>-1</v>
      </c>
      <c r="IU26">
        <v>-1</v>
      </c>
      <c r="IV26">
        <v>-1</v>
      </c>
      <c r="IW26">
        <v>-1</v>
      </c>
      <c r="IX26">
        <v>3.8</v>
      </c>
      <c r="IY26">
        <v>4</v>
      </c>
      <c r="IZ26">
        <v>1.0449200000000001</v>
      </c>
      <c r="JA26">
        <v>2.7075200000000001</v>
      </c>
      <c r="JB26">
        <v>1.69678</v>
      </c>
      <c r="JC26">
        <v>2.3571800000000001</v>
      </c>
      <c r="JD26">
        <v>1.4978</v>
      </c>
      <c r="JE26">
        <v>2.3925800000000002</v>
      </c>
      <c r="JF26">
        <v>33.738100000000003</v>
      </c>
      <c r="JG26">
        <v>14.9726</v>
      </c>
      <c r="JH26">
        <v>18</v>
      </c>
      <c r="JI26">
        <v>376.6</v>
      </c>
      <c r="JJ26">
        <v>522.17200000000003</v>
      </c>
      <c r="JK26">
        <v>22.513000000000002</v>
      </c>
      <c r="JL26">
        <v>29.738499999999998</v>
      </c>
      <c r="JM26">
        <v>29.9998</v>
      </c>
      <c r="JN26">
        <v>29.7483</v>
      </c>
      <c r="JO26">
        <v>29.744499999999999</v>
      </c>
      <c r="JP26">
        <v>20.923200000000001</v>
      </c>
      <c r="JQ26">
        <v>23.666399999999999</v>
      </c>
      <c r="JR26">
        <v>50</v>
      </c>
      <c r="JS26">
        <v>22.548500000000001</v>
      </c>
      <c r="JT26">
        <v>410.26499999999999</v>
      </c>
      <c r="JU26">
        <v>19.8475</v>
      </c>
      <c r="JV26">
        <v>102.387</v>
      </c>
      <c r="JW26">
        <v>100.863</v>
      </c>
    </row>
    <row r="27" spans="1:283" x14ac:dyDescent="0.25">
      <c r="A27">
        <v>11</v>
      </c>
      <c r="B27">
        <v>1742526142.0999999</v>
      </c>
      <c r="C27">
        <v>1535.0999999046301</v>
      </c>
      <c r="D27" t="s">
        <v>461</v>
      </c>
      <c r="E27" t="s">
        <v>462</v>
      </c>
      <c r="F27">
        <v>2</v>
      </c>
      <c r="H27">
        <v>1742526133.5999999</v>
      </c>
      <c r="I27">
        <f t="shared" si="0"/>
        <v>-3.0202557988132149E-4</v>
      </c>
      <c r="J27">
        <f t="shared" si="1"/>
        <v>-0.3020255798813215</v>
      </c>
      <c r="K27">
        <f t="shared" si="2"/>
        <v>-0.69432904455290101</v>
      </c>
      <c r="L27">
        <f t="shared" si="3"/>
        <v>410.05337500000002</v>
      </c>
      <c r="M27">
        <f t="shared" si="4"/>
        <v>351.77607877737489</v>
      </c>
      <c r="N27">
        <f t="shared" si="5"/>
        <v>33.81449069225075</v>
      </c>
      <c r="O27">
        <f t="shared" si="6"/>
        <v>39.416398296481624</v>
      </c>
      <c r="P27">
        <f t="shared" si="7"/>
        <v>-2.214371646768382E-2</v>
      </c>
      <c r="Q27">
        <f t="shared" si="8"/>
        <v>3.0160230525800156</v>
      </c>
      <c r="R27">
        <f t="shared" si="9"/>
        <v>-2.2234438269776235E-2</v>
      </c>
      <c r="S27">
        <f t="shared" si="10"/>
        <v>-1.3888342258276665E-2</v>
      </c>
      <c r="T27">
        <f t="shared" si="11"/>
        <v>8.2410879930950269</v>
      </c>
      <c r="U27">
        <f t="shared" si="12"/>
        <v>25.304130684631982</v>
      </c>
      <c r="V27">
        <f t="shared" si="13"/>
        <v>25.047025000000001</v>
      </c>
      <c r="W27">
        <f t="shared" si="14"/>
        <v>3.18860302284603</v>
      </c>
      <c r="X27">
        <f t="shared" si="15"/>
        <v>59.662335429996801</v>
      </c>
      <c r="Y27">
        <f t="shared" si="16"/>
        <v>1.9175510206929844</v>
      </c>
      <c r="Z27">
        <f t="shared" si="17"/>
        <v>3.2140059668681444</v>
      </c>
      <c r="AA27">
        <f t="shared" si="18"/>
        <v>1.2710520021530456</v>
      </c>
      <c r="AB27">
        <f t="shared" si="19"/>
        <v>13.319328072766277</v>
      </c>
      <c r="AC27">
        <f t="shared" si="20"/>
        <v>21.660330494719396</v>
      </c>
      <c r="AD27">
        <f t="shared" si="21"/>
        <v>1.5208527081943448</v>
      </c>
      <c r="AE27">
        <f t="shared" si="22"/>
        <v>44.741599268775047</v>
      </c>
      <c r="AF27">
        <v>0</v>
      </c>
      <c r="AG27">
        <v>0</v>
      </c>
      <c r="AH27">
        <f t="shared" si="23"/>
        <v>1</v>
      </c>
      <c r="AI27">
        <f t="shared" si="24"/>
        <v>0</v>
      </c>
      <c r="AJ27">
        <f t="shared" si="25"/>
        <v>51072.835506893185</v>
      </c>
      <c r="AK27" t="s">
        <v>415</v>
      </c>
      <c r="AL27">
        <v>10173.1</v>
      </c>
      <c r="AM27">
        <v>172.44800000000001</v>
      </c>
      <c r="AN27">
        <v>740.47517406175598</v>
      </c>
      <c r="AO27">
        <f t="shared" si="26"/>
        <v>0.76711170604942147</v>
      </c>
      <c r="AP27">
        <v>-1.7981232714261199</v>
      </c>
      <c r="AQ27" t="s">
        <v>463</v>
      </c>
      <c r="AR27">
        <v>10188.700000000001</v>
      </c>
      <c r="AS27">
        <v>240.107423076923</v>
      </c>
      <c r="AT27">
        <v>924.51403936520398</v>
      </c>
      <c r="AU27">
        <f t="shared" si="27"/>
        <v>0.74028796442962919</v>
      </c>
      <c r="AV27">
        <v>0.5</v>
      </c>
      <c r="AW27">
        <f t="shared" si="28"/>
        <v>42.137735263261668</v>
      </c>
      <c r="AX27">
        <f t="shared" si="29"/>
        <v>-0.69432904455290101</v>
      </c>
      <c r="AY27">
        <f t="shared" si="30"/>
        <v>15.597029131857292</v>
      </c>
      <c r="AZ27">
        <f t="shared" si="31"/>
        <v>2.6194911045339837E-2</v>
      </c>
      <c r="BA27">
        <f t="shared" si="32"/>
        <v>-0.1990655170902694</v>
      </c>
      <c r="BB27">
        <f t="shared" si="33"/>
        <v>180.83134640172779</v>
      </c>
      <c r="BC27" t="s">
        <v>417</v>
      </c>
      <c r="BD27">
        <v>0</v>
      </c>
      <c r="BE27">
        <f t="shared" si="34"/>
        <v>180.83134640172779</v>
      </c>
      <c r="BF27">
        <f t="shared" si="35"/>
        <v>0.80440389361107867</v>
      </c>
      <c r="BG27">
        <f t="shared" si="36"/>
        <v>0.92029386022284843</v>
      </c>
      <c r="BH27">
        <f t="shared" si="37"/>
        <v>-0.32884998673700688</v>
      </c>
      <c r="BI27">
        <f t="shared" si="38"/>
        <v>0.91003526348027586</v>
      </c>
      <c r="BJ27">
        <f t="shared" si="39"/>
        <v>-0.32399658626796485</v>
      </c>
      <c r="BK27">
        <f t="shared" si="40"/>
        <v>0.69309801295075324</v>
      </c>
      <c r="BL27">
        <f t="shared" si="41"/>
        <v>0.30690198704924676</v>
      </c>
      <c r="BM27">
        <v>1696</v>
      </c>
      <c r="BN27">
        <v>290</v>
      </c>
      <c r="BO27">
        <v>862.85</v>
      </c>
      <c r="BP27">
        <v>95</v>
      </c>
      <c r="BQ27">
        <v>10188.700000000001</v>
      </c>
      <c r="BR27">
        <v>834.79</v>
      </c>
      <c r="BS27">
        <v>28.06</v>
      </c>
      <c r="BT27">
        <v>300</v>
      </c>
      <c r="BU27">
        <v>24.1</v>
      </c>
      <c r="BV27">
        <v>924.51403936520398</v>
      </c>
      <c r="BW27">
        <v>3.3356145917159599</v>
      </c>
      <c r="BX27">
        <v>-91.420036496765405</v>
      </c>
      <c r="BY27">
        <v>2.93676596895072</v>
      </c>
      <c r="BZ27">
        <v>0.97191702469029095</v>
      </c>
      <c r="CA27">
        <v>-8.3678482758620699E-3</v>
      </c>
      <c r="CB27">
        <v>290</v>
      </c>
      <c r="CC27">
        <v>816.85</v>
      </c>
      <c r="CD27">
        <v>625</v>
      </c>
      <c r="CE27">
        <v>10148</v>
      </c>
      <c r="CF27">
        <v>834.43</v>
      </c>
      <c r="CG27">
        <v>-17.579999999999998</v>
      </c>
      <c r="CU27">
        <f t="shared" si="42"/>
        <v>50.003243750000003</v>
      </c>
      <c r="CV27">
        <f t="shared" si="43"/>
        <v>42.137735263261668</v>
      </c>
      <c r="CW27">
        <f t="shared" si="44"/>
        <v>0.84270003510045621</v>
      </c>
      <c r="CX27">
        <f t="shared" si="45"/>
        <v>0.16481106774388066</v>
      </c>
      <c r="CY27">
        <v>1.9</v>
      </c>
      <c r="CZ27">
        <v>0.5</v>
      </c>
      <c r="DA27" t="s">
        <v>418</v>
      </c>
      <c r="DB27">
        <v>2</v>
      </c>
      <c r="DC27">
        <v>1742526133.5999999</v>
      </c>
      <c r="DD27">
        <v>410.05337500000002</v>
      </c>
      <c r="DE27">
        <v>409.74250000000001</v>
      </c>
      <c r="DF27">
        <v>19.948506250000001</v>
      </c>
      <c r="DG27">
        <v>20.060974999999999</v>
      </c>
      <c r="DH27">
        <v>407.87599999999998</v>
      </c>
      <c r="DI27">
        <v>19.920606249999999</v>
      </c>
      <c r="DJ27">
        <v>500.0510625</v>
      </c>
      <c r="DK27">
        <v>96.024781250000004</v>
      </c>
      <c r="DL27">
        <v>0.10026173125</v>
      </c>
      <c r="DM27">
        <v>25.1802375</v>
      </c>
      <c r="DN27">
        <v>25.047025000000001</v>
      </c>
      <c r="DO27">
        <v>999.9</v>
      </c>
      <c r="DP27">
        <v>0</v>
      </c>
      <c r="DQ27">
        <v>0</v>
      </c>
      <c r="DR27">
        <v>9997.5043750000004</v>
      </c>
      <c r="DS27">
        <v>0</v>
      </c>
      <c r="DT27">
        <v>912.97262499999999</v>
      </c>
      <c r="DU27">
        <v>0.31089412500000002</v>
      </c>
      <c r="DV27">
        <v>418.4</v>
      </c>
      <c r="DW27">
        <v>418.1305625</v>
      </c>
      <c r="DX27">
        <v>-0.11246731875</v>
      </c>
      <c r="DY27">
        <v>409.74250000000001</v>
      </c>
      <c r="DZ27">
        <v>20.060974999999999</v>
      </c>
      <c r="EA27">
        <v>1.915551875</v>
      </c>
      <c r="EB27">
        <v>1.92635125</v>
      </c>
      <c r="EC27">
        <v>16.763018750000001</v>
      </c>
      <c r="ED27">
        <v>16.851593749999999</v>
      </c>
      <c r="EE27">
        <v>50.003243750000003</v>
      </c>
      <c r="EF27">
        <v>0.89992893750000003</v>
      </c>
      <c r="EG27">
        <v>0.1000711625</v>
      </c>
      <c r="EH27">
        <v>0</v>
      </c>
      <c r="EI27">
        <v>240.09143750000001</v>
      </c>
      <c r="EJ27">
        <v>5.0006000000000004</v>
      </c>
      <c r="EK27">
        <v>112.059625</v>
      </c>
      <c r="EL27">
        <v>444.73668750000002</v>
      </c>
      <c r="EM27">
        <v>38.230312499999997</v>
      </c>
      <c r="EN27">
        <v>41.644374999999997</v>
      </c>
      <c r="EO27">
        <v>40.507750000000001</v>
      </c>
      <c r="EP27">
        <v>41.417625000000001</v>
      </c>
      <c r="EQ27">
        <v>41.311999999999998</v>
      </c>
      <c r="ER27">
        <v>40.498750000000001</v>
      </c>
      <c r="ES27">
        <v>4.5</v>
      </c>
      <c r="ET27">
        <v>0</v>
      </c>
      <c r="EU27">
        <v>174.90000009536701</v>
      </c>
      <c r="EV27">
        <v>0</v>
      </c>
      <c r="EW27">
        <v>240.107423076923</v>
      </c>
      <c r="EX27">
        <v>1.8398290550752601</v>
      </c>
      <c r="EY27">
        <v>-0.53483759036453205</v>
      </c>
      <c r="EZ27">
        <v>112.049076923077</v>
      </c>
      <c r="FA27">
        <v>15</v>
      </c>
      <c r="FB27">
        <v>1742526050.0999999</v>
      </c>
      <c r="FC27" t="s">
        <v>464</v>
      </c>
      <c r="FD27">
        <v>1742526050.0999999</v>
      </c>
      <c r="FE27">
        <v>1742526040.0999999</v>
      </c>
      <c r="FF27">
        <v>9</v>
      </c>
      <c r="FG27">
        <v>-4.1000000000000002E-2</v>
      </c>
      <c r="FH27">
        <v>2E-3</v>
      </c>
      <c r="FI27">
        <v>2.177</v>
      </c>
      <c r="FJ27">
        <v>2.8000000000000001E-2</v>
      </c>
      <c r="FK27">
        <v>410</v>
      </c>
      <c r="FL27">
        <v>20</v>
      </c>
      <c r="FM27">
        <v>0.26</v>
      </c>
      <c r="FN27">
        <v>0.28999999999999998</v>
      </c>
      <c r="FO27">
        <v>0.290491142857143</v>
      </c>
      <c r="FP27">
        <v>0.314477766233767</v>
      </c>
      <c r="FQ27">
        <v>3.8565420368740798E-2</v>
      </c>
      <c r="FR27">
        <v>1</v>
      </c>
      <c r="FS27">
        <v>239.94900000000001</v>
      </c>
      <c r="FT27">
        <v>2.2193124504753299</v>
      </c>
      <c r="FU27">
        <v>0.29516495886398397</v>
      </c>
      <c r="FV27">
        <v>0</v>
      </c>
      <c r="FW27">
        <v>-0.100182495238095</v>
      </c>
      <c r="FX27">
        <v>-0.19735996363636399</v>
      </c>
      <c r="FY27">
        <v>2.20751218093274E-2</v>
      </c>
      <c r="FZ27">
        <v>0</v>
      </c>
      <c r="GA27">
        <v>1</v>
      </c>
      <c r="GB27">
        <v>3</v>
      </c>
      <c r="GC27" t="s">
        <v>430</v>
      </c>
      <c r="GD27">
        <v>3.1420599999999999</v>
      </c>
      <c r="GE27">
        <v>2.7470500000000002</v>
      </c>
      <c r="GF27">
        <v>8.7096400000000004E-2</v>
      </c>
      <c r="GG27">
        <v>8.9639399999999994E-2</v>
      </c>
      <c r="GH27">
        <v>9.7349699999999997E-2</v>
      </c>
      <c r="GI27">
        <v>0.100382</v>
      </c>
      <c r="GJ27">
        <v>24080.9</v>
      </c>
      <c r="GK27">
        <v>30235.8</v>
      </c>
      <c r="GL27">
        <v>26878.400000000001</v>
      </c>
      <c r="GM27">
        <v>31332</v>
      </c>
      <c r="GN27">
        <v>34204.5</v>
      </c>
      <c r="GO27">
        <v>37565.1</v>
      </c>
      <c r="GP27">
        <v>41455.4</v>
      </c>
      <c r="GQ27">
        <v>45429.2</v>
      </c>
      <c r="GR27">
        <v>1.7373000000000001</v>
      </c>
      <c r="GS27">
        <v>1.9648300000000001</v>
      </c>
      <c r="GT27">
        <v>6.32741E-2</v>
      </c>
      <c r="GU27">
        <v>0</v>
      </c>
      <c r="GV27">
        <v>24.010899999999999</v>
      </c>
      <c r="GW27">
        <v>999.9</v>
      </c>
      <c r="GX27">
        <v>50.47</v>
      </c>
      <c r="GY27">
        <v>30.141999999999999</v>
      </c>
      <c r="GZ27">
        <v>22.577999999999999</v>
      </c>
      <c r="HA27">
        <v>60.438499999999998</v>
      </c>
      <c r="HB27">
        <v>23.697900000000001</v>
      </c>
      <c r="HC27">
        <v>1</v>
      </c>
      <c r="HD27">
        <v>0.22547500000000001</v>
      </c>
      <c r="HE27">
        <v>1.2901</v>
      </c>
      <c r="HF27">
        <v>20.204499999999999</v>
      </c>
      <c r="HG27">
        <v>5.2225299999999999</v>
      </c>
      <c r="HH27">
        <v>11.9758</v>
      </c>
      <c r="HI27">
        <v>4.9530500000000002</v>
      </c>
      <c r="HJ27">
        <v>3.2850999999999999</v>
      </c>
      <c r="HK27">
        <v>9999</v>
      </c>
      <c r="HL27">
        <v>9999</v>
      </c>
      <c r="HM27">
        <v>999.9</v>
      </c>
      <c r="HN27">
        <v>9999</v>
      </c>
      <c r="HO27">
        <v>1.8595900000000001</v>
      </c>
      <c r="HP27">
        <v>1.86025</v>
      </c>
      <c r="HQ27">
        <v>1.8557699999999999</v>
      </c>
      <c r="HR27">
        <v>1.85853</v>
      </c>
      <c r="HS27">
        <v>1.8626400000000001</v>
      </c>
      <c r="HT27">
        <v>1.85822</v>
      </c>
      <c r="HU27">
        <v>1.85501</v>
      </c>
      <c r="HV27">
        <v>1.86253</v>
      </c>
      <c r="HW27">
        <v>5</v>
      </c>
      <c r="HX27">
        <v>0</v>
      </c>
      <c r="HY27">
        <v>0</v>
      </c>
      <c r="HZ27">
        <v>0</v>
      </c>
      <c r="IA27" t="s">
        <v>421</v>
      </c>
      <c r="IB27" t="s">
        <v>422</v>
      </c>
      <c r="IC27" t="s">
        <v>423</v>
      </c>
      <c r="ID27" t="s">
        <v>423</v>
      </c>
      <c r="IE27" t="s">
        <v>423</v>
      </c>
      <c r="IF27" t="s">
        <v>423</v>
      </c>
      <c r="IG27">
        <v>0</v>
      </c>
      <c r="IH27">
        <v>100</v>
      </c>
      <c r="II27">
        <v>100</v>
      </c>
      <c r="IJ27">
        <v>2.177</v>
      </c>
      <c r="IK27">
        <v>2.7900000000000001E-2</v>
      </c>
      <c r="IL27">
        <v>2.17739999999998</v>
      </c>
      <c r="IM27">
        <v>0</v>
      </c>
      <c r="IN27">
        <v>0</v>
      </c>
      <c r="IO27">
        <v>0</v>
      </c>
      <c r="IP27">
        <v>2.7900000000006E-2</v>
      </c>
      <c r="IQ27">
        <v>0</v>
      </c>
      <c r="IR27">
        <v>0</v>
      </c>
      <c r="IS27">
        <v>0</v>
      </c>
      <c r="IT27">
        <v>-1</v>
      </c>
      <c r="IU27">
        <v>-1</v>
      </c>
      <c r="IV27">
        <v>-1</v>
      </c>
      <c r="IW27">
        <v>-1</v>
      </c>
      <c r="IX27">
        <v>1.5</v>
      </c>
      <c r="IY27">
        <v>1.7</v>
      </c>
      <c r="IZ27">
        <v>1.0437000000000001</v>
      </c>
      <c r="JA27">
        <v>2.7050800000000002</v>
      </c>
      <c r="JB27">
        <v>1.69678</v>
      </c>
      <c r="JC27">
        <v>2.3559600000000001</v>
      </c>
      <c r="JD27">
        <v>1.4978</v>
      </c>
      <c r="JE27">
        <v>2.3913600000000002</v>
      </c>
      <c r="JF27">
        <v>33.918700000000001</v>
      </c>
      <c r="JG27">
        <v>14.9376</v>
      </c>
      <c r="JH27">
        <v>18</v>
      </c>
      <c r="JI27">
        <v>376.649</v>
      </c>
      <c r="JJ27">
        <v>521.28800000000001</v>
      </c>
      <c r="JK27">
        <v>22.811499999999999</v>
      </c>
      <c r="JL27">
        <v>29.8156</v>
      </c>
      <c r="JM27">
        <v>30.000299999999999</v>
      </c>
      <c r="JN27">
        <v>29.841999999999999</v>
      </c>
      <c r="JO27">
        <v>29.841000000000001</v>
      </c>
      <c r="JP27">
        <v>20.907299999999999</v>
      </c>
      <c r="JQ27">
        <v>21.806999999999999</v>
      </c>
      <c r="JR27">
        <v>50</v>
      </c>
      <c r="JS27">
        <v>22.7865</v>
      </c>
      <c r="JT27">
        <v>409.471</v>
      </c>
      <c r="JU27">
        <v>20.151700000000002</v>
      </c>
      <c r="JV27">
        <v>102.38500000000001</v>
      </c>
      <c r="JW27">
        <v>100.854</v>
      </c>
    </row>
    <row r="28" spans="1:283" x14ac:dyDescent="0.25">
      <c r="A28">
        <v>12</v>
      </c>
      <c r="B28">
        <v>1742526295.0999999</v>
      </c>
      <c r="C28">
        <v>1688.0999999046301</v>
      </c>
      <c r="D28" t="s">
        <v>465</v>
      </c>
      <c r="E28" t="s">
        <v>466</v>
      </c>
      <c r="F28">
        <v>2</v>
      </c>
      <c r="H28">
        <v>1742526287.0999999</v>
      </c>
      <c r="I28">
        <f t="shared" si="0"/>
        <v>4.6201160832432751E-4</v>
      </c>
      <c r="J28">
        <f t="shared" si="1"/>
        <v>0.46201160832432753</v>
      </c>
      <c r="K28">
        <f t="shared" si="2"/>
        <v>-2.5320139233446231</v>
      </c>
      <c r="L28">
        <f t="shared" si="3"/>
        <v>409.97673333333302</v>
      </c>
      <c r="M28">
        <f t="shared" si="4"/>
        <v>517.69338565815519</v>
      </c>
      <c r="N28">
        <f t="shared" si="5"/>
        <v>49.754245697487939</v>
      </c>
      <c r="O28">
        <f t="shared" si="6"/>
        <v>39.401861576013005</v>
      </c>
      <c r="P28">
        <f t="shared" si="7"/>
        <v>3.4614685043889939E-2</v>
      </c>
      <c r="Q28">
        <f t="shared" si="8"/>
        <v>3.0168807782212714</v>
      </c>
      <c r="R28">
        <f t="shared" si="9"/>
        <v>3.4395550121430446E-2</v>
      </c>
      <c r="S28">
        <f t="shared" si="10"/>
        <v>2.1516791429060142E-2</v>
      </c>
      <c r="T28">
        <f t="shared" si="11"/>
        <v>3.9909576574559988E-5</v>
      </c>
      <c r="U28">
        <f t="shared" si="12"/>
        <v>25.008700712544481</v>
      </c>
      <c r="V28">
        <f t="shared" si="13"/>
        <v>24.943259999999999</v>
      </c>
      <c r="W28">
        <f t="shared" si="14"/>
        <v>3.1689373022893426</v>
      </c>
      <c r="X28">
        <f t="shared" si="15"/>
        <v>59.686580304318028</v>
      </c>
      <c r="Y28">
        <f t="shared" si="16"/>
        <v>1.9121161960578863</v>
      </c>
      <c r="Z28">
        <f t="shared" si="17"/>
        <v>3.2035948219998023</v>
      </c>
      <c r="AA28">
        <f t="shared" si="18"/>
        <v>1.2568211062314563</v>
      </c>
      <c r="AB28">
        <f t="shared" si="19"/>
        <v>-20.374711927102844</v>
      </c>
      <c r="AC28">
        <f t="shared" si="20"/>
        <v>29.681824656890441</v>
      </c>
      <c r="AD28">
        <f t="shared" si="21"/>
        <v>2.0818208105335518</v>
      </c>
      <c r="AE28">
        <f t="shared" si="22"/>
        <v>11.388973449897723</v>
      </c>
      <c r="AF28">
        <v>0</v>
      </c>
      <c r="AG28">
        <v>0</v>
      </c>
      <c r="AH28">
        <f t="shared" si="23"/>
        <v>1</v>
      </c>
      <c r="AI28">
        <f t="shared" si="24"/>
        <v>0</v>
      </c>
      <c r="AJ28">
        <f t="shared" si="25"/>
        <v>51106.233094679497</v>
      </c>
      <c r="AK28" t="s">
        <v>467</v>
      </c>
      <c r="AL28">
        <v>10180.200000000001</v>
      </c>
      <c r="AM28">
        <v>191.60769230769199</v>
      </c>
      <c r="AN28">
        <v>979.671341309485</v>
      </c>
      <c r="AO28">
        <f t="shared" si="26"/>
        <v>0.80441635451785476</v>
      </c>
      <c r="AP28">
        <v>-2.5320139233462702</v>
      </c>
      <c r="AQ28" t="s">
        <v>417</v>
      </c>
      <c r="AR28" t="s">
        <v>417</v>
      </c>
      <c r="AS28">
        <v>0</v>
      </c>
      <c r="AT28">
        <v>0</v>
      </c>
      <c r="AU28" t="e">
        <f>1-AS28/AT28</f>
        <v>#DIV/0!</v>
      </c>
      <c r="AV28">
        <v>0.5</v>
      </c>
      <c r="AW28">
        <f t="shared" si="28"/>
        <v>2.1005040302399998E-4</v>
      </c>
      <c r="AX28">
        <f t="shared" si="29"/>
        <v>-2.5320139233446231</v>
      </c>
      <c r="AY28" t="e">
        <f t="shared" si="30"/>
        <v>#DIV/0!</v>
      </c>
      <c r="AZ28">
        <f t="shared" si="31"/>
        <v>7.8415792382254305E-9</v>
      </c>
      <c r="BA28" t="e">
        <f t="shared" si="32"/>
        <v>#DIV/0!</v>
      </c>
      <c r="BB28" t="e">
        <f t="shared" si="33"/>
        <v>#DIV/0!</v>
      </c>
      <c r="BC28" t="s">
        <v>417</v>
      </c>
      <c r="BD28">
        <v>0</v>
      </c>
      <c r="BE28" t="e">
        <f t="shared" si="34"/>
        <v>#DIV/0!</v>
      </c>
      <c r="BF28" t="e">
        <f t="shared" si="35"/>
        <v>#DIV/0!</v>
      </c>
      <c r="BG28" t="e">
        <f t="shared" si="36"/>
        <v>#DIV/0!</v>
      </c>
      <c r="BH28" t="e">
        <f t="shared" si="37"/>
        <v>#DIV/0!</v>
      </c>
      <c r="BI28">
        <f t="shared" si="38"/>
        <v>0</v>
      </c>
      <c r="BJ28">
        <f t="shared" si="39"/>
        <v>1.2431373310396863</v>
      </c>
      <c r="BK28" t="e">
        <f t="shared" si="40"/>
        <v>#DIV/0!</v>
      </c>
      <c r="BL28" t="e">
        <f t="shared" si="41"/>
        <v>#DIV/0!</v>
      </c>
      <c r="BM28">
        <v>1697</v>
      </c>
      <c r="BN28">
        <v>290</v>
      </c>
      <c r="BO28">
        <v>926.45</v>
      </c>
      <c r="BP28">
        <v>145</v>
      </c>
      <c r="BQ28">
        <v>10180.200000000001</v>
      </c>
      <c r="BR28">
        <v>917.02</v>
      </c>
      <c r="BS28">
        <v>9.43</v>
      </c>
      <c r="BT28">
        <v>300</v>
      </c>
      <c r="BU28">
        <v>24.1</v>
      </c>
      <c r="BV28">
        <v>979.671341309485</v>
      </c>
      <c r="BW28">
        <v>2.26301569008365</v>
      </c>
      <c r="BX28">
        <v>-63.7829686552437</v>
      </c>
      <c r="BY28">
        <v>1.99134107617649</v>
      </c>
      <c r="BZ28">
        <v>0.97343279590300402</v>
      </c>
      <c r="CA28">
        <v>-8.4068771968854299E-3</v>
      </c>
      <c r="CB28">
        <v>290</v>
      </c>
      <c r="CC28">
        <v>901.09</v>
      </c>
      <c r="CD28">
        <v>625</v>
      </c>
      <c r="CE28">
        <v>10150.1</v>
      </c>
      <c r="CF28">
        <v>916.83</v>
      </c>
      <c r="CG28">
        <v>-15.74</v>
      </c>
      <c r="CU28">
        <f t="shared" si="42"/>
        <v>5.0006E-3</v>
      </c>
      <c r="CV28">
        <f t="shared" si="43"/>
        <v>2.1005040302399998E-4</v>
      </c>
      <c r="CW28">
        <f t="shared" si="44"/>
        <v>4.2005039999999993E-2</v>
      </c>
      <c r="CX28">
        <f t="shared" si="45"/>
        <v>7.9809575999999979E-3</v>
      </c>
      <c r="CY28">
        <v>1.9</v>
      </c>
      <c r="CZ28">
        <v>0.5</v>
      </c>
      <c r="DA28" t="s">
        <v>418</v>
      </c>
      <c r="DB28">
        <v>2</v>
      </c>
      <c r="DC28">
        <v>1742526287.0999999</v>
      </c>
      <c r="DD28">
        <v>409.97673333333302</v>
      </c>
      <c r="DE28">
        <v>409.08646666666698</v>
      </c>
      <c r="DF28">
        <v>19.895586666666699</v>
      </c>
      <c r="DG28">
        <v>19.723500000000001</v>
      </c>
      <c r="DH28">
        <v>407.84559999999999</v>
      </c>
      <c r="DI28">
        <v>19.858779999999999</v>
      </c>
      <c r="DJ28">
        <v>499.95580000000001</v>
      </c>
      <c r="DK28">
        <v>96.007813333333303</v>
      </c>
      <c r="DL28">
        <v>9.9741979999999994E-2</v>
      </c>
      <c r="DM28">
        <v>25.1257533333333</v>
      </c>
      <c r="DN28">
        <v>24.943259999999999</v>
      </c>
      <c r="DO28">
        <v>999.9</v>
      </c>
      <c r="DP28">
        <v>0</v>
      </c>
      <c r="DQ28">
        <v>0</v>
      </c>
      <c r="DR28">
        <v>10004.258</v>
      </c>
      <c r="DS28">
        <v>0</v>
      </c>
      <c r="DT28">
        <v>913.09900000000005</v>
      </c>
      <c r="DU28">
        <v>0.89030553333333295</v>
      </c>
      <c r="DV28">
        <v>418.29899999999998</v>
      </c>
      <c r="DW28">
        <v>417.31726666666702</v>
      </c>
      <c r="DX28">
        <v>0.17209086666666701</v>
      </c>
      <c r="DY28">
        <v>409.08646666666698</v>
      </c>
      <c r="DZ28">
        <v>19.723500000000001</v>
      </c>
      <c r="EA28">
        <v>1.9101313333333301</v>
      </c>
      <c r="EB28">
        <v>1.8936093333333299</v>
      </c>
      <c r="EC28">
        <v>16.718419999999998</v>
      </c>
      <c r="ED28">
        <v>16.581700000000001</v>
      </c>
      <c r="EE28">
        <v>5.0006E-3</v>
      </c>
      <c r="EF28">
        <v>0</v>
      </c>
      <c r="EG28">
        <v>0</v>
      </c>
      <c r="EH28">
        <v>0</v>
      </c>
      <c r="EI28">
        <v>192.72</v>
      </c>
      <c r="EJ28">
        <v>5.0006E-3</v>
      </c>
      <c r="EK28">
        <v>-21.1466666666667</v>
      </c>
      <c r="EL28">
        <v>-3.7866666666666702</v>
      </c>
      <c r="EM28">
        <v>37.524799999999999</v>
      </c>
      <c r="EN28">
        <v>41.228999999999999</v>
      </c>
      <c r="EO28">
        <v>39.920466666666698</v>
      </c>
      <c r="EP28">
        <v>40.686999999999998</v>
      </c>
      <c r="EQ28">
        <v>40.412199999999999</v>
      </c>
      <c r="ER28">
        <v>0</v>
      </c>
      <c r="ES28">
        <v>0</v>
      </c>
      <c r="ET28">
        <v>0</v>
      </c>
      <c r="EU28">
        <v>151.700000047684</v>
      </c>
      <c r="EV28">
        <v>0</v>
      </c>
      <c r="EW28">
        <v>191.60769230769199</v>
      </c>
      <c r="EX28">
        <v>0.485470225282295</v>
      </c>
      <c r="EY28">
        <v>4.3965811261430696</v>
      </c>
      <c r="EZ28">
        <v>-19.5615384615385</v>
      </c>
      <c r="FA28">
        <v>15</v>
      </c>
      <c r="FB28">
        <v>1742526200.0999999</v>
      </c>
      <c r="FC28" t="s">
        <v>468</v>
      </c>
      <c r="FD28">
        <v>1742526200.0999999</v>
      </c>
      <c r="FE28">
        <v>1742526198.0999999</v>
      </c>
      <c r="FF28">
        <v>10</v>
      </c>
      <c r="FG28">
        <v>-4.5999999999999999E-2</v>
      </c>
      <c r="FH28">
        <v>8.9999999999999993E-3</v>
      </c>
      <c r="FI28">
        <v>2.1309999999999998</v>
      </c>
      <c r="FJ28">
        <v>3.6999999999999998E-2</v>
      </c>
      <c r="FK28">
        <v>409</v>
      </c>
      <c r="FL28">
        <v>20</v>
      </c>
      <c r="FM28">
        <v>0.36</v>
      </c>
      <c r="FN28">
        <v>0.23</v>
      </c>
      <c r="FO28">
        <v>0.91843125000000003</v>
      </c>
      <c r="FP28">
        <v>-0.590179082706766</v>
      </c>
      <c r="FQ28">
        <v>7.3136050999404498E-2</v>
      </c>
      <c r="FR28">
        <v>0</v>
      </c>
      <c r="FS28">
        <v>191.87941176470599</v>
      </c>
      <c r="FT28">
        <v>-7.7326202636858001</v>
      </c>
      <c r="FU28">
        <v>5.1282252067968201</v>
      </c>
      <c r="FV28">
        <v>0</v>
      </c>
      <c r="FW28">
        <v>0.19546405</v>
      </c>
      <c r="FX28">
        <v>-0.43170166917293201</v>
      </c>
      <c r="FY28">
        <v>4.2480795420372003E-2</v>
      </c>
      <c r="FZ28">
        <v>0</v>
      </c>
      <c r="GA28">
        <v>0</v>
      </c>
      <c r="GB28">
        <v>3</v>
      </c>
      <c r="GC28" t="s">
        <v>435</v>
      </c>
      <c r="GD28">
        <v>3.1418499999999998</v>
      </c>
      <c r="GE28">
        <v>2.7470699999999999</v>
      </c>
      <c r="GF28">
        <v>8.7059899999999996E-2</v>
      </c>
      <c r="GG28">
        <v>8.9515399999999995E-2</v>
      </c>
      <c r="GH28">
        <v>9.6923599999999999E-2</v>
      </c>
      <c r="GI28">
        <v>9.92088E-2</v>
      </c>
      <c r="GJ28">
        <v>24080.799999999999</v>
      </c>
      <c r="GK28">
        <v>30233.5</v>
      </c>
      <c r="GL28">
        <v>26877.7</v>
      </c>
      <c r="GM28">
        <v>31325.599999999999</v>
      </c>
      <c r="GN28">
        <v>34220.199999999997</v>
      </c>
      <c r="GO28">
        <v>37607.1</v>
      </c>
      <c r="GP28">
        <v>41454.400000000001</v>
      </c>
      <c r="GQ28">
        <v>45420.5</v>
      </c>
      <c r="GR28">
        <v>1.7365699999999999</v>
      </c>
      <c r="GS28">
        <v>1.9607000000000001</v>
      </c>
      <c r="GT28">
        <v>5.61737E-2</v>
      </c>
      <c r="GU28">
        <v>0</v>
      </c>
      <c r="GV28">
        <v>24.042300000000001</v>
      </c>
      <c r="GW28">
        <v>999.9</v>
      </c>
      <c r="GX28">
        <v>49.762</v>
      </c>
      <c r="GY28">
        <v>30.382999999999999</v>
      </c>
      <c r="GZ28">
        <v>22.5716</v>
      </c>
      <c r="HA28">
        <v>60.138500000000001</v>
      </c>
      <c r="HB28">
        <v>23.7941</v>
      </c>
      <c r="HC28">
        <v>1</v>
      </c>
      <c r="HD28">
        <v>0.23218800000000001</v>
      </c>
      <c r="HE28">
        <v>0.40007100000000001</v>
      </c>
      <c r="HF28">
        <v>20.211099999999998</v>
      </c>
      <c r="HG28">
        <v>5.2232799999999999</v>
      </c>
      <c r="HH28">
        <v>11.976100000000001</v>
      </c>
      <c r="HI28">
        <v>4.9530000000000003</v>
      </c>
      <c r="HJ28">
        <v>3.2851699999999999</v>
      </c>
      <c r="HK28">
        <v>9999</v>
      </c>
      <c r="HL28">
        <v>9999</v>
      </c>
      <c r="HM28">
        <v>999.9</v>
      </c>
      <c r="HN28">
        <v>9999</v>
      </c>
      <c r="HO28">
        <v>1.8595900000000001</v>
      </c>
      <c r="HP28">
        <v>1.8603000000000001</v>
      </c>
      <c r="HQ28">
        <v>1.8557699999999999</v>
      </c>
      <c r="HR28">
        <v>1.85853</v>
      </c>
      <c r="HS28">
        <v>1.8626499999999999</v>
      </c>
      <c r="HT28">
        <v>1.85822</v>
      </c>
      <c r="HU28">
        <v>1.85503</v>
      </c>
      <c r="HV28">
        <v>1.86263</v>
      </c>
      <c r="HW28">
        <v>5</v>
      </c>
      <c r="HX28">
        <v>0</v>
      </c>
      <c r="HY28">
        <v>0</v>
      </c>
      <c r="HZ28">
        <v>0</v>
      </c>
      <c r="IA28" t="s">
        <v>421</v>
      </c>
      <c r="IB28" t="s">
        <v>422</v>
      </c>
      <c r="IC28" t="s">
        <v>423</v>
      </c>
      <c r="ID28" t="s">
        <v>423</v>
      </c>
      <c r="IE28" t="s">
        <v>423</v>
      </c>
      <c r="IF28" t="s">
        <v>423</v>
      </c>
      <c r="IG28">
        <v>0</v>
      </c>
      <c r="IH28">
        <v>100</v>
      </c>
      <c r="II28">
        <v>100</v>
      </c>
      <c r="IJ28">
        <v>2.1309999999999998</v>
      </c>
      <c r="IK28">
        <v>3.6799999999999999E-2</v>
      </c>
      <c r="IL28">
        <v>2.1311000000000599</v>
      </c>
      <c r="IM28">
        <v>0</v>
      </c>
      <c r="IN28">
        <v>0</v>
      </c>
      <c r="IO28">
        <v>0</v>
      </c>
      <c r="IP28">
        <v>3.6810000000002702E-2</v>
      </c>
      <c r="IQ28">
        <v>0</v>
      </c>
      <c r="IR28">
        <v>0</v>
      </c>
      <c r="IS28">
        <v>0</v>
      </c>
      <c r="IT28">
        <v>-1</v>
      </c>
      <c r="IU28">
        <v>-1</v>
      </c>
      <c r="IV28">
        <v>-1</v>
      </c>
      <c r="IW28">
        <v>-1</v>
      </c>
      <c r="IX28">
        <v>1.6</v>
      </c>
      <c r="IY28">
        <v>1.6</v>
      </c>
      <c r="IZ28">
        <v>1.0424800000000001</v>
      </c>
      <c r="JA28">
        <v>2.7099600000000001</v>
      </c>
      <c r="JB28">
        <v>1.69678</v>
      </c>
      <c r="JC28">
        <v>2.3559600000000001</v>
      </c>
      <c r="JD28">
        <v>1.4978</v>
      </c>
      <c r="JE28">
        <v>2.3571800000000001</v>
      </c>
      <c r="JF28">
        <v>34.031799999999997</v>
      </c>
      <c r="JG28">
        <v>14.928800000000001</v>
      </c>
      <c r="JH28">
        <v>18</v>
      </c>
      <c r="JI28">
        <v>376.80700000000002</v>
      </c>
      <c r="JJ28">
        <v>519.34</v>
      </c>
      <c r="JK28">
        <v>23.552</v>
      </c>
      <c r="JL28">
        <v>29.9116</v>
      </c>
      <c r="JM28">
        <v>30.000299999999999</v>
      </c>
      <c r="JN28">
        <v>29.937999999999999</v>
      </c>
      <c r="JO28">
        <v>29.936599999999999</v>
      </c>
      <c r="JP28">
        <v>20.889399999999998</v>
      </c>
      <c r="JQ28">
        <v>21.536999999999999</v>
      </c>
      <c r="JR28">
        <v>50</v>
      </c>
      <c r="JS28">
        <v>23.574999999999999</v>
      </c>
      <c r="JT28">
        <v>409.24</v>
      </c>
      <c r="JU28">
        <v>19.9541</v>
      </c>
      <c r="JV28">
        <v>102.383</v>
      </c>
      <c r="JW28">
        <v>100.834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2025-03-23T11:45:46Z</dcterms:created>
  <dcterms:modified xsi:type="dcterms:W3CDTF">2026-04-02T07:47:18Z</dcterms:modified>
</cp:coreProperties>
</file>