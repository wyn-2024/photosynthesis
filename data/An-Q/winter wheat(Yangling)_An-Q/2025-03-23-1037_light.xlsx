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<sst xmlns="http://schemas.openxmlformats.org/spreadsheetml/2006/main" count="829" uniqueCount="327">
  <si>
    <t>File opened</t>
  </si>
  <si>
    <t>2025-03-23 10:37:27</t>
  </si>
  <si>
    <t>Console s/n</t>
  </si>
  <si>
    <t>68C-831436</t>
  </si>
  <si>
    <t>Console ver</t>
  </si>
  <si>
    <t>Bluestem v.1.3.17</t>
  </si>
  <si>
    <t>Scripts ver</t>
  </si>
  <si>
    <t>2018.12  1.3.16, Nov 2018</t>
  </si>
  <si>
    <t>Head s/n</t>
  </si>
  <si>
    <t>68H-581436</t>
  </si>
  <si>
    <t>Head ver</t>
  </si>
  <si>
    <t>1.3.1</t>
  </si>
  <si>
    <t>Head cal</t>
  </si>
  <si>
    <t>{"h2obspanconc1": "13.95", "co2bzero": "1.00791", "co2bspanconc1": "400", "co2aspan2a": "0.0993914", "oxygen": "21", "h2oazero": "1.0731", "co2aspanconc1": "400", "co2bspanconc2": "296.4", "chamberpressurezero": "2.59485", "flowbzero": "0.39951", "co2aspan1": "0.99659", "h2obspan2b": "0.0689187", "co2bspan2b": "0.0995427", "h2obspan2a": "0.0737568", "co2aspan2b": "0.0987926", "co2aspan2": "-0.0262979", "h2obzero": "1.10269", "h2oaspanconc2": "0", "flowazero": "0.27505", "h2oaspanconc1": "13.95", "tbzero": "0.254639", "co2azero": "0.943354", "co2bspan2": "-0.0259511", "ssa_ref": "30146.4", "h2obspan2": "0", "h2oaspan1": "0.929763", "h2obspanconc2": "0", "h2oaspan2": "0", "h2oaspan2b": "0.0685043", "co2aspanconc2": "296.4", "tazero": "0.156275", "flowmeterzero": "0.995024", "co2bspan1": "0.999317", "ssb_ref": "23621", "h2obspan1": "0.934405", "h2oaspan2a": "0.0736793", "co2bspan2a": "0.0998698"}</t>
  </si>
  <si>
    <t>Chamber type</t>
  </si>
  <si>
    <t>6800-01A</t>
  </si>
  <si>
    <t>Chamber s/n</t>
  </si>
  <si>
    <t>MPF-651348</t>
  </si>
  <si>
    <t>Chamber rev</t>
  </si>
  <si>
    <t>0</t>
  </si>
  <si>
    <t>Chamber cal</t>
  </si>
  <si>
    <t>Fluorometer</t>
  </si>
  <si>
    <t>Flr. Version</t>
  </si>
  <si>
    <t>10:37:27</t>
  </si>
  <si>
    <t>Stability Definition:	ΔCO2 (Meas2): Slp&lt;1 Std&lt;0.1 Per=20	ΔH2O (Meas2): Slp&lt;1 Std&lt;0.1 Per=20	A (GasEx): Slp&lt;1 Std&lt;1 Per=20	gsw (GasEx): Slp&lt;0.1 Std&lt;0.1 Per=20</t>
  </si>
  <si>
    <t>SysConst</t>
  </si>
  <si>
    <t>AvgTime</t>
  </si>
  <si>
    <t>4</t>
  </si>
  <si>
    <t>Oxygen</t>
  </si>
  <si>
    <t>21</t>
  </si>
  <si>
    <t>Chamber</t>
  </si>
  <si>
    <t>6800-01A 6 cm²</t>
  </si>
  <si>
    <t>Const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</si>
  <si>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</si>
  <si>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</si>
  <si>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</si>
  <si>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</si>
  <si>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</si>
  <si>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</si>
  <si>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</si>
  <si>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</si>
  <si>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</si>
  <si>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</si>
  <si>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</si>
  <si>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</si>
  <si>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</si>
  <si>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</si>
  <si>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</si>
  <si>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</si>
  <si>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</si>
  <si>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</si>
  <si>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</si>
  <si>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</si>
  <si>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</si>
  <si>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</si>
  <si>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</si>
  <si>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</si>
  <si>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</si>
  <si>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</si>
  <si>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</si>
  <si>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</si>
  <si>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</si>
  <si>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</si>
  <si>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</si>
  <si>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</si>
  <si>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</si>
  <si>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</si>
  <si>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</si>
  <si>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</si>
  <si>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</si>
  <si>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2.15243 98.5073 371.599 609.008 842.002 1044.95 1233.5 1408.56</t>
  </si>
  <si>
    <t>Fs_true</t>
  </si>
  <si>
    <t>0.133948 112.857 401.318 601.239 800.126 1000.75 1200.4 1400.87</t>
  </si>
  <si>
    <t>leak_wt</t>
  </si>
  <si>
    <t>Sys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</si>
  <si>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</si>
  <si>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</si>
  <si>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</si>
  <si>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</si>
  <si>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</si>
  <si>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</si>
  <si>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</si>
  <si>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</si>
  <si>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</si>
  <si>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</si>
  <si>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</si>
  <si>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</si>
  <si>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</si>
  <si>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</si>
  <si>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</si>
  <si>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</si>
  <si>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</si>
  <si>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</si>
  <si>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</si>
  <si>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</si>
  <si>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</si>
  <si>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</si>
  <si>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</si>
  <si>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</si>
  <si>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</si>
  <si>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</si>
  <si>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</si>
  <si>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</si>
  <si>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</si>
  <si>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</si>
  <si>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</si>
  <si>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</si>
  <si>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</si>
  <si>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</si>
  <si>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</si>
  <si>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</si>
  <si>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</si>
  <si>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</si>
  <si>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</si>
  <si>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</si>
  <si>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</si>
  <si>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</si>
  <si>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</si>
  <si>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</si>
  <si>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</si>
  <si>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</si>
  <si>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</si>
  <si>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</si>
  <si>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</si>
  <si>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</si>
  <si>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</si>
  <si>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</si>
  <si>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</si>
  <si>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</si>
  <si>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</si>
  <si>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</si>
  <si>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</si>
  <si>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</si>
  <si>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</si>
  <si>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</si>
  <si>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</si>
  <si>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</si>
  <si>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</si>
  <si>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</si>
  <si>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</si>
  <si>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</si>
  <si>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</si>
  <si>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</si>
  <si>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</si>
  <si>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</si>
  <si>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</si>
  <si>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</si>
  <si>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</si>
  <si>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</si>
  <si>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</si>
  <si>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</si>
  <si>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</si>
  <si>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</si>
  <si>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</si>
  <si>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</si>
  <si>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</si>
  <si>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</si>
  <si>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</si>
  <si>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</si>
  <si>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</si>
  <si>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</si>
  <si>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</si>
  <si>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</si>
  <si>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</si>
  <si>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</si>
  <si>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</si>
  <si>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</si>
  <si>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</si>
  <si>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</si>
  <si>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</si>
  <si>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</si>
  <si>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</si>
  <si>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</si>
  <si>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</si>
  <si>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</si>
  <si>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</si>
  <si>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</si>
  <si>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</si>
  <si>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</si>
  <si>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</si>
  <si>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</si>
  <si>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</si>
  <si>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</si>
  <si>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</si>
  <si>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</si>
  <si>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</si>
  <si>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</si>
  <si>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</si>
  <si>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</si>
  <si>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</si>
  <si>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</si>
  <si>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</si>
  <si>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</si>
  <si>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</si>
  <si>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</si>
  <si>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</si>
  <si>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</si>
  <si>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</si>
  <si>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</si>
  <si>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</si>
  <si>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</si>
  <si>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</si>
  <si>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</si>
  <si>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</si>
  <si>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</si>
  <si>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</si>
  <si>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</si>
  <si>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</si>
  <si>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</si>
  <si>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</si>
  <si>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</si>
  <si>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</si>
  <si>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</si>
  <si>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</si>
  <si>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</si>
  <si>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</si>
  <si>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</si>
  <si>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</si>
  <si>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</si>
  <si>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</si>
  <si>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</si>
  <si>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</si>
  <si>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</si>
  <si>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</si>
  <si>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</si>
  <si>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</si>
  <si>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</si>
  <si>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</si>
  <si>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</si>
  <si>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</si>
  <si>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</si>
  <si>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</si>
  <si>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</si>
  <si>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</si>
  <si>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</si>
  <si>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</si>
  <si>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</si>
  <si>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</si>
  <si>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</si>
  <si>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</si>
  <si>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</si>
  <si>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</si>
  <si>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</si>
  <si>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</si>
  <si>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</si>
  <si>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</si>
  <si>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</si>
  <si>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</si>
  <si>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</si>
  <si>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</si>
  <si>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</si>
  <si>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</si>
  <si>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</si>
  <si>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</si>
  <si>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</si>
  <si>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</si>
  <si>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</si>
  <si>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</si>
  <si>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</si>
  <si>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</si>
  <si>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</si>
  <si>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</si>
  <si>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</si>
  <si>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</si>
  <si>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</si>
  <si>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</si>
  <si>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</si>
  <si>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</si>
  <si>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</si>
  <si>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</si>
  <si>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</si>
  <si>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</si>
  <si>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</si>
  <si>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</si>
  <si>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mmol mol⁻¹ min⁻¹</t>
  </si>
  <si>
    <t>mol m⁻² s⁻¹ min⁻¹</t>
  </si>
  <si>
    <t>V</t>
  </si>
  <si>
    <t>20180220 03:21:15</t>
  </si>
  <si>
    <t>03:21:15</t>
  </si>
  <si>
    <t>MPF-1208-20180117-06_10_03</t>
  </si>
  <si>
    <t>-</t>
  </si>
  <si>
    <t>0: Broadleaf</t>
  </si>
  <si>
    <t>03:20:35</t>
  </si>
  <si>
    <t>2/4</t>
  </si>
  <si>
    <t>5</t>
  </si>
  <si>
    <t>11111111</t>
  </si>
  <si>
    <t>oooooooo</t>
  </si>
  <si>
    <t>off</t>
  </si>
  <si>
    <t>20180220 03:23:15</t>
  </si>
  <si>
    <t>03:23:15</t>
  </si>
  <si>
    <t>MPF-1209-20180117-06_12_04</t>
  </si>
  <si>
    <t>4/4</t>
  </si>
  <si>
    <t>20180220 03:25:38</t>
  </si>
  <si>
    <t>03:25:38</t>
  </si>
  <si>
    <t>MPF-1210-20180117-06_14_27</t>
  </si>
  <si>
    <t>20180220 03:27:47</t>
  </si>
  <si>
    <t>03:27:47</t>
  </si>
  <si>
    <t>MPF-1211-20180117-06_16_36</t>
  </si>
  <si>
    <t>20180220 03:29:48</t>
  </si>
  <si>
    <t>03:29:48</t>
  </si>
  <si>
    <t>MPF-1212-20180117-06_18_36</t>
  </si>
  <si>
    <t>20180220 03:32:18</t>
  </si>
  <si>
    <t>03:32:18</t>
  </si>
  <si>
    <t>MPF-1213-20180117-06_21_07</t>
  </si>
  <si>
    <t>03:31:16</t>
  </si>
  <si>
    <t>20180220 03:34:35</t>
  </si>
  <si>
    <t>03:34:35</t>
  </si>
  <si>
    <t>MPF-1214-20180117-06_23_24</t>
  </si>
  <si>
    <t>20180220 03:36:36</t>
  </si>
  <si>
    <t>03:36:36</t>
  </si>
  <si>
    <t>MPF-1215-20180117-06_25_24</t>
  </si>
  <si>
    <t>20180220 03:39:01</t>
  </si>
  <si>
    <t>03:39:01</t>
  </si>
  <si>
    <t>MPF-1216-20180117-06_27_50</t>
  </si>
  <si>
    <t>03:38:00</t>
  </si>
  <si>
    <t>20180220 03:41:24</t>
  </si>
  <si>
    <t>03:41:24</t>
  </si>
  <si>
    <t>MPF-1217-20180117-06_30_13</t>
  </si>
  <si>
    <t>03:40:41</t>
  </si>
  <si>
    <t>20180220 03:43:51</t>
  </si>
  <si>
    <t>03:43:51</t>
  </si>
  <si>
    <t>MPF-1218-20180117-06_32_40</t>
  </si>
  <si>
    <t>03:43:17</t>
  </si>
  <si>
    <t>20180220 03:46:08</t>
  </si>
  <si>
    <t>03:46:08</t>
  </si>
  <si>
    <t>MPF-1219-20180117-06_34_57</t>
  </si>
  <si>
    <t>03:45:21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</si>
</sst>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P28"/>
  <sheetViews>
    <sheetView tabSelected="1" workbookViewId="0"/>
  </sheetViews>
  <sheetFormatPr defaultRowHeight="15"/>
  <sheetData>
    <row r="2" spans="1:172">
      <c r="A2" t="s">
        <v>25</v>
      </c>
      <c r="B2" t="s">
        <v>26</v>
      </c>
      <c r="C2" t="s">
        <v>28</v>
      </c>
      <c r="D2" t="s">
        <v>30</v>
      </c>
    </row>
    <row r="3" spans="1:172">
      <c r="B3" t="s">
        <v>27</v>
      </c>
      <c r="C3" t="s">
        <v>29</v>
      </c>
      <c r="D3" t="s">
        <v>31</v>
      </c>
    </row>
    <row r="4" spans="1:172">
      <c r="A4" t="s">
        <v>32</v>
      </c>
      <c r="B4" t="s">
        <v>33</v>
      </c>
    </row>
    <row r="5" spans="1:172">
      <c r="B5">
        <v>2</v>
      </c>
    </row>
    <row r="6" spans="1:172">
      <c r="A6" t="s">
        <v>34</v>
      </c>
      <c r="B6" t="s">
        <v>35</v>
      </c>
      <c r="C6" t="s">
        <v>36</v>
      </c>
      <c r="D6" t="s">
        <v>37</v>
      </c>
      <c r="E6" t="s">
        <v>38</v>
      </c>
    </row>
    <row r="7" spans="1:172">
      <c r="B7">
        <v>0</v>
      </c>
      <c r="C7">
        <v>0</v>
      </c>
      <c r="D7">
        <v>0</v>
      </c>
      <c r="E7">
        <v>1</v>
      </c>
    </row>
    <row r="8" spans="1:172">
      <c r="A8" t="s">
        <v>39</v>
      </c>
      <c r="B8" t="s">
        <v>40</v>
      </c>
      <c r="C8" t="s">
        <v>42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56</v>
      </c>
      <c r="Q8" t="s">
        <v>57</v>
      </c>
    </row>
    <row r="9" spans="1:172">
      <c r="B9" t="s">
        <v>41</v>
      </c>
      <c r="C9" t="s">
        <v>43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</row>
    <row r="11" spans="1:172">
      <c r="B11">
        <v>0</v>
      </c>
      <c r="C11">
        <v>0</v>
      </c>
      <c r="D11">
        <v>0</v>
      </c>
      <c r="E11">
        <v>0</v>
      </c>
      <c r="F11">
        <v>1</v>
      </c>
    </row>
    <row r="12" spans="1:17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71</v>
      </c>
      <c r="H12" t="s">
        <v>73</v>
      </c>
    </row>
    <row r="13" spans="1:172">
      <c r="B13">
        <v>-6276</v>
      </c>
      <c r="C13">
        <v>6.6</v>
      </c>
      <c r="D13">
        <v>1.709e-05</v>
      </c>
      <c r="E13">
        <v>3.11</v>
      </c>
      <c r="F13" t="s">
        <v>70</v>
      </c>
      <c r="G13" t="s">
        <v>72</v>
      </c>
      <c r="H13">
        <v>0</v>
      </c>
    </row>
    <row r="14" spans="1:172">
      <c r="A14" t="s">
        <v>74</v>
      </c>
      <c r="B14" t="s">
        <v>74</v>
      </c>
      <c r="C14" t="s">
        <v>74</v>
      </c>
      <c r="D14" t="s">
        <v>74</v>
      </c>
      <c r="E14" t="s">
        <v>74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78</v>
      </c>
      <c r="BK14" t="s">
        <v>78</v>
      </c>
      <c r="BL14" t="s">
        <v>78</v>
      </c>
      <c r="BM14" t="s">
        <v>32</v>
      </c>
      <c r="BN14" t="s">
        <v>32</v>
      </c>
      <c r="BO14" t="s">
        <v>32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  <c r="BX14" t="s">
        <v>79</v>
      </c>
      <c r="BY14" t="s">
        <v>79</v>
      </c>
      <c r="BZ14" t="s">
        <v>79</v>
      </c>
      <c r="CA14" t="s">
        <v>79</v>
      </c>
      <c r="CB14" t="s">
        <v>79</v>
      </c>
      <c r="CC14" t="s">
        <v>79</v>
      </c>
      <c r="CD14" t="s">
        <v>79</v>
      </c>
      <c r="CE14" t="s">
        <v>79</v>
      </c>
      <c r="CF14" t="s">
        <v>80</v>
      </c>
      <c r="CG14" t="s">
        <v>80</v>
      </c>
      <c r="CH14" t="s">
        <v>80</v>
      </c>
      <c r="CI14" t="s">
        <v>80</v>
      </c>
      <c r="CJ14" t="s">
        <v>80</v>
      </c>
      <c r="CK14" t="s">
        <v>80</v>
      </c>
      <c r="CL14" t="s">
        <v>80</v>
      </c>
      <c r="CM14" t="s">
        <v>80</v>
      </c>
      <c r="CN14" t="s">
        <v>80</v>
      </c>
      <c r="CO14" t="s">
        <v>80</v>
      </c>
      <c r="CP14" t="s">
        <v>80</v>
      </c>
      <c r="CQ14" t="s">
        <v>80</v>
      </c>
      <c r="CR14" t="s">
        <v>80</v>
      </c>
      <c r="CS14" t="s">
        <v>80</v>
      </c>
      <c r="CT14" t="s">
        <v>80</v>
      </c>
      <c r="CU14" t="s">
        <v>80</v>
      </c>
      <c r="CV14" t="s">
        <v>80</v>
      </c>
      <c r="CW14" t="s">
        <v>81</v>
      </c>
      <c r="CX14" t="s">
        <v>81</v>
      </c>
      <c r="CY14" t="s">
        <v>81</v>
      </c>
      <c r="CZ14" t="s">
        <v>81</v>
      </c>
      <c r="DA14" t="s">
        <v>81</v>
      </c>
      <c r="DB14" t="s">
        <v>82</v>
      </c>
      <c r="DC14" t="s">
        <v>82</v>
      </c>
      <c r="DD14" t="s">
        <v>82</v>
      </c>
      <c r="DE14" t="s">
        <v>82</v>
      </c>
      <c r="DF14" t="s">
        <v>82</v>
      </c>
      <c r="DG14" t="s">
        <v>82</v>
      </c>
      <c r="DH14" t="s">
        <v>82</v>
      </c>
      <c r="DI14" t="s">
        <v>82</v>
      </c>
      <c r="DJ14" t="s">
        <v>82</v>
      </c>
      <c r="DK14" t="s">
        <v>83</v>
      </c>
      <c r="DL14" t="s">
        <v>83</v>
      </c>
      <c r="DM14" t="s">
        <v>83</v>
      </c>
      <c r="DN14" t="s">
        <v>83</v>
      </c>
      <c r="DO14" t="s">
        <v>83</v>
      </c>
      <c r="DP14" t="s">
        <v>83</v>
      </c>
      <c r="DQ14" t="s">
        <v>83</v>
      </c>
      <c r="DR14" t="s">
        <v>83</v>
      </c>
      <c r="DS14" t="s">
        <v>83</v>
      </c>
      <c r="DT14" t="s">
        <v>83</v>
      </c>
      <c r="DU14" t="s">
        <v>83</v>
      </c>
      <c r="DV14" t="s">
        <v>83</v>
      </c>
      <c r="DW14" t="s">
        <v>83</v>
      </c>
      <c r="DX14" t="s">
        <v>83</v>
      </c>
      <c r="DY14" t="s">
        <v>83</v>
      </c>
      <c r="DZ14" t="s">
        <v>83</v>
      </c>
      <c r="EA14" t="s">
        <v>83</v>
      </c>
      <c r="EB14" t="s">
        <v>83</v>
      </c>
      <c r="EC14" t="s">
        <v>83</v>
      </c>
      <c r="ED14" t="s">
        <v>84</v>
      </c>
      <c r="EE14" t="s">
        <v>84</v>
      </c>
      <c r="EF14" t="s">
        <v>84</v>
      </c>
      <c r="EG14" t="s">
        <v>84</v>
      </c>
      <c r="EH14" t="s">
        <v>84</v>
      </c>
      <c r="EI14" t="s">
        <v>84</v>
      </c>
      <c r="EJ14" t="s">
        <v>84</v>
      </c>
      <c r="EK14" t="s">
        <v>84</v>
      </c>
      <c r="EL14" t="s">
        <v>84</v>
      </c>
      <c r="EM14" t="s">
        <v>84</v>
      </c>
      <c r="EN14" t="s">
        <v>84</v>
      </c>
      <c r="EO14" t="s">
        <v>84</v>
      </c>
      <c r="EP14" t="s">
        <v>84</v>
      </c>
      <c r="EQ14" t="s">
        <v>84</v>
      </c>
      <c r="ER14" t="s">
        <v>84</v>
      </c>
      <c r="ES14" t="s">
        <v>84</v>
      </c>
      <c r="ET14" t="s">
        <v>84</v>
      </c>
      <c r="EU14" t="s">
        <v>84</v>
      </c>
      <c r="EV14" t="s">
        <v>84</v>
      </c>
      <c r="EW14" t="s">
        <v>85</v>
      </c>
      <c r="EX14" t="s">
        <v>85</v>
      </c>
      <c r="EY14" t="s">
        <v>85</v>
      </c>
      <c r="EZ14" t="s">
        <v>85</v>
      </c>
      <c r="FA14" t="s">
        <v>85</v>
      </c>
      <c r="FB14" t="s">
        <v>85</v>
      </c>
      <c r="FC14" t="s">
        <v>85</v>
      </c>
      <c r="FD14" t="s">
        <v>85</v>
      </c>
      <c r="FE14" t="s">
        <v>85</v>
      </c>
      <c r="FF14" t="s">
        <v>85</v>
      </c>
      <c r="FG14" t="s">
        <v>85</v>
      </c>
      <c r="FH14" t="s">
        <v>85</v>
      </c>
      <c r="FI14" t="s">
        <v>85</v>
      </c>
      <c r="FJ14" t="s">
        <v>85</v>
      </c>
      <c r="FK14" t="s">
        <v>85</v>
      </c>
      <c r="FL14" t="s">
        <v>85</v>
      </c>
      <c r="FM14" t="s">
        <v>85</v>
      </c>
      <c r="FN14" t="s">
        <v>85</v>
      </c>
      <c r="FO14" t="s">
        <v>85</v>
      </c>
      <c r="FP14" t="s">
        <v>85</v>
      </c>
    </row>
    <row r="15" spans="1:172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108</v>
      </c>
      <c r="X15" t="s">
        <v>109</v>
      </c>
      <c r="Y15" t="s">
        <v>110</v>
      </c>
      <c r="Z15" t="s">
        <v>111</v>
      </c>
      <c r="AA15" t="s">
        <v>112</v>
      </c>
      <c r="AB15" t="s">
        <v>113</v>
      </c>
      <c r="AC15" t="s">
        <v>114</v>
      </c>
      <c r="AD15" t="s">
        <v>115</v>
      </c>
      <c r="AE15" t="s">
        <v>116</v>
      </c>
      <c r="AF15" t="s">
        <v>76</v>
      </c>
      <c r="AG15" t="s">
        <v>117</v>
      </c>
      <c r="AH15" t="s">
        <v>118</v>
      </c>
      <c r="AI15" t="s">
        <v>119</v>
      </c>
      <c r="AJ15" t="s">
        <v>120</v>
      </c>
      <c r="AK15" t="s">
        <v>121</v>
      </c>
      <c r="AL15" t="s">
        <v>122</v>
      </c>
      <c r="AM15" t="s">
        <v>123</v>
      </c>
      <c r="AN15" t="s">
        <v>124</v>
      </c>
      <c r="AO15" t="s">
        <v>125</v>
      </c>
      <c r="AP15" t="s">
        <v>126</v>
      </c>
      <c r="AQ15" t="s">
        <v>127</v>
      </c>
      <c r="AR15" t="s">
        <v>128</v>
      </c>
      <c r="AS15" t="s">
        <v>129</v>
      </c>
      <c r="AT15" t="s">
        <v>130</v>
      </c>
      <c r="AU15" t="s">
        <v>131</v>
      </c>
      <c r="AV15" t="s">
        <v>132</v>
      </c>
      <c r="AW15" t="s">
        <v>133</v>
      </c>
      <c r="AX15" t="s">
        <v>134</v>
      </c>
      <c r="AY15" t="s">
        <v>135</v>
      </c>
      <c r="AZ15" t="s">
        <v>136</v>
      </c>
      <c r="BA15" t="s">
        <v>137</v>
      </c>
      <c r="BB15" t="s">
        <v>138</v>
      </c>
      <c r="BC15" t="s">
        <v>139</v>
      </c>
      <c r="BD15" t="s">
        <v>140</v>
      </c>
      <c r="BE15" t="s">
        <v>141</v>
      </c>
      <c r="BF15" t="s">
        <v>142</v>
      </c>
      <c r="BG15" t="s">
        <v>143</v>
      </c>
      <c r="BH15" t="s">
        <v>144</v>
      </c>
      <c r="BI15" t="s">
        <v>145</v>
      </c>
      <c r="BJ15" t="s">
        <v>146</v>
      </c>
      <c r="BK15" t="s">
        <v>147</v>
      </c>
      <c r="BL15" t="s">
        <v>148</v>
      </c>
      <c r="BM15" t="s">
        <v>149</v>
      </c>
      <c r="BN15" t="s">
        <v>150</v>
      </c>
      <c r="BO15" t="s">
        <v>151</v>
      </c>
      <c r="BP15" t="s">
        <v>91</v>
      </c>
      <c r="BQ15" t="s">
        <v>152</v>
      </c>
      <c r="BR15" t="s">
        <v>153</v>
      </c>
      <c r="BS15" t="s">
        <v>154</v>
      </c>
      <c r="BT15" t="s">
        <v>155</v>
      </c>
      <c r="BU15" t="s">
        <v>156</v>
      </c>
      <c r="BV15" t="s">
        <v>157</v>
      </c>
      <c r="BW15" t="s">
        <v>158</v>
      </c>
      <c r="BX15" t="s">
        <v>159</v>
      </c>
      <c r="BY15" t="s">
        <v>160</v>
      </c>
      <c r="BZ15" t="s">
        <v>161</v>
      </c>
      <c r="CA15" t="s">
        <v>162</v>
      </c>
      <c r="CB15" t="s">
        <v>163</v>
      </c>
      <c r="CC15" t="s">
        <v>164</v>
      </c>
      <c r="CD15" t="s">
        <v>165</v>
      </c>
      <c r="CE15" t="s">
        <v>166</v>
      </c>
      <c r="CF15" t="s">
        <v>167</v>
      </c>
      <c r="CG15" t="s">
        <v>168</v>
      </c>
      <c r="CH15" t="s">
        <v>169</v>
      </c>
      <c r="CI15" t="s">
        <v>170</v>
      </c>
      <c r="CJ15" t="s">
        <v>171</v>
      </c>
      <c r="CK15" t="s">
        <v>172</v>
      </c>
      <c r="CL15" t="s">
        <v>173</v>
      </c>
      <c r="CM15" t="s">
        <v>174</v>
      </c>
      <c r="CN15" t="s">
        <v>175</v>
      </c>
      <c r="CO15" t="s">
        <v>176</v>
      </c>
      <c r="CP15" t="s">
        <v>177</v>
      </c>
      <c r="CQ15" t="s">
        <v>178</v>
      </c>
      <c r="CR15" t="s">
        <v>179</v>
      </c>
      <c r="CS15" t="s">
        <v>180</v>
      </c>
      <c r="CT15" t="s">
        <v>181</v>
      </c>
      <c r="CU15" t="s">
        <v>182</v>
      </c>
      <c r="CV15" t="s">
        <v>183</v>
      </c>
      <c r="CW15" t="s">
        <v>184</v>
      </c>
      <c r="CX15" t="s">
        <v>185</v>
      </c>
      <c r="CY15" t="s">
        <v>186</v>
      </c>
      <c r="CZ15" t="s">
        <v>187</v>
      </c>
      <c r="DA15" t="s">
        <v>188</v>
      </c>
      <c r="DB15" t="s">
        <v>87</v>
      </c>
      <c r="DC15" t="s">
        <v>90</v>
      </c>
      <c r="DD15" t="s">
        <v>189</v>
      </c>
      <c r="DE15" t="s">
        <v>190</v>
      </c>
      <c r="DF15" t="s">
        <v>191</v>
      </c>
      <c r="DG15" t="s">
        <v>192</v>
      </c>
      <c r="DH15" t="s">
        <v>193</v>
      </c>
      <c r="DI15" t="s">
        <v>194</v>
      </c>
      <c r="DJ15" t="s">
        <v>195</v>
      </c>
      <c r="DK15" t="s">
        <v>196</v>
      </c>
      <c r="DL15" t="s">
        <v>197</v>
      </c>
      <c r="DM15" t="s">
        <v>198</v>
      </c>
      <c r="DN15" t="s">
        <v>199</v>
      </c>
      <c r="DO15" t="s">
        <v>200</v>
      </c>
      <c r="DP15" t="s">
        <v>201</v>
      </c>
      <c r="DQ15" t="s">
        <v>202</v>
      </c>
      <c r="DR15" t="s">
        <v>203</v>
      </c>
      <c r="DS15" t="s">
        <v>204</v>
      </c>
      <c r="DT15" t="s">
        <v>205</v>
      </c>
      <c r="DU15" t="s">
        <v>206</v>
      </c>
      <c r="DV15" t="s">
        <v>207</v>
      </c>
      <c r="DW15" t="s">
        <v>208</v>
      </c>
      <c r="DX15" t="s">
        <v>209</v>
      </c>
      <c r="DY15" t="s">
        <v>210</v>
      </c>
      <c r="DZ15" t="s">
        <v>211</v>
      </c>
      <c r="EA15" t="s">
        <v>212</v>
      </c>
      <c r="EB15" t="s">
        <v>213</v>
      </c>
      <c r="EC15" t="s">
        <v>214</v>
      </c>
      <c r="ED15" t="s">
        <v>215</v>
      </c>
      <c r="EE15" t="s">
        <v>216</v>
      </c>
      <c r="EF15" t="s">
        <v>217</v>
      </c>
      <c r="EG15" t="s">
        <v>218</v>
      </c>
      <c r="EH15" t="s">
        <v>219</v>
      </c>
      <c r="EI15" t="s">
        <v>220</v>
      </c>
      <c r="EJ15" t="s">
        <v>221</v>
      </c>
      <c r="EK15" t="s">
        <v>222</v>
      </c>
      <c r="EL15" t="s">
        <v>223</v>
      </c>
      <c r="EM15" t="s">
        <v>224</v>
      </c>
      <c r="EN15" t="s">
        <v>225</v>
      </c>
      <c r="EO15" t="s">
        <v>226</v>
      </c>
      <c r="EP15" t="s">
        <v>227</v>
      </c>
      <c r="EQ15" t="s">
        <v>228</v>
      </c>
      <c r="ER15" t="s">
        <v>229</v>
      </c>
      <c r="ES15" t="s">
        <v>230</v>
      </c>
      <c r="ET15" t="s">
        <v>231</v>
      </c>
      <c r="EU15" t="s">
        <v>232</v>
      </c>
      <c r="EV15" t="s">
        <v>233</v>
      </c>
      <c r="EW15" t="s">
        <v>234</v>
      </c>
      <c r="EX15" t="s">
        <v>235</v>
      </c>
      <c r="EY15" t="s">
        <v>236</v>
      </c>
      <c r="EZ15" t="s">
        <v>237</v>
      </c>
      <c r="FA15" t="s">
        <v>238</v>
      </c>
      <c r="FB15" t="s">
        <v>239</v>
      </c>
      <c r="FC15" t="s">
        <v>240</v>
      </c>
      <c r="FD15" t="s">
        <v>241</v>
      </c>
      <c r="FE15" t="s">
        <v>242</v>
      </c>
      <c r="FF15" t="s">
        <v>243</v>
      </c>
      <c r="FG15" t="s">
        <v>244</v>
      </c>
      <c r="FH15" t="s">
        <v>245</v>
      </c>
      <c r="FI15" t="s">
        <v>246</v>
      </c>
      <c r="FJ15" t="s">
        <v>247</v>
      </c>
      <c r="FK15" t="s">
        <v>248</v>
      </c>
      <c r="FL15" t="s">
        <v>249</v>
      </c>
      <c r="FM15" t="s">
        <v>250</v>
      </c>
      <c r="FN15" t="s">
        <v>251</v>
      </c>
      <c r="FO15" t="s">
        <v>252</v>
      </c>
      <c r="FP15" t="s">
        <v>253</v>
      </c>
    </row>
    <row r="16" spans="1:172">
      <c r="B16" t="s">
        <v>254</v>
      </c>
      <c r="C16" t="s">
        <v>254</v>
      </c>
      <c r="F16" t="s">
        <v>254</v>
      </c>
      <c r="G16" t="s">
        <v>255</v>
      </c>
      <c r="H16" t="s">
        <v>256</v>
      </c>
      <c r="I16" t="s">
        <v>257</v>
      </c>
      <c r="J16" t="s">
        <v>257</v>
      </c>
      <c r="K16" t="s">
        <v>157</v>
      </c>
      <c r="L16" t="s">
        <v>157</v>
      </c>
      <c r="M16" t="s">
        <v>255</v>
      </c>
      <c r="N16" t="s">
        <v>255</v>
      </c>
      <c r="O16" t="s">
        <v>255</v>
      </c>
      <c r="P16" t="s">
        <v>255</v>
      </c>
      <c r="Q16" t="s">
        <v>258</v>
      </c>
      <c r="R16" t="s">
        <v>259</v>
      </c>
      <c r="S16" t="s">
        <v>259</v>
      </c>
      <c r="T16" t="s">
        <v>260</v>
      </c>
      <c r="U16" t="s">
        <v>261</v>
      </c>
      <c r="V16" t="s">
        <v>260</v>
      </c>
      <c r="W16" t="s">
        <v>260</v>
      </c>
      <c r="X16" t="s">
        <v>260</v>
      </c>
      <c r="Y16" t="s">
        <v>258</v>
      </c>
      <c r="Z16" t="s">
        <v>258</v>
      </c>
      <c r="AA16" t="s">
        <v>258</v>
      </c>
      <c r="AB16" t="s">
        <v>258</v>
      </c>
      <c r="AF16" t="s">
        <v>262</v>
      </c>
      <c r="AG16" t="s">
        <v>261</v>
      </c>
      <c r="AI16" t="s">
        <v>261</v>
      </c>
      <c r="AJ16" t="s">
        <v>262</v>
      </c>
      <c r="AP16" t="s">
        <v>256</v>
      </c>
      <c r="AV16" t="s">
        <v>256</v>
      </c>
      <c r="AW16" t="s">
        <v>256</v>
      </c>
      <c r="AX16" t="s">
        <v>256</v>
      </c>
      <c r="AZ16" t="s">
        <v>263</v>
      </c>
      <c r="BI16" t="s">
        <v>256</v>
      </c>
      <c r="BJ16" t="s">
        <v>256</v>
      </c>
      <c r="BL16" t="s">
        <v>264</v>
      </c>
      <c r="BM16" t="s">
        <v>265</v>
      </c>
      <c r="BP16" t="s">
        <v>254</v>
      </c>
      <c r="BQ16" t="s">
        <v>257</v>
      </c>
      <c r="BR16" t="s">
        <v>257</v>
      </c>
      <c r="BS16" t="s">
        <v>266</v>
      </c>
      <c r="BT16" t="s">
        <v>266</v>
      </c>
      <c r="BU16" t="s">
        <v>262</v>
      </c>
      <c r="BV16" t="s">
        <v>260</v>
      </c>
      <c r="BW16" t="s">
        <v>260</v>
      </c>
      <c r="BX16" t="s">
        <v>259</v>
      </c>
      <c r="BY16" t="s">
        <v>259</v>
      </c>
      <c r="BZ16" t="s">
        <v>259</v>
      </c>
      <c r="CA16" t="s">
        <v>259</v>
      </c>
      <c r="CB16" t="s">
        <v>259</v>
      </c>
      <c r="CC16" t="s">
        <v>267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268</v>
      </c>
      <c r="CY16" t="s">
        <v>268</v>
      </c>
      <c r="DA16" t="s">
        <v>254</v>
      </c>
      <c r="DB16" t="s">
        <v>269</v>
      </c>
      <c r="DE16" t="s">
        <v>270</v>
      </c>
      <c r="DF16" t="s">
        <v>271</v>
      </c>
      <c r="DG16" t="s">
        <v>270</v>
      </c>
      <c r="DH16" t="s">
        <v>271</v>
      </c>
      <c r="DI16" t="s">
        <v>261</v>
      </c>
      <c r="DJ16" t="s">
        <v>261</v>
      </c>
      <c r="DK16" t="s">
        <v>256</v>
      </c>
      <c r="DL16" t="s">
        <v>272</v>
      </c>
      <c r="DM16" t="s">
        <v>256</v>
      </c>
      <c r="DO16" t="s">
        <v>257</v>
      </c>
      <c r="DP16" t="s">
        <v>273</v>
      </c>
      <c r="DQ16" t="s">
        <v>257</v>
      </c>
      <c r="DS16" t="s">
        <v>266</v>
      </c>
      <c r="DT16" t="s">
        <v>274</v>
      </c>
      <c r="DU16" t="s">
        <v>266</v>
      </c>
      <c r="DW16" t="s">
        <v>255</v>
      </c>
      <c r="DX16" t="s">
        <v>275</v>
      </c>
      <c r="DY16" t="s">
        <v>255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N16" t="s">
        <v>276</v>
      </c>
      <c r="EO16" t="s">
        <v>276</v>
      </c>
      <c r="EV16" t="s">
        <v>276</v>
      </c>
      <c r="EW16" t="s">
        <v>261</v>
      </c>
      <c r="EX16" t="s">
        <v>261</v>
      </c>
      <c r="EY16" t="s">
        <v>270</v>
      </c>
      <c r="EZ16" t="s">
        <v>271</v>
      </c>
      <c r="FB16" t="s">
        <v>262</v>
      </c>
      <c r="FC16" t="s">
        <v>262</v>
      </c>
      <c r="FD16" t="s">
        <v>259</v>
      </c>
      <c r="FE16" t="s">
        <v>259</v>
      </c>
      <c r="FF16" t="s">
        <v>259</v>
      </c>
      <c r="FG16" t="s">
        <v>259</v>
      </c>
      <c r="FH16" t="s">
        <v>259</v>
      </c>
      <c r="FI16" t="s">
        <v>261</v>
      </c>
      <c r="FJ16" t="s">
        <v>261</v>
      </c>
      <c r="FK16" t="s">
        <v>261</v>
      </c>
      <c r="FL16" t="s">
        <v>259</v>
      </c>
      <c r="FM16" t="s">
        <v>257</v>
      </c>
      <c r="FN16" t="s">
        <v>266</v>
      </c>
      <c r="FO16" t="s">
        <v>261</v>
      </c>
      <c r="FP16" t="s">
        <v>261</v>
      </c>
    </row>
    <row r="17" spans="1:172">
      <c r="A17">
        <v>1</v>
      </c>
      <c r="B17">
        <v>1519068075</v>
      </c>
      <c r="C17">
        <v>0</v>
      </c>
      <c r="D17" t="s">
        <v>277</v>
      </c>
      <c r="E17" t="s">
        <v>278</v>
      </c>
      <c r="F17">
        <v>1519068067</v>
      </c>
      <c r="G17">
        <f>BU17*AH17*(BS17-BT17)/(100*BM17*(1000-AH17*BS17))</f>
        <v>0</v>
      </c>
      <c r="H17">
        <f>BU17*AH17*(BR17-BQ17*(1000-AH17*BT17)/(1000-AH17*BS17))/(100*BM17)</f>
        <v>0</v>
      </c>
      <c r="I17">
        <f>BQ17 - IF(AH17&gt;1, H17*BM17*100.0/(AJ17*CC17), 0)</f>
        <v>0</v>
      </c>
      <c r="J17">
        <f>((P17-G17/2)*I17-H17)/(P17+G17/2)</f>
        <v>0</v>
      </c>
      <c r="K17">
        <f>J17*(BV17+BW17)/1000.0</f>
        <v>0</v>
      </c>
      <c r="L17">
        <f>(BQ17 - IF(AH17&gt;1, H17*BM17*100.0/(AJ17*CC17), 0))*(BV17+BW17)/1000.0</f>
        <v>0</v>
      </c>
      <c r="M17">
        <f>2.0/((1/O17-1/N17)+SIGN(O17)*SQRT((1/O17-1/N17)*(1/O17-1/N17) + 4*BN17/((BN17+1)*(BN17+1))*(2*1/O17*1/N17-1/N17*1/N17)))</f>
        <v>0</v>
      </c>
      <c r="N17">
        <f>AE17+AD17*BM17+AC17*BM17*BM17</f>
        <v>0</v>
      </c>
      <c r="O17">
        <f>G17*(1000-(1000*0.61365*exp(17.502*S17/(240.97+S17))/(BV17+BW17)+BS17)/2)/(1000*0.61365*exp(17.502*S17/(240.97+S17))/(BV17+BW17)-BS17)</f>
        <v>0</v>
      </c>
      <c r="P17">
        <f>1/((BN17+1)/(M17/1.6)+1/(N17/1.37)) + BN17/((BN17+1)/(M17/1.6) + BN17/(N17/1.37))</f>
        <v>0</v>
      </c>
      <c r="Q17">
        <f>(BJ17*BL17)</f>
        <v>0</v>
      </c>
      <c r="R17">
        <f>(BX17+(Q17+2*0.95*5.67E-8*(((BX17+$B$7)+273)^4-(BX17+273)^4)-44100*G17)/(1.84*29.3*N17+8*0.95*5.67E-8*(BX17+273)^3))</f>
        <v>0</v>
      </c>
      <c r="S17">
        <f>($C$7*BY17+$D$7*BZ17+$E$7*R17)</f>
        <v>0</v>
      </c>
      <c r="T17">
        <f>0.61365*exp(17.502*S17/(240.97+S17))</f>
        <v>0</v>
      </c>
      <c r="U17">
        <f>(V17/W17*100)</f>
        <v>0</v>
      </c>
      <c r="V17">
        <f>BS17*(BV17+BW17)/1000</f>
        <v>0</v>
      </c>
      <c r="W17">
        <f>0.61365*exp(17.502*BX17/(240.97+BX17))</f>
        <v>0</v>
      </c>
      <c r="X17">
        <f>(T17-BS17*(BV17+BW17)/1000)</f>
        <v>0</v>
      </c>
      <c r="Y17">
        <f>(-G17*44100)</f>
        <v>0</v>
      </c>
      <c r="Z17">
        <f>2*29.3*N17*0.92*(BX17-S17)</f>
        <v>0</v>
      </c>
      <c r="AA17">
        <f>2*0.95*5.67E-8*(((BX17+$B$7)+273)^4-(S17+273)^4)</f>
        <v>0</v>
      </c>
      <c r="AB17">
        <f>Q17+AA17+Y17+Z17</f>
        <v>0</v>
      </c>
      <c r="AC17">
        <v>-0.0398631978728963</v>
      </c>
      <c r="AD17">
        <v>0.0447499318202615</v>
      </c>
      <c r="AE17">
        <v>3.3670401108224</v>
      </c>
      <c r="AF17">
        <v>0</v>
      </c>
      <c r="AG17">
        <v>0</v>
      </c>
      <c r="AH17">
        <f>IF(AF17*$H$13&gt;=AJ17,1.0,(AJ17/(AJ17-AF17*$H$13)))</f>
        <v>0</v>
      </c>
      <c r="AI17">
        <f>(AH17-1)*100</f>
        <v>0</v>
      </c>
      <c r="AJ17">
        <f>MAX(0,($B$13+$C$13*CC17)/(1+$D$13*CC17)*BV17/(BX17+273)*$E$13)</f>
        <v>0</v>
      </c>
      <c r="AK17">
        <v>0</v>
      </c>
      <c r="AL17">
        <v>282.050384615385</v>
      </c>
      <c r="AM17">
        <v>2644.25</v>
      </c>
      <c r="AN17">
        <f>AM17-AL17</f>
        <v>0</v>
      </c>
      <c r="AO17">
        <f>AN17/AM17</f>
        <v>0</v>
      </c>
      <c r="AP17">
        <v>-152.220269057172</v>
      </c>
      <c r="AQ17" t="s">
        <v>279</v>
      </c>
      <c r="AR17">
        <v>645.373038461538</v>
      </c>
      <c r="AS17">
        <v>932.754</v>
      </c>
      <c r="AT17">
        <f>1-AR17/AS17</f>
        <v>0</v>
      </c>
      <c r="AU17">
        <v>0.5</v>
      </c>
      <c r="AV17">
        <f>BJ17</f>
        <v>0</v>
      </c>
      <c r="AW17">
        <f>H17</f>
        <v>0</v>
      </c>
      <c r="AX17">
        <f>AT17*AU17*AV17</f>
        <v>0</v>
      </c>
      <c r="AY17">
        <f>BD17/AS17</f>
        <v>0</v>
      </c>
      <c r="AZ17">
        <f>(AW17-AP17)/AV17</f>
        <v>0</v>
      </c>
      <c r="BA17">
        <f>(AM17-AS17)/AS17</f>
        <v>0</v>
      </c>
      <c r="BB17" t="s">
        <v>280</v>
      </c>
      <c r="BC17">
        <v>0</v>
      </c>
      <c r="BD17">
        <f>AS17-BC17</f>
        <v>0</v>
      </c>
      <c r="BE17">
        <f>(AS17-AR17)/(AS17-BC17)</f>
        <v>0</v>
      </c>
      <c r="BF17">
        <f>(AM17-AS17)/(AM17-BC17)</f>
        <v>0</v>
      </c>
      <c r="BG17">
        <f>(AS17-AR17)/(AS17-AL17)</f>
        <v>0</v>
      </c>
      <c r="BH17">
        <f>(AM17-AS17)/(AM17-AL17)</f>
        <v>0</v>
      </c>
      <c r="BI17">
        <f>$B$11*CD17+$C$11*CE17+$F$11*CF17</f>
        <v>0</v>
      </c>
      <c r="BJ17">
        <f>BI17*BK17</f>
        <v>0</v>
      </c>
      <c r="BK17">
        <f>($B$11*$D$9+$C$11*$D$9+$F$11*((CS17+CK17)/MAX(CS17+CK17+CT17, 0.1)*$I$9+CT17/MAX(CS17+CK17+CT17, 0.1)*$J$9))/($B$11+$C$11+$F$11)</f>
        <v>0</v>
      </c>
      <c r="BL17">
        <f>($B$11*$K$9+$C$11*$K$9+$F$11*((CS17+CK17)/MAX(CS17+CK17+CT17, 0.1)*$P$9+CT17/MAX(CS17+CK17+CT17, 0.1)*$Q$9))/($B$11+$C$11+$F$11)</f>
        <v>0</v>
      </c>
      <c r="BM17">
        <v>5.5</v>
      </c>
      <c r="BN17">
        <v>0.5</v>
      </c>
      <c r="BO17" t="s">
        <v>281</v>
      </c>
      <c r="BP17">
        <v>1519068067</v>
      </c>
      <c r="BQ17">
        <v>409.68264516129</v>
      </c>
      <c r="BR17">
        <v>449.051032258065</v>
      </c>
      <c r="BS17">
        <v>20.1784806451613</v>
      </c>
      <c r="BT17">
        <v>15.0502935483871</v>
      </c>
      <c r="BU17">
        <v>499.886419354839</v>
      </c>
      <c r="BV17">
        <v>96.0909903225807</v>
      </c>
      <c r="BW17">
        <v>0.0937440741935484</v>
      </c>
      <c r="BX17">
        <v>25.1491741935484</v>
      </c>
      <c r="BY17">
        <v>25.0105548387097</v>
      </c>
      <c r="BZ17">
        <v>999.9</v>
      </c>
      <c r="CA17">
        <v>0</v>
      </c>
      <c r="CB17">
        <v>0</v>
      </c>
      <c r="CC17">
        <v>10004.2719354839</v>
      </c>
      <c r="CD17">
        <v>0</v>
      </c>
      <c r="CE17">
        <v>1302.30741935484</v>
      </c>
      <c r="CF17">
        <v>2000.00225806452</v>
      </c>
      <c r="CG17">
        <v>0.980003258064516</v>
      </c>
      <c r="CH17">
        <v>0.0199964</v>
      </c>
      <c r="CI17">
        <v>0</v>
      </c>
      <c r="CJ17">
        <v>645.386677419355</v>
      </c>
      <c r="CK17">
        <v>4.9994</v>
      </c>
      <c r="CL17">
        <v>12978.3548387097</v>
      </c>
      <c r="CM17">
        <v>16314.9032258065</v>
      </c>
      <c r="CN17">
        <v>44.7296774193548</v>
      </c>
      <c r="CO17">
        <v>45.187</v>
      </c>
      <c r="CP17">
        <v>45.258</v>
      </c>
      <c r="CQ17">
        <v>44.75</v>
      </c>
      <c r="CR17">
        <v>46.058</v>
      </c>
      <c r="CS17">
        <v>1955.11096774194</v>
      </c>
      <c r="CT17">
        <v>39.8912903225807</v>
      </c>
      <c r="CU17">
        <v>0</v>
      </c>
      <c r="CV17">
        <v>1516140603.1</v>
      </c>
      <c r="CW17">
        <v>645.373038461538</v>
      </c>
      <c r="CX17">
        <v>-1.42588034674346</v>
      </c>
      <c r="CY17">
        <v>-25.1965811541531</v>
      </c>
      <c r="CZ17">
        <v>12978.2538461538</v>
      </c>
      <c r="DA17">
        <v>15</v>
      </c>
      <c r="DB17">
        <v>1519068035.5</v>
      </c>
      <c r="DC17" t="s">
        <v>282</v>
      </c>
      <c r="DD17">
        <v>2</v>
      </c>
      <c r="DE17">
        <v>0.814</v>
      </c>
      <c r="DF17">
        <v>0.117</v>
      </c>
      <c r="DG17">
        <v>450</v>
      </c>
      <c r="DH17">
        <v>15</v>
      </c>
      <c r="DI17">
        <v>0.03</v>
      </c>
      <c r="DJ17">
        <v>0.01</v>
      </c>
      <c r="DK17">
        <v>35.4031294871004</v>
      </c>
      <c r="DL17">
        <v>-12.0977831450724</v>
      </c>
      <c r="DM17">
        <v>2.47423787616353</v>
      </c>
      <c r="DN17">
        <v>0</v>
      </c>
      <c r="DO17">
        <v>-39.6395731707317</v>
      </c>
      <c r="DP17">
        <v>-0.84332822299648</v>
      </c>
      <c r="DQ17">
        <v>1.23877982374561</v>
      </c>
      <c r="DR17">
        <v>0</v>
      </c>
      <c r="DS17">
        <v>5.10126780487805</v>
      </c>
      <c r="DT17">
        <v>0.547932752613242</v>
      </c>
      <c r="DU17">
        <v>0.0581728084795719</v>
      </c>
      <c r="DV17">
        <v>1</v>
      </c>
      <c r="DW17">
        <v>0.327073035279999</v>
      </c>
      <c r="DX17">
        <v>0.0990364868613143</v>
      </c>
      <c r="DY17">
        <v>0.0146435444659506</v>
      </c>
      <c r="DZ17">
        <v>1</v>
      </c>
      <c r="EA17">
        <v>2</v>
      </c>
      <c r="EB17">
        <v>4</v>
      </c>
      <c r="EC17" t="s">
        <v>283</v>
      </c>
      <c r="ED17">
        <v>1.84909</v>
      </c>
      <c r="EE17">
        <v>1.85333</v>
      </c>
      <c r="EF17">
        <v>1.85211</v>
      </c>
      <c r="EG17">
        <v>1.85639</v>
      </c>
      <c r="EH17">
        <v>1.85418</v>
      </c>
      <c r="EI17">
        <v>1.85455</v>
      </c>
      <c r="EJ17">
        <v>1.84675</v>
      </c>
      <c r="EK17">
        <v>1.85142</v>
      </c>
      <c r="EL17" t="s">
        <v>284</v>
      </c>
      <c r="EM17" t="s">
        <v>19</v>
      </c>
      <c r="EN17" t="s">
        <v>19</v>
      </c>
      <c r="EO17" t="s">
        <v>19</v>
      </c>
      <c r="EP17" t="s">
        <v>285</v>
      </c>
      <c r="EQ17" t="s">
        <v>286</v>
      </c>
      <c r="ER17" t="s">
        <v>287</v>
      </c>
      <c r="ES17" t="s">
        <v>287</v>
      </c>
      <c r="ET17" t="s">
        <v>287</v>
      </c>
      <c r="EU17" t="s">
        <v>287</v>
      </c>
      <c r="EV17">
        <v>0</v>
      </c>
      <c r="EW17">
        <v>100</v>
      </c>
      <c r="EX17">
        <v>100</v>
      </c>
      <c r="EY17">
        <v>0.814</v>
      </c>
      <c r="EZ17">
        <v>0.117</v>
      </c>
      <c r="FA17">
        <v>2</v>
      </c>
      <c r="FB17">
        <v>501.776</v>
      </c>
      <c r="FC17">
        <v>293.693</v>
      </c>
      <c r="FD17">
        <v>20.2042</v>
      </c>
      <c r="FE17">
        <v>29.1071</v>
      </c>
      <c r="FF17">
        <v>30.0001</v>
      </c>
      <c r="FG17">
        <v>29.39</v>
      </c>
      <c r="FH17">
        <v>29.3348</v>
      </c>
      <c r="FI17">
        <v>19.0205</v>
      </c>
      <c r="FJ17">
        <v>34.485</v>
      </c>
      <c r="FK17">
        <v>44.8812</v>
      </c>
      <c r="FL17">
        <v>20.2022</v>
      </c>
      <c r="FM17">
        <v>449.529</v>
      </c>
      <c r="FN17">
        <v>14.9139</v>
      </c>
      <c r="FO17">
        <v>100.1</v>
      </c>
      <c r="FP17">
        <v>118.923</v>
      </c>
    </row>
    <row r="18" spans="1:172">
      <c r="A18">
        <v>2</v>
      </c>
      <c r="B18">
        <v>1519068195.5</v>
      </c>
      <c r="C18">
        <v>120.5</v>
      </c>
      <c r="D18" t="s">
        <v>288</v>
      </c>
      <c r="E18" t="s">
        <v>289</v>
      </c>
      <c r="F18">
        <v>1519068187.5</v>
      </c>
      <c r="G18">
        <f>BU18*AH18*(BS18-BT18)/(100*BM18*(1000-AH18*BS18))</f>
        <v>0</v>
      </c>
      <c r="H18">
        <f>BU18*AH18*(BR18-BQ18*(1000-AH18*BT18)/(1000-AH18*BS18))/(100*BM18)</f>
        <v>0</v>
      </c>
      <c r="I18">
        <f>BQ18 - IF(AH18&gt;1, H18*BM18*100.0/(AJ18*CC18), 0)</f>
        <v>0</v>
      </c>
      <c r="J18">
        <f>((P18-G18/2)*I18-H18)/(P18+G18/2)</f>
        <v>0</v>
      </c>
      <c r="K18">
        <f>J18*(BV18+BW18)/1000.0</f>
        <v>0</v>
      </c>
      <c r="L18">
        <f>(BQ18 - IF(AH18&gt;1, H18*BM18*100.0/(AJ18*CC18), 0))*(BV18+BW18)/1000.0</f>
        <v>0</v>
      </c>
      <c r="M18">
        <f>2.0/((1/O18-1/N18)+SIGN(O18)*SQRT((1/O18-1/N18)*(1/O18-1/N18) + 4*BN18/((BN18+1)*(BN18+1))*(2*1/O18*1/N18-1/N18*1/N18)))</f>
        <v>0</v>
      </c>
      <c r="N18">
        <f>AE18+AD18*BM18+AC18*BM18*BM18</f>
        <v>0</v>
      </c>
      <c r="O18">
        <f>G18*(1000-(1000*0.61365*exp(17.502*S18/(240.97+S18))/(BV18+BW18)+BS18)/2)/(1000*0.61365*exp(17.502*S18/(240.97+S18))/(BV18+BW18)-BS18)</f>
        <v>0</v>
      </c>
      <c r="P18">
        <f>1/((BN18+1)/(M18/1.6)+1/(N18/1.37)) + BN18/((BN18+1)/(M18/1.6) + BN18/(N18/1.37))</f>
        <v>0</v>
      </c>
      <c r="Q18">
        <f>(BJ18*BL18)</f>
        <v>0</v>
      </c>
      <c r="R18">
        <f>(BX18+(Q18+2*0.95*5.67E-8*(((BX18+$B$7)+273)^4-(BX18+273)^4)-44100*G18)/(1.84*29.3*N18+8*0.95*5.67E-8*(BX18+273)^3))</f>
        <v>0</v>
      </c>
      <c r="S18">
        <f>($C$7*BY18+$D$7*BZ18+$E$7*R18)</f>
        <v>0</v>
      </c>
      <c r="T18">
        <f>0.61365*exp(17.502*S18/(240.97+S18))</f>
        <v>0</v>
      </c>
      <c r="U18">
        <f>(V18/W18*100)</f>
        <v>0</v>
      </c>
      <c r="V18">
        <f>BS18*(BV18+BW18)/1000</f>
        <v>0</v>
      </c>
      <c r="W18">
        <f>0.61365*exp(17.502*BX18/(240.97+BX18))</f>
        <v>0</v>
      </c>
      <c r="X18">
        <f>(T18-BS18*(BV18+BW18)/1000)</f>
        <v>0</v>
      </c>
      <c r="Y18">
        <f>(-G18*44100)</f>
        <v>0</v>
      </c>
      <c r="Z18">
        <f>2*29.3*N18*0.92*(BX18-S18)</f>
        <v>0</v>
      </c>
      <c r="AA18">
        <f>2*0.95*5.67E-8*(((BX18+$B$7)+273)^4-(S18+273)^4)</f>
        <v>0</v>
      </c>
      <c r="AB18">
        <f>Q18+AA18+Y18+Z18</f>
        <v>0</v>
      </c>
      <c r="AC18">
        <v>-0.0398422875543914</v>
      </c>
      <c r="AD18">
        <v>0.0447264581558953</v>
      </c>
      <c r="AE18">
        <v>3.36563603312691</v>
      </c>
      <c r="AF18">
        <v>0</v>
      </c>
      <c r="AG18">
        <v>0</v>
      </c>
      <c r="AH18">
        <f>IF(AF18*$H$13&gt;=AJ18,1.0,(AJ18/(AJ18-AF18*$H$13)))</f>
        <v>0</v>
      </c>
      <c r="AI18">
        <f>(AH18-1)*100</f>
        <v>0</v>
      </c>
      <c r="AJ18">
        <f>MAX(0,($B$13+$C$13*CC18)/(1+$D$13*CC18)*BV18/(BX18+273)*$E$13)</f>
        <v>0</v>
      </c>
      <c r="AK18">
        <v>0</v>
      </c>
      <c r="AL18">
        <v>282.050384615385</v>
      </c>
      <c r="AM18">
        <v>2644.25</v>
      </c>
      <c r="AN18">
        <f>AM18-AL18</f>
        <v>0</v>
      </c>
      <c r="AO18">
        <f>AN18/AM18</f>
        <v>0</v>
      </c>
      <c r="AP18">
        <v>-152.220269057172</v>
      </c>
      <c r="AQ18" t="s">
        <v>290</v>
      </c>
      <c r="AR18">
        <v>650.7205</v>
      </c>
      <c r="AS18">
        <v>978.439</v>
      </c>
      <c r="AT18">
        <f>1-AR18/AS18</f>
        <v>0</v>
      </c>
      <c r="AU18">
        <v>0.5</v>
      </c>
      <c r="AV18">
        <f>BJ18</f>
        <v>0</v>
      </c>
      <c r="AW18">
        <f>H18</f>
        <v>0</v>
      </c>
      <c r="AX18">
        <f>AT18*AU18*AV18</f>
        <v>0</v>
      </c>
      <c r="AY18">
        <f>BD18/AS18</f>
        <v>0</v>
      </c>
      <c r="AZ18">
        <f>(AW18-AP18)/AV18</f>
        <v>0</v>
      </c>
      <c r="BA18">
        <f>(AM18-AS18)/AS18</f>
        <v>0</v>
      </c>
      <c r="BB18" t="s">
        <v>280</v>
      </c>
      <c r="BC18">
        <v>0</v>
      </c>
      <c r="BD18">
        <f>AS18-BC18</f>
        <v>0</v>
      </c>
      <c r="BE18">
        <f>(AS18-AR18)/(AS18-BC18)</f>
        <v>0</v>
      </c>
      <c r="BF18">
        <f>(AM18-AS18)/(AM18-BC18)</f>
        <v>0</v>
      </c>
      <c r="BG18">
        <f>(AS18-AR18)/(AS18-AL18)</f>
        <v>0</v>
      </c>
      <c r="BH18">
        <f>(AM18-AS18)/(AM18-AL18)</f>
        <v>0</v>
      </c>
      <c r="BI18">
        <f>$B$11*CD18+$C$11*CE18+$F$11*CF18</f>
        <v>0</v>
      </c>
      <c r="BJ18">
        <f>BI18*BK18</f>
        <v>0</v>
      </c>
      <c r="BK18">
        <f>($B$11*$D$9+$C$11*$D$9+$F$11*((CS18+CK18)/MAX(CS18+CK18+CT18, 0.1)*$I$9+CT18/MAX(CS18+CK18+CT18, 0.1)*$J$9))/($B$11+$C$11+$F$11)</f>
        <v>0</v>
      </c>
      <c r="BL18">
        <f>($B$11*$K$9+$C$11*$K$9+$F$11*((CS18+CK18)/MAX(CS18+CK18+CT18, 0.1)*$P$9+CT18/MAX(CS18+CK18+CT18, 0.1)*$Q$9))/($B$11+$C$11+$F$11)</f>
        <v>0</v>
      </c>
      <c r="BM18">
        <v>5.5</v>
      </c>
      <c r="BN18">
        <v>0.5</v>
      </c>
      <c r="BO18" t="s">
        <v>281</v>
      </c>
      <c r="BP18">
        <v>1519068187.5</v>
      </c>
      <c r="BQ18">
        <v>410.012161290323</v>
      </c>
      <c r="BR18">
        <v>449.152483870968</v>
      </c>
      <c r="BS18">
        <v>19.9975741935484</v>
      </c>
      <c r="BT18">
        <v>14.8077064516129</v>
      </c>
      <c r="BU18">
        <v>500.040129032258</v>
      </c>
      <c r="BV18">
        <v>96.0924967741935</v>
      </c>
      <c r="BW18">
        <v>0.0998776774193548</v>
      </c>
      <c r="BX18">
        <v>25.2431903225806</v>
      </c>
      <c r="BY18">
        <v>24.9922774193548</v>
      </c>
      <c r="BZ18">
        <v>999.9</v>
      </c>
      <c r="CA18">
        <v>0</v>
      </c>
      <c r="CB18">
        <v>0</v>
      </c>
      <c r="CC18">
        <v>9998.86741935484</v>
      </c>
      <c r="CD18">
        <v>0</v>
      </c>
      <c r="CE18">
        <v>1307.87096774194</v>
      </c>
      <c r="CF18">
        <v>1800.01322580645</v>
      </c>
      <c r="CG18">
        <v>0.977992774193548</v>
      </c>
      <c r="CH18">
        <v>0.0220070838709677</v>
      </c>
      <c r="CI18">
        <v>0</v>
      </c>
      <c r="CJ18">
        <v>650.706709677419</v>
      </c>
      <c r="CK18">
        <v>4.9994</v>
      </c>
      <c r="CL18">
        <v>11770.4322580645</v>
      </c>
      <c r="CM18">
        <v>14669.1870967742</v>
      </c>
      <c r="CN18">
        <v>44.6067096774194</v>
      </c>
      <c r="CO18">
        <v>45.25</v>
      </c>
      <c r="CP18">
        <v>45.312</v>
      </c>
      <c r="CQ18">
        <v>44.7296774193548</v>
      </c>
      <c r="CR18">
        <v>46.028</v>
      </c>
      <c r="CS18">
        <v>1755.51225806452</v>
      </c>
      <c r="CT18">
        <v>39.5009677419355</v>
      </c>
      <c r="CU18">
        <v>0</v>
      </c>
      <c r="CV18">
        <v>119.799999952316</v>
      </c>
      <c r="CW18">
        <v>650.7205</v>
      </c>
      <c r="CX18">
        <v>-0.275658130998842</v>
      </c>
      <c r="CY18">
        <v>-5.56581187807724</v>
      </c>
      <c r="CZ18">
        <v>11770.3230769231</v>
      </c>
      <c r="DA18">
        <v>15</v>
      </c>
      <c r="DB18">
        <v>1519068035.5</v>
      </c>
      <c r="DC18" t="s">
        <v>282</v>
      </c>
      <c r="DD18">
        <v>2</v>
      </c>
      <c r="DE18">
        <v>0.814</v>
      </c>
      <c r="DF18">
        <v>0.117</v>
      </c>
      <c r="DG18">
        <v>450</v>
      </c>
      <c r="DH18">
        <v>15</v>
      </c>
      <c r="DI18">
        <v>0.03</v>
      </c>
      <c r="DJ18">
        <v>0.01</v>
      </c>
      <c r="DK18">
        <v>33.5777535537355</v>
      </c>
      <c r="DL18">
        <v>0.230281251610998</v>
      </c>
      <c r="DM18">
        <v>0.0867251807965012</v>
      </c>
      <c r="DN18">
        <v>1</v>
      </c>
      <c r="DO18">
        <v>-39.1500658536585</v>
      </c>
      <c r="DP18">
        <v>0.401795121951217</v>
      </c>
      <c r="DQ18">
        <v>0.0914752041832585</v>
      </c>
      <c r="DR18">
        <v>1</v>
      </c>
      <c r="DS18">
        <v>5.21030414634146</v>
      </c>
      <c r="DT18">
        <v>-0.422769825784007</v>
      </c>
      <c r="DU18">
        <v>0.0427530224848295</v>
      </c>
      <c r="DV18">
        <v>1</v>
      </c>
      <c r="DW18">
        <v>0.347863803359315</v>
      </c>
      <c r="DX18">
        <v>-0.0224798405566289</v>
      </c>
      <c r="DY18">
        <v>0.00351048019404934</v>
      </c>
      <c r="DZ18">
        <v>1</v>
      </c>
      <c r="EA18">
        <v>4</v>
      </c>
      <c r="EB18">
        <v>4</v>
      </c>
      <c r="EC18" t="s">
        <v>291</v>
      </c>
      <c r="ED18">
        <v>1.84917</v>
      </c>
      <c r="EE18">
        <v>1.85333</v>
      </c>
      <c r="EF18">
        <v>1.85211</v>
      </c>
      <c r="EG18">
        <v>1.8564</v>
      </c>
      <c r="EH18">
        <v>1.8542</v>
      </c>
      <c r="EI18">
        <v>1.85455</v>
      </c>
      <c r="EJ18">
        <v>1.84676</v>
      </c>
      <c r="EK18">
        <v>1.85142</v>
      </c>
      <c r="EL18" t="s">
        <v>284</v>
      </c>
      <c r="EM18" t="s">
        <v>19</v>
      </c>
      <c r="EN18" t="s">
        <v>19</v>
      </c>
      <c r="EO18" t="s">
        <v>19</v>
      </c>
      <c r="EP18" t="s">
        <v>285</v>
      </c>
      <c r="EQ18" t="s">
        <v>286</v>
      </c>
      <c r="ER18" t="s">
        <v>287</v>
      </c>
      <c r="ES18" t="s">
        <v>287</v>
      </c>
      <c r="ET18" t="s">
        <v>287</v>
      </c>
      <c r="EU18" t="s">
        <v>287</v>
      </c>
      <c r="EV18">
        <v>0</v>
      </c>
      <c r="EW18">
        <v>100</v>
      </c>
      <c r="EX18">
        <v>100</v>
      </c>
      <c r="EY18">
        <v>0.814</v>
      </c>
      <c r="EZ18">
        <v>0.117</v>
      </c>
      <c r="FA18">
        <v>2</v>
      </c>
      <c r="FB18">
        <v>501.604</v>
      </c>
      <c r="FC18">
        <v>293.386</v>
      </c>
      <c r="FD18">
        <v>21.0011</v>
      </c>
      <c r="FE18">
        <v>29.1711</v>
      </c>
      <c r="FF18">
        <v>30.0003</v>
      </c>
      <c r="FG18">
        <v>29.4578</v>
      </c>
      <c r="FH18">
        <v>29.4056</v>
      </c>
      <c r="FI18">
        <v>19.007</v>
      </c>
      <c r="FJ18">
        <v>32.618</v>
      </c>
      <c r="FK18">
        <v>41.8634</v>
      </c>
      <c r="FL18">
        <v>20.9995</v>
      </c>
      <c r="FM18">
        <v>449.092</v>
      </c>
      <c r="FN18">
        <v>14.9602</v>
      </c>
      <c r="FO18">
        <v>100.093</v>
      </c>
      <c r="FP18">
        <v>118.905</v>
      </c>
    </row>
    <row r="19" spans="1:172">
      <c r="A19">
        <v>3</v>
      </c>
      <c r="B19">
        <v>1519068338.5</v>
      </c>
      <c r="C19">
        <v>263.5</v>
      </c>
      <c r="D19" t="s">
        <v>292</v>
      </c>
      <c r="E19" t="s">
        <v>293</v>
      </c>
      <c r="F19">
        <v>1519068330.5</v>
      </c>
      <c r="G19">
        <f>BU19*AH19*(BS19-BT19)/(100*BM19*(1000-AH19*BS19))</f>
        <v>0</v>
      </c>
      <c r="H19">
        <f>BU19*AH19*(BR19-BQ19*(1000-AH19*BT19)/(1000-AH19*BS19))/(100*BM19)</f>
        <v>0</v>
      </c>
      <c r="I19">
        <f>BQ19 - IF(AH19&gt;1, H19*BM19*100.0/(AJ19*CC19), 0)</f>
        <v>0</v>
      </c>
      <c r="J19">
        <f>((P19-G19/2)*I19-H19)/(P19+G19/2)</f>
        <v>0</v>
      </c>
      <c r="K19">
        <f>J19*(BV19+BW19)/1000.0</f>
        <v>0</v>
      </c>
      <c r="L19">
        <f>(BQ19 - IF(AH19&gt;1, H19*BM19*100.0/(AJ19*CC19), 0))*(BV19+BW19)/1000.0</f>
        <v>0</v>
      </c>
      <c r="M19">
        <f>2.0/((1/O19-1/N19)+SIGN(O19)*SQRT((1/O19-1/N19)*(1/O19-1/N19) + 4*BN19/((BN19+1)*(BN19+1))*(2*1/O19*1/N19-1/N19*1/N19)))</f>
        <v>0</v>
      </c>
      <c r="N19">
        <f>AE19+AD19*BM19+AC19*BM19*BM19</f>
        <v>0</v>
      </c>
      <c r="O19">
        <f>G19*(1000-(1000*0.61365*exp(17.502*S19/(240.97+S19))/(BV19+BW19)+BS19)/2)/(1000*0.61365*exp(17.502*S19/(240.97+S19))/(BV19+BW19)-BS19)</f>
        <v>0</v>
      </c>
      <c r="P19">
        <f>1/((BN19+1)/(M19/1.6)+1/(N19/1.37)) + BN19/((BN19+1)/(M19/1.6) + BN19/(N19/1.37))</f>
        <v>0</v>
      </c>
      <c r="Q19">
        <f>(BJ19*BL19)</f>
        <v>0</v>
      </c>
      <c r="R19">
        <f>(BX19+(Q19+2*0.95*5.67E-8*(((BX19+$B$7)+273)^4-(BX19+273)^4)-44100*G19)/(1.84*29.3*N19+8*0.95*5.67E-8*(BX19+273)^3))</f>
        <v>0</v>
      </c>
      <c r="S19">
        <f>($C$7*BY19+$D$7*BZ19+$E$7*R19)</f>
        <v>0</v>
      </c>
      <c r="T19">
        <f>0.61365*exp(17.502*S19/(240.97+S19))</f>
        <v>0</v>
      </c>
      <c r="U19">
        <f>(V19/W19*100)</f>
        <v>0</v>
      </c>
      <c r="V19">
        <f>BS19*(BV19+BW19)/1000</f>
        <v>0</v>
      </c>
      <c r="W19">
        <f>0.61365*exp(17.502*BX19/(240.97+BX19))</f>
        <v>0</v>
      </c>
      <c r="X19">
        <f>(T19-BS19*(BV19+BW19)/1000)</f>
        <v>0</v>
      </c>
      <c r="Y19">
        <f>(-G19*44100)</f>
        <v>0</v>
      </c>
      <c r="Z19">
        <f>2*29.3*N19*0.92*(BX19-S19)</f>
        <v>0</v>
      </c>
      <c r="AA19">
        <f>2*0.95*5.67E-8*(((BX19+$B$7)+273)^4-(S19+273)^4)</f>
        <v>0</v>
      </c>
      <c r="AB19">
        <f>Q19+AA19+Y19+Z19</f>
        <v>0</v>
      </c>
      <c r="AC19">
        <v>-0.0397909357345292</v>
      </c>
      <c r="AD19">
        <v>0.0446688112394334</v>
      </c>
      <c r="AE19">
        <v>3.36218685290987</v>
      </c>
      <c r="AF19">
        <v>0</v>
      </c>
      <c r="AG19">
        <v>0</v>
      </c>
      <c r="AH19">
        <f>IF(AF19*$H$13&gt;=AJ19,1.0,(AJ19/(AJ19-AF19*$H$13)))</f>
        <v>0</v>
      </c>
      <c r="AI19">
        <f>(AH19-1)*100</f>
        <v>0</v>
      </c>
      <c r="AJ19">
        <f>MAX(0,($B$13+$C$13*CC19)/(1+$D$13*CC19)*BV19/(BX19+273)*$E$13)</f>
        <v>0</v>
      </c>
      <c r="AK19">
        <v>0</v>
      </c>
      <c r="AL19">
        <v>282.050384615385</v>
      </c>
      <c r="AM19">
        <v>2644.25</v>
      </c>
      <c r="AN19">
        <f>AM19-AL19</f>
        <v>0</v>
      </c>
      <c r="AO19">
        <f>AN19/AM19</f>
        <v>0</v>
      </c>
      <c r="AP19">
        <v>-152.220269057172</v>
      </c>
      <c r="AQ19" t="s">
        <v>294</v>
      </c>
      <c r="AR19">
        <v>665.359269230769</v>
      </c>
      <c r="AS19">
        <v>1082.79</v>
      </c>
      <c r="AT19">
        <f>1-AR19/AS19</f>
        <v>0</v>
      </c>
      <c r="AU19">
        <v>0.5</v>
      </c>
      <c r="AV19">
        <f>BJ19</f>
        <v>0</v>
      </c>
      <c r="AW19">
        <f>H19</f>
        <v>0</v>
      </c>
      <c r="AX19">
        <f>AT19*AU19*AV19</f>
        <v>0</v>
      </c>
      <c r="AY19">
        <f>BD19/AS19</f>
        <v>0</v>
      </c>
      <c r="AZ19">
        <f>(AW19-AP19)/AV19</f>
        <v>0</v>
      </c>
      <c r="BA19">
        <f>(AM19-AS19)/AS19</f>
        <v>0</v>
      </c>
      <c r="BB19" t="s">
        <v>280</v>
      </c>
      <c r="BC19">
        <v>0</v>
      </c>
      <c r="BD19">
        <f>AS19-BC19</f>
        <v>0</v>
      </c>
      <c r="BE19">
        <f>(AS19-AR19)/(AS19-BC19)</f>
        <v>0</v>
      </c>
      <c r="BF19">
        <f>(AM19-AS19)/(AM19-BC19)</f>
        <v>0</v>
      </c>
      <c r="BG19">
        <f>(AS19-AR19)/(AS19-AL19)</f>
        <v>0</v>
      </c>
      <c r="BH19">
        <f>(AM19-AS19)/(AM19-AL19)</f>
        <v>0</v>
      </c>
      <c r="BI19">
        <f>$B$11*CD19+$C$11*CE19+$F$11*CF19</f>
        <v>0</v>
      </c>
      <c r="BJ19">
        <f>BI19*BK19</f>
        <v>0</v>
      </c>
      <c r="BK19">
        <f>($B$11*$D$9+$C$11*$D$9+$F$11*((CS19+CK19)/MAX(CS19+CK19+CT19, 0.1)*$I$9+CT19/MAX(CS19+CK19+CT19, 0.1)*$J$9))/($B$11+$C$11+$F$11)</f>
        <v>0</v>
      </c>
      <c r="BL19">
        <f>($B$11*$K$9+$C$11*$K$9+$F$11*((CS19+CK19)/MAX(CS19+CK19+CT19, 0.1)*$P$9+CT19/MAX(CS19+CK19+CT19, 0.1)*$Q$9))/($B$11+$C$11+$F$11)</f>
        <v>0</v>
      </c>
      <c r="BM19">
        <v>5.5</v>
      </c>
      <c r="BN19">
        <v>0.5</v>
      </c>
      <c r="BO19" t="s">
        <v>281</v>
      </c>
      <c r="BP19">
        <v>1519068330.5</v>
      </c>
      <c r="BQ19">
        <v>410.092967741935</v>
      </c>
      <c r="BR19">
        <v>447.060516129032</v>
      </c>
      <c r="BS19">
        <v>20.2399193548387</v>
      </c>
      <c r="BT19">
        <v>15.5104612903226</v>
      </c>
      <c r="BU19">
        <v>500.039612903226</v>
      </c>
      <c r="BV19">
        <v>96.0850516129032</v>
      </c>
      <c r="BW19">
        <v>0.0999787064516129</v>
      </c>
      <c r="BX19">
        <v>25.4528935483871</v>
      </c>
      <c r="BY19">
        <v>25.0769677419355</v>
      </c>
      <c r="BZ19">
        <v>999.9</v>
      </c>
      <c r="CA19">
        <v>0</v>
      </c>
      <c r="CB19">
        <v>0</v>
      </c>
      <c r="CC19">
        <v>9986.75387096774</v>
      </c>
      <c r="CD19">
        <v>0</v>
      </c>
      <c r="CE19">
        <v>1310.30064516129</v>
      </c>
      <c r="CF19">
        <v>1499.98096774194</v>
      </c>
      <c r="CG19">
        <v>0.973004612903226</v>
      </c>
      <c r="CH19">
        <v>0.0269954548387097</v>
      </c>
      <c r="CI19">
        <v>0</v>
      </c>
      <c r="CJ19">
        <v>665.377225806452</v>
      </c>
      <c r="CK19">
        <v>4.9994</v>
      </c>
      <c r="CL19">
        <v>10010.5</v>
      </c>
      <c r="CM19">
        <v>12196.1419354839</v>
      </c>
      <c r="CN19">
        <v>44.191064516129</v>
      </c>
      <c r="CO19">
        <v>45.183</v>
      </c>
      <c r="CP19">
        <v>45.1046774193548</v>
      </c>
      <c r="CQ19">
        <v>44.778</v>
      </c>
      <c r="CR19">
        <v>45.75</v>
      </c>
      <c r="CS19">
        <v>1454.62096774194</v>
      </c>
      <c r="CT19">
        <v>40.36</v>
      </c>
      <c r="CU19">
        <v>0</v>
      </c>
      <c r="CV19">
        <v>142.600000143051</v>
      </c>
      <c r="CW19">
        <v>665.359269230769</v>
      </c>
      <c r="CX19">
        <v>-1.79401708728725</v>
      </c>
      <c r="CY19">
        <v>-29.2376068304551</v>
      </c>
      <c r="CZ19">
        <v>10010.0923076923</v>
      </c>
      <c r="DA19">
        <v>15</v>
      </c>
      <c r="DB19">
        <v>1519068035.5</v>
      </c>
      <c r="DC19" t="s">
        <v>282</v>
      </c>
      <c r="DD19">
        <v>2</v>
      </c>
      <c r="DE19">
        <v>0.814</v>
      </c>
      <c r="DF19">
        <v>0.117</v>
      </c>
      <c r="DG19">
        <v>450</v>
      </c>
      <c r="DH19">
        <v>15</v>
      </c>
      <c r="DI19">
        <v>0.03</v>
      </c>
      <c r="DJ19">
        <v>0.01</v>
      </c>
      <c r="DK19">
        <v>31.8365242182743</v>
      </c>
      <c r="DL19">
        <v>-0.155335980855547</v>
      </c>
      <c r="DM19">
        <v>0.118985079483018</v>
      </c>
      <c r="DN19">
        <v>1</v>
      </c>
      <c r="DO19">
        <v>-36.9978317073171</v>
      </c>
      <c r="DP19">
        <v>0.592388153310112</v>
      </c>
      <c r="DQ19">
        <v>0.0991300806873729</v>
      </c>
      <c r="DR19">
        <v>1</v>
      </c>
      <c r="DS19">
        <v>4.73387341463415</v>
      </c>
      <c r="DT19">
        <v>-0.0893776306620152</v>
      </c>
      <c r="DU19">
        <v>0.01027127835627</v>
      </c>
      <c r="DV19">
        <v>1</v>
      </c>
      <c r="DW19">
        <v>0.319103155295374</v>
      </c>
      <c r="DX19">
        <v>-0.0128528483451654</v>
      </c>
      <c r="DY19">
        <v>0.00199332010102228</v>
      </c>
      <c r="DZ19">
        <v>1</v>
      </c>
      <c r="EA19">
        <v>4</v>
      </c>
      <c r="EB19">
        <v>4</v>
      </c>
      <c r="EC19" t="s">
        <v>291</v>
      </c>
      <c r="ED19">
        <v>1.84919</v>
      </c>
      <c r="EE19">
        <v>1.85333</v>
      </c>
      <c r="EF19">
        <v>1.85211</v>
      </c>
      <c r="EG19">
        <v>1.8564</v>
      </c>
      <c r="EH19">
        <v>1.85419</v>
      </c>
      <c r="EI19">
        <v>1.85455</v>
      </c>
      <c r="EJ19">
        <v>1.84676</v>
      </c>
      <c r="EK19">
        <v>1.85142</v>
      </c>
      <c r="EL19" t="s">
        <v>284</v>
      </c>
      <c r="EM19" t="s">
        <v>19</v>
      </c>
      <c r="EN19" t="s">
        <v>19</v>
      </c>
      <c r="EO19" t="s">
        <v>19</v>
      </c>
      <c r="EP19" t="s">
        <v>285</v>
      </c>
      <c r="EQ19" t="s">
        <v>286</v>
      </c>
      <c r="ER19" t="s">
        <v>287</v>
      </c>
      <c r="ES19" t="s">
        <v>287</v>
      </c>
      <c r="ET19" t="s">
        <v>287</v>
      </c>
      <c r="EU19" t="s">
        <v>287</v>
      </c>
      <c r="EV19">
        <v>0</v>
      </c>
      <c r="EW19">
        <v>100</v>
      </c>
      <c r="EX19">
        <v>100</v>
      </c>
      <c r="EY19">
        <v>0.814</v>
      </c>
      <c r="EZ19">
        <v>0.117</v>
      </c>
      <c r="FA19">
        <v>2</v>
      </c>
      <c r="FB19">
        <v>501.493</v>
      </c>
      <c r="FC19">
        <v>293.41</v>
      </c>
      <c r="FD19">
        <v>20.9837</v>
      </c>
      <c r="FE19">
        <v>29.23</v>
      </c>
      <c r="FF19">
        <v>30.0007</v>
      </c>
      <c r="FG19">
        <v>29.5241</v>
      </c>
      <c r="FH19">
        <v>29.4745</v>
      </c>
      <c r="FI19">
        <v>18.9402</v>
      </c>
      <c r="FJ19">
        <v>28.6899</v>
      </c>
      <c r="FK19">
        <v>39.2456</v>
      </c>
      <c r="FL19">
        <v>20.9267</v>
      </c>
      <c r="FM19">
        <v>447.008</v>
      </c>
      <c r="FN19">
        <v>15.5879</v>
      </c>
      <c r="FO19">
        <v>100.087</v>
      </c>
      <c r="FP19">
        <v>118.892</v>
      </c>
    </row>
    <row r="20" spans="1:172">
      <c r="A20">
        <v>4</v>
      </c>
      <c r="B20">
        <v>1519068467.5</v>
      </c>
      <c r="C20">
        <v>392.5</v>
      </c>
      <c r="D20" t="s">
        <v>295</v>
      </c>
      <c r="E20" t="s">
        <v>296</v>
      </c>
      <c r="F20">
        <v>1519068459.5</v>
      </c>
      <c r="G20">
        <f>BU20*AH20*(BS20-BT20)/(100*BM20*(1000-AH20*BS20))</f>
        <v>0</v>
      </c>
      <c r="H20">
        <f>BU20*AH20*(BR20-BQ20*(1000-AH20*BT20)/(1000-AH20*BS20))/(100*BM20)</f>
        <v>0</v>
      </c>
      <c r="I20">
        <f>BQ20 - IF(AH20&gt;1, H20*BM20*100.0/(AJ20*CC20), 0)</f>
        <v>0</v>
      </c>
      <c r="J20">
        <f>((P20-G20/2)*I20-H20)/(P20+G20/2)</f>
        <v>0</v>
      </c>
      <c r="K20">
        <f>J20*(BV20+BW20)/1000.0</f>
        <v>0</v>
      </c>
      <c r="L20">
        <f>(BQ20 - IF(AH20&gt;1, H20*BM20*100.0/(AJ20*CC20), 0))*(BV20+BW20)/1000.0</f>
        <v>0</v>
      </c>
      <c r="M20">
        <f>2.0/((1/O20-1/N20)+SIGN(O20)*SQRT((1/O20-1/N20)*(1/O20-1/N20) + 4*BN20/((BN20+1)*(BN20+1))*(2*1/O20*1/N20-1/N20*1/N20)))</f>
        <v>0</v>
      </c>
      <c r="N20">
        <f>AE20+AD20*BM20+AC20*BM20*BM20</f>
        <v>0</v>
      </c>
      <c r="O20">
        <f>G20*(1000-(1000*0.61365*exp(17.502*S20/(240.97+S20))/(BV20+BW20)+BS20)/2)/(1000*0.61365*exp(17.502*S20/(240.97+S20))/(BV20+BW20)-BS20)</f>
        <v>0</v>
      </c>
      <c r="P20">
        <f>1/((BN20+1)/(M20/1.6)+1/(N20/1.37)) + BN20/((BN20+1)/(M20/1.6) + BN20/(N20/1.37))</f>
        <v>0</v>
      </c>
      <c r="Q20">
        <f>(BJ20*BL20)</f>
        <v>0</v>
      </c>
      <c r="R20">
        <f>(BX20+(Q20+2*0.95*5.67E-8*(((BX20+$B$7)+273)^4-(BX20+273)^4)-44100*G20)/(1.84*29.3*N20+8*0.95*5.67E-8*(BX20+273)^3))</f>
        <v>0</v>
      </c>
      <c r="S20">
        <f>($C$7*BY20+$D$7*BZ20+$E$7*R20)</f>
        <v>0</v>
      </c>
      <c r="T20">
        <f>0.61365*exp(17.502*S20/(240.97+S20))</f>
        <v>0</v>
      </c>
      <c r="U20">
        <f>(V20/W20*100)</f>
        <v>0</v>
      </c>
      <c r="V20">
        <f>BS20*(BV20+BW20)/1000</f>
        <v>0</v>
      </c>
      <c r="W20">
        <f>0.61365*exp(17.502*BX20/(240.97+BX20))</f>
        <v>0</v>
      </c>
      <c r="X20">
        <f>(T20-BS20*(BV20+BW20)/1000)</f>
        <v>0</v>
      </c>
      <c r="Y20">
        <f>(-G20*44100)</f>
        <v>0</v>
      </c>
      <c r="Z20">
        <f>2*29.3*N20*0.92*(BX20-S20)</f>
        <v>0</v>
      </c>
      <c r="AA20">
        <f>2*0.95*5.67E-8*(((BX20+$B$7)+273)^4-(S20+273)^4)</f>
        <v>0</v>
      </c>
      <c r="AB20">
        <f>Q20+AA20+Y20+Z20</f>
        <v>0</v>
      </c>
      <c r="AC20">
        <v>-0.0398834649951766</v>
      </c>
      <c r="AD20">
        <v>0.0447726834405186</v>
      </c>
      <c r="AE20">
        <v>3.36840076806615</v>
      </c>
      <c r="AF20">
        <v>0</v>
      </c>
      <c r="AG20">
        <v>0</v>
      </c>
      <c r="AH20">
        <f>IF(AF20*$H$13&gt;=AJ20,1.0,(AJ20/(AJ20-AF20*$H$13)))</f>
        <v>0</v>
      </c>
      <c r="AI20">
        <f>(AH20-1)*100</f>
        <v>0</v>
      </c>
      <c r="AJ20">
        <f>MAX(0,($B$13+$C$13*CC20)/(1+$D$13*CC20)*BV20/(BX20+273)*$E$13)</f>
        <v>0</v>
      </c>
      <c r="AK20">
        <v>0</v>
      </c>
      <c r="AL20">
        <v>282.050384615385</v>
      </c>
      <c r="AM20">
        <v>2644.25</v>
      </c>
      <c r="AN20">
        <f>AM20-AL20</f>
        <v>0</v>
      </c>
      <c r="AO20">
        <f>AN20/AM20</f>
        <v>0</v>
      </c>
      <c r="AP20">
        <v>-152.220269057172</v>
      </c>
      <c r="AQ20" t="s">
        <v>297</v>
      </c>
      <c r="AR20">
        <v>693.424730769231</v>
      </c>
      <c r="AS20">
        <v>1241.66</v>
      </c>
      <c r="AT20">
        <f>1-AR20/AS20</f>
        <v>0</v>
      </c>
      <c r="AU20">
        <v>0.5</v>
      </c>
      <c r="AV20">
        <f>BJ20</f>
        <v>0</v>
      </c>
      <c r="AW20">
        <f>H20</f>
        <v>0</v>
      </c>
      <c r="AX20">
        <f>AT20*AU20*AV20</f>
        <v>0</v>
      </c>
      <c r="AY20">
        <f>BD20/AS20</f>
        <v>0</v>
      </c>
      <c r="AZ20">
        <f>(AW20-AP20)/AV20</f>
        <v>0</v>
      </c>
      <c r="BA20">
        <f>(AM20-AS20)/AS20</f>
        <v>0</v>
      </c>
      <c r="BB20" t="s">
        <v>280</v>
      </c>
      <c r="BC20">
        <v>0</v>
      </c>
      <c r="BD20">
        <f>AS20-BC20</f>
        <v>0</v>
      </c>
      <c r="BE20">
        <f>(AS20-AR20)/(AS20-BC20)</f>
        <v>0</v>
      </c>
      <c r="BF20">
        <f>(AM20-AS20)/(AM20-BC20)</f>
        <v>0</v>
      </c>
      <c r="BG20">
        <f>(AS20-AR20)/(AS20-AL20)</f>
        <v>0</v>
      </c>
      <c r="BH20">
        <f>(AM20-AS20)/(AM20-AL20)</f>
        <v>0</v>
      </c>
      <c r="BI20">
        <f>$B$11*CD20+$C$11*CE20+$F$11*CF20</f>
        <v>0</v>
      </c>
      <c r="BJ20">
        <f>BI20*BK20</f>
        <v>0</v>
      </c>
      <c r="BK20">
        <f>($B$11*$D$9+$C$11*$D$9+$F$11*((CS20+CK20)/MAX(CS20+CK20+CT20, 0.1)*$I$9+CT20/MAX(CS20+CK20+CT20, 0.1)*$J$9))/($B$11+$C$11+$F$11)</f>
        <v>0</v>
      </c>
      <c r="BL20">
        <f>($B$11*$K$9+$C$11*$K$9+$F$11*((CS20+CK20)/MAX(CS20+CK20+CT20, 0.1)*$P$9+CT20/MAX(CS20+CK20+CT20, 0.1)*$Q$9))/($B$11+$C$11+$F$11)</f>
        <v>0</v>
      </c>
      <c r="BM20">
        <v>5.5</v>
      </c>
      <c r="BN20">
        <v>0.5</v>
      </c>
      <c r="BO20" t="s">
        <v>281</v>
      </c>
      <c r="BP20">
        <v>1519068459.5</v>
      </c>
      <c r="BQ20">
        <v>410.088225806452</v>
      </c>
      <c r="BR20">
        <v>443.922967741935</v>
      </c>
      <c r="BS20">
        <v>20.2943903225806</v>
      </c>
      <c r="BT20">
        <v>15.8815548387097</v>
      </c>
      <c r="BU20">
        <v>500.049032258064</v>
      </c>
      <c r="BV20">
        <v>96.0780741935484</v>
      </c>
      <c r="BW20">
        <v>0.0999009096774194</v>
      </c>
      <c r="BX20">
        <v>25.4661612903226</v>
      </c>
      <c r="BY20">
        <v>24.9890580645161</v>
      </c>
      <c r="BZ20">
        <v>999.9</v>
      </c>
      <c r="CA20">
        <v>0</v>
      </c>
      <c r="CB20">
        <v>0</v>
      </c>
      <c r="CC20">
        <v>10010.7038709677</v>
      </c>
      <c r="CD20">
        <v>0</v>
      </c>
      <c r="CE20">
        <v>1315.89806451613</v>
      </c>
      <c r="CF20">
        <v>1200.0264516129</v>
      </c>
      <c r="CG20">
        <v>0.967007774193548</v>
      </c>
      <c r="CH20">
        <v>0.0329920193548387</v>
      </c>
      <c r="CI20">
        <v>0</v>
      </c>
      <c r="CJ20">
        <v>693.440677419355</v>
      </c>
      <c r="CK20">
        <v>4.9994</v>
      </c>
      <c r="CL20">
        <v>8329.73225806451</v>
      </c>
      <c r="CM20">
        <v>9728.79612903226</v>
      </c>
      <c r="CN20">
        <v>43.6971612903226</v>
      </c>
      <c r="CO20">
        <v>45.129</v>
      </c>
      <c r="CP20">
        <v>44.8668709677419</v>
      </c>
      <c r="CQ20">
        <v>44.687</v>
      </c>
      <c r="CR20">
        <v>45.4756129032258</v>
      </c>
      <c r="CS20">
        <v>1155.60161290323</v>
      </c>
      <c r="CT20">
        <v>39.4277419354839</v>
      </c>
      <c r="CU20">
        <v>0</v>
      </c>
      <c r="CV20">
        <v>128.400000095367</v>
      </c>
      <c r="CW20">
        <v>693.424730769231</v>
      </c>
      <c r="CX20">
        <v>-2.16222222834737</v>
      </c>
      <c r="CY20">
        <v>-31.9394871095872</v>
      </c>
      <c r="CZ20">
        <v>8329.14269230769</v>
      </c>
      <c r="DA20">
        <v>15</v>
      </c>
      <c r="DB20">
        <v>1519068035.5</v>
      </c>
      <c r="DC20" t="s">
        <v>282</v>
      </c>
      <c r="DD20">
        <v>2</v>
      </c>
      <c r="DE20">
        <v>0.814</v>
      </c>
      <c r="DF20">
        <v>0.117</v>
      </c>
      <c r="DG20">
        <v>450</v>
      </c>
      <c r="DH20">
        <v>15</v>
      </c>
      <c r="DI20">
        <v>0.03</v>
      </c>
      <c r="DJ20">
        <v>0.01</v>
      </c>
      <c r="DK20">
        <v>29.1459783556452</v>
      </c>
      <c r="DL20">
        <v>-0.546230082520314</v>
      </c>
      <c r="DM20">
        <v>0.11340203395088</v>
      </c>
      <c r="DN20">
        <v>1</v>
      </c>
      <c r="DO20">
        <v>-33.8584585365854</v>
      </c>
      <c r="DP20">
        <v>0.602529616724732</v>
      </c>
      <c r="DQ20">
        <v>0.0927511855834019</v>
      </c>
      <c r="DR20">
        <v>1</v>
      </c>
      <c r="DS20">
        <v>4.42252804878049</v>
      </c>
      <c r="DT20">
        <v>-0.225900418118461</v>
      </c>
      <c r="DU20">
        <v>0.0251026863997745</v>
      </c>
      <c r="DV20">
        <v>1</v>
      </c>
      <c r="DW20">
        <v>0.310051478497482</v>
      </c>
      <c r="DX20">
        <v>-0.0256302516605442</v>
      </c>
      <c r="DY20">
        <v>0.0034865120591461</v>
      </c>
      <c r="DZ20">
        <v>1</v>
      </c>
      <c r="EA20">
        <v>4</v>
      </c>
      <c r="EB20">
        <v>4</v>
      </c>
      <c r="EC20" t="s">
        <v>291</v>
      </c>
      <c r="ED20">
        <v>1.84917</v>
      </c>
      <c r="EE20">
        <v>1.85333</v>
      </c>
      <c r="EF20">
        <v>1.85211</v>
      </c>
      <c r="EG20">
        <v>1.85641</v>
      </c>
      <c r="EH20">
        <v>1.85419</v>
      </c>
      <c r="EI20">
        <v>1.85455</v>
      </c>
      <c r="EJ20">
        <v>1.84677</v>
      </c>
      <c r="EK20">
        <v>1.85143</v>
      </c>
      <c r="EL20" t="s">
        <v>284</v>
      </c>
      <c r="EM20" t="s">
        <v>19</v>
      </c>
      <c r="EN20" t="s">
        <v>19</v>
      </c>
      <c r="EO20" t="s">
        <v>19</v>
      </c>
      <c r="EP20" t="s">
        <v>285</v>
      </c>
      <c r="EQ20" t="s">
        <v>286</v>
      </c>
      <c r="ER20" t="s">
        <v>287</v>
      </c>
      <c r="ES20" t="s">
        <v>287</v>
      </c>
      <c r="ET20" t="s">
        <v>287</v>
      </c>
      <c r="EU20" t="s">
        <v>287</v>
      </c>
      <c r="EV20">
        <v>0</v>
      </c>
      <c r="EW20">
        <v>100</v>
      </c>
      <c r="EX20">
        <v>100</v>
      </c>
      <c r="EY20">
        <v>0.814</v>
      </c>
      <c r="EZ20">
        <v>0.117</v>
      </c>
      <c r="FA20">
        <v>2</v>
      </c>
      <c r="FB20">
        <v>501.484</v>
      </c>
      <c r="FC20">
        <v>293.092</v>
      </c>
      <c r="FD20">
        <v>21.7529</v>
      </c>
      <c r="FE20">
        <v>29.33</v>
      </c>
      <c r="FF20">
        <v>30.0004</v>
      </c>
      <c r="FG20">
        <v>29.6126</v>
      </c>
      <c r="FH20">
        <v>29.5618</v>
      </c>
      <c r="FI20">
        <v>18.8388</v>
      </c>
      <c r="FJ20">
        <v>26.7066</v>
      </c>
      <c r="FK20">
        <v>37.7389</v>
      </c>
      <c r="FL20">
        <v>21.7484</v>
      </c>
      <c r="FM20">
        <v>443.949</v>
      </c>
      <c r="FN20">
        <v>15.9458</v>
      </c>
      <c r="FO20">
        <v>100.075</v>
      </c>
      <c r="FP20">
        <v>118.868</v>
      </c>
    </row>
    <row r="21" spans="1:172">
      <c r="A21">
        <v>5</v>
      </c>
      <c r="B21">
        <v>1519068588</v>
      </c>
      <c r="C21">
        <v>513</v>
      </c>
      <c r="D21" t="s">
        <v>298</v>
      </c>
      <c r="E21" t="s">
        <v>299</v>
      </c>
      <c r="F21">
        <v>1519068580</v>
      </c>
      <c r="G21">
        <f>BU21*AH21*(BS21-BT21)/(100*BM21*(1000-AH21*BS21))</f>
        <v>0</v>
      </c>
      <c r="H21">
        <f>BU21*AH21*(BR21-BQ21*(1000-AH21*BT21)/(1000-AH21*BS21))/(100*BM21)</f>
        <v>0</v>
      </c>
      <c r="I21">
        <f>BQ21 - IF(AH21&gt;1, H21*BM21*100.0/(AJ21*CC21), 0)</f>
        <v>0</v>
      </c>
      <c r="J21">
        <f>((P21-G21/2)*I21-H21)/(P21+G21/2)</f>
        <v>0</v>
      </c>
      <c r="K21">
        <f>J21*(BV21+BW21)/1000.0</f>
        <v>0</v>
      </c>
      <c r="L21">
        <f>(BQ21 - IF(AH21&gt;1, H21*BM21*100.0/(AJ21*CC21), 0))*(BV21+BW21)/1000.0</f>
        <v>0</v>
      </c>
      <c r="M21">
        <f>2.0/((1/O21-1/N21)+SIGN(O21)*SQRT((1/O21-1/N21)*(1/O21-1/N21) + 4*BN21/((BN21+1)*(BN21+1))*(2*1/O21*1/N21-1/N21*1/N21)))</f>
        <v>0</v>
      </c>
      <c r="N21">
        <f>AE21+AD21*BM21+AC21*BM21*BM21</f>
        <v>0</v>
      </c>
      <c r="O21">
        <f>G21*(1000-(1000*0.61365*exp(17.502*S21/(240.97+S21))/(BV21+BW21)+BS21)/2)/(1000*0.61365*exp(17.502*S21/(240.97+S21))/(BV21+BW21)-BS21)</f>
        <v>0</v>
      </c>
      <c r="P21">
        <f>1/((BN21+1)/(M21/1.6)+1/(N21/1.37)) + BN21/((BN21+1)/(M21/1.6) + BN21/(N21/1.37))</f>
        <v>0</v>
      </c>
      <c r="Q21">
        <f>(BJ21*BL21)</f>
        <v>0</v>
      </c>
      <c r="R21">
        <f>(BX21+(Q21+2*0.95*5.67E-8*(((BX21+$B$7)+273)^4-(BX21+273)^4)-44100*G21)/(1.84*29.3*N21+8*0.95*5.67E-8*(BX21+273)^3))</f>
        <v>0</v>
      </c>
      <c r="S21">
        <f>($C$7*BY21+$D$7*BZ21+$E$7*R21)</f>
        <v>0</v>
      </c>
      <c r="T21">
        <f>0.61365*exp(17.502*S21/(240.97+S21))</f>
        <v>0</v>
      </c>
      <c r="U21">
        <f>(V21/W21*100)</f>
        <v>0</v>
      </c>
      <c r="V21">
        <f>BS21*(BV21+BW21)/1000</f>
        <v>0</v>
      </c>
      <c r="W21">
        <f>0.61365*exp(17.502*BX21/(240.97+BX21))</f>
        <v>0</v>
      </c>
      <c r="X21">
        <f>(T21-BS21*(BV21+BW21)/1000)</f>
        <v>0</v>
      </c>
      <c r="Y21">
        <f>(-G21*44100)</f>
        <v>0</v>
      </c>
      <c r="Z21">
        <f>2*29.3*N21*0.92*(BX21-S21)</f>
        <v>0</v>
      </c>
      <c r="AA21">
        <f>2*0.95*5.67E-8*(((BX21+$B$7)+273)^4-(S21+273)^4)</f>
        <v>0</v>
      </c>
      <c r="AB21">
        <f>Q21+AA21+Y21+Z21</f>
        <v>0</v>
      </c>
      <c r="AC21">
        <v>-0.0398767381135632</v>
      </c>
      <c r="AD21">
        <v>0.0447651319266004</v>
      </c>
      <c r="AE21">
        <v>3.36794917615858</v>
      </c>
      <c r="AF21">
        <v>0</v>
      </c>
      <c r="AG21">
        <v>0</v>
      </c>
      <c r="AH21">
        <f>IF(AF21*$H$13&gt;=AJ21,1.0,(AJ21/(AJ21-AF21*$H$13)))</f>
        <v>0</v>
      </c>
      <c r="AI21">
        <f>(AH21-1)*100</f>
        <v>0</v>
      </c>
      <c r="AJ21">
        <f>MAX(0,($B$13+$C$13*CC21)/(1+$D$13*CC21)*BV21/(BX21+273)*$E$13)</f>
        <v>0</v>
      </c>
      <c r="AK21">
        <v>0</v>
      </c>
      <c r="AL21">
        <v>282.050384615385</v>
      </c>
      <c r="AM21">
        <v>2644.25</v>
      </c>
      <c r="AN21">
        <f>AM21-AL21</f>
        <v>0</v>
      </c>
      <c r="AO21">
        <f>AN21/AM21</f>
        <v>0</v>
      </c>
      <c r="AP21">
        <v>-152.220269057172</v>
      </c>
      <c r="AQ21" t="s">
        <v>300</v>
      </c>
      <c r="AR21">
        <v>722.488730769231</v>
      </c>
      <c r="AS21">
        <v>1392.31</v>
      </c>
      <c r="AT21">
        <f>1-AR21/AS21</f>
        <v>0</v>
      </c>
      <c r="AU21">
        <v>0.5</v>
      </c>
      <c r="AV21">
        <f>BJ21</f>
        <v>0</v>
      </c>
      <c r="AW21">
        <f>H21</f>
        <v>0</v>
      </c>
      <c r="AX21">
        <f>AT21*AU21*AV21</f>
        <v>0</v>
      </c>
      <c r="AY21">
        <f>BD21/AS21</f>
        <v>0</v>
      </c>
      <c r="AZ21">
        <f>(AW21-AP21)/AV21</f>
        <v>0</v>
      </c>
      <c r="BA21">
        <f>(AM21-AS21)/AS21</f>
        <v>0</v>
      </c>
      <c r="BB21" t="s">
        <v>280</v>
      </c>
      <c r="BC21">
        <v>0</v>
      </c>
      <c r="BD21">
        <f>AS21-BC21</f>
        <v>0</v>
      </c>
      <c r="BE21">
        <f>(AS21-AR21)/(AS21-BC21)</f>
        <v>0</v>
      </c>
      <c r="BF21">
        <f>(AM21-AS21)/(AM21-BC21)</f>
        <v>0</v>
      </c>
      <c r="BG21">
        <f>(AS21-AR21)/(AS21-AL21)</f>
        <v>0</v>
      </c>
      <c r="BH21">
        <f>(AM21-AS21)/(AM21-AL21)</f>
        <v>0</v>
      </c>
      <c r="BI21">
        <f>$B$11*CD21+$C$11*CE21+$F$11*CF21</f>
        <v>0</v>
      </c>
      <c r="BJ21">
        <f>BI21*BK21</f>
        <v>0</v>
      </c>
      <c r="BK21">
        <f>($B$11*$D$9+$C$11*$D$9+$F$11*((CS21+CK21)/MAX(CS21+CK21+CT21, 0.1)*$I$9+CT21/MAX(CS21+CK21+CT21, 0.1)*$J$9))/($B$11+$C$11+$F$11)</f>
        <v>0</v>
      </c>
      <c r="BL21">
        <f>($B$11*$K$9+$C$11*$K$9+$F$11*((CS21+CK21)/MAX(CS21+CK21+CT21, 0.1)*$P$9+CT21/MAX(CS21+CK21+CT21, 0.1)*$Q$9))/($B$11+$C$11+$F$11)</f>
        <v>0</v>
      </c>
      <c r="BM21">
        <v>5.5</v>
      </c>
      <c r="BN21">
        <v>0.5</v>
      </c>
      <c r="BO21" t="s">
        <v>281</v>
      </c>
      <c r="BP21">
        <v>1519068580</v>
      </c>
      <c r="BQ21">
        <v>410.118483870968</v>
      </c>
      <c r="BR21">
        <v>441.042580645161</v>
      </c>
      <c r="BS21">
        <v>20.3880419354839</v>
      </c>
      <c r="BT21">
        <v>16.4472451612903</v>
      </c>
      <c r="BU21">
        <v>500.043387096774</v>
      </c>
      <c r="BV21">
        <v>96.0802258064516</v>
      </c>
      <c r="BW21">
        <v>0.100019164516129</v>
      </c>
      <c r="BX21">
        <v>25.5664064516129</v>
      </c>
      <c r="BY21">
        <v>25.0470096774194</v>
      </c>
      <c r="BZ21">
        <v>999.9</v>
      </c>
      <c r="CA21">
        <v>0</v>
      </c>
      <c r="CB21">
        <v>0</v>
      </c>
      <c r="CC21">
        <v>10008.7912903226</v>
      </c>
      <c r="CD21">
        <v>0</v>
      </c>
      <c r="CE21">
        <v>1313.11677419355</v>
      </c>
      <c r="CF21">
        <v>1000.03029032258</v>
      </c>
      <c r="CG21">
        <v>0.960005419354839</v>
      </c>
      <c r="CH21">
        <v>0.039994835483871</v>
      </c>
      <c r="CI21">
        <v>0</v>
      </c>
      <c r="CJ21">
        <v>722.521</v>
      </c>
      <c r="CK21">
        <v>4.9994</v>
      </c>
      <c r="CL21">
        <v>7217.08193548387</v>
      </c>
      <c r="CM21">
        <v>8080.88387096774</v>
      </c>
      <c r="CN21">
        <v>43.2357741935484</v>
      </c>
      <c r="CO21">
        <v>45</v>
      </c>
      <c r="CP21">
        <v>44.544</v>
      </c>
      <c r="CQ21">
        <v>44.641</v>
      </c>
      <c r="CR21">
        <v>45.137</v>
      </c>
      <c r="CS21">
        <v>955.236129032258</v>
      </c>
      <c r="CT21">
        <v>39.7948387096774</v>
      </c>
      <c r="CU21">
        <v>0</v>
      </c>
      <c r="CV21">
        <v>120</v>
      </c>
      <c r="CW21">
        <v>722.488730769231</v>
      </c>
      <c r="CX21">
        <v>-2.86594872066989</v>
      </c>
      <c r="CY21">
        <v>-37.5955554800009</v>
      </c>
      <c r="CZ21">
        <v>7216.50269230769</v>
      </c>
      <c r="DA21">
        <v>15</v>
      </c>
      <c r="DB21">
        <v>1519068035.5</v>
      </c>
      <c r="DC21" t="s">
        <v>282</v>
      </c>
      <c r="DD21">
        <v>2</v>
      </c>
      <c r="DE21">
        <v>0.814</v>
      </c>
      <c r="DF21">
        <v>0.117</v>
      </c>
      <c r="DG21">
        <v>450</v>
      </c>
      <c r="DH21">
        <v>15</v>
      </c>
      <c r="DI21">
        <v>0.03</v>
      </c>
      <c r="DJ21">
        <v>0.01</v>
      </c>
      <c r="DK21">
        <v>26.6616789014689</v>
      </c>
      <c r="DL21">
        <v>-0.423856833539994</v>
      </c>
      <c r="DM21">
        <v>0.0804467944545543</v>
      </c>
      <c r="DN21">
        <v>1</v>
      </c>
      <c r="DO21">
        <v>-30.9340390243902</v>
      </c>
      <c r="DP21">
        <v>0.213407665505233</v>
      </c>
      <c r="DQ21">
        <v>0.0553651509571826</v>
      </c>
      <c r="DR21">
        <v>1</v>
      </c>
      <c r="DS21">
        <v>3.94532707317073</v>
      </c>
      <c r="DT21">
        <v>-0.159700975609752</v>
      </c>
      <c r="DU21">
        <v>0.0222671224601021</v>
      </c>
      <c r="DV21">
        <v>1</v>
      </c>
      <c r="DW21">
        <v>0.27496065153661</v>
      </c>
      <c r="DX21">
        <v>-0.0110727525896026</v>
      </c>
      <c r="DY21">
        <v>0.00180339019516971</v>
      </c>
      <c r="DZ21">
        <v>1</v>
      </c>
      <c r="EA21">
        <v>4</v>
      </c>
      <c r="EB21">
        <v>4</v>
      </c>
      <c r="EC21" t="s">
        <v>291</v>
      </c>
      <c r="ED21">
        <v>1.8492</v>
      </c>
      <c r="EE21">
        <v>1.85333</v>
      </c>
      <c r="EF21">
        <v>1.85211</v>
      </c>
      <c r="EG21">
        <v>1.85638</v>
      </c>
      <c r="EH21">
        <v>1.8542</v>
      </c>
      <c r="EI21">
        <v>1.85455</v>
      </c>
      <c r="EJ21">
        <v>1.84677</v>
      </c>
      <c r="EK21">
        <v>1.85145</v>
      </c>
      <c r="EL21" t="s">
        <v>284</v>
      </c>
      <c r="EM21" t="s">
        <v>19</v>
      </c>
      <c r="EN21" t="s">
        <v>19</v>
      </c>
      <c r="EO21" t="s">
        <v>19</v>
      </c>
      <c r="EP21" t="s">
        <v>285</v>
      </c>
      <c r="EQ21" t="s">
        <v>286</v>
      </c>
      <c r="ER21" t="s">
        <v>287</v>
      </c>
      <c r="ES21" t="s">
        <v>287</v>
      </c>
      <c r="ET21" t="s">
        <v>287</v>
      </c>
      <c r="EU21" t="s">
        <v>287</v>
      </c>
      <c r="EV21">
        <v>0</v>
      </c>
      <c r="EW21">
        <v>100</v>
      </c>
      <c r="EX21">
        <v>100</v>
      </c>
      <c r="EY21">
        <v>0.814</v>
      </c>
      <c r="EZ21">
        <v>0.117</v>
      </c>
      <c r="FA21">
        <v>2</v>
      </c>
      <c r="FB21">
        <v>501.204</v>
      </c>
      <c r="FC21">
        <v>292.565</v>
      </c>
      <c r="FD21">
        <v>21.5396</v>
      </c>
      <c r="FE21">
        <v>29.4203</v>
      </c>
      <c r="FF21">
        <v>30.0005</v>
      </c>
      <c r="FG21">
        <v>29.6941</v>
      </c>
      <c r="FH21">
        <v>29.6435</v>
      </c>
      <c r="FI21">
        <v>18.7414</v>
      </c>
      <c r="FJ21">
        <v>23.5168</v>
      </c>
      <c r="FK21">
        <v>36.9954</v>
      </c>
      <c r="FL21">
        <v>21.5236</v>
      </c>
      <c r="FM21">
        <v>440.788</v>
      </c>
      <c r="FN21">
        <v>16.5823</v>
      </c>
      <c r="FO21">
        <v>100.061</v>
      </c>
      <c r="FP21">
        <v>118.845</v>
      </c>
    </row>
    <row r="22" spans="1:172">
      <c r="A22">
        <v>6</v>
      </c>
      <c r="B22">
        <v>1519068738.5</v>
      </c>
      <c r="C22">
        <v>663.5</v>
      </c>
      <c r="D22" t="s">
        <v>301</v>
      </c>
      <c r="E22" t="s">
        <v>302</v>
      </c>
      <c r="F22">
        <v>1519068730.5</v>
      </c>
      <c r="G22">
        <f>BU22*AH22*(BS22-BT22)/(100*BM22*(1000-AH22*BS22))</f>
        <v>0</v>
      </c>
      <c r="H22">
        <f>BU22*AH22*(BR22-BQ22*(1000-AH22*BT22)/(1000-AH22*BS22))/(100*BM22)</f>
        <v>0</v>
      </c>
      <c r="I22">
        <f>BQ22 - IF(AH22&gt;1, H22*BM22*100.0/(AJ22*CC22), 0)</f>
        <v>0</v>
      </c>
      <c r="J22">
        <f>((P22-G22/2)*I22-H22)/(P22+G22/2)</f>
        <v>0</v>
      </c>
      <c r="K22">
        <f>J22*(BV22+BW22)/1000.0</f>
        <v>0</v>
      </c>
      <c r="L22">
        <f>(BQ22 - IF(AH22&gt;1, H22*BM22*100.0/(AJ22*CC22), 0))*(BV22+BW22)/1000.0</f>
        <v>0</v>
      </c>
      <c r="M22">
        <f>2.0/((1/O22-1/N22)+SIGN(O22)*SQRT((1/O22-1/N22)*(1/O22-1/N22) + 4*BN22/((BN22+1)*(BN22+1))*(2*1/O22*1/N22-1/N22*1/N22)))</f>
        <v>0</v>
      </c>
      <c r="N22">
        <f>AE22+AD22*BM22+AC22*BM22*BM22</f>
        <v>0</v>
      </c>
      <c r="O22">
        <f>G22*(1000-(1000*0.61365*exp(17.502*S22/(240.97+S22))/(BV22+BW22)+BS22)/2)/(1000*0.61365*exp(17.502*S22/(240.97+S22))/(BV22+BW22)-BS22)</f>
        <v>0</v>
      </c>
      <c r="P22">
        <f>1/((BN22+1)/(M22/1.6)+1/(N22/1.37)) + BN22/((BN22+1)/(M22/1.6) + BN22/(N22/1.37))</f>
        <v>0</v>
      </c>
      <c r="Q22">
        <f>(BJ22*BL22)</f>
        <v>0</v>
      </c>
      <c r="R22">
        <f>(BX22+(Q22+2*0.95*5.67E-8*(((BX22+$B$7)+273)^4-(BX22+273)^4)-44100*G22)/(1.84*29.3*N22+8*0.95*5.67E-8*(BX22+273)^3))</f>
        <v>0</v>
      </c>
      <c r="S22">
        <f>($C$7*BY22+$D$7*BZ22+$E$7*R22)</f>
        <v>0</v>
      </c>
      <c r="T22">
        <f>0.61365*exp(17.502*S22/(240.97+S22))</f>
        <v>0</v>
      </c>
      <c r="U22">
        <f>(V22/W22*100)</f>
        <v>0</v>
      </c>
      <c r="V22">
        <f>BS22*(BV22+BW22)/1000</f>
        <v>0</v>
      </c>
      <c r="W22">
        <f>0.61365*exp(17.502*BX22/(240.97+BX22))</f>
        <v>0</v>
      </c>
      <c r="X22">
        <f>(T22-BS22*(BV22+BW22)/1000)</f>
        <v>0</v>
      </c>
      <c r="Y22">
        <f>(-G22*44100)</f>
        <v>0</v>
      </c>
      <c r="Z22">
        <f>2*29.3*N22*0.92*(BX22-S22)</f>
        <v>0</v>
      </c>
      <c r="AA22">
        <f>2*0.95*5.67E-8*(((BX22+$B$7)+273)^4-(S22+273)^4)</f>
        <v>0</v>
      </c>
      <c r="AB22">
        <f>Q22+AA22+Y22+Z22</f>
        <v>0</v>
      </c>
      <c r="AC22">
        <v>-0.0398766100360855</v>
      </c>
      <c r="AD22">
        <v>0.0447649881484114</v>
      </c>
      <c r="AE22">
        <v>3.36794057776289</v>
      </c>
      <c r="AF22">
        <v>0</v>
      </c>
      <c r="AG22">
        <v>0</v>
      </c>
      <c r="AH22">
        <f>IF(AF22*$H$13&gt;=AJ22,1.0,(AJ22/(AJ22-AF22*$H$13)))</f>
        <v>0</v>
      </c>
      <c r="AI22">
        <f>(AH22-1)*100</f>
        <v>0</v>
      </c>
      <c r="AJ22">
        <f>MAX(0,($B$13+$C$13*CC22)/(1+$D$13*CC22)*BV22/(BX22+273)*$E$13)</f>
        <v>0</v>
      </c>
      <c r="AK22">
        <v>0</v>
      </c>
      <c r="AL22">
        <v>282.050384615385</v>
      </c>
      <c r="AM22">
        <v>2644.25</v>
      </c>
      <c r="AN22">
        <f>AM22-AL22</f>
        <v>0</v>
      </c>
      <c r="AO22">
        <f>AN22/AM22</f>
        <v>0</v>
      </c>
      <c r="AP22">
        <v>-152.220269057172</v>
      </c>
      <c r="AQ22" t="s">
        <v>303</v>
      </c>
      <c r="AR22">
        <v>760.0075</v>
      </c>
      <c r="AS22">
        <v>1606.88</v>
      </c>
      <c r="AT22">
        <f>1-AR22/AS22</f>
        <v>0</v>
      </c>
      <c r="AU22">
        <v>0.5</v>
      </c>
      <c r="AV22">
        <f>BJ22</f>
        <v>0</v>
      </c>
      <c r="AW22">
        <f>H22</f>
        <v>0</v>
      </c>
      <c r="AX22">
        <f>AT22*AU22*AV22</f>
        <v>0</v>
      </c>
      <c r="AY22">
        <f>BD22/AS22</f>
        <v>0</v>
      </c>
      <c r="AZ22">
        <f>(AW22-AP22)/AV22</f>
        <v>0</v>
      </c>
      <c r="BA22">
        <f>(AM22-AS22)/AS22</f>
        <v>0</v>
      </c>
      <c r="BB22" t="s">
        <v>280</v>
      </c>
      <c r="BC22">
        <v>0</v>
      </c>
      <c r="BD22">
        <f>AS22-BC22</f>
        <v>0</v>
      </c>
      <c r="BE22">
        <f>(AS22-AR22)/(AS22-BC22)</f>
        <v>0</v>
      </c>
      <c r="BF22">
        <f>(AM22-AS22)/(AM22-BC22)</f>
        <v>0</v>
      </c>
      <c r="BG22">
        <f>(AS22-AR22)/(AS22-AL22)</f>
        <v>0</v>
      </c>
      <c r="BH22">
        <f>(AM22-AS22)/(AM22-AL22)</f>
        <v>0</v>
      </c>
      <c r="BI22">
        <f>$B$11*CD22+$C$11*CE22+$F$11*CF22</f>
        <v>0</v>
      </c>
      <c r="BJ22">
        <f>BI22*BK22</f>
        <v>0</v>
      </c>
      <c r="BK22">
        <f>($B$11*$D$9+$C$11*$D$9+$F$11*((CS22+CK22)/MAX(CS22+CK22+CT22, 0.1)*$I$9+CT22/MAX(CS22+CK22+CT22, 0.1)*$J$9))/($B$11+$C$11+$F$11)</f>
        <v>0</v>
      </c>
      <c r="BL22">
        <f>($B$11*$K$9+$C$11*$K$9+$F$11*((CS22+CK22)/MAX(CS22+CK22+CT22, 0.1)*$P$9+CT22/MAX(CS22+CK22+CT22, 0.1)*$Q$9))/($B$11+$C$11+$F$11)</f>
        <v>0</v>
      </c>
      <c r="BM22">
        <v>5.5</v>
      </c>
      <c r="BN22">
        <v>0.5</v>
      </c>
      <c r="BO22" t="s">
        <v>281</v>
      </c>
      <c r="BP22">
        <v>1519068730.5</v>
      </c>
      <c r="BQ22">
        <v>409.970580645161</v>
      </c>
      <c r="BR22">
        <v>437.431129032258</v>
      </c>
      <c r="BS22">
        <v>20.5253870967742</v>
      </c>
      <c r="BT22">
        <v>17.0138</v>
      </c>
      <c r="BU22">
        <v>500.044870967742</v>
      </c>
      <c r="BV22">
        <v>96.0818774193548</v>
      </c>
      <c r="BW22">
        <v>0.10004864516129</v>
      </c>
      <c r="BX22">
        <v>25.5439516129032</v>
      </c>
      <c r="BY22">
        <v>24.9975225806452</v>
      </c>
      <c r="BZ22">
        <v>999.9</v>
      </c>
      <c r="CA22">
        <v>0</v>
      </c>
      <c r="CB22">
        <v>0</v>
      </c>
      <c r="CC22">
        <v>10008.5870967742</v>
      </c>
      <c r="CD22">
        <v>0</v>
      </c>
      <c r="CE22">
        <v>1318.83709677419</v>
      </c>
      <c r="CF22">
        <v>799.979451612903</v>
      </c>
      <c r="CG22">
        <v>0.949995354838709</v>
      </c>
      <c r="CH22">
        <v>0.0500044774193548</v>
      </c>
      <c r="CI22">
        <v>0</v>
      </c>
      <c r="CJ22">
        <v>760.000290322581</v>
      </c>
      <c r="CK22">
        <v>4.9994</v>
      </c>
      <c r="CL22">
        <v>6055.16</v>
      </c>
      <c r="CM22">
        <v>6433.68193548387</v>
      </c>
      <c r="CN22">
        <v>42.546</v>
      </c>
      <c r="CO22">
        <v>44.768</v>
      </c>
      <c r="CP22">
        <v>44.0843548387097</v>
      </c>
      <c r="CQ22">
        <v>44.413</v>
      </c>
      <c r="CR22">
        <v>44.651</v>
      </c>
      <c r="CS22">
        <v>755.228387096774</v>
      </c>
      <c r="CT22">
        <v>39.75</v>
      </c>
      <c r="CU22">
        <v>0</v>
      </c>
      <c r="CV22">
        <v>150</v>
      </c>
      <c r="CW22">
        <v>760.0075</v>
      </c>
      <c r="CX22">
        <v>-2.56858120684443</v>
      </c>
      <c r="CY22">
        <v>-19.5883761661851</v>
      </c>
      <c r="CZ22">
        <v>6055.16153846154</v>
      </c>
      <c r="DA22">
        <v>15</v>
      </c>
      <c r="DB22">
        <v>1519068676</v>
      </c>
      <c r="DC22" t="s">
        <v>304</v>
      </c>
      <c r="DD22">
        <v>3</v>
      </c>
      <c r="DE22">
        <v>0.873</v>
      </c>
      <c r="DF22">
        <v>0.13</v>
      </c>
      <c r="DG22">
        <v>438</v>
      </c>
      <c r="DH22">
        <v>17</v>
      </c>
      <c r="DI22">
        <v>0.04</v>
      </c>
      <c r="DJ22">
        <v>0.03</v>
      </c>
      <c r="DK22">
        <v>23.7622563266697</v>
      </c>
      <c r="DL22">
        <v>-1.13727507517612</v>
      </c>
      <c r="DM22">
        <v>0.242990048069675</v>
      </c>
      <c r="DN22">
        <v>0</v>
      </c>
      <c r="DO22">
        <v>-27.4712390243902</v>
      </c>
      <c r="DP22">
        <v>-0.302303832752618</v>
      </c>
      <c r="DQ22">
        <v>0.1452895895051</v>
      </c>
      <c r="DR22">
        <v>0</v>
      </c>
      <c r="DS22">
        <v>3.52064585365854</v>
      </c>
      <c r="DT22">
        <v>-0.182143484320556</v>
      </c>
      <c r="DU22">
        <v>0.0180167519575681</v>
      </c>
      <c r="DV22">
        <v>1</v>
      </c>
      <c r="DW22">
        <v>0.252011606925751</v>
      </c>
      <c r="DX22">
        <v>-0.0192848817690192</v>
      </c>
      <c r="DY22">
        <v>0.00256092041665537</v>
      </c>
      <c r="DZ22">
        <v>1</v>
      </c>
      <c r="EA22">
        <v>2</v>
      </c>
      <c r="EB22">
        <v>4</v>
      </c>
      <c r="EC22" t="s">
        <v>283</v>
      </c>
      <c r="ED22">
        <v>1.8492</v>
      </c>
      <c r="EE22">
        <v>1.85333</v>
      </c>
      <c r="EF22">
        <v>1.85211</v>
      </c>
      <c r="EG22">
        <v>1.85639</v>
      </c>
      <c r="EH22">
        <v>1.8542</v>
      </c>
      <c r="EI22">
        <v>1.85455</v>
      </c>
      <c r="EJ22">
        <v>1.84677</v>
      </c>
      <c r="EK22">
        <v>1.85146</v>
      </c>
      <c r="EL22" t="s">
        <v>284</v>
      </c>
      <c r="EM22" t="s">
        <v>19</v>
      </c>
      <c r="EN22" t="s">
        <v>19</v>
      </c>
      <c r="EO22" t="s">
        <v>19</v>
      </c>
      <c r="EP22" t="s">
        <v>285</v>
      </c>
      <c r="EQ22" t="s">
        <v>286</v>
      </c>
      <c r="ER22" t="s">
        <v>287</v>
      </c>
      <c r="ES22" t="s">
        <v>287</v>
      </c>
      <c r="ET22" t="s">
        <v>287</v>
      </c>
      <c r="EU22" t="s">
        <v>287</v>
      </c>
      <c r="EV22">
        <v>0</v>
      </c>
      <c r="EW22">
        <v>100</v>
      </c>
      <c r="EX22">
        <v>100</v>
      </c>
      <c r="EY22">
        <v>0.873</v>
      </c>
      <c r="EZ22">
        <v>0.13</v>
      </c>
      <c r="FA22">
        <v>2</v>
      </c>
      <c r="FB22">
        <v>500.974</v>
      </c>
      <c r="FC22">
        <v>291.803</v>
      </c>
      <c r="FD22">
        <v>21.898</v>
      </c>
      <c r="FE22">
        <v>29.5687</v>
      </c>
      <c r="FF22">
        <v>30.0005</v>
      </c>
      <c r="FG22">
        <v>29.8226</v>
      </c>
      <c r="FH22">
        <v>29.7698</v>
      </c>
      <c r="FI22">
        <v>18.6272</v>
      </c>
      <c r="FJ22">
        <v>21.9627</v>
      </c>
      <c r="FK22">
        <v>36.9458</v>
      </c>
      <c r="FL22">
        <v>21.8982</v>
      </c>
      <c r="FM22">
        <v>437.327</v>
      </c>
      <c r="FN22">
        <v>16.9723</v>
      </c>
      <c r="FO22">
        <v>100.04</v>
      </c>
      <c r="FP22">
        <v>118.809</v>
      </c>
    </row>
    <row r="23" spans="1:172">
      <c r="A23">
        <v>7</v>
      </c>
      <c r="B23">
        <v>1519068875.5</v>
      </c>
      <c r="C23">
        <v>800.5</v>
      </c>
      <c r="D23" t="s">
        <v>305</v>
      </c>
      <c r="E23" t="s">
        <v>306</v>
      </c>
      <c r="F23">
        <v>1519068867.5</v>
      </c>
      <c r="G23">
        <f>BU23*AH23*(BS23-BT23)/(100*BM23*(1000-AH23*BS23))</f>
        <v>0</v>
      </c>
      <c r="H23">
        <f>BU23*AH23*(BR23-BQ23*(1000-AH23*BT23)/(1000-AH23*BS23))/(100*BM23)</f>
        <v>0</v>
      </c>
      <c r="I23">
        <f>BQ23 - IF(AH23&gt;1, H23*BM23*100.0/(AJ23*CC23), 0)</f>
        <v>0</v>
      </c>
      <c r="J23">
        <f>((P23-G23/2)*I23-H23)/(P23+G23/2)</f>
        <v>0</v>
      </c>
      <c r="K23">
        <f>J23*(BV23+BW23)/1000.0</f>
        <v>0</v>
      </c>
      <c r="L23">
        <f>(BQ23 - IF(AH23&gt;1, H23*BM23*100.0/(AJ23*CC23), 0))*(BV23+BW23)/1000.0</f>
        <v>0</v>
      </c>
      <c r="M23">
        <f>2.0/((1/O23-1/N23)+SIGN(O23)*SQRT((1/O23-1/N23)*(1/O23-1/N23) + 4*BN23/((BN23+1)*(BN23+1))*(2*1/O23*1/N23-1/N23*1/N23)))</f>
        <v>0</v>
      </c>
      <c r="N23">
        <f>AE23+AD23*BM23+AC23*BM23*BM23</f>
        <v>0</v>
      </c>
      <c r="O23">
        <f>G23*(1000-(1000*0.61365*exp(17.502*S23/(240.97+S23))/(BV23+BW23)+BS23)/2)/(1000*0.61365*exp(17.502*S23/(240.97+S23))/(BV23+BW23)-BS23)</f>
        <v>0</v>
      </c>
      <c r="P23">
        <f>1/((BN23+1)/(M23/1.6)+1/(N23/1.37)) + BN23/((BN23+1)/(M23/1.6) + BN23/(N23/1.37))</f>
        <v>0</v>
      </c>
      <c r="Q23">
        <f>(BJ23*BL23)</f>
        <v>0</v>
      </c>
      <c r="R23">
        <f>(BX23+(Q23+2*0.95*5.67E-8*(((BX23+$B$7)+273)^4-(BX23+273)^4)-44100*G23)/(1.84*29.3*N23+8*0.95*5.67E-8*(BX23+273)^3))</f>
        <v>0</v>
      </c>
      <c r="S23">
        <f>($C$7*BY23+$D$7*BZ23+$E$7*R23)</f>
        <v>0</v>
      </c>
      <c r="T23">
        <f>0.61365*exp(17.502*S23/(240.97+S23))</f>
        <v>0</v>
      </c>
      <c r="U23">
        <f>(V23/W23*100)</f>
        <v>0</v>
      </c>
      <c r="V23">
        <f>BS23*(BV23+BW23)/1000</f>
        <v>0</v>
      </c>
      <c r="W23">
        <f>0.61365*exp(17.502*BX23/(240.97+BX23))</f>
        <v>0</v>
      </c>
      <c r="X23">
        <f>(T23-BS23*(BV23+BW23)/1000)</f>
        <v>0</v>
      </c>
      <c r="Y23">
        <f>(-G23*44100)</f>
        <v>0</v>
      </c>
      <c r="Z23">
        <f>2*29.3*N23*0.92*(BX23-S23)</f>
        <v>0</v>
      </c>
      <c r="AA23">
        <f>2*0.95*5.67E-8*(((BX23+$B$7)+273)^4-(S23+273)^4)</f>
        <v>0</v>
      </c>
      <c r="AB23">
        <f>Q23+AA23+Y23+Z23</f>
        <v>0</v>
      </c>
      <c r="AC23">
        <v>-0.0397981331725499</v>
      </c>
      <c r="AD23">
        <v>0.0446768909941419</v>
      </c>
      <c r="AE23">
        <v>3.36267037589518</v>
      </c>
      <c r="AF23">
        <v>0</v>
      </c>
      <c r="AG23">
        <v>0</v>
      </c>
      <c r="AH23">
        <f>IF(AF23*$H$13&gt;=AJ23,1.0,(AJ23/(AJ23-AF23*$H$13)))</f>
        <v>0</v>
      </c>
      <c r="AI23">
        <f>(AH23-1)*100</f>
        <v>0</v>
      </c>
      <c r="AJ23">
        <f>MAX(0,($B$13+$C$13*CC23)/(1+$D$13*CC23)*BV23/(BX23+273)*$E$13)</f>
        <v>0</v>
      </c>
      <c r="AK23">
        <v>0</v>
      </c>
      <c r="AL23">
        <v>282.050384615385</v>
      </c>
      <c r="AM23">
        <v>2644.25</v>
      </c>
      <c r="AN23">
        <f>AM23-AL23</f>
        <v>0</v>
      </c>
      <c r="AO23">
        <f>AN23/AM23</f>
        <v>0</v>
      </c>
      <c r="AP23">
        <v>-152.220269057172</v>
      </c>
      <c r="AQ23" t="s">
        <v>307</v>
      </c>
      <c r="AR23">
        <v>799.821576923077</v>
      </c>
      <c r="AS23">
        <v>1883.88</v>
      </c>
      <c r="AT23">
        <f>1-AR23/AS23</f>
        <v>0</v>
      </c>
      <c r="AU23">
        <v>0.5</v>
      </c>
      <c r="AV23">
        <f>BJ23</f>
        <v>0</v>
      </c>
      <c r="AW23">
        <f>H23</f>
        <v>0</v>
      </c>
      <c r="AX23">
        <f>AT23*AU23*AV23</f>
        <v>0</v>
      </c>
      <c r="AY23">
        <f>BD23/AS23</f>
        <v>0</v>
      </c>
      <c r="AZ23">
        <f>(AW23-AP23)/AV23</f>
        <v>0</v>
      </c>
      <c r="BA23">
        <f>(AM23-AS23)/AS23</f>
        <v>0</v>
      </c>
      <c r="BB23" t="s">
        <v>280</v>
      </c>
      <c r="BC23">
        <v>0</v>
      </c>
      <c r="BD23">
        <f>AS23-BC23</f>
        <v>0</v>
      </c>
      <c r="BE23">
        <f>(AS23-AR23)/(AS23-BC23)</f>
        <v>0</v>
      </c>
      <c r="BF23">
        <f>(AM23-AS23)/(AM23-BC23)</f>
        <v>0</v>
      </c>
      <c r="BG23">
        <f>(AS23-AR23)/(AS23-AL23)</f>
        <v>0</v>
      </c>
      <c r="BH23">
        <f>(AM23-AS23)/(AM23-AL23)</f>
        <v>0</v>
      </c>
      <c r="BI23">
        <f>$B$11*CD23+$C$11*CE23+$F$11*CF23</f>
        <v>0</v>
      </c>
      <c r="BJ23">
        <f>BI23*BK23</f>
        <v>0</v>
      </c>
      <c r="BK23">
        <f>($B$11*$D$9+$C$11*$D$9+$F$11*((CS23+CK23)/MAX(CS23+CK23+CT23, 0.1)*$I$9+CT23/MAX(CS23+CK23+CT23, 0.1)*$J$9))/($B$11+$C$11+$F$11)</f>
        <v>0</v>
      </c>
      <c r="BL23">
        <f>($B$11*$K$9+$C$11*$K$9+$F$11*((CS23+CK23)/MAX(CS23+CK23+CT23, 0.1)*$P$9+CT23/MAX(CS23+CK23+CT23, 0.1)*$Q$9))/($B$11+$C$11+$F$11)</f>
        <v>0</v>
      </c>
      <c r="BM23">
        <v>5.5</v>
      </c>
      <c r="BN23">
        <v>0.5</v>
      </c>
      <c r="BO23" t="s">
        <v>281</v>
      </c>
      <c r="BP23">
        <v>1519068867.5</v>
      </c>
      <c r="BQ23">
        <v>410.046419354839</v>
      </c>
      <c r="BR23">
        <v>433.592483870968</v>
      </c>
      <c r="BS23">
        <v>20.4288516129032</v>
      </c>
      <c r="BT23">
        <v>17.3786774193548</v>
      </c>
      <c r="BU23">
        <v>500.039483870968</v>
      </c>
      <c r="BV23">
        <v>96.0783677419355</v>
      </c>
      <c r="BW23">
        <v>0.100231312903226</v>
      </c>
      <c r="BX23">
        <v>25.5889903225806</v>
      </c>
      <c r="BY23">
        <v>24.9876870967742</v>
      </c>
      <c r="BZ23">
        <v>999.9</v>
      </c>
      <c r="CA23">
        <v>0</v>
      </c>
      <c r="CB23">
        <v>0</v>
      </c>
      <c r="CC23">
        <v>9989.25516129032</v>
      </c>
      <c r="CD23">
        <v>0</v>
      </c>
      <c r="CE23">
        <v>1310.63935483871</v>
      </c>
      <c r="CF23">
        <v>600.022451612903</v>
      </c>
      <c r="CG23">
        <v>0.932983483870967</v>
      </c>
      <c r="CH23">
        <v>0.0670160483870968</v>
      </c>
      <c r="CI23">
        <v>0</v>
      </c>
      <c r="CJ23">
        <v>799.845290322581</v>
      </c>
      <c r="CK23">
        <v>4.9994</v>
      </c>
      <c r="CL23">
        <v>4762.56548387097</v>
      </c>
      <c r="CM23">
        <v>4786.78258064516</v>
      </c>
      <c r="CN23">
        <v>41.8647741935484</v>
      </c>
      <c r="CO23">
        <v>44.411</v>
      </c>
      <c r="CP23">
        <v>43.566129032258</v>
      </c>
      <c r="CQ23">
        <v>44.062</v>
      </c>
      <c r="CR23">
        <v>44.1227741935484</v>
      </c>
      <c r="CS23">
        <v>555.147419354839</v>
      </c>
      <c r="CT23">
        <v>39.8748387096774</v>
      </c>
      <c r="CU23">
        <v>0</v>
      </c>
      <c r="CV23">
        <v>136.200000047684</v>
      </c>
      <c r="CW23">
        <v>799.821576923077</v>
      </c>
      <c r="CX23">
        <v>-2.14540170942497</v>
      </c>
      <c r="CY23">
        <v>-13.0430768128648</v>
      </c>
      <c r="CZ23">
        <v>4762.27884615385</v>
      </c>
      <c r="DA23">
        <v>15</v>
      </c>
      <c r="DB23">
        <v>1519068676</v>
      </c>
      <c r="DC23" t="s">
        <v>304</v>
      </c>
      <c r="DD23">
        <v>3</v>
      </c>
      <c r="DE23">
        <v>0.873</v>
      </c>
      <c r="DF23">
        <v>0.13</v>
      </c>
      <c r="DG23">
        <v>438</v>
      </c>
      <c r="DH23">
        <v>17</v>
      </c>
      <c r="DI23">
        <v>0.04</v>
      </c>
      <c r="DJ23">
        <v>0.03</v>
      </c>
      <c r="DK23">
        <v>20.2496185008807</v>
      </c>
      <c r="DL23">
        <v>0.125053947201712</v>
      </c>
      <c r="DM23">
        <v>0.101352314505374</v>
      </c>
      <c r="DN23">
        <v>1</v>
      </c>
      <c r="DO23">
        <v>-23.562787804878</v>
      </c>
      <c r="DP23">
        <v>-0.123518466898988</v>
      </c>
      <c r="DQ23">
        <v>0.09847098172316</v>
      </c>
      <c r="DR23">
        <v>1</v>
      </c>
      <c r="DS23">
        <v>3.08516390243902</v>
      </c>
      <c r="DT23">
        <v>-0.638792404181158</v>
      </c>
      <c r="DU23">
        <v>0.064891414775764</v>
      </c>
      <c r="DV23">
        <v>1</v>
      </c>
      <c r="DW23">
        <v>0.221683457371522</v>
      </c>
      <c r="DX23">
        <v>-0.0537334636729827</v>
      </c>
      <c r="DY23">
        <v>0.00725087745997834</v>
      </c>
      <c r="DZ23">
        <v>1</v>
      </c>
      <c r="EA23">
        <v>4</v>
      </c>
      <c r="EB23">
        <v>4</v>
      </c>
      <c r="EC23" t="s">
        <v>291</v>
      </c>
      <c r="ED23">
        <v>1.84921</v>
      </c>
      <c r="EE23">
        <v>1.85333</v>
      </c>
      <c r="EF23">
        <v>1.85211</v>
      </c>
      <c r="EG23">
        <v>1.85643</v>
      </c>
      <c r="EH23">
        <v>1.85423</v>
      </c>
      <c r="EI23">
        <v>1.85455</v>
      </c>
      <c r="EJ23">
        <v>1.84677</v>
      </c>
      <c r="EK23">
        <v>1.85147</v>
      </c>
      <c r="EL23" t="s">
        <v>284</v>
      </c>
      <c r="EM23" t="s">
        <v>19</v>
      </c>
      <c r="EN23" t="s">
        <v>19</v>
      </c>
      <c r="EO23" t="s">
        <v>19</v>
      </c>
      <c r="EP23" t="s">
        <v>285</v>
      </c>
      <c r="EQ23" t="s">
        <v>286</v>
      </c>
      <c r="ER23" t="s">
        <v>287</v>
      </c>
      <c r="ES23" t="s">
        <v>287</v>
      </c>
      <c r="ET23" t="s">
        <v>287</v>
      </c>
      <c r="EU23" t="s">
        <v>287</v>
      </c>
      <c r="EV23">
        <v>0</v>
      </c>
      <c r="EW23">
        <v>100</v>
      </c>
      <c r="EX23">
        <v>100</v>
      </c>
      <c r="EY23">
        <v>0.873</v>
      </c>
      <c r="EZ23">
        <v>0.13</v>
      </c>
      <c r="FA23">
        <v>2</v>
      </c>
      <c r="FB23">
        <v>500.892</v>
      </c>
      <c r="FC23">
        <v>290.934</v>
      </c>
      <c r="FD23">
        <v>22.2136</v>
      </c>
      <c r="FE23">
        <v>29.6701</v>
      </c>
      <c r="FF23">
        <v>29.9998</v>
      </c>
      <c r="FG23">
        <v>29.9275</v>
      </c>
      <c r="FH23">
        <v>29.8748</v>
      </c>
      <c r="FI23">
        <v>18.5093</v>
      </c>
      <c r="FJ23">
        <v>19.6784</v>
      </c>
      <c r="FK23">
        <v>36.5755</v>
      </c>
      <c r="FL23">
        <v>22.2465</v>
      </c>
      <c r="FM23">
        <v>433.545</v>
      </c>
      <c r="FN23">
        <v>17.5494</v>
      </c>
      <c r="FO23">
        <v>100.025</v>
      </c>
      <c r="FP23">
        <v>118.785</v>
      </c>
    </row>
    <row r="24" spans="1:172">
      <c r="A24">
        <v>8</v>
      </c>
      <c r="B24">
        <v>1519068996</v>
      </c>
      <c r="C24">
        <v>921</v>
      </c>
      <c r="D24" t="s">
        <v>308</v>
      </c>
      <c r="E24" t="s">
        <v>309</v>
      </c>
      <c r="F24">
        <v>1519068988</v>
      </c>
      <c r="G24">
        <f>BU24*AH24*(BS24-BT24)/(100*BM24*(1000-AH24*BS24))</f>
        <v>0</v>
      </c>
      <c r="H24">
        <f>BU24*AH24*(BR24-BQ24*(1000-AH24*BT24)/(1000-AH24*BS24))/(100*BM24)</f>
        <v>0</v>
      </c>
      <c r="I24">
        <f>BQ24 - IF(AH24&gt;1, H24*BM24*100.0/(AJ24*CC24), 0)</f>
        <v>0</v>
      </c>
      <c r="J24">
        <f>((P24-G24/2)*I24-H24)/(P24+G24/2)</f>
        <v>0</v>
      </c>
      <c r="K24">
        <f>J24*(BV24+BW24)/1000.0</f>
        <v>0</v>
      </c>
      <c r="L24">
        <f>(BQ24 - IF(AH24&gt;1, H24*BM24*100.0/(AJ24*CC24), 0))*(BV24+BW24)/1000.0</f>
        <v>0</v>
      </c>
      <c r="M24">
        <f>2.0/((1/O24-1/N24)+SIGN(O24)*SQRT((1/O24-1/N24)*(1/O24-1/N24) + 4*BN24/((BN24+1)*(BN24+1))*(2*1/O24*1/N24-1/N24*1/N24)))</f>
        <v>0</v>
      </c>
      <c r="N24">
        <f>AE24+AD24*BM24+AC24*BM24*BM24</f>
        <v>0</v>
      </c>
      <c r="O24">
        <f>G24*(1000-(1000*0.61365*exp(17.502*S24/(240.97+S24))/(BV24+BW24)+BS24)/2)/(1000*0.61365*exp(17.502*S24/(240.97+S24))/(BV24+BW24)-BS24)</f>
        <v>0</v>
      </c>
      <c r="P24">
        <f>1/((BN24+1)/(M24/1.6)+1/(N24/1.37)) + BN24/((BN24+1)/(M24/1.6) + BN24/(N24/1.37))</f>
        <v>0</v>
      </c>
      <c r="Q24">
        <f>(BJ24*BL24)</f>
        <v>0</v>
      </c>
      <c r="R24">
        <f>(BX24+(Q24+2*0.95*5.67E-8*(((BX24+$B$7)+273)^4-(BX24+273)^4)-44100*G24)/(1.84*29.3*N24+8*0.95*5.67E-8*(BX24+273)^3))</f>
        <v>0</v>
      </c>
      <c r="S24">
        <f>($C$7*BY24+$D$7*BZ24+$E$7*R24)</f>
        <v>0</v>
      </c>
      <c r="T24">
        <f>0.61365*exp(17.502*S24/(240.97+S24))</f>
        <v>0</v>
      </c>
      <c r="U24">
        <f>(V24/W24*100)</f>
        <v>0</v>
      </c>
      <c r="V24">
        <f>BS24*(BV24+BW24)/1000</f>
        <v>0</v>
      </c>
      <c r="W24">
        <f>0.61365*exp(17.502*BX24/(240.97+BX24))</f>
        <v>0</v>
      </c>
      <c r="X24">
        <f>(T24-BS24*(BV24+BW24)/1000)</f>
        <v>0</v>
      </c>
      <c r="Y24">
        <f>(-G24*44100)</f>
        <v>0</v>
      </c>
      <c r="Z24">
        <f>2*29.3*N24*0.92*(BX24-S24)</f>
        <v>0</v>
      </c>
      <c r="AA24">
        <f>2*0.95*5.67E-8*(((BX24+$B$7)+273)^4-(S24+273)^4)</f>
        <v>0</v>
      </c>
      <c r="AB24">
        <f>Q24+AA24+Y24+Z24</f>
        <v>0</v>
      </c>
      <c r="AC24">
        <v>-0.0398255388523587</v>
      </c>
      <c r="AD24">
        <v>0.0447076562705967</v>
      </c>
      <c r="AE24">
        <v>3.36451122312264</v>
      </c>
      <c r="AF24">
        <v>0</v>
      </c>
      <c r="AG24">
        <v>0</v>
      </c>
      <c r="AH24">
        <f>IF(AF24*$H$13&gt;=AJ24,1.0,(AJ24/(AJ24-AF24*$H$13)))</f>
        <v>0</v>
      </c>
      <c r="AI24">
        <f>(AH24-1)*100</f>
        <v>0</v>
      </c>
      <c r="AJ24">
        <f>MAX(0,($B$13+$C$13*CC24)/(1+$D$13*CC24)*BV24/(BX24+273)*$E$13)</f>
        <v>0</v>
      </c>
      <c r="AK24">
        <v>0</v>
      </c>
      <c r="AL24">
        <v>282.050384615385</v>
      </c>
      <c r="AM24">
        <v>2644.25</v>
      </c>
      <c r="AN24">
        <f>AM24-AL24</f>
        <v>0</v>
      </c>
      <c r="AO24">
        <f>AN24/AM24</f>
        <v>0</v>
      </c>
      <c r="AP24">
        <v>-152.220269057172</v>
      </c>
      <c r="AQ24" t="s">
        <v>310</v>
      </c>
      <c r="AR24">
        <v>806.117</v>
      </c>
      <c r="AS24">
        <v>2107.12</v>
      </c>
      <c r="AT24">
        <f>1-AR24/AS24</f>
        <v>0</v>
      </c>
      <c r="AU24">
        <v>0.5</v>
      </c>
      <c r="AV24">
        <f>BJ24</f>
        <v>0</v>
      </c>
      <c r="AW24">
        <f>H24</f>
        <v>0</v>
      </c>
      <c r="AX24">
        <f>AT24*AU24*AV24</f>
        <v>0</v>
      </c>
      <c r="AY24">
        <f>BD24/AS24</f>
        <v>0</v>
      </c>
      <c r="AZ24">
        <f>(AW24-AP24)/AV24</f>
        <v>0</v>
      </c>
      <c r="BA24">
        <f>(AM24-AS24)/AS24</f>
        <v>0</v>
      </c>
      <c r="BB24" t="s">
        <v>280</v>
      </c>
      <c r="BC24">
        <v>0</v>
      </c>
      <c r="BD24">
        <f>AS24-BC24</f>
        <v>0</v>
      </c>
      <c r="BE24">
        <f>(AS24-AR24)/(AS24-BC24)</f>
        <v>0</v>
      </c>
      <c r="BF24">
        <f>(AM24-AS24)/(AM24-BC24)</f>
        <v>0</v>
      </c>
      <c r="BG24">
        <f>(AS24-AR24)/(AS24-AL24)</f>
        <v>0</v>
      </c>
      <c r="BH24">
        <f>(AM24-AS24)/(AM24-AL24)</f>
        <v>0</v>
      </c>
      <c r="BI24">
        <f>$B$11*CD24+$C$11*CE24+$F$11*CF24</f>
        <v>0</v>
      </c>
      <c r="BJ24">
        <f>BI24*BK24</f>
        <v>0</v>
      </c>
      <c r="BK24">
        <f>($B$11*$D$9+$C$11*$D$9+$F$11*((CS24+CK24)/MAX(CS24+CK24+CT24, 0.1)*$I$9+CT24/MAX(CS24+CK24+CT24, 0.1)*$J$9))/($B$11+$C$11+$F$11)</f>
        <v>0</v>
      </c>
      <c r="BL24">
        <f>($B$11*$K$9+$C$11*$K$9+$F$11*((CS24+CK24)/MAX(CS24+CK24+CT24, 0.1)*$P$9+CT24/MAX(CS24+CK24+CT24, 0.1)*$Q$9))/($B$11+$C$11+$F$11)</f>
        <v>0</v>
      </c>
      <c r="BM24">
        <v>5.5</v>
      </c>
      <c r="BN24">
        <v>0.5</v>
      </c>
      <c r="BO24" t="s">
        <v>281</v>
      </c>
      <c r="BP24">
        <v>1519068988</v>
      </c>
      <c r="BQ24">
        <v>410.037806451613</v>
      </c>
      <c r="BR24">
        <v>428.001290322581</v>
      </c>
      <c r="BS24">
        <v>20.4577451612903</v>
      </c>
      <c r="BT24">
        <v>17.5623774193548</v>
      </c>
      <c r="BU24">
        <v>500.044806451613</v>
      </c>
      <c r="BV24">
        <v>96.0743967741936</v>
      </c>
      <c r="BW24">
        <v>0.100187270967742</v>
      </c>
      <c r="BX24">
        <v>25.6868580645161</v>
      </c>
      <c r="BY24">
        <v>25.0319258064516</v>
      </c>
      <c r="BZ24">
        <v>999.9</v>
      </c>
      <c r="CA24">
        <v>0</v>
      </c>
      <c r="CB24">
        <v>0</v>
      </c>
      <c r="CC24">
        <v>9996.54709677419</v>
      </c>
      <c r="CD24">
        <v>0</v>
      </c>
      <c r="CE24">
        <v>1313.95258064516</v>
      </c>
      <c r="CF24">
        <v>399.967258064516</v>
      </c>
      <c r="CG24">
        <v>0.900001129032258</v>
      </c>
      <c r="CH24">
        <v>0.0999986967741935</v>
      </c>
      <c r="CI24">
        <v>0</v>
      </c>
      <c r="CJ24">
        <v>806.129322580645</v>
      </c>
      <c r="CK24">
        <v>4.9994</v>
      </c>
      <c r="CL24">
        <v>3181.04032258065</v>
      </c>
      <c r="CM24">
        <v>3140.50225806452</v>
      </c>
      <c r="CN24">
        <v>41.2215483870968</v>
      </c>
      <c r="CO24">
        <v>44.038</v>
      </c>
      <c r="CP24">
        <v>43.05</v>
      </c>
      <c r="CQ24">
        <v>43.75</v>
      </c>
      <c r="CR24">
        <v>43.5843548387097</v>
      </c>
      <c r="CS24">
        <v>355.471935483871</v>
      </c>
      <c r="CT24">
        <v>39.5</v>
      </c>
      <c r="CU24">
        <v>0</v>
      </c>
      <c r="CV24">
        <v>119.600000143051</v>
      </c>
      <c r="CW24">
        <v>806.117</v>
      </c>
      <c r="CX24">
        <v>-1.48888888845456</v>
      </c>
      <c r="CY24">
        <v>-7.80102566609229</v>
      </c>
      <c r="CZ24">
        <v>3181.00615384615</v>
      </c>
      <c r="DA24">
        <v>15</v>
      </c>
      <c r="DB24">
        <v>1519068676</v>
      </c>
      <c r="DC24" t="s">
        <v>304</v>
      </c>
      <c r="DD24">
        <v>3</v>
      </c>
      <c r="DE24">
        <v>0.873</v>
      </c>
      <c r="DF24">
        <v>0.13</v>
      </c>
      <c r="DG24">
        <v>438</v>
      </c>
      <c r="DH24">
        <v>17</v>
      </c>
      <c r="DI24">
        <v>0.04</v>
      </c>
      <c r="DJ24">
        <v>0.03</v>
      </c>
      <c r="DK24">
        <v>15.2192638060539</v>
      </c>
      <c r="DL24">
        <v>0.046096775310368</v>
      </c>
      <c r="DM24">
        <v>0.0626369284907829</v>
      </c>
      <c r="DN24">
        <v>1</v>
      </c>
      <c r="DO24">
        <v>-17.9537</v>
      </c>
      <c r="DP24">
        <v>-0.0479059233449517</v>
      </c>
      <c r="DQ24">
        <v>0.0658046295354107</v>
      </c>
      <c r="DR24">
        <v>1</v>
      </c>
      <c r="DS24">
        <v>2.91581682926829</v>
      </c>
      <c r="DT24">
        <v>-0.644297770034849</v>
      </c>
      <c r="DU24">
        <v>0.0670956557584303</v>
      </c>
      <c r="DV24">
        <v>1</v>
      </c>
      <c r="DW24">
        <v>0.211490005007954</v>
      </c>
      <c r="DX24">
        <v>-0.0433661331940715</v>
      </c>
      <c r="DY24">
        <v>0.00616897134888187</v>
      </c>
      <c r="DZ24">
        <v>1</v>
      </c>
      <c r="EA24">
        <v>4</v>
      </c>
      <c r="EB24">
        <v>4</v>
      </c>
      <c r="EC24" t="s">
        <v>291</v>
      </c>
      <c r="ED24">
        <v>1.8492</v>
      </c>
      <c r="EE24">
        <v>1.85333</v>
      </c>
      <c r="EF24">
        <v>1.85211</v>
      </c>
      <c r="EG24">
        <v>1.85642</v>
      </c>
      <c r="EH24">
        <v>1.85422</v>
      </c>
      <c r="EI24">
        <v>1.85455</v>
      </c>
      <c r="EJ24">
        <v>1.84677</v>
      </c>
      <c r="EK24">
        <v>1.85149</v>
      </c>
      <c r="EL24" t="s">
        <v>284</v>
      </c>
      <c r="EM24" t="s">
        <v>19</v>
      </c>
      <c r="EN24" t="s">
        <v>19</v>
      </c>
      <c r="EO24" t="s">
        <v>19</v>
      </c>
      <c r="EP24" t="s">
        <v>285</v>
      </c>
      <c r="EQ24" t="s">
        <v>286</v>
      </c>
      <c r="ER24" t="s">
        <v>287</v>
      </c>
      <c r="ES24" t="s">
        <v>287</v>
      </c>
      <c r="ET24" t="s">
        <v>287</v>
      </c>
      <c r="EU24" t="s">
        <v>287</v>
      </c>
      <c r="EV24">
        <v>0</v>
      </c>
      <c r="EW24">
        <v>100</v>
      </c>
      <c r="EX24">
        <v>100</v>
      </c>
      <c r="EY24">
        <v>0.873</v>
      </c>
      <c r="EZ24">
        <v>0.13</v>
      </c>
      <c r="FA24">
        <v>2</v>
      </c>
      <c r="FB24">
        <v>500.859</v>
      </c>
      <c r="FC24">
        <v>290.623</v>
      </c>
      <c r="FD24">
        <v>22.589</v>
      </c>
      <c r="FE24">
        <v>29.7376</v>
      </c>
      <c r="FF24">
        <v>29.9994</v>
      </c>
      <c r="FG24">
        <v>30.0044</v>
      </c>
      <c r="FH24">
        <v>29.953</v>
      </c>
      <c r="FI24">
        <v>18.3221</v>
      </c>
      <c r="FJ24">
        <v>19.0684</v>
      </c>
      <c r="FK24">
        <v>36.5755</v>
      </c>
      <c r="FL24">
        <v>22.6188</v>
      </c>
      <c r="FM24">
        <v>428.029</v>
      </c>
      <c r="FN24">
        <v>17.7741</v>
      </c>
      <c r="FO24">
        <v>100.016</v>
      </c>
      <c r="FP24">
        <v>118.765</v>
      </c>
    </row>
    <row r="25" spans="1:172">
      <c r="A25">
        <v>9</v>
      </c>
      <c r="B25">
        <v>1519069141.5</v>
      </c>
      <c r="C25">
        <v>1066.5</v>
      </c>
      <c r="D25" t="s">
        <v>311</v>
      </c>
      <c r="E25" t="s">
        <v>312</v>
      </c>
      <c r="F25">
        <v>1519069133.5</v>
      </c>
      <c r="G25">
        <f>BU25*AH25*(BS25-BT25)/(100*BM25*(1000-AH25*BS25))</f>
        <v>0</v>
      </c>
      <c r="H25">
        <f>BU25*AH25*(BR25-BQ25*(1000-AH25*BT25)/(1000-AH25*BS25))/(100*BM25)</f>
        <v>0</v>
      </c>
      <c r="I25">
        <f>BQ25 - IF(AH25&gt;1, H25*BM25*100.0/(AJ25*CC25), 0)</f>
        <v>0</v>
      </c>
      <c r="J25">
        <f>((P25-G25/2)*I25-H25)/(P25+G25/2)</f>
        <v>0</v>
      </c>
      <c r="K25">
        <f>J25*(BV25+BW25)/1000.0</f>
        <v>0</v>
      </c>
      <c r="L25">
        <f>(BQ25 - IF(AH25&gt;1, H25*BM25*100.0/(AJ25*CC25), 0))*(BV25+BW25)/1000.0</f>
        <v>0</v>
      </c>
      <c r="M25">
        <f>2.0/((1/O25-1/N25)+SIGN(O25)*SQRT((1/O25-1/N25)*(1/O25-1/N25) + 4*BN25/((BN25+1)*(BN25+1))*(2*1/O25*1/N25-1/N25*1/N25)))</f>
        <v>0</v>
      </c>
      <c r="N25">
        <f>AE25+AD25*BM25+AC25*BM25*BM25</f>
        <v>0</v>
      </c>
      <c r="O25">
        <f>G25*(1000-(1000*0.61365*exp(17.502*S25/(240.97+S25))/(BV25+BW25)+BS25)/2)/(1000*0.61365*exp(17.502*S25/(240.97+S25))/(BV25+BW25)-BS25)</f>
        <v>0</v>
      </c>
      <c r="P25">
        <f>1/((BN25+1)/(M25/1.6)+1/(N25/1.37)) + BN25/((BN25+1)/(M25/1.6) + BN25/(N25/1.37))</f>
        <v>0</v>
      </c>
      <c r="Q25">
        <f>(BJ25*BL25)</f>
        <v>0</v>
      </c>
      <c r="R25">
        <f>(BX25+(Q25+2*0.95*5.67E-8*(((BX25+$B$7)+273)^4-(BX25+273)^4)-44100*G25)/(1.84*29.3*N25+8*0.95*5.67E-8*(BX25+273)^3))</f>
        <v>0</v>
      </c>
      <c r="S25">
        <f>($C$7*BY25+$D$7*BZ25+$E$7*R25)</f>
        <v>0</v>
      </c>
      <c r="T25">
        <f>0.61365*exp(17.502*S25/(240.97+S25))</f>
        <v>0</v>
      </c>
      <c r="U25">
        <f>(V25/W25*100)</f>
        <v>0</v>
      </c>
      <c r="V25">
        <f>BS25*(BV25+BW25)/1000</f>
        <v>0</v>
      </c>
      <c r="W25">
        <f>0.61365*exp(17.502*BX25/(240.97+BX25))</f>
        <v>0</v>
      </c>
      <c r="X25">
        <f>(T25-BS25*(BV25+BW25)/1000)</f>
        <v>0</v>
      </c>
      <c r="Y25">
        <f>(-G25*44100)</f>
        <v>0</v>
      </c>
      <c r="Z25">
        <f>2*29.3*N25*0.92*(BX25-S25)</f>
        <v>0</v>
      </c>
      <c r="AA25">
        <f>2*0.95*5.67E-8*(((BX25+$B$7)+273)^4-(S25+273)^4)</f>
        <v>0</v>
      </c>
      <c r="AB25">
        <f>Q25+AA25+Y25+Z25</f>
        <v>0</v>
      </c>
      <c r="AC25">
        <v>-0.0397410794901907</v>
      </c>
      <c r="AD25">
        <v>0.0446128432375165</v>
      </c>
      <c r="AE25">
        <v>3.3588367280549</v>
      </c>
      <c r="AF25">
        <v>0</v>
      </c>
      <c r="AG25">
        <v>0</v>
      </c>
      <c r="AH25">
        <f>IF(AF25*$H$13&gt;=AJ25,1.0,(AJ25/(AJ25-AF25*$H$13)))</f>
        <v>0</v>
      </c>
      <c r="AI25">
        <f>(AH25-1)*100</f>
        <v>0</v>
      </c>
      <c r="AJ25">
        <f>MAX(0,($B$13+$C$13*CC25)/(1+$D$13*CC25)*BV25/(BX25+273)*$E$13)</f>
        <v>0</v>
      </c>
      <c r="AK25">
        <v>0</v>
      </c>
      <c r="AL25">
        <v>282.050384615385</v>
      </c>
      <c r="AM25">
        <v>2644.25</v>
      </c>
      <c r="AN25">
        <f>AM25-AL25</f>
        <v>0</v>
      </c>
      <c r="AO25">
        <f>AN25/AM25</f>
        <v>0</v>
      </c>
      <c r="AP25">
        <v>-152.220269057172</v>
      </c>
      <c r="AQ25" t="s">
        <v>313</v>
      </c>
      <c r="AR25">
        <v>771.488769230769</v>
      </c>
      <c r="AS25">
        <v>2263.75</v>
      </c>
      <c r="AT25">
        <f>1-AR25/AS25</f>
        <v>0</v>
      </c>
      <c r="AU25">
        <v>0.5</v>
      </c>
      <c r="AV25">
        <f>BJ25</f>
        <v>0</v>
      </c>
      <c r="AW25">
        <f>H25</f>
        <v>0</v>
      </c>
      <c r="AX25">
        <f>AT25*AU25*AV25</f>
        <v>0</v>
      </c>
      <c r="AY25">
        <f>BD25/AS25</f>
        <v>0</v>
      </c>
      <c r="AZ25">
        <f>(AW25-AP25)/AV25</f>
        <v>0</v>
      </c>
      <c r="BA25">
        <f>(AM25-AS25)/AS25</f>
        <v>0</v>
      </c>
      <c r="BB25" t="s">
        <v>280</v>
      </c>
      <c r="BC25">
        <v>0</v>
      </c>
      <c r="BD25">
        <f>AS25-BC25</f>
        <v>0</v>
      </c>
      <c r="BE25">
        <f>(AS25-AR25)/(AS25-BC25)</f>
        <v>0</v>
      </c>
      <c r="BF25">
        <f>(AM25-AS25)/(AM25-BC25)</f>
        <v>0</v>
      </c>
      <c r="BG25">
        <f>(AS25-AR25)/(AS25-AL25)</f>
        <v>0</v>
      </c>
      <c r="BH25">
        <f>(AM25-AS25)/(AM25-AL25)</f>
        <v>0</v>
      </c>
      <c r="BI25">
        <f>$B$11*CD25+$C$11*CE25+$F$11*CF25</f>
        <v>0</v>
      </c>
      <c r="BJ25">
        <f>BI25*BK25</f>
        <v>0</v>
      </c>
      <c r="BK25">
        <f>($B$11*$D$9+$C$11*$D$9+$F$11*((CS25+CK25)/MAX(CS25+CK25+CT25, 0.1)*$I$9+CT25/MAX(CS25+CK25+CT25, 0.1)*$J$9))/($B$11+$C$11+$F$11)</f>
        <v>0</v>
      </c>
      <c r="BL25">
        <f>($B$11*$K$9+$C$11*$K$9+$F$11*((CS25+CK25)/MAX(CS25+CK25+CT25, 0.1)*$P$9+CT25/MAX(CS25+CK25+CT25, 0.1)*$Q$9))/($B$11+$C$11+$F$11)</f>
        <v>0</v>
      </c>
      <c r="BM25">
        <v>5.5</v>
      </c>
      <c r="BN25">
        <v>0.5</v>
      </c>
      <c r="BO25" t="s">
        <v>281</v>
      </c>
      <c r="BP25">
        <v>1519069133.5</v>
      </c>
      <c r="BQ25">
        <v>410.050838709677</v>
      </c>
      <c r="BR25">
        <v>419.432096774193</v>
      </c>
      <c r="BS25">
        <v>20.4348612903226</v>
      </c>
      <c r="BT25">
        <v>18.3218548387097</v>
      </c>
      <c r="BU25">
        <v>500.04</v>
      </c>
      <c r="BV25">
        <v>96.0728774193548</v>
      </c>
      <c r="BW25">
        <v>0.1003085</v>
      </c>
      <c r="BX25">
        <v>25.6597548387097</v>
      </c>
      <c r="BY25">
        <v>25.0378290322581</v>
      </c>
      <c r="BZ25">
        <v>999.9</v>
      </c>
      <c r="CA25">
        <v>0</v>
      </c>
      <c r="CB25">
        <v>0</v>
      </c>
      <c r="CC25">
        <v>9975.50483870968</v>
      </c>
      <c r="CD25">
        <v>0</v>
      </c>
      <c r="CE25">
        <v>1319.07032258064</v>
      </c>
      <c r="CF25">
        <v>199.993548387097</v>
      </c>
      <c r="CG25">
        <v>0.899989548387097</v>
      </c>
      <c r="CH25">
        <v>0.100010519354839</v>
      </c>
      <c r="CI25">
        <v>0</v>
      </c>
      <c r="CJ25">
        <v>771.530741935484</v>
      </c>
      <c r="CK25">
        <v>4.9994</v>
      </c>
      <c r="CL25">
        <v>1524.46677419355</v>
      </c>
      <c r="CM25">
        <v>1550.44677419355</v>
      </c>
      <c r="CN25">
        <v>40.391</v>
      </c>
      <c r="CO25">
        <v>43.5904516129032</v>
      </c>
      <c r="CP25">
        <v>42.383</v>
      </c>
      <c r="CQ25">
        <v>43.375</v>
      </c>
      <c r="CR25">
        <v>42.937</v>
      </c>
      <c r="CS25">
        <v>175.492580645161</v>
      </c>
      <c r="CT25">
        <v>19.5009677419355</v>
      </c>
      <c r="CU25">
        <v>0</v>
      </c>
      <c r="CV25">
        <v>144.799999952316</v>
      </c>
      <c r="CW25">
        <v>771.488769230769</v>
      </c>
      <c r="CX25">
        <v>-6.06967520726493</v>
      </c>
      <c r="CY25">
        <v>-13.6584614984032</v>
      </c>
      <c r="CZ25">
        <v>1524.29576923077</v>
      </c>
      <c r="DA25">
        <v>15</v>
      </c>
      <c r="DB25">
        <v>1519069080</v>
      </c>
      <c r="DC25" t="s">
        <v>314</v>
      </c>
      <c r="DD25">
        <v>4</v>
      </c>
      <c r="DE25">
        <v>0.867</v>
      </c>
      <c r="DF25">
        <v>0.139</v>
      </c>
      <c r="DG25">
        <v>420</v>
      </c>
      <c r="DH25">
        <v>18</v>
      </c>
      <c r="DI25">
        <v>0.1</v>
      </c>
      <c r="DJ25">
        <v>0.04</v>
      </c>
      <c r="DK25">
        <v>7.78277625925607</v>
      </c>
      <c r="DL25">
        <v>-0.535696283482951</v>
      </c>
      <c r="DM25">
        <v>0.120114942369403</v>
      </c>
      <c r="DN25">
        <v>1</v>
      </c>
      <c r="DO25">
        <v>-9.38982536585366</v>
      </c>
      <c r="DP25">
        <v>0.187028780487822</v>
      </c>
      <c r="DQ25">
        <v>0.0771123490821263</v>
      </c>
      <c r="DR25">
        <v>1</v>
      </c>
      <c r="DS25">
        <v>2.13851926829268</v>
      </c>
      <c r="DT25">
        <v>-0.529499581881522</v>
      </c>
      <c r="DU25">
        <v>0.0541575879596844</v>
      </c>
      <c r="DV25">
        <v>1</v>
      </c>
      <c r="DW25">
        <v>0.155265163243902</v>
      </c>
      <c r="DX25">
        <v>-0.0471238223492126</v>
      </c>
      <c r="DY25">
        <v>0.00630262494283336</v>
      </c>
      <c r="DZ25">
        <v>1</v>
      </c>
      <c r="EA25">
        <v>4</v>
      </c>
      <c r="EB25">
        <v>4</v>
      </c>
      <c r="EC25" t="s">
        <v>291</v>
      </c>
      <c r="ED25">
        <v>1.84921</v>
      </c>
      <c r="EE25">
        <v>1.85334</v>
      </c>
      <c r="EF25">
        <v>1.85212</v>
      </c>
      <c r="EG25">
        <v>1.85642</v>
      </c>
      <c r="EH25">
        <v>1.85423</v>
      </c>
      <c r="EI25">
        <v>1.85455</v>
      </c>
      <c r="EJ25">
        <v>1.84677</v>
      </c>
      <c r="EK25">
        <v>1.85149</v>
      </c>
      <c r="EL25" t="s">
        <v>284</v>
      </c>
      <c r="EM25" t="s">
        <v>19</v>
      </c>
      <c r="EN25" t="s">
        <v>19</v>
      </c>
      <c r="EO25" t="s">
        <v>19</v>
      </c>
      <c r="EP25" t="s">
        <v>285</v>
      </c>
      <c r="EQ25" t="s">
        <v>286</v>
      </c>
      <c r="ER25" t="s">
        <v>287</v>
      </c>
      <c r="ES25" t="s">
        <v>287</v>
      </c>
      <c r="ET25" t="s">
        <v>287</v>
      </c>
      <c r="EU25" t="s">
        <v>287</v>
      </c>
      <c r="EV25">
        <v>0</v>
      </c>
      <c r="EW25">
        <v>100</v>
      </c>
      <c r="EX25">
        <v>100</v>
      </c>
      <c r="EY25">
        <v>0.867</v>
      </c>
      <c r="EZ25">
        <v>0.139</v>
      </c>
      <c r="FA25">
        <v>2</v>
      </c>
      <c r="FB25">
        <v>500.009</v>
      </c>
      <c r="FC25">
        <v>290.817</v>
      </c>
      <c r="FD25">
        <v>22.8124</v>
      </c>
      <c r="FE25">
        <v>29.8098</v>
      </c>
      <c r="FF25">
        <v>30</v>
      </c>
      <c r="FG25">
        <v>30.0879</v>
      </c>
      <c r="FH25">
        <v>30.0367</v>
      </c>
      <c r="FI25">
        <v>18.0462</v>
      </c>
      <c r="FJ25">
        <v>17.3418</v>
      </c>
      <c r="FK25">
        <v>38.3422</v>
      </c>
      <c r="FL25">
        <v>22.7932</v>
      </c>
      <c r="FM25">
        <v>419.433</v>
      </c>
      <c r="FN25">
        <v>18.5107</v>
      </c>
      <c r="FO25">
        <v>100.006</v>
      </c>
      <c r="FP25">
        <v>118.746</v>
      </c>
    </row>
    <row r="26" spans="1:172">
      <c r="A26">
        <v>10</v>
      </c>
      <c r="B26">
        <v>1519069284.6</v>
      </c>
      <c r="C26">
        <v>1209.59999990463</v>
      </c>
      <c r="D26" t="s">
        <v>315</v>
      </c>
      <c r="E26" t="s">
        <v>316</v>
      </c>
      <c r="F26">
        <v>1519069276.6</v>
      </c>
      <c r="G26">
        <f>BU26*AH26*(BS26-BT26)/(100*BM26*(1000-AH26*BS26))</f>
        <v>0</v>
      </c>
      <c r="H26">
        <f>BU26*AH26*(BR26-BQ26*(1000-AH26*BT26)/(1000-AH26*BS26))/(100*BM26)</f>
        <v>0</v>
      </c>
      <c r="I26">
        <f>BQ26 - IF(AH26&gt;1, H26*BM26*100.0/(AJ26*CC26), 0)</f>
        <v>0</v>
      </c>
      <c r="J26">
        <f>((P26-G26/2)*I26-H26)/(P26+G26/2)</f>
        <v>0</v>
      </c>
      <c r="K26">
        <f>J26*(BV26+BW26)/1000.0</f>
        <v>0</v>
      </c>
      <c r="L26">
        <f>(BQ26 - IF(AH26&gt;1, H26*BM26*100.0/(AJ26*CC26), 0))*(BV26+BW26)/1000.0</f>
        <v>0</v>
      </c>
      <c r="M26">
        <f>2.0/((1/O26-1/N26)+SIGN(O26)*SQRT((1/O26-1/N26)*(1/O26-1/N26) + 4*BN26/((BN26+1)*(BN26+1))*(2*1/O26*1/N26-1/N26*1/N26)))</f>
        <v>0</v>
      </c>
      <c r="N26">
        <f>AE26+AD26*BM26+AC26*BM26*BM26</f>
        <v>0</v>
      </c>
      <c r="O26">
        <f>G26*(1000-(1000*0.61365*exp(17.502*S26/(240.97+S26))/(BV26+BW26)+BS26)/2)/(1000*0.61365*exp(17.502*S26/(240.97+S26))/(BV26+BW26)-BS26)</f>
        <v>0</v>
      </c>
      <c r="P26">
        <f>1/((BN26+1)/(M26/1.6)+1/(N26/1.37)) + BN26/((BN26+1)/(M26/1.6) + BN26/(N26/1.37))</f>
        <v>0</v>
      </c>
      <c r="Q26">
        <f>(BJ26*BL26)</f>
        <v>0</v>
      </c>
      <c r="R26">
        <f>(BX26+(Q26+2*0.95*5.67E-8*(((BX26+$B$7)+273)^4-(BX26+273)^4)-44100*G26)/(1.84*29.3*N26+8*0.95*5.67E-8*(BX26+273)^3))</f>
        <v>0</v>
      </c>
      <c r="S26">
        <f>($C$7*BY26+$D$7*BZ26+$E$7*R26)</f>
        <v>0</v>
      </c>
      <c r="T26">
        <f>0.61365*exp(17.502*S26/(240.97+S26))</f>
        <v>0</v>
      </c>
      <c r="U26">
        <f>(V26/W26*100)</f>
        <v>0</v>
      </c>
      <c r="V26">
        <f>BS26*(BV26+BW26)/1000</f>
        <v>0</v>
      </c>
      <c r="W26">
        <f>0.61365*exp(17.502*BX26/(240.97+BX26))</f>
        <v>0</v>
      </c>
      <c r="X26">
        <f>(T26-BS26*(BV26+BW26)/1000)</f>
        <v>0</v>
      </c>
      <c r="Y26">
        <f>(-G26*44100)</f>
        <v>0</v>
      </c>
      <c r="Z26">
        <f>2*29.3*N26*0.92*(BX26-S26)</f>
        <v>0</v>
      </c>
      <c r="AA26">
        <f>2*0.95*5.67E-8*(((BX26+$B$7)+273)^4-(S26+273)^4)</f>
        <v>0</v>
      </c>
      <c r="AB26">
        <f>Q26+AA26+Y26+Z26</f>
        <v>0</v>
      </c>
      <c r="AC26">
        <v>-0.039862568754691</v>
      </c>
      <c r="AD26">
        <v>0.0447492255799622</v>
      </c>
      <c r="AE26">
        <v>3.36699787058239</v>
      </c>
      <c r="AF26">
        <v>0</v>
      </c>
      <c r="AG26">
        <v>0</v>
      </c>
      <c r="AH26">
        <f>IF(AF26*$H$13&gt;=AJ26,1.0,(AJ26/(AJ26-AF26*$H$13)))</f>
        <v>0</v>
      </c>
      <c r="AI26">
        <f>(AH26-1)*100</f>
        <v>0</v>
      </c>
      <c r="AJ26">
        <f>MAX(0,($B$13+$C$13*CC26)/(1+$D$13*CC26)*BV26/(BX26+273)*$E$13)</f>
        <v>0</v>
      </c>
      <c r="AK26">
        <v>0</v>
      </c>
      <c r="AL26">
        <v>282.050384615385</v>
      </c>
      <c r="AM26">
        <v>2644.25</v>
      </c>
      <c r="AN26">
        <f>AM26-AL26</f>
        <v>0</v>
      </c>
      <c r="AO26">
        <f>AN26/AM26</f>
        <v>0</v>
      </c>
      <c r="AP26">
        <v>-152.220269057172</v>
      </c>
      <c r="AQ26" t="s">
        <v>317</v>
      </c>
      <c r="AR26">
        <v>734.248346153846</v>
      </c>
      <c r="AS26">
        <v>2384.28</v>
      </c>
      <c r="AT26">
        <f>1-AR26/AS26</f>
        <v>0</v>
      </c>
      <c r="AU26">
        <v>0.5</v>
      </c>
      <c r="AV26">
        <f>BJ26</f>
        <v>0</v>
      </c>
      <c r="AW26">
        <f>H26</f>
        <v>0</v>
      </c>
      <c r="AX26">
        <f>AT26*AU26*AV26</f>
        <v>0</v>
      </c>
      <c r="AY26">
        <f>BD26/AS26</f>
        <v>0</v>
      </c>
      <c r="AZ26">
        <f>(AW26-AP26)/AV26</f>
        <v>0</v>
      </c>
      <c r="BA26">
        <f>(AM26-AS26)/AS26</f>
        <v>0</v>
      </c>
      <c r="BB26" t="s">
        <v>280</v>
      </c>
      <c r="BC26">
        <v>0</v>
      </c>
      <c r="BD26">
        <f>AS26-BC26</f>
        <v>0</v>
      </c>
      <c r="BE26">
        <f>(AS26-AR26)/(AS26-BC26)</f>
        <v>0</v>
      </c>
      <c r="BF26">
        <f>(AM26-AS26)/(AM26-BC26)</f>
        <v>0</v>
      </c>
      <c r="BG26">
        <f>(AS26-AR26)/(AS26-AL26)</f>
        <v>0</v>
      </c>
      <c r="BH26">
        <f>(AM26-AS26)/(AM26-AL26)</f>
        <v>0</v>
      </c>
      <c r="BI26">
        <f>$B$11*CD26+$C$11*CE26+$F$11*CF26</f>
        <v>0</v>
      </c>
      <c r="BJ26">
        <f>BI26*BK26</f>
        <v>0</v>
      </c>
      <c r="BK26">
        <f>($B$11*$D$9+$C$11*$D$9+$F$11*((CS26+CK26)/MAX(CS26+CK26+CT26, 0.1)*$I$9+CT26/MAX(CS26+CK26+CT26, 0.1)*$J$9))/($B$11+$C$11+$F$11)</f>
        <v>0</v>
      </c>
      <c r="BL26">
        <f>($B$11*$K$9+$C$11*$K$9+$F$11*((CS26+CK26)/MAX(CS26+CK26+CT26, 0.1)*$P$9+CT26/MAX(CS26+CK26+CT26, 0.1)*$Q$9))/($B$11+$C$11+$F$11)</f>
        <v>0</v>
      </c>
      <c r="BM26">
        <v>5.5</v>
      </c>
      <c r="BN26">
        <v>0.5</v>
      </c>
      <c r="BO26" t="s">
        <v>281</v>
      </c>
      <c r="BP26">
        <v>1519069276.6</v>
      </c>
      <c r="BQ26">
        <v>410.088225806452</v>
      </c>
      <c r="BR26">
        <v>413.623548387097</v>
      </c>
      <c r="BS26">
        <v>20.3270193548387</v>
      </c>
      <c r="BT26">
        <v>19.2964322580645</v>
      </c>
      <c r="BU26">
        <v>499.937161290323</v>
      </c>
      <c r="BV26">
        <v>96.0670161290322</v>
      </c>
      <c r="BW26">
        <v>0.0955751806451613</v>
      </c>
      <c r="BX26">
        <v>25.5015451612903</v>
      </c>
      <c r="BY26">
        <v>25.0026225806452</v>
      </c>
      <c r="BZ26">
        <v>999.9</v>
      </c>
      <c r="CA26">
        <v>0</v>
      </c>
      <c r="CB26">
        <v>0</v>
      </c>
      <c r="CC26">
        <v>10006.6106451613</v>
      </c>
      <c r="CD26">
        <v>0</v>
      </c>
      <c r="CE26">
        <v>1329.03322580645</v>
      </c>
      <c r="CF26">
        <v>99.9958193548387</v>
      </c>
      <c r="CG26">
        <v>0.899989419354838</v>
      </c>
      <c r="CH26">
        <v>0.100010661290323</v>
      </c>
      <c r="CI26">
        <v>0</v>
      </c>
      <c r="CJ26">
        <v>734.292129032258</v>
      </c>
      <c r="CK26">
        <v>4.9994</v>
      </c>
      <c r="CL26">
        <v>721.976064516129</v>
      </c>
      <c r="CM26">
        <v>755.339838709677</v>
      </c>
      <c r="CN26">
        <v>39.5985806451613</v>
      </c>
      <c r="CO26">
        <v>43.0782580645161</v>
      </c>
      <c r="CP26">
        <v>41.7154516129032</v>
      </c>
      <c r="CQ26">
        <v>42.8689032258065</v>
      </c>
      <c r="CR26">
        <v>42.274</v>
      </c>
      <c r="CS26">
        <v>85.4961290322581</v>
      </c>
      <c r="CT26">
        <v>9.50096774193548</v>
      </c>
      <c r="CU26">
        <v>0</v>
      </c>
      <c r="CV26">
        <v>142.400000095367</v>
      </c>
      <c r="CW26">
        <v>734.248346153846</v>
      </c>
      <c r="CX26">
        <v>-1.71914530841691</v>
      </c>
      <c r="CY26">
        <v>-3.36471790840521</v>
      </c>
      <c r="CZ26">
        <v>721.989076923077</v>
      </c>
      <c r="DA26">
        <v>15</v>
      </c>
      <c r="DB26">
        <v>1519069241.5</v>
      </c>
      <c r="DC26" t="s">
        <v>318</v>
      </c>
      <c r="DD26">
        <v>5</v>
      </c>
      <c r="DE26">
        <v>0.855</v>
      </c>
      <c r="DF26">
        <v>0.148</v>
      </c>
      <c r="DG26">
        <v>414</v>
      </c>
      <c r="DH26">
        <v>19</v>
      </c>
      <c r="DI26">
        <v>0.36</v>
      </c>
      <c r="DJ26">
        <v>0.07</v>
      </c>
      <c r="DK26">
        <v>2.87627388361176</v>
      </c>
      <c r="DL26">
        <v>-0.710751620859603</v>
      </c>
      <c r="DM26">
        <v>0.196505637481399</v>
      </c>
      <c r="DN26">
        <v>1</v>
      </c>
      <c r="DO26">
        <v>-3.51945463414634</v>
      </c>
      <c r="DP26">
        <v>-0.313545574912894</v>
      </c>
      <c r="DQ26">
        <v>0.0540123166666217</v>
      </c>
      <c r="DR26">
        <v>1</v>
      </c>
      <c r="DS26">
        <v>1.06092895121951</v>
      </c>
      <c r="DT26">
        <v>-0.593674557491276</v>
      </c>
      <c r="DU26">
        <v>0.059005307591755</v>
      </c>
      <c r="DV26">
        <v>1</v>
      </c>
      <c r="DW26">
        <v>0.0756974873550425</v>
      </c>
      <c r="DX26">
        <v>-0.0419313620157602</v>
      </c>
      <c r="DY26">
        <v>0.00559071752875849</v>
      </c>
      <c r="DZ26">
        <v>1</v>
      </c>
      <c r="EA26">
        <v>4</v>
      </c>
      <c r="EB26">
        <v>4</v>
      </c>
      <c r="EC26" t="s">
        <v>291</v>
      </c>
      <c r="ED26">
        <v>1.84921</v>
      </c>
      <c r="EE26">
        <v>1.85333</v>
      </c>
      <c r="EF26">
        <v>1.85212</v>
      </c>
      <c r="EG26">
        <v>1.8564</v>
      </c>
      <c r="EH26">
        <v>1.85419</v>
      </c>
      <c r="EI26">
        <v>1.85455</v>
      </c>
      <c r="EJ26">
        <v>1.84677</v>
      </c>
      <c r="EK26">
        <v>1.85149</v>
      </c>
      <c r="EL26" t="s">
        <v>284</v>
      </c>
      <c r="EM26" t="s">
        <v>19</v>
      </c>
      <c r="EN26" t="s">
        <v>19</v>
      </c>
      <c r="EO26" t="s">
        <v>19</v>
      </c>
      <c r="EP26" t="s">
        <v>285</v>
      </c>
      <c r="EQ26" t="s">
        <v>286</v>
      </c>
      <c r="ER26" t="s">
        <v>287</v>
      </c>
      <c r="ES26" t="s">
        <v>287</v>
      </c>
      <c r="ET26" t="s">
        <v>287</v>
      </c>
      <c r="EU26" t="s">
        <v>287</v>
      </c>
      <c r="EV26">
        <v>0</v>
      </c>
      <c r="EW26">
        <v>100</v>
      </c>
      <c r="EX26">
        <v>100</v>
      </c>
      <c r="EY26">
        <v>0.855</v>
      </c>
      <c r="EZ26">
        <v>0.148</v>
      </c>
      <c r="FA26">
        <v>2</v>
      </c>
      <c r="FB26">
        <v>499.735</v>
      </c>
      <c r="FC26">
        <v>290.912</v>
      </c>
      <c r="FD26">
        <v>22.7256</v>
      </c>
      <c r="FE26">
        <v>29.8588</v>
      </c>
      <c r="FF26">
        <v>30.0006</v>
      </c>
      <c r="FG26">
        <v>30.15</v>
      </c>
      <c r="FH26">
        <v>30.0985</v>
      </c>
      <c r="FI26">
        <v>17.8652</v>
      </c>
      <c r="FJ26">
        <v>17.1203</v>
      </c>
      <c r="FK26">
        <v>43.0233</v>
      </c>
      <c r="FL26">
        <v>22.7014</v>
      </c>
      <c r="FM26">
        <v>413.614</v>
      </c>
      <c r="FN26">
        <v>19.3789</v>
      </c>
      <c r="FO26">
        <v>100.001</v>
      </c>
      <c r="FP26">
        <v>118.731</v>
      </c>
    </row>
    <row r="27" spans="1:172">
      <c r="A27">
        <v>11</v>
      </c>
      <c r="B27">
        <v>1519069431.6</v>
      </c>
      <c r="C27">
        <v>1356.59999990463</v>
      </c>
      <c r="D27" t="s">
        <v>319</v>
      </c>
      <c r="E27" t="s">
        <v>320</v>
      </c>
      <c r="F27">
        <v>1519069423.6</v>
      </c>
      <c r="G27">
        <f>BU27*AH27*(BS27-BT27)/(100*BM27*(1000-AH27*BS27))</f>
        <v>0</v>
      </c>
      <c r="H27">
        <f>BU27*AH27*(BR27-BQ27*(1000-AH27*BT27)/(1000-AH27*BS27))/(100*BM27)</f>
        <v>0</v>
      </c>
      <c r="I27">
        <f>BQ27 - IF(AH27&gt;1, H27*BM27*100.0/(AJ27*CC27), 0)</f>
        <v>0</v>
      </c>
      <c r="J27">
        <f>((P27-G27/2)*I27-H27)/(P27+G27/2)</f>
        <v>0</v>
      </c>
      <c r="K27">
        <f>J27*(BV27+BW27)/1000.0</f>
        <v>0</v>
      </c>
      <c r="L27">
        <f>(BQ27 - IF(AH27&gt;1, H27*BM27*100.0/(AJ27*CC27), 0))*(BV27+BW27)/1000.0</f>
        <v>0</v>
      </c>
      <c r="M27">
        <f>2.0/((1/O27-1/N27)+SIGN(O27)*SQRT((1/O27-1/N27)*(1/O27-1/N27) + 4*BN27/((BN27+1)*(BN27+1))*(2*1/O27*1/N27-1/N27*1/N27)))</f>
        <v>0</v>
      </c>
      <c r="N27">
        <f>AE27+AD27*BM27+AC27*BM27*BM27</f>
        <v>0</v>
      </c>
      <c r="O27">
        <f>G27*(1000-(1000*0.61365*exp(17.502*S27/(240.97+S27))/(BV27+BW27)+BS27)/2)/(1000*0.61365*exp(17.502*S27/(240.97+S27))/(BV27+BW27)-BS27)</f>
        <v>0</v>
      </c>
      <c r="P27">
        <f>1/((BN27+1)/(M27/1.6)+1/(N27/1.37)) + BN27/((BN27+1)/(M27/1.6) + BN27/(N27/1.37))</f>
        <v>0</v>
      </c>
      <c r="Q27">
        <f>(BJ27*BL27)</f>
        <v>0</v>
      </c>
      <c r="R27">
        <f>(BX27+(Q27+2*0.95*5.67E-8*(((BX27+$B$7)+273)^4-(BX27+273)^4)-44100*G27)/(1.84*29.3*N27+8*0.95*5.67E-8*(BX27+273)^3))</f>
        <v>0</v>
      </c>
      <c r="S27">
        <f>($C$7*BY27+$D$7*BZ27+$E$7*R27)</f>
        <v>0</v>
      </c>
      <c r="T27">
        <f>0.61365*exp(17.502*S27/(240.97+S27))</f>
        <v>0</v>
      </c>
      <c r="U27">
        <f>(V27/W27*100)</f>
        <v>0</v>
      </c>
      <c r="V27">
        <f>BS27*(BV27+BW27)/1000</f>
        <v>0</v>
      </c>
      <c r="W27">
        <f>0.61365*exp(17.502*BX27/(240.97+BX27))</f>
        <v>0</v>
      </c>
      <c r="X27">
        <f>(T27-BS27*(BV27+BW27)/1000)</f>
        <v>0</v>
      </c>
      <c r="Y27">
        <f>(-G27*44100)</f>
        <v>0</v>
      </c>
      <c r="Z27">
        <f>2*29.3*N27*0.92*(BX27-S27)</f>
        <v>0</v>
      </c>
      <c r="AA27">
        <f>2*0.95*5.67E-8*(((BX27+$B$7)+273)^4-(S27+273)^4)</f>
        <v>0</v>
      </c>
      <c r="AB27">
        <f>Q27+AA27+Y27+Z27</f>
        <v>0</v>
      </c>
      <c r="AC27">
        <v>-0.0398969570032152</v>
      </c>
      <c r="AD27">
        <v>0.0447878294015067</v>
      </c>
      <c r="AE27">
        <v>3.36930644371952</v>
      </c>
      <c r="AF27">
        <v>0</v>
      </c>
      <c r="AG27">
        <v>0</v>
      </c>
      <c r="AH27">
        <f>IF(AF27*$H$13&gt;=AJ27,1.0,(AJ27/(AJ27-AF27*$H$13)))</f>
        <v>0</v>
      </c>
      <c r="AI27">
        <f>(AH27-1)*100</f>
        <v>0</v>
      </c>
      <c r="AJ27">
        <f>MAX(0,($B$13+$C$13*CC27)/(1+$D$13*CC27)*BV27/(BX27+273)*$E$13)</f>
        <v>0</v>
      </c>
      <c r="AK27">
        <v>0</v>
      </c>
      <c r="AL27">
        <v>282.050384615385</v>
      </c>
      <c r="AM27">
        <v>2644.25</v>
      </c>
      <c r="AN27">
        <f>AM27-AL27</f>
        <v>0</v>
      </c>
      <c r="AO27">
        <f>AN27/AM27</f>
        <v>0</v>
      </c>
      <c r="AP27">
        <v>-152.220269057172</v>
      </c>
      <c r="AQ27" t="s">
        <v>321</v>
      </c>
      <c r="AR27">
        <v>704.824692307692</v>
      </c>
      <c r="AS27">
        <v>2524.42</v>
      </c>
      <c r="AT27">
        <f>1-AR27/AS27</f>
        <v>0</v>
      </c>
      <c r="AU27">
        <v>0.5</v>
      </c>
      <c r="AV27">
        <f>BJ27</f>
        <v>0</v>
      </c>
      <c r="AW27">
        <f>H27</f>
        <v>0</v>
      </c>
      <c r="AX27">
        <f>AT27*AU27*AV27</f>
        <v>0</v>
      </c>
      <c r="AY27">
        <f>BD27/AS27</f>
        <v>0</v>
      </c>
      <c r="AZ27">
        <f>(AW27-AP27)/AV27</f>
        <v>0</v>
      </c>
      <c r="BA27">
        <f>(AM27-AS27)/AS27</f>
        <v>0</v>
      </c>
      <c r="BB27" t="s">
        <v>280</v>
      </c>
      <c r="BC27">
        <v>0</v>
      </c>
      <c r="BD27">
        <f>AS27-BC27</f>
        <v>0</v>
      </c>
      <c r="BE27">
        <f>(AS27-AR27)/(AS27-BC27)</f>
        <v>0</v>
      </c>
      <c r="BF27">
        <f>(AM27-AS27)/(AM27-BC27)</f>
        <v>0</v>
      </c>
      <c r="BG27">
        <f>(AS27-AR27)/(AS27-AL27)</f>
        <v>0</v>
      </c>
      <c r="BH27">
        <f>(AM27-AS27)/(AM27-AL27)</f>
        <v>0</v>
      </c>
      <c r="BI27">
        <f>$B$11*CD27+$C$11*CE27+$F$11*CF27</f>
        <v>0</v>
      </c>
      <c r="BJ27">
        <f>BI27*BK27</f>
        <v>0</v>
      </c>
      <c r="BK27">
        <f>($B$11*$D$9+$C$11*$D$9+$F$11*((CS27+CK27)/MAX(CS27+CK27+CT27, 0.1)*$I$9+CT27/MAX(CS27+CK27+CT27, 0.1)*$J$9))/($B$11+$C$11+$F$11)</f>
        <v>0</v>
      </c>
      <c r="BL27">
        <f>($B$11*$K$9+$C$11*$K$9+$F$11*((CS27+CK27)/MAX(CS27+CK27+CT27, 0.1)*$P$9+CT27/MAX(CS27+CK27+CT27, 0.1)*$Q$9))/($B$11+$C$11+$F$11)</f>
        <v>0</v>
      </c>
      <c r="BM27">
        <v>5.5</v>
      </c>
      <c r="BN27">
        <v>0.5</v>
      </c>
      <c r="BO27" t="s">
        <v>281</v>
      </c>
      <c r="BP27">
        <v>1519069423.6</v>
      </c>
      <c r="BQ27">
        <v>410.059741935484</v>
      </c>
      <c r="BR27">
        <v>410.507032258065</v>
      </c>
      <c r="BS27">
        <v>20.3288258064516</v>
      </c>
      <c r="BT27">
        <v>19.8644258064516</v>
      </c>
      <c r="BU27">
        <v>499.91735483871</v>
      </c>
      <c r="BV27">
        <v>96.0545741935484</v>
      </c>
      <c r="BW27">
        <v>0.0897559935483871</v>
      </c>
      <c r="BX27">
        <v>25.3993967741935</v>
      </c>
      <c r="BY27">
        <v>24.9807516129032</v>
      </c>
      <c r="BZ27">
        <v>999.9</v>
      </c>
      <c r="CA27">
        <v>0</v>
      </c>
      <c r="CB27">
        <v>0</v>
      </c>
      <c r="CC27">
        <v>10016.5403225806</v>
      </c>
      <c r="CD27">
        <v>0</v>
      </c>
      <c r="CE27">
        <v>1332.07806451613</v>
      </c>
      <c r="CF27">
        <v>50.0075935483871</v>
      </c>
      <c r="CG27">
        <v>0.900323258064516</v>
      </c>
      <c r="CH27">
        <v>0.0996769322580645</v>
      </c>
      <c r="CI27">
        <v>0</v>
      </c>
      <c r="CJ27">
        <v>704.794225806451</v>
      </c>
      <c r="CK27">
        <v>4.9994</v>
      </c>
      <c r="CL27">
        <v>339.715064516129</v>
      </c>
      <c r="CM27">
        <v>357.913806451613</v>
      </c>
      <c r="CN27">
        <v>39.052</v>
      </c>
      <c r="CO27">
        <v>42.75</v>
      </c>
      <c r="CP27">
        <v>41.191064516129</v>
      </c>
      <c r="CQ27">
        <v>42.6026451612903</v>
      </c>
      <c r="CR27">
        <v>41.8404516129032</v>
      </c>
      <c r="CS27">
        <v>40.5222580645161</v>
      </c>
      <c r="CT27">
        <v>4.48677419354839</v>
      </c>
      <c r="CU27">
        <v>0</v>
      </c>
      <c r="CV27">
        <v>146.199999809265</v>
      </c>
      <c r="CW27">
        <v>704.824692307692</v>
      </c>
      <c r="CX27">
        <v>5.35753846915927</v>
      </c>
      <c r="CY27">
        <v>-0.866974370734566</v>
      </c>
      <c r="CZ27">
        <v>339.681961538462</v>
      </c>
      <c r="DA27">
        <v>15</v>
      </c>
      <c r="DB27">
        <v>1519069397.6</v>
      </c>
      <c r="DC27" t="s">
        <v>322</v>
      </c>
      <c r="DD27">
        <v>6</v>
      </c>
      <c r="DE27">
        <v>0.823</v>
      </c>
      <c r="DF27">
        <v>0.156</v>
      </c>
      <c r="DG27">
        <v>411</v>
      </c>
      <c r="DH27">
        <v>20</v>
      </c>
      <c r="DI27">
        <v>0.3</v>
      </c>
      <c r="DJ27">
        <v>0.22</v>
      </c>
      <c r="DK27">
        <v>0.282286206636808</v>
      </c>
      <c r="DL27">
        <v>-0.304256618835204</v>
      </c>
      <c r="DM27">
        <v>0.096627106545552</v>
      </c>
      <c r="DN27">
        <v>1</v>
      </c>
      <c r="DO27">
        <v>-0.477090951219512</v>
      </c>
      <c r="DP27">
        <v>0.192965832752614</v>
      </c>
      <c r="DQ27">
        <v>0.098265440062271</v>
      </c>
      <c r="DR27">
        <v>1</v>
      </c>
      <c r="DS27">
        <v>0.463444951219512</v>
      </c>
      <c r="DT27">
        <v>0.0434481951219523</v>
      </c>
      <c r="DU27">
        <v>0.0125093175399257</v>
      </c>
      <c r="DV27">
        <v>1</v>
      </c>
      <c r="DW27">
        <v>0.0305872031367394</v>
      </c>
      <c r="DX27">
        <v>0.0107558168979924</v>
      </c>
      <c r="DY27">
        <v>0.00176020269253693</v>
      </c>
      <c r="DZ27">
        <v>1</v>
      </c>
      <c r="EA27">
        <v>4</v>
      </c>
      <c r="EB27">
        <v>4</v>
      </c>
      <c r="EC27" t="s">
        <v>291</v>
      </c>
      <c r="ED27">
        <v>1.84921</v>
      </c>
      <c r="EE27">
        <v>1.85333</v>
      </c>
      <c r="EF27">
        <v>1.85211</v>
      </c>
      <c r="EG27">
        <v>1.85638</v>
      </c>
      <c r="EH27">
        <v>1.85421</v>
      </c>
      <c r="EI27">
        <v>1.85455</v>
      </c>
      <c r="EJ27">
        <v>1.84677</v>
      </c>
      <c r="EK27">
        <v>1.8515</v>
      </c>
      <c r="EL27" t="s">
        <v>284</v>
      </c>
      <c r="EM27" t="s">
        <v>19</v>
      </c>
      <c r="EN27" t="s">
        <v>19</v>
      </c>
      <c r="EO27" t="s">
        <v>19</v>
      </c>
      <c r="EP27" t="s">
        <v>285</v>
      </c>
      <c r="EQ27" t="s">
        <v>286</v>
      </c>
      <c r="ER27" t="s">
        <v>287</v>
      </c>
      <c r="ES27" t="s">
        <v>287</v>
      </c>
      <c r="ET27" t="s">
        <v>287</v>
      </c>
      <c r="EU27" t="s">
        <v>287</v>
      </c>
      <c r="EV27">
        <v>0</v>
      </c>
      <c r="EW27">
        <v>100</v>
      </c>
      <c r="EX27">
        <v>100</v>
      </c>
      <c r="EY27">
        <v>0.823</v>
      </c>
      <c r="EZ27">
        <v>0.156</v>
      </c>
      <c r="FA27">
        <v>2</v>
      </c>
      <c r="FB27">
        <v>499.708</v>
      </c>
      <c r="FC27">
        <v>290.631</v>
      </c>
      <c r="FD27">
        <v>22.4018</v>
      </c>
      <c r="FE27">
        <v>29.9556</v>
      </c>
      <c r="FF27">
        <v>30</v>
      </c>
      <c r="FG27">
        <v>30.2318</v>
      </c>
      <c r="FH27">
        <v>30.1823</v>
      </c>
      <c r="FI27">
        <v>17.7845</v>
      </c>
      <c r="FJ27">
        <v>19.4287</v>
      </c>
      <c r="FK27">
        <v>47.2946</v>
      </c>
      <c r="FL27">
        <v>22.3788</v>
      </c>
      <c r="FM27">
        <v>410.438</v>
      </c>
      <c r="FN27">
        <v>19.847</v>
      </c>
      <c r="FO27">
        <v>99.9908</v>
      </c>
      <c r="FP27">
        <v>118.71</v>
      </c>
    </row>
    <row r="28" spans="1:172">
      <c r="A28">
        <v>12</v>
      </c>
      <c r="B28">
        <v>1519069568.6</v>
      </c>
      <c r="C28">
        <v>1493.59999990463</v>
      </c>
      <c r="D28" t="s">
        <v>323</v>
      </c>
      <c r="E28" t="s">
        <v>324</v>
      </c>
      <c r="F28">
        <v>1519069560.6</v>
      </c>
      <c r="G28">
        <f>BU28*AH28*(BS28-BT28)/(100*BM28*(1000-AH28*BS28))</f>
        <v>0</v>
      </c>
      <c r="H28">
        <f>BU28*AH28*(BR28-BQ28*(1000-AH28*BT28)/(1000-AH28*BS28))/(100*BM28)</f>
        <v>0</v>
      </c>
      <c r="I28">
        <f>BQ28 - IF(AH28&gt;1, H28*BM28*100.0/(AJ28*CC28), 0)</f>
        <v>0</v>
      </c>
      <c r="J28">
        <f>((P28-G28/2)*I28-H28)/(P28+G28/2)</f>
        <v>0</v>
      </c>
      <c r="K28">
        <f>J28*(BV28+BW28)/1000.0</f>
        <v>0</v>
      </c>
      <c r="L28">
        <f>(BQ28 - IF(AH28&gt;1, H28*BM28*100.0/(AJ28*CC28), 0))*(BV28+BW28)/1000.0</f>
        <v>0</v>
      </c>
      <c r="M28">
        <f>2.0/((1/O28-1/N28)+SIGN(O28)*SQRT((1/O28-1/N28)*(1/O28-1/N28) + 4*BN28/((BN28+1)*(BN28+1))*(2*1/O28*1/N28-1/N28*1/N28)))</f>
        <v>0</v>
      </c>
      <c r="N28">
        <f>AE28+AD28*BM28+AC28*BM28*BM28</f>
        <v>0</v>
      </c>
      <c r="O28">
        <f>G28*(1000-(1000*0.61365*exp(17.502*S28/(240.97+S28))/(BV28+BW28)+BS28)/2)/(1000*0.61365*exp(17.502*S28/(240.97+S28))/(BV28+BW28)-BS28)</f>
        <v>0</v>
      </c>
      <c r="P28">
        <f>1/((BN28+1)/(M28/1.6)+1/(N28/1.37)) + BN28/((BN28+1)/(M28/1.6) + BN28/(N28/1.37))</f>
        <v>0</v>
      </c>
      <c r="Q28">
        <f>(BJ28*BL28)</f>
        <v>0</v>
      </c>
      <c r="R28">
        <f>(BX28+(Q28+2*0.95*5.67E-8*(((BX28+$B$7)+273)^4-(BX28+273)^4)-44100*G28)/(1.84*29.3*N28+8*0.95*5.67E-8*(BX28+273)^3))</f>
        <v>0</v>
      </c>
      <c r="S28">
        <f>($C$7*BY28+$D$7*BZ28+$E$7*R28)</f>
        <v>0</v>
      </c>
      <c r="T28">
        <f>0.61365*exp(17.502*S28/(240.97+S28))</f>
        <v>0</v>
      </c>
      <c r="U28">
        <f>(V28/W28*100)</f>
        <v>0</v>
      </c>
      <c r="V28">
        <f>BS28*(BV28+BW28)/1000</f>
        <v>0</v>
      </c>
      <c r="W28">
        <f>0.61365*exp(17.502*BX28/(240.97+BX28))</f>
        <v>0</v>
      </c>
      <c r="X28">
        <f>(T28-BS28*(BV28+BW28)/1000)</f>
        <v>0</v>
      </c>
      <c r="Y28">
        <f>(-G28*44100)</f>
        <v>0</v>
      </c>
      <c r="Z28">
        <f>2*29.3*N28*0.92*(BX28-S28)</f>
        <v>0</v>
      </c>
      <c r="AA28">
        <f>2*0.95*5.67E-8*(((BX28+$B$7)+273)^4-(S28+273)^4)</f>
        <v>0</v>
      </c>
      <c r="AB28">
        <f>Q28+AA28+Y28+Z28</f>
        <v>0</v>
      </c>
      <c r="AC28">
        <v>-0.0398562741354427</v>
      </c>
      <c r="AD28">
        <v>0.0447421593184172</v>
      </c>
      <c r="AE28">
        <v>3.36657522531944</v>
      </c>
      <c r="AF28">
        <v>0</v>
      </c>
      <c r="AG28">
        <v>0</v>
      </c>
      <c r="AH28">
        <f>IF(AF28*$H$13&gt;=AJ28,1.0,(AJ28/(AJ28-AF28*$H$13)))</f>
        <v>0</v>
      </c>
      <c r="AI28">
        <f>(AH28-1)*100</f>
        <v>0</v>
      </c>
      <c r="AJ28">
        <f>MAX(0,($B$13+$C$13*CC28)/(1+$D$13*CC28)*BV28/(BX28+273)*$E$13)</f>
        <v>0</v>
      </c>
      <c r="AK28" t="s">
        <v>325</v>
      </c>
      <c r="AL28">
        <v>580.333076923077</v>
      </c>
      <c r="AM28">
        <v>2824.36</v>
      </c>
      <c r="AN28">
        <f>AM28-AL28</f>
        <v>0</v>
      </c>
      <c r="AO28">
        <f>AN28/AM28</f>
        <v>0</v>
      </c>
      <c r="AP28">
        <v>-2.50116909774449</v>
      </c>
      <c r="AQ28" t="s">
        <v>280</v>
      </c>
      <c r="AR28">
        <v>0</v>
      </c>
      <c r="AS28">
        <v>0</v>
      </c>
      <c r="AT28">
        <f>1-AR28/AS28</f>
        <v>0</v>
      </c>
      <c r="AU28">
        <v>0.5</v>
      </c>
      <c r="AV28">
        <f>BJ28</f>
        <v>0</v>
      </c>
      <c r="AW28">
        <f>H28</f>
        <v>0</v>
      </c>
      <c r="AX28">
        <f>AT28*AU28*AV28</f>
        <v>0</v>
      </c>
      <c r="AY28">
        <f>BD28/AS28</f>
        <v>0</v>
      </c>
      <c r="AZ28">
        <f>(AW28-AP28)/AV28</f>
        <v>0</v>
      </c>
      <c r="BA28">
        <f>(AM28-AS28)/AS28</f>
        <v>0</v>
      </c>
      <c r="BB28" t="s">
        <v>280</v>
      </c>
      <c r="BC28">
        <v>0</v>
      </c>
      <c r="BD28">
        <f>AS28-BC28</f>
        <v>0</v>
      </c>
      <c r="BE28">
        <f>(AS28-AR28)/(AS28-BC28)</f>
        <v>0</v>
      </c>
      <c r="BF28">
        <f>(AM28-AS28)/(AM28-BC28)</f>
        <v>0</v>
      </c>
      <c r="BG28">
        <f>(AS28-AR28)/(AS28-AL28)</f>
        <v>0</v>
      </c>
      <c r="BH28">
        <f>(AM28-AS28)/(AM28-AL28)</f>
        <v>0</v>
      </c>
      <c r="BI28">
        <f>$B$11*CD28+$C$11*CE28+$F$11*CF28</f>
        <v>0</v>
      </c>
      <c r="BJ28">
        <f>BI28*BK28</f>
        <v>0</v>
      </c>
      <c r="BK28">
        <f>($B$11*$D$9+$C$11*$D$9+$F$11*((CS28+CK28)/MAX(CS28+CK28+CT28, 0.1)*$I$9+CT28/MAX(CS28+CK28+CT28, 0.1)*$J$9))/($B$11+$C$11+$F$11)</f>
        <v>0</v>
      </c>
      <c r="BL28">
        <f>($B$11*$K$9+$C$11*$K$9+$F$11*((CS28+CK28)/MAX(CS28+CK28+CT28, 0.1)*$P$9+CT28/MAX(CS28+CK28+CT28, 0.1)*$Q$9))/($B$11+$C$11+$F$11)</f>
        <v>0</v>
      </c>
      <c r="BM28">
        <v>5.5</v>
      </c>
      <c r="BN28">
        <v>0.5</v>
      </c>
      <c r="BO28" t="s">
        <v>281</v>
      </c>
      <c r="BP28">
        <v>1519069560.6</v>
      </c>
      <c r="BQ28">
        <v>410.111516129032</v>
      </c>
      <c r="BR28">
        <v>407.473161290323</v>
      </c>
      <c r="BS28">
        <v>20.2495612903226</v>
      </c>
      <c r="BT28">
        <v>19.9791677419355</v>
      </c>
      <c r="BU28">
        <v>499.954161290323</v>
      </c>
      <c r="BV28">
        <v>96.0512580645161</v>
      </c>
      <c r="BW28">
        <v>0.0974478451612903</v>
      </c>
      <c r="BX28">
        <v>25.3422161290323</v>
      </c>
      <c r="BY28">
        <v>24.9473677419355</v>
      </c>
      <c r="BZ28">
        <v>999.9</v>
      </c>
      <c r="CA28">
        <v>0</v>
      </c>
      <c r="CB28">
        <v>0</v>
      </c>
      <c r="CC28">
        <v>10006.6719354839</v>
      </c>
      <c r="CD28">
        <v>0</v>
      </c>
      <c r="CE28">
        <v>1333.33096774194</v>
      </c>
      <c r="CF28">
        <v>0.049994</v>
      </c>
      <c r="CG28">
        <v>0</v>
      </c>
      <c r="CH28">
        <v>0</v>
      </c>
      <c r="CI28">
        <v>0</v>
      </c>
      <c r="CJ28">
        <v>580.487419354839</v>
      </c>
      <c r="CK28">
        <v>0.049994</v>
      </c>
      <c r="CL28">
        <v>5.2616129032258</v>
      </c>
      <c r="CM28">
        <v>-3.8558064516129</v>
      </c>
      <c r="CN28">
        <v>38.4918709677419</v>
      </c>
      <c r="CO28">
        <v>42.397</v>
      </c>
      <c r="CP28">
        <v>40.7418709677419</v>
      </c>
      <c r="CQ28">
        <v>42.026</v>
      </c>
      <c r="CR28">
        <v>41.0884193548387</v>
      </c>
      <c r="CS28">
        <v>0</v>
      </c>
      <c r="CT28">
        <v>0</v>
      </c>
      <c r="CU28">
        <v>0</v>
      </c>
      <c r="CV28">
        <v>136.399999856949</v>
      </c>
      <c r="CW28">
        <v>580.333076923077</v>
      </c>
      <c r="CX28">
        <v>-5.44410272439516</v>
      </c>
      <c r="CY28">
        <v>-5.62188029370717</v>
      </c>
      <c r="CZ28">
        <v>5.21076923076923</v>
      </c>
      <c r="DA28">
        <v>15</v>
      </c>
      <c r="DB28">
        <v>1519069521.1</v>
      </c>
      <c r="DC28" t="s">
        <v>326</v>
      </c>
      <c r="DD28">
        <v>7</v>
      </c>
      <c r="DE28">
        <v>0.804</v>
      </c>
      <c r="DF28">
        <v>0.158</v>
      </c>
      <c r="DG28">
        <v>408</v>
      </c>
      <c r="DH28">
        <v>20</v>
      </c>
      <c r="DI28">
        <v>0.32</v>
      </c>
      <c r="DJ28">
        <v>0.18</v>
      </c>
      <c r="DK28">
        <v>-2.51579178910928</v>
      </c>
      <c r="DL28">
        <v>0.13677934505902</v>
      </c>
      <c r="DM28">
        <v>0.138129163385504</v>
      </c>
      <c r="DN28">
        <v>1</v>
      </c>
      <c r="DO28">
        <v>2.64019512195122</v>
      </c>
      <c r="DP28">
        <v>0.314767944250873</v>
      </c>
      <c r="DQ28">
        <v>0.0934126337390093</v>
      </c>
      <c r="DR28">
        <v>1</v>
      </c>
      <c r="DS28">
        <v>0.286295219512195</v>
      </c>
      <c r="DT28">
        <v>-0.346650689895468</v>
      </c>
      <c r="DU28">
        <v>0.0352480457998442</v>
      </c>
      <c r="DV28">
        <v>1</v>
      </c>
      <c r="DW28">
        <v>0.019581019759586</v>
      </c>
      <c r="DX28">
        <v>-0.00926469993553012</v>
      </c>
      <c r="DY28">
        <v>0.00209872902139016</v>
      </c>
      <c r="DZ28">
        <v>1</v>
      </c>
      <c r="EA28">
        <v>4</v>
      </c>
      <c r="EB28">
        <v>4</v>
      </c>
      <c r="EC28" t="s">
        <v>291</v>
      </c>
      <c r="ED28">
        <v>1.84921</v>
      </c>
      <c r="EE28">
        <v>1.85333</v>
      </c>
      <c r="EF28">
        <v>1.85212</v>
      </c>
      <c r="EG28">
        <v>1.85638</v>
      </c>
      <c r="EH28">
        <v>1.85421</v>
      </c>
      <c r="EI28">
        <v>1.85456</v>
      </c>
      <c r="EJ28">
        <v>1.84677</v>
      </c>
      <c r="EK28">
        <v>1.8515</v>
      </c>
      <c r="EL28" t="s">
        <v>284</v>
      </c>
      <c r="EM28" t="s">
        <v>19</v>
      </c>
      <c r="EN28" t="s">
        <v>19</v>
      </c>
      <c r="EO28" t="s">
        <v>19</v>
      </c>
      <c r="EP28" t="s">
        <v>285</v>
      </c>
      <c r="EQ28" t="s">
        <v>286</v>
      </c>
      <c r="ER28" t="s">
        <v>287</v>
      </c>
      <c r="ES28" t="s">
        <v>287</v>
      </c>
      <c r="ET28" t="s">
        <v>287</v>
      </c>
      <c r="EU28" t="s">
        <v>287</v>
      </c>
      <c r="EV28">
        <v>0</v>
      </c>
      <c r="EW28">
        <v>100</v>
      </c>
      <c r="EX28">
        <v>100</v>
      </c>
      <c r="EY28">
        <v>0.804</v>
      </c>
      <c r="EZ28">
        <v>0.158</v>
      </c>
      <c r="FA28">
        <v>2</v>
      </c>
      <c r="FB28">
        <v>498.882</v>
      </c>
      <c r="FC28">
        <v>289.837</v>
      </c>
      <c r="FD28">
        <v>22.6243</v>
      </c>
      <c r="FE28">
        <v>30.0645</v>
      </c>
      <c r="FF28">
        <v>30.0003</v>
      </c>
      <c r="FG28">
        <v>30.3309</v>
      </c>
      <c r="FH28">
        <v>30.2788</v>
      </c>
      <c r="FI28">
        <v>17.6948</v>
      </c>
      <c r="FJ28">
        <v>21.2022</v>
      </c>
      <c r="FK28">
        <v>49.1788</v>
      </c>
      <c r="FL28">
        <v>22.6639</v>
      </c>
      <c r="FM28">
        <v>407.418</v>
      </c>
      <c r="FN28">
        <v>19.9996</v>
      </c>
      <c r="FO28">
        <v>99.9719</v>
      </c>
      <c r="FP28">
        <v>118.677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19</v>
      </c>
    </row>
    <row r="12" spans="1:2">
      <c r="A12" t="s">
        <v>21</v>
      </c>
      <c r="B12" t="s">
        <v>17</v>
      </c>
    </row>
    <row r="13" spans="1:2">
      <c r="A13" t="s">
        <v>22</v>
      </c>
      <c r="B13" t="s">
        <v>11</v>
      </c>
    </row>
    <row r="14" spans="1:2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2025-03-23T11:41:06Z</dcterms:created>
  <dcterms:modified xsi:type="dcterms:W3CDTF">2025-03-23T11:41:06Z</dcterms:modified>
</cp:coreProperties>
</file>