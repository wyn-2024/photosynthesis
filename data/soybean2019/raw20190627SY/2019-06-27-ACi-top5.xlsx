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6D05E1CD-02B5-4873-AA27-1D2C0522A481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Q29" i="1" l="1"/>
  <c r="BP29" i="1"/>
  <c r="BN29" i="1"/>
  <c r="BM29" i="1"/>
  <c r="BL29" i="1"/>
  <c r="BK29" i="1"/>
  <c r="BJ29" i="1"/>
  <c r="BI29" i="1"/>
  <c r="BD29" i="1" s="1"/>
  <c r="BF29" i="1"/>
  <c r="AY29" i="1"/>
  <c r="AS29" i="1"/>
  <c r="AT29" i="1" s="1"/>
  <c r="AO29" i="1"/>
  <c r="AM29" i="1" s="1"/>
  <c r="Q29" i="1" s="1"/>
  <c r="AB29" i="1"/>
  <c r="AA29" i="1"/>
  <c r="S29" i="1"/>
  <c r="BQ28" i="1"/>
  <c r="BP28" i="1"/>
  <c r="BN28" i="1"/>
  <c r="BM28" i="1"/>
  <c r="BL28" i="1"/>
  <c r="BK28" i="1"/>
  <c r="BJ28" i="1"/>
  <c r="BI28" i="1"/>
  <c r="BD28" i="1" s="1"/>
  <c r="BF28" i="1"/>
  <c r="AY28" i="1"/>
  <c r="AS28" i="1"/>
  <c r="AT28" i="1" s="1"/>
  <c r="AO28" i="1"/>
  <c r="AM28" i="1" s="1"/>
  <c r="N28" i="1" s="1"/>
  <c r="AB28" i="1"/>
  <c r="AA28" i="1"/>
  <c r="S28" i="1"/>
  <c r="BQ27" i="1"/>
  <c r="BP27" i="1"/>
  <c r="BN27" i="1"/>
  <c r="BM27" i="1"/>
  <c r="BL27" i="1"/>
  <c r="BK27" i="1"/>
  <c r="BJ27" i="1"/>
  <c r="BI27" i="1"/>
  <c r="BD27" i="1" s="1"/>
  <c r="BF27" i="1"/>
  <c r="AY27" i="1"/>
  <c r="AS27" i="1"/>
  <c r="AT27" i="1" s="1"/>
  <c r="AO27" i="1"/>
  <c r="AM27" i="1" s="1"/>
  <c r="Q27" i="1" s="1"/>
  <c r="AB27" i="1"/>
  <c r="AA27" i="1"/>
  <c r="S27" i="1"/>
  <c r="M27" i="1"/>
  <c r="BB27" i="1" s="1"/>
  <c r="BQ26" i="1"/>
  <c r="BP26" i="1"/>
  <c r="BN26" i="1"/>
  <c r="BM26" i="1"/>
  <c r="BL26" i="1"/>
  <c r="BK26" i="1"/>
  <c r="BJ26" i="1"/>
  <c r="BI26" i="1"/>
  <c r="BD26" i="1" s="1"/>
  <c r="BF26" i="1"/>
  <c r="AY26" i="1"/>
  <c r="AS26" i="1"/>
  <c r="AT26" i="1" s="1"/>
  <c r="AO26" i="1"/>
  <c r="AM26" i="1" s="1"/>
  <c r="L26" i="1" s="1"/>
  <c r="AB26" i="1"/>
  <c r="AA26" i="1"/>
  <c r="Z26" i="1" s="1"/>
  <c r="S26" i="1"/>
  <c r="BQ25" i="1"/>
  <c r="BP25" i="1"/>
  <c r="BN25" i="1"/>
  <c r="BO25" i="1" s="1"/>
  <c r="BM25" i="1"/>
  <c r="BL25" i="1"/>
  <c r="BK25" i="1"/>
  <c r="BJ25" i="1"/>
  <c r="BI25" i="1"/>
  <c r="BD25" i="1" s="1"/>
  <c r="BF25" i="1"/>
  <c r="AY25" i="1"/>
  <c r="AS25" i="1"/>
  <c r="AT25" i="1" s="1"/>
  <c r="AO25" i="1"/>
  <c r="AM25" i="1"/>
  <c r="Q25" i="1" s="1"/>
  <c r="AB25" i="1"/>
  <c r="AA25" i="1"/>
  <c r="S25" i="1"/>
  <c r="BQ24" i="1"/>
  <c r="BP24" i="1"/>
  <c r="BN24" i="1"/>
  <c r="BO24" i="1" s="1"/>
  <c r="BA24" i="1" s="1"/>
  <c r="BC24" i="1" s="1"/>
  <c r="BM24" i="1"/>
  <c r="BL24" i="1"/>
  <c r="BK24" i="1"/>
  <c r="BJ24" i="1"/>
  <c r="BI24" i="1"/>
  <c r="BD24" i="1" s="1"/>
  <c r="BF24" i="1"/>
  <c r="AY24" i="1"/>
  <c r="AS24" i="1"/>
  <c r="AT24" i="1" s="1"/>
  <c r="AO24" i="1"/>
  <c r="AM24" i="1" s="1"/>
  <c r="N24" i="1" s="1"/>
  <c r="AB24" i="1"/>
  <c r="AA24" i="1"/>
  <c r="Z24" i="1"/>
  <c r="S24" i="1"/>
  <c r="BQ23" i="1"/>
  <c r="BP23" i="1"/>
  <c r="BN23" i="1"/>
  <c r="BM23" i="1"/>
  <c r="BL23" i="1"/>
  <c r="BK23" i="1"/>
  <c r="BJ23" i="1"/>
  <c r="BI23" i="1"/>
  <c r="BD23" i="1" s="1"/>
  <c r="BF23" i="1"/>
  <c r="AY23" i="1"/>
  <c r="AS23" i="1"/>
  <c r="AT23" i="1" s="1"/>
  <c r="AO23" i="1"/>
  <c r="AM23" i="1"/>
  <c r="AN23" i="1" s="1"/>
  <c r="AB23" i="1"/>
  <c r="AA23" i="1"/>
  <c r="Z23" i="1" s="1"/>
  <c r="S23" i="1"/>
  <c r="BQ22" i="1"/>
  <c r="BP22" i="1"/>
  <c r="BN22" i="1"/>
  <c r="BO22" i="1" s="1"/>
  <c r="BM22" i="1"/>
  <c r="BL22" i="1"/>
  <c r="BK22" i="1"/>
  <c r="BJ22" i="1"/>
  <c r="BI22" i="1"/>
  <c r="BF22" i="1"/>
  <c r="BD22" i="1"/>
  <c r="AY22" i="1"/>
  <c r="AS22" i="1"/>
  <c r="AT22" i="1" s="1"/>
  <c r="AO22" i="1"/>
  <c r="AM22" i="1" s="1"/>
  <c r="AN22" i="1" s="1"/>
  <c r="AB22" i="1"/>
  <c r="AA22" i="1"/>
  <c r="S22" i="1"/>
  <c r="BQ21" i="1"/>
  <c r="BP21" i="1"/>
  <c r="BN21" i="1"/>
  <c r="BM21" i="1"/>
  <c r="BL21" i="1"/>
  <c r="BK21" i="1"/>
  <c r="BJ21" i="1"/>
  <c r="BI21" i="1"/>
  <c r="BD21" i="1" s="1"/>
  <c r="BF21" i="1"/>
  <c r="AY21" i="1"/>
  <c r="AS21" i="1"/>
  <c r="AT21" i="1" s="1"/>
  <c r="AO21" i="1"/>
  <c r="AM21" i="1" s="1"/>
  <c r="N21" i="1" s="1"/>
  <c r="AB21" i="1"/>
  <c r="AA21" i="1"/>
  <c r="Z21" i="1" s="1"/>
  <c r="S21" i="1"/>
  <c r="BQ20" i="1"/>
  <c r="BP20" i="1"/>
  <c r="BN20" i="1"/>
  <c r="BM20" i="1"/>
  <c r="BL20" i="1"/>
  <c r="BK20" i="1"/>
  <c r="BJ20" i="1"/>
  <c r="BI20" i="1"/>
  <c r="BD20" i="1" s="1"/>
  <c r="BF20" i="1"/>
  <c r="AY20" i="1"/>
  <c r="AS20" i="1"/>
  <c r="AT20" i="1" s="1"/>
  <c r="AO20" i="1"/>
  <c r="AM20" i="1" s="1"/>
  <c r="AB20" i="1"/>
  <c r="AA20" i="1"/>
  <c r="Z20" i="1"/>
  <c r="S20" i="1"/>
  <c r="BQ19" i="1"/>
  <c r="BP19" i="1"/>
  <c r="BN19" i="1"/>
  <c r="BM19" i="1"/>
  <c r="BL19" i="1"/>
  <c r="BK19" i="1"/>
  <c r="BJ19" i="1"/>
  <c r="BI19" i="1"/>
  <c r="BD19" i="1" s="1"/>
  <c r="BF19" i="1"/>
  <c r="AY19" i="1"/>
  <c r="AS19" i="1"/>
  <c r="AT19" i="1" s="1"/>
  <c r="AO19" i="1"/>
  <c r="AM19" i="1" s="1"/>
  <c r="N19" i="1" s="1"/>
  <c r="AN19" i="1"/>
  <c r="AB19" i="1"/>
  <c r="AA19" i="1"/>
  <c r="Z19" i="1" s="1"/>
  <c r="S19" i="1"/>
  <c r="M19" i="1"/>
  <c r="BB19" i="1" s="1"/>
  <c r="BQ18" i="1"/>
  <c r="BP18" i="1"/>
  <c r="BN18" i="1"/>
  <c r="BM18" i="1"/>
  <c r="BL18" i="1"/>
  <c r="BK18" i="1"/>
  <c r="BJ18" i="1"/>
  <c r="BI18" i="1"/>
  <c r="BD18" i="1" s="1"/>
  <c r="BF18" i="1"/>
  <c r="AY18" i="1"/>
  <c r="AS18" i="1"/>
  <c r="AT18" i="1" s="1"/>
  <c r="AO18" i="1"/>
  <c r="AM18" i="1" s="1"/>
  <c r="AB18" i="1"/>
  <c r="AA18" i="1"/>
  <c r="S18" i="1"/>
  <c r="BQ17" i="1"/>
  <c r="BP17" i="1"/>
  <c r="BN17" i="1"/>
  <c r="BM17" i="1"/>
  <c r="BL17" i="1"/>
  <c r="BK17" i="1"/>
  <c r="BJ17" i="1"/>
  <c r="BI17" i="1"/>
  <c r="BD17" i="1" s="1"/>
  <c r="BF17" i="1"/>
  <c r="AY17" i="1"/>
  <c r="AS17" i="1"/>
  <c r="AT17" i="1" s="1"/>
  <c r="AO17" i="1"/>
  <c r="AM17" i="1" s="1"/>
  <c r="L17" i="1" s="1"/>
  <c r="AB17" i="1"/>
  <c r="AA17" i="1"/>
  <c r="Z17" i="1"/>
  <c r="S17" i="1"/>
  <c r="BO20" i="1" l="1"/>
  <c r="BO26" i="1"/>
  <c r="AN20" i="1"/>
  <c r="L20" i="1"/>
  <c r="BO17" i="1"/>
  <c r="Z18" i="1"/>
  <c r="BO18" i="1"/>
  <c r="BA18" i="1" s="1"/>
  <c r="BC18" i="1" s="1"/>
  <c r="BO21" i="1"/>
  <c r="BA21" i="1" s="1"/>
  <c r="BC21" i="1" s="1"/>
  <c r="Z22" i="1"/>
  <c r="L23" i="1"/>
  <c r="BO23" i="1"/>
  <c r="BA23" i="1" s="1"/>
  <c r="Z28" i="1"/>
  <c r="BO29" i="1"/>
  <c r="V24" i="1"/>
  <c r="BO19" i="1"/>
  <c r="BA19" i="1" s="1"/>
  <c r="BC19" i="1" s="1"/>
  <c r="V26" i="1"/>
  <c r="W26" i="1" s="1"/>
  <c r="X26" i="1" s="1"/>
  <c r="BA26" i="1"/>
  <c r="BC26" i="1" s="1"/>
  <c r="V18" i="1"/>
  <c r="V19" i="1"/>
  <c r="N29" i="1"/>
  <c r="N20" i="1"/>
  <c r="N23" i="1"/>
  <c r="AN25" i="1"/>
  <c r="AN29" i="1"/>
  <c r="M17" i="1"/>
  <c r="BB17" i="1" s="1"/>
  <c r="M20" i="1"/>
  <c r="BB20" i="1" s="1"/>
  <c r="M23" i="1"/>
  <c r="BB23" i="1" s="1"/>
  <c r="N25" i="1"/>
  <c r="N17" i="1"/>
  <c r="Q17" i="1"/>
  <c r="Q20" i="1"/>
  <c r="Q23" i="1"/>
  <c r="Z25" i="1"/>
  <c r="Z27" i="1"/>
  <c r="BO27" i="1"/>
  <c r="BO28" i="1"/>
  <c r="BA28" i="1" s="1"/>
  <c r="BC28" i="1" s="1"/>
  <c r="Z29" i="1"/>
  <c r="AD26" i="1"/>
  <c r="AD17" i="1"/>
  <c r="BA17" i="1"/>
  <c r="BC17" i="1" s="1"/>
  <c r="V17" i="1"/>
  <c r="Q18" i="1"/>
  <c r="M18" i="1"/>
  <c r="BB18" i="1" s="1"/>
  <c r="L18" i="1"/>
  <c r="AN18" i="1"/>
  <c r="N18" i="1"/>
  <c r="Q21" i="1"/>
  <c r="M21" i="1"/>
  <c r="BB21" i="1" s="1"/>
  <c r="L21" i="1"/>
  <c r="AN21" i="1"/>
  <c r="V23" i="1"/>
  <c r="V22" i="1"/>
  <c r="BA22" i="1"/>
  <c r="BC22" i="1" s="1"/>
  <c r="V25" i="1"/>
  <c r="BA25" i="1"/>
  <c r="BC25" i="1" s="1"/>
  <c r="BA27" i="1"/>
  <c r="BE27" i="1" s="1"/>
  <c r="V27" i="1"/>
  <c r="V29" i="1"/>
  <c r="BA29" i="1"/>
  <c r="BC29" i="1" s="1"/>
  <c r="AN26" i="1"/>
  <c r="N26" i="1"/>
  <c r="Q26" i="1"/>
  <c r="M26" i="1"/>
  <c r="BB26" i="1" s="1"/>
  <c r="BE26" i="1" s="1"/>
  <c r="BA20" i="1"/>
  <c r="BC20" i="1" s="1"/>
  <c r="V20" i="1"/>
  <c r="N22" i="1"/>
  <c r="Q22" i="1"/>
  <c r="M22" i="1"/>
  <c r="BB22" i="1" s="1"/>
  <c r="L22" i="1"/>
  <c r="Q24" i="1"/>
  <c r="M24" i="1"/>
  <c r="BB24" i="1" s="1"/>
  <c r="BE24" i="1" s="1"/>
  <c r="L24" i="1"/>
  <c r="AN24" i="1"/>
  <c r="L27" i="1"/>
  <c r="AN27" i="1"/>
  <c r="N27" i="1"/>
  <c r="V28" i="1"/>
  <c r="AN17" i="1"/>
  <c r="L19" i="1"/>
  <c r="Q19" i="1"/>
  <c r="Q28" i="1"/>
  <c r="M28" i="1"/>
  <c r="BB28" i="1" s="1"/>
  <c r="L28" i="1"/>
  <c r="AN28" i="1"/>
  <c r="AD20" i="1"/>
  <c r="AD23" i="1"/>
  <c r="L25" i="1"/>
  <c r="L29" i="1"/>
  <c r="M25" i="1"/>
  <c r="BB25" i="1" s="1"/>
  <c r="M29" i="1"/>
  <c r="BB29" i="1" s="1"/>
  <c r="BC23" i="1" l="1"/>
  <c r="BE23" i="1"/>
  <c r="V21" i="1"/>
  <c r="BE21" i="1"/>
  <c r="BE29" i="1"/>
  <c r="BE28" i="1"/>
  <c r="BE19" i="1"/>
  <c r="BE22" i="1"/>
  <c r="BC27" i="1"/>
  <c r="BE18" i="1"/>
  <c r="AD27" i="1"/>
  <c r="W23" i="1"/>
  <c r="X23" i="1" s="1"/>
  <c r="AD18" i="1"/>
  <c r="AD25" i="1"/>
  <c r="AD28" i="1"/>
  <c r="W28" i="1"/>
  <c r="X28" i="1" s="1"/>
  <c r="T28" i="1" s="1"/>
  <c r="R28" i="1" s="1"/>
  <c r="U28" i="1" s="1"/>
  <c r="O28" i="1" s="1"/>
  <c r="P28" i="1" s="1"/>
  <c r="AD24" i="1"/>
  <c r="BE20" i="1"/>
  <c r="W25" i="1"/>
  <c r="X25" i="1" s="1"/>
  <c r="T25" i="1" s="1"/>
  <c r="R25" i="1" s="1"/>
  <c r="U25" i="1" s="1"/>
  <c r="O25" i="1" s="1"/>
  <c r="P25" i="1" s="1"/>
  <c r="W18" i="1"/>
  <c r="X18" i="1" s="1"/>
  <c r="T18" i="1" s="1"/>
  <c r="R18" i="1" s="1"/>
  <c r="U18" i="1" s="1"/>
  <c r="O18" i="1" s="1"/>
  <c r="P18" i="1" s="1"/>
  <c r="AD19" i="1"/>
  <c r="W19" i="1"/>
  <c r="X19" i="1" s="1"/>
  <c r="Y26" i="1"/>
  <c r="AC26" i="1" s="1"/>
  <c r="AF26" i="1"/>
  <c r="AD22" i="1"/>
  <c r="W27" i="1"/>
  <c r="X27" i="1" s="1"/>
  <c r="T27" i="1" s="1"/>
  <c r="R27" i="1" s="1"/>
  <c r="U27" i="1" s="1"/>
  <c r="O27" i="1" s="1"/>
  <c r="P27" i="1" s="1"/>
  <c r="W22" i="1"/>
  <c r="X22" i="1" s="1"/>
  <c r="BE17" i="1"/>
  <c r="T26" i="1"/>
  <c r="R26" i="1" s="1"/>
  <c r="U26" i="1" s="1"/>
  <c r="O26" i="1" s="1"/>
  <c r="P26" i="1" s="1"/>
  <c r="AD29" i="1"/>
  <c r="BE25" i="1"/>
  <c r="W21" i="1"/>
  <c r="X21" i="1" s="1"/>
  <c r="AE26" i="1"/>
  <c r="W20" i="1"/>
  <c r="X20" i="1" s="1"/>
  <c r="W29" i="1"/>
  <c r="X29" i="1" s="1"/>
  <c r="AD21" i="1"/>
  <c r="W17" i="1"/>
  <c r="X17" i="1" s="1"/>
  <c r="W24" i="1"/>
  <c r="X24" i="1" s="1"/>
  <c r="T24" i="1" s="1"/>
  <c r="R24" i="1" s="1"/>
  <c r="U24" i="1" s="1"/>
  <c r="O24" i="1" s="1"/>
  <c r="P24" i="1" s="1"/>
  <c r="AF17" i="1" l="1"/>
  <c r="Y17" i="1"/>
  <c r="AC17" i="1" s="1"/>
  <c r="AE17" i="1"/>
  <c r="T17" i="1"/>
  <c r="R17" i="1" s="1"/>
  <c r="U17" i="1" s="1"/>
  <c r="O17" i="1" s="1"/>
  <c r="P17" i="1" s="1"/>
  <c r="AF19" i="1"/>
  <c r="Y19" i="1"/>
  <c r="AC19" i="1" s="1"/>
  <c r="AE19" i="1"/>
  <c r="AG26" i="1"/>
  <c r="Y28" i="1"/>
  <c r="AC28" i="1" s="1"/>
  <c r="AF28" i="1"/>
  <c r="AE28" i="1"/>
  <c r="AF20" i="1"/>
  <c r="AG20" i="1" s="1"/>
  <c r="Y20" i="1"/>
  <c r="AC20" i="1" s="1"/>
  <c r="T20" i="1"/>
  <c r="R20" i="1" s="1"/>
  <c r="U20" i="1" s="1"/>
  <c r="O20" i="1" s="1"/>
  <c r="P20" i="1" s="1"/>
  <c r="AE20" i="1"/>
  <c r="AF27" i="1"/>
  <c r="AG27" i="1" s="1"/>
  <c r="Y27" i="1"/>
  <c r="AC27" i="1" s="1"/>
  <c r="AE27" i="1"/>
  <c r="Y18" i="1"/>
  <c r="AC18" i="1" s="1"/>
  <c r="AF18" i="1"/>
  <c r="AG18" i="1" s="1"/>
  <c r="AE18" i="1"/>
  <c r="AF23" i="1"/>
  <c r="Y23" i="1"/>
  <c r="AC23" i="1" s="1"/>
  <c r="AE23" i="1"/>
  <c r="T23" i="1"/>
  <c r="R23" i="1" s="1"/>
  <c r="U23" i="1" s="1"/>
  <c r="O23" i="1" s="1"/>
  <c r="P23" i="1" s="1"/>
  <c r="Y21" i="1"/>
  <c r="AC21" i="1" s="1"/>
  <c r="AF21" i="1"/>
  <c r="AE21" i="1"/>
  <c r="Y24" i="1"/>
  <c r="AC24" i="1" s="1"/>
  <c r="AF24" i="1"/>
  <c r="AE24" i="1"/>
  <c r="T21" i="1"/>
  <c r="R21" i="1" s="1"/>
  <c r="U21" i="1" s="1"/>
  <c r="O21" i="1" s="1"/>
  <c r="P21" i="1" s="1"/>
  <c r="Y29" i="1"/>
  <c r="AC29" i="1" s="1"/>
  <c r="AF29" i="1"/>
  <c r="AE29" i="1"/>
  <c r="T29" i="1"/>
  <c r="R29" i="1" s="1"/>
  <c r="U29" i="1" s="1"/>
  <c r="O29" i="1" s="1"/>
  <c r="P29" i="1" s="1"/>
  <c r="Y22" i="1"/>
  <c r="AC22" i="1" s="1"/>
  <c r="AF22" i="1"/>
  <c r="AE22" i="1"/>
  <c r="T22" i="1"/>
  <c r="R22" i="1" s="1"/>
  <c r="U22" i="1" s="1"/>
  <c r="O22" i="1" s="1"/>
  <c r="P22" i="1" s="1"/>
  <c r="T19" i="1"/>
  <c r="R19" i="1" s="1"/>
  <c r="U19" i="1" s="1"/>
  <c r="O19" i="1" s="1"/>
  <c r="P19" i="1" s="1"/>
  <c r="Y25" i="1"/>
  <c r="AC25" i="1" s="1"/>
  <c r="AF25" i="1"/>
  <c r="AE25" i="1"/>
  <c r="AG22" i="1" l="1"/>
  <c r="AG29" i="1"/>
  <c r="AG24" i="1"/>
  <c r="AG28" i="1"/>
  <c r="AG25" i="1"/>
  <c r="AG21" i="1"/>
  <c r="AG23" i="1"/>
  <c r="AG19" i="1"/>
  <c r="AG17" i="1"/>
</calcChain>
</file>

<file path=xl/sharedStrings.xml><?xml version="1.0" encoding="utf-8"?>
<sst xmlns="http://schemas.openxmlformats.org/spreadsheetml/2006/main" count="803" uniqueCount="350">
  <si>
    <t>File opened</t>
  </si>
  <si>
    <t>2019-06-27 13:34:13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</si>
  <si>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</si>
  <si>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</si>
  <si>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</si>
  <si>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</si>
  <si>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</si>
  <si>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</si>
  <si>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</si>
  <si>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</si>
  <si>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</si>
  <si>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</si>
  <si>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</si>
  <si>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</si>
  <si>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</si>
  <si>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</si>
  <si>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</si>
  <si>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</si>
  <si>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</si>
  <si>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</si>
  <si>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</si>
  <si>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</si>
  <si>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</si>
  <si>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13:34:13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</si>
  <si>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</si>
  <si>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</si>
  <si>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</si>
  <si>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</si>
  <si>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</si>
  <si>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</si>
  <si>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</si>
  <si>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</si>
  <si>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</si>
  <si>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</si>
  <si>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</si>
  <si>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</si>
  <si>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</si>
  <si>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</si>
  <si>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</si>
  <si>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</si>
  <si>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</si>
  <si>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</si>
  <si>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</si>
  <si>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</si>
  <si>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</si>
  <si>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</si>
  <si>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</si>
  <si>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</si>
  <si>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</si>
  <si>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</si>
  <si>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</si>
  <si>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</si>
  <si>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</si>
  <si>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</si>
  <si>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</si>
  <si>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</si>
  <si>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</si>
  <si>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</si>
  <si>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</si>
  <si>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</si>
  <si>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</si>
  <si>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</si>
  <si>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</si>
  <si>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</si>
  <si>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</si>
  <si>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</si>
  <si>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</si>
  <si>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</si>
  <si>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</si>
  <si>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</si>
  <si>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</si>
  <si>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</si>
  <si>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</si>
  <si>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</si>
  <si>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</si>
  <si>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</si>
  <si>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</si>
  <si>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</si>
  <si>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</si>
  <si>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</si>
  <si>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</si>
  <si>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</si>
  <si>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</si>
  <si>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</si>
  <si>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</si>
  <si>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</si>
  <si>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</si>
  <si>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</si>
  <si>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</si>
  <si>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</si>
  <si>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</si>
  <si>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</si>
  <si>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</si>
  <si>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</si>
  <si>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</si>
  <si>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Treatment</t>
  </si>
  <si>
    <t>Genotype</t>
  </si>
  <si>
    <t>Plant</t>
  </si>
  <si>
    <t>species</t>
  </si>
  <si>
    <t>leaf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</si>
  <si>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</si>
  <si>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</si>
  <si>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</si>
  <si>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</si>
  <si>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</si>
  <si>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</si>
  <si>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</si>
  <si>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</si>
  <si>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</si>
  <si>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</si>
  <si>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</si>
  <si>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</si>
  <si>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</si>
  <si>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</si>
  <si>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</si>
  <si>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</si>
  <si>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</si>
  <si>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</si>
  <si>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</si>
  <si>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</si>
  <si>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</si>
  <si>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</si>
  <si>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</si>
  <si>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</si>
  <si>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</si>
  <si>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</si>
  <si>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</si>
  <si>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</si>
  <si>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</si>
  <si>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</si>
  <si>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</si>
  <si>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</si>
  <si>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</si>
  <si>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</si>
  <si>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</si>
  <si>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</si>
  <si>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</si>
  <si>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</si>
  <si>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</si>
  <si>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</si>
  <si>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</si>
  <si>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</si>
  <si>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</si>
  <si>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</si>
  <si>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</si>
  <si>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</si>
  <si>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</si>
  <si>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</si>
  <si>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</si>
  <si>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</si>
  <si>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</si>
  <si>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</si>
  <si>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</si>
  <si>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</si>
  <si>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</si>
  <si>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</si>
  <si>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</si>
  <si>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</si>
  <si>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</si>
  <si>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</si>
  <si>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</si>
  <si>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</si>
  <si>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</si>
  <si>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</si>
  <si>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</si>
  <si>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</si>
  <si>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</si>
  <si>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</si>
  <si>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</si>
  <si>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</si>
  <si>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</si>
  <si>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</si>
  <si>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</si>
  <si>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</si>
  <si>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</si>
  <si>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</si>
  <si>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</si>
  <si>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</si>
  <si>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</si>
  <si>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</si>
  <si>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</si>
  <si>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</si>
  <si>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</si>
  <si>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</si>
  <si>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</si>
  <si>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</si>
  <si>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</si>
  <si>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</si>
  <si>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</si>
  <si>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</si>
  <si>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</si>
  <si>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</si>
  <si>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</si>
  <si>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</si>
  <si>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</si>
  <si>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</si>
  <si>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</si>
  <si>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</si>
  <si>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</si>
  <si>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</si>
  <si>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</si>
  <si>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</si>
  <si>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</si>
  <si>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</si>
  <si>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CO2_s:MN</t>
  </si>
  <si>
    <t>CO2_s:SLP</t>
  </si>
  <si>
    <t>CO2_s:SD</t>
  </si>
  <si>
    <t>CO2_s:OK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</si>
  <si>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</si>
  <si>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</si>
  <si>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</si>
  <si>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</si>
  <si>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</si>
  <si>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</si>
  <si>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</si>
  <si>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</si>
  <si>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</si>
  <si>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</si>
  <si>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</si>
  <si>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</si>
  <si>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</si>
  <si>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</si>
  <si>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</si>
  <si>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</si>
  <si>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</si>
  <si>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</si>
  <si>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</si>
  <si>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</si>
  <si>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</si>
  <si>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</si>
  <si>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</si>
  <si>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</si>
  <si>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</si>
  <si>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</si>
  <si>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</si>
  <si>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</si>
  <si>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</si>
  <si>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</si>
  <si>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</si>
  <si>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</si>
  <si>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</si>
  <si>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</si>
  <si>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</si>
  <si>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</si>
  <si>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</si>
  <si>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</si>
  <si>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</si>
  <si>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</si>
  <si>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</si>
  <si>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</si>
  <si>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</si>
  <si>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</si>
  <si>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</si>
  <si>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</si>
  <si>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</si>
  <si>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</si>
  <si>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</si>
  <si>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</si>
  <si>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</si>
  <si>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</si>
  <si>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</si>
  <si>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</si>
  <si>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</si>
  <si>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</si>
  <si>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</si>
  <si>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</si>
  <si>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</si>
  <si>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</si>
  <si>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</si>
  <si>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</si>
  <si>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</si>
  <si>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</si>
  <si>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</si>
  <si>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>mol m⁻² s⁻¹ min⁻¹</t>
  </si>
  <si>
    <t>V</t>
  </si>
  <si>
    <t>20190627 14:00:37</t>
  </si>
  <si>
    <t>14:00:37</t>
  </si>
  <si>
    <t>1</t>
  </si>
  <si>
    <t>G2</t>
  </si>
  <si>
    <t>RECT-3890-20190627-05_07_53</t>
  </si>
  <si>
    <t>MPF-4053-20190627-14_00_39</t>
  </si>
  <si>
    <t>DARK-4054-20190627-14_00_47</t>
  </si>
  <si>
    <t>13:59:33</t>
  </si>
  <si>
    <t>2/3</t>
  </si>
  <si>
    <t>5</t>
  </si>
  <si>
    <t>11111111</t>
  </si>
  <si>
    <t>oooooooo</t>
  </si>
  <si>
    <t>off</t>
  </si>
  <si>
    <t>20190627 14:02:58</t>
  </si>
  <si>
    <t>14:02:58</t>
  </si>
  <si>
    <t>MPF-4055-20190627-14_03_00</t>
  </si>
  <si>
    <t>DARK-4056-20190627-14_03_07</t>
  </si>
  <si>
    <t>14:02:00</t>
  </si>
  <si>
    <t>20190627 14:05:09</t>
  </si>
  <si>
    <t>14:05:09</t>
  </si>
  <si>
    <t>MPF-4057-20190627-14_05_10</t>
  </si>
  <si>
    <t>DARK-4058-20190627-14_05_18</t>
  </si>
  <si>
    <t>14:04:23</t>
  </si>
  <si>
    <t>3/3</t>
  </si>
  <si>
    <t>20190627 14:06:39</t>
  </si>
  <si>
    <t>14:06:39</t>
  </si>
  <si>
    <t>MPF-4059-20190627-14_06_41</t>
  </si>
  <si>
    <t>DARK-4060-20190627-14_06_48</t>
  </si>
  <si>
    <t>14:07:20</t>
  </si>
  <si>
    <t>20190627 14:09:36</t>
  </si>
  <si>
    <t>14:09:36</t>
  </si>
  <si>
    <t>MPF-4061-20190627-14_09_37</t>
  </si>
  <si>
    <t>DARK-4062-20190627-14_09_45</t>
  </si>
  <si>
    <t>14:08:51</t>
  </si>
  <si>
    <t>20190627 14:11:42</t>
  </si>
  <si>
    <t>14:11:42</t>
  </si>
  <si>
    <t>MPF-4063-20190627-14_11_43</t>
  </si>
  <si>
    <t>DARK-4064-20190627-14_11_51</t>
  </si>
  <si>
    <t>14:10:57</t>
  </si>
  <si>
    <t>20190627 14:16:09</t>
  </si>
  <si>
    <t>14:16:09</t>
  </si>
  <si>
    <t>MPF-4067-20190627-14_16_11</t>
  </si>
  <si>
    <t>DARK-4068-20190627-14_16_18</t>
  </si>
  <si>
    <t>14:15:04</t>
  </si>
  <si>
    <t>20190627 14:18:12</t>
  </si>
  <si>
    <t>14:18:12</t>
  </si>
  <si>
    <t>MPF-4069-20190627-14_18_13</t>
  </si>
  <si>
    <t>DARK-4070-20190627-14_18_21</t>
  </si>
  <si>
    <t>14:17:26</t>
  </si>
  <si>
    <t>20190627 14:20:32</t>
  </si>
  <si>
    <t>14:20:32</t>
  </si>
  <si>
    <t>MPF-4071-20190627-14_20_34</t>
  </si>
  <si>
    <t>DARK-4072-20190627-14_20_41</t>
  </si>
  <si>
    <t>14:19:33</t>
  </si>
  <si>
    <t>20190627 14:22:53</t>
  </si>
  <si>
    <t>14:22:53</t>
  </si>
  <si>
    <t>MPF-4073-20190627-14_22_54</t>
  </si>
  <si>
    <t>DARK-4074-20190627-14_23_02</t>
  </si>
  <si>
    <t>14:21:50</t>
  </si>
  <si>
    <t>20190627 14:25:13</t>
  </si>
  <si>
    <t>14:25:13</t>
  </si>
  <si>
    <t>MPF-4075-20190627-14_25_15</t>
  </si>
  <si>
    <t>DARK-4076-20190627-14_25_22</t>
  </si>
  <si>
    <t>14:25:47</t>
  </si>
  <si>
    <t>1/3</t>
  </si>
  <si>
    <t>20190627 14:28:08</t>
  </si>
  <si>
    <t>14:28:08</t>
  </si>
  <si>
    <t>MPF-4077-20190627-14_28_10</t>
  </si>
  <si>
    <t>DARK-4078-20190627-14_28_17</t>
  </si>
  <si>
    <t>14:28:45</t>
  </si>
  <si>
    <t>20190627 14:31:07</t>
  </si>
  <si>
    <t>14:31:07</t>
  </si>
  <si>
    <t>MPF-4079-20190627-14_31_08</t>
  </si>
  <si>
    <t>DARK-4080-20190627-14_31_16</t>
  </si>
  <si>
    <t>14:30:25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</si>
</sst>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9"/>
  <sheetViews>
    <sheetView tabSelected="1" topLeftCell="A12" workbookViewId="0">
      <selection activeCell="A23" sqref="A23:XFD23"/>
    </sheetView>
  </sheetViews>
  <sheetFormatPr defaultRowHeight="14.5" x14ac:dyDescent="0.35"/>
  <sheetData>
    <row r="2" spans="1:168" x14ac:dyDescent="0.35">
      <c r="A2" t="s">
        <v>25</v>
      </c>
      <c r="B2" t="s">
        <v>26</v>
      </c>
      <c r="C2" t="s">
        <v>28</v>
      </c>
      <c r="D2" t="s">
        <v>30</v>
      </c>
    </row>
    <row r="3" spans="1:168" x14ac:dyDescent="0.35">
      <c r="B3" t="s">
        <v>27</v>
      </c>
      <c r="C3" t="s">
        <v>29</v>
      </c>
      <c r="D3" t="s">
        <v>15</v>
      </c>
    </row>
    <row r="4" spans="1:168" x14ac:dyDescent="0.3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35">
      <c r="B5">
        <v>6</v>
      </c>
      <c r="C5">
        <v>0.5</v>
      </c>
      <c r="D5" t="s">
        <v>35</v>
      </c>
      <c r="E5">
        <v>2</v>
      </c>
    </row>
    <row r="6" spans="1:168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35">
      <c r="B7">
        <v>0</v>
      </c>
      <c r="C7">
        <v>1</v>
      </c>
      <c r="D7">
        <v>0</v>
      </c>
      <c r="E7">
        <v>0</v>
      </c>
    </row>
    <row r="8" spans="1:168" x14ac:dyDescent="0.3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3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3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3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3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3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3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  <c r="L15" t="s">
        <v>101</v>
      </c>
      <c r="M15" t="s">
        <v>102</v>
      </c>
      <c r="N15" t="s">
        <v>103</v>
      </c>
      <c r="O15" t="s">
        <v>104</v>
      </c>
      <c r="P15" t="s">
        <v>105</v>
      </c>
      <c r="Q15" t="s">
        <v>106</v>
      </c>
      <c r="R15" t="s">
        <v>107</v>
      </c>
      <c r="S15" t="s">
        <v>108</v>
      </c>
      <c r="T15" t="s">
        <v>109</v>
      </c>
      <c r="U15" t="s">
        <v>110</v>
      </c>
      <c r="V15" t="s">
        <v>111</v>
      </c>
      <c r="W15" t="s">
        <v>112</v>
      </c>
      <c r="X15" t="s">
        <v>113</v>
      </c>
      <c r="Y15" t="s">
        <v>114</v>
      </c>
      <c r="Z15" t="s">
        <v>115</v>
      </c>
      <c r="AA15" t="s">
        <v>116</v>
      </c>
      <c r="AB15" t="s">
        <v>117</v>
      </c>
      <c r="AC15" t="s">
        <v>118</v>
      </c>
      <c r="AD15" t="s">
        <v>119</v>
      </c>
      <c r="AE15" t="s">
        <v>120</v>
      </c>
      <c r="AF15" t="s">
        <v>121</v>
      </c>
      <c r="AG15" t="s">
        <v>122</v>
      </c>
      <c r="AH15" t="s">
        <v>123</v>
      </c>
      <c r="AI15" t="s">
        <v>124</v>
      </c>
      <c r="AJ15" t="s">
        <v>125</v>
      </c>
      <c r="AK15" t="s">
        <v>80</v>
      </c>
      <c r="AL15" t="s">
        <v>126</v>
      </c>
      <c r="AM15" t="s">
        <v>127</v>
      </c>
      <c r="AN15" t="s">
        <v>128</v>
      </c>
      <c r="AO15" t="s">
        <v>129</v>
      </c>
      <c r="AP15" t="s">
        <v>130</v>
      </c>
      <c r="AQ15" t="s">
        <v>131</v>
      </c>
      <c r="AR15" t="s">
        <v>132</v>
      </c>
      <c r="AS15" t="s">
        <v>133</v>
      </c>
      <c r="AT15" t="s">
        <v>134</v>
      </c>
      <c r="AU15" t="s">
        <v>135</v>
      </c>
      <c r="AV15" t="s">
        <v>136</v>
      </c>
      <c r="AW15" t="s">
        <v>137</v>
      </c>
      <c r="AX15" t="s">
        <v>138</v>
      </c>
      <c r="AY15" t="s">
        <v>139</v>
      </c>
      <c r="AZ15" t="s">
        <v>140</v>
      </c>
      <c r="BA15" t="s">
        <v>141</v>
      </c>
      <c r="BB15" t="s">
        <v>142</v>
      </c>
      <c r="BC15" t="s">
        <v>143</v>
      </c>
      <c r="BD15" t="s">
        <v>144</v>
      </c>
      <c r="BE15" t="s">
        <v>145</v>
      </c>
      <c r="BF15" t="s">
        <v>146</v>
      </c>
      <c r="BG15" t="s">
        <v>147</v>
      </c>
      <c r="BH15" t="s">
        <v>148</v>
      </c>
      <c r="BI15" t="s">
        <v>149</v>
      </c>
      <c r="BJ15" t="s">
        <v>150</v>
      </c>
      <c r="BK15" t="s">
        <v>151</v>
      </c>
      <c r="BL15" t="s">
        <v>152</v>
      </c>
      <c r="BM15" t="s">
        <v>153</v>
      </c>
      <c r="BN15" t="s">
        <v>154</v>
      </c>
      <c r="BO15" t="s">
        <v>155</v>
      </c>
      <c r="BP15" t="s">
        <v>156</v>
      </c>
      <c r="BQ15" t="s">
        <v>157</v>
      </c>
      <c r="BR15" t="s">
        <v>100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163</v>
      </c>
      <c r="BY15" t="s">
        <v>164</v>
      </c>
      <c r="BZ15" t="s">
        <v>165</v>
      </c>
      <c r="CA15" t="s">
        <v>166</v>
      </c>
      <c r="CB15" t="s">
        <v>167</v>
      </c>
      <c r="CC15" t="s">
        <v>168</v>
      </c>
      <c r="CD15" t="s">
        <v>169</v>
      </c>
      <c r="CE15" t="s">
        <v>170</v>
      </c>
      <c r="CF15" t="s">
        <v>171</v>
      </c>
      <c r="CG15" t="s">
        <v>172</v>
      </c>
      <c r="CH15" t="s">
        <v>173</v>
      </c>
      <c r="CI15" t="s">
        <v>174</v>
      </c>
      <c r="CJ15" t="s">
        <v>175</v>
      </c>
      <c r="CK15" t="s">
        <v>176</v>
      </c>
      <c r="CL15" t="s">
        <v>177</v>
      </c>
      <c r="CM15" t="s">
        <v>178</v>
      </c>
      <c r="CN15" t="s">
        <v>179</v>
      </c>
      <c r="CO15" t="s">
        <v>180</v>
      </c>
      <c r="CP15" t="s">
        <v>181</v>
      </c>
      <c r="CQ15" t="s">
        <v>182</v>
      </c>
      <c r="CR15" t="s">
        <v>183</v>
      </c>
      <c r="CS15" t="s">
        <v>184</v>
      </c>
      <c r="CT15" t="s">
        <v>185</v>
      </c>
      <c r="CU15" t="s">
        <v>186</v>
      </c>
      <c r="CV15" t="s">
        <v>187</v>
      </c>
      <c r="CW15" t="s">
        <v>188</v>
      </c>
      <c r="CX15" t="s">
        <v>189</v>
      </c>
      <c r="CY15" t="s">
        <v>190</v>
      </c>
      <c r="CZ15" t="s">
        <v>191</v>
      </c>
      <c r="DA15" t="s">
        <v>192</v>
      </c>
      <c r="DB15" t="s">
        <v>91</v>
      </c>
      <c r="DC15" t="s">
        <v>94</v>
      </c>
      <c r="DD15" t="s">
        <v>193</v>
      </c>
      <c r="DE15" t="s">
        <v>194</v>
      </c>
      <c r="DF15" t="s">
        <v>195</v>
      </c>
      <c r="DG15" t="s">
        <v>196</v>
      </c>
      <c r="DH15" t="s">
        <v>197</v>
      </c>
      <c r="DI15" t="s">
        <v>198</v>
      </c>
      <c r="DJ15" t="s">
        <v>199</v>
      </c>
      <c r="DK15" t="s">
        <v>200</v>
      </c>
      <c r="DL15" t="s">
        <v>201</v>
      </c>
      <c r="DM15" t="s">
        <v>202</v>
      </c>
      <c r="DN15" t="s">
        <v>203</v>
      </c>
      <c r="DO15" t="s">
        <v>204</v>
      </c>
      <c r="DP15" t="s">
        <v>205</v>
      </c>
      <c r="DQ15" t="s">
        <v>206</v>
      </c>
      <c r="DR15" t="s">
        <v>207</v>
      </c>
      <c r="DS15" t="s">
        <v>208</v>
      </c>
      <c r="DT15" t="s">
        <v>209</v>
      </c>
      <c r="DU15" t="s">
        <v>210</v>
      </c>
      <c r="DV15" t="s">
        <v>211</v>
      </c>
      <c r="DW15" t="s">
        <v>212</v>
      </c>
      <c r="DX15" t="s">
        <v>213</v>
      </c>
      <c r="DY15" t="s">
        <v>214</v>
      </c>
      <c r="DZ15" t="s">
        <v>215</v>
      </c>
      <c r="EA15" t="s">
        <v>216</v>
      </c>
      <c r="EB15" t="s">
        <v>217</v>
      </c>
      <c r="EC15" t="s">
        <v>218</v>
      </c>
      <c r="ED15" t="s">
        <v>219</v>
      </c>
      <c r="EE15" t="s">
        <v>220</v>
      </c>
      <c r="EF15" t="s">
        <v>221</v>
      </c>
      <c r="EG15" t="s">
        <v>222</v>
      </c>
      <c r="EH15" t="s">
        <v>223</v>
      </c>
      <c r="EI15" t="s">
        <v>224</v>
      </c>
      <c r="EJ15" t="s">
        <v>225</v>
      </c>
      <c r="EK15" t="s">
        <v>226</v>
      </c>
      <c r="EL15" t="s">
        <v>227</v>
      </c>
      <c r="EM15" t="s">
        <v>228</v>
      </c>
      <c r="EN15" t="s">
        <v>229</v>
      </c>
      <c r="EO15" t="s">
        <v>230</v>
      </c>
      <c r="EP15" t="s">
        <v>231</v>
      </c>
      <c r="EQ15" t="s">
        <v>232</v>
      </c>
      <c r="ER15" t="s">
        <v>233</v>
      </c>
      <c r="ES15" t="s">
        <v>234</v>
      </c>
      <c r="ET15" t="s">
        <v>235</v>
      </c>
      <c r="EU15" t="s">
        <v>236</v>
      </c>
      <c r="EV15" t="s">
        <v>237</v>
      </c>
      <c r="EW15" t="s">
        <v>238</v>
      </c>
      <c r="EX15" t="s">
        <v>239</v>
      </c>
      <c r="EY15" t="s">
        <v>240</v>
      </c>
      <c r="EZ15" t="s">
        <v>241</v>
      </c>
      <c r="FA15" t="s">
        <v>242</v>
      </c>
      <c r="FB15" t="s">
        <v>243</v>
      </c>
      <c r="FC15" t="s">
        <v>244</v>
      </c>
      <c r="FD15" t="s">
        <v>245</v>
      </c>
      <c r="FE15" t="s">
        <v>246</v>
      </c>
      <c r="FF15" t="s">
        <v>247</v>
      </c>
      <c r="FG15" t="s">
        <v>248</v>
      </c>
      <c r="FH15" t="s">
        <v>249</v>
      </c>
      <c r="FI15" t="s">
        <v>250</v>
      </c>
      <c r="FJ15" t="s">
        <v>251</v>
      </c>
      <c r="FK15" t="s">
        <v>252</v>
      </c>
      <c r="FL15" t="s">
        <v>253</v>
      </c>
    </row>
    <row r="16" spans="1:168" x14ac:dyDescent="0.35">
      <c r="B16" t="s">
        <v>254</v>
      </c>
      <c r="C16" t="s">
        <v>254</v>
      </c>
      <c r="K16" t="s">
        <v>254</v>
      </c>
      <c r="L16" t="s">
        <v>255</v>
      </c>
      <c r="M16" t="s">
        <v>256</v>
      </c>
      <c r="N16" t="s">
        <v>257</v>
      </c>
      <c r="O16" t="s">
        <v>257</v>
      </c>
      <c r="P16" t="s">
        <v>163</v>
      </c>
      <c r="Q16" t="s">
        <v>163</v>
      </c>
      <c r="R16" t="s">
        <v>255</v>
      </c>
      <c r="S16" t="s">
        <v>255</v>
      </c>
      <c r="T16" t="s">
        <v>255</v>
      </c>
      <c r="U16" t="s">
        <v>255</v>
      </c>
      <c r="V16" t="s">
        <v>258</v>
      </c>
      <c r="W16" t="s">
        <v>259</v>
      </c>
      <c r="X16" t="s">
        <v>259</v>
      </c>
      <c r="Y16" t="s">
        <v>260</v>
      </c>
      <c r="Z16" t="s">
        <v>261</v>
      </c>
      <c r="AA16" t="s">
        <v>260</v>
      </c>
      <c r="AB16" t="s">
        <v>260</v>
      </c>
      <c r="AC16" t="s">
        <v>260</v>
      </c>
      <c r="AD16" t="s">
        <v>258</v>
      </c>
      <c r="AE16" t="s">
        <v>258</v>
      </c>
      <c r="AF16" t="s">
        <v>258</v>
      </c>
      <c r="AG16" t="s">
        <v>258</v>
      </c>
      <c r="AK16" t="s">
        <v>262</v>
      </c>
      <c r="AL16" t="s">
        <v>261</v>
      </c>
      <c r="AN16" t="s">
        <v>261</v>
      </c>
      <c r="AO16" t="s">
        <v>262</v>
      </c>
      <c r="AU16" t="s">
        <v>256</v>
      </c>
      <c r="BA16" t="s">
        <v>256</v>
      </c>
      <c r="BB16" t="s">
        <v>256</v>
      </c>
      <c r="BC16" t="s">
        <v>256</v>
      </c>
      <c r="BE16" t="s">
        <v>263</v>
      </c>
      <c r="BN16" t="s">
        <v>256</v>
      </c>
      <c r="BO16" t="s">
        <v>256</v>
      </c>
      <c r="BQ16" t="s">
        <v>264</v>
      </c>
      <c r="BR16" t="s">
        <v>254</v>
      </c>
      <c r="BS16" t="s">
        <v>257</v>
      </c>
      <c r="BT16" t="s">
        <v>257</v>
      </c>
      <c r="BU16" t="s">
        <v>265</v>
      </c>
      <c r="BV16" t="s">
        <v>265</v>
      </c>
      <c r="BW16" t="s">
        <v>262</v>
      </c>
      <c r="BX16" t="s">
        <v>260</v>
      </c>
      <c r="BY16" t="s">
        <v>260</v>
      </c>
      <c r="BZ16" t="s">
        <v>259</v>
      </c>
      <c r="CA16" t="s">
        <v>259</v>
      </c>
      <c r="CB16" t="s">
        <v>259</v>
      </c>
      <c r="CC16" t="s">
        <v>266</v>
      </c>
      <c r="CD16" t="s">
        <v>256</v>
      </c>
      <c r="CE16" t="s">
        <v>256</v>
      </c>
      <c r="CF16" t="s">
        <v>256</v>
      </c>
      <c r="CK16" t="s">
        <v>256</v>
      </c>
      <c r="CN16" t="s">
        <v>259</v>
      </c>
      <c r="CO16" t="s">
        <v>259</v>
      </c>
      <c r="CP16" t="s">
        <v>259</v>
      </c>
      <c r="CQ16" t="s">
        <v>259</v>
      </c>
      <c r="CR16" t="s">
        <v>259</v>
      </c>
      <c r="CS16" t="s">
        <v>256</v>
      </c>
      <c r="CT16" t="s">
        <v>256</v>
      </c>
      <c r="CU16" t="s">
        <v>256</v>
      </c>
      <c r="CV16" t="s">
        <v>254</v>
      </c>
      <c r="CX16" t="s">
        <v>267</v>
      </c>
      <c r="CY16" t="s">
        <v>267</v>
      </c>
      <c r="DA16" t="s">
        <v>254</v>
      </c>
      <c r="DB16" t="s">
        <v>268</v>
      </c>
      <c r="DE16" t="s">
        <v>269</v>
      </c>
      <c r="DF16" t="s">
        <v>270</v>
      </c>
      <c r="DG16" t="s">
        <v>269</v>
      </c>
      <c r="DH16" t="s">
        <v>270</v>
      </c>
      <c r="DI16" t="s">
        <v>261</v>
      </c>
      <c r="DJ16" t="s">
        <v>261</v>
      </c>
      <c r="DK16" t="s">
        <v>256</v>
      </c>
      <c r="DL16" t="s">
        <v>271</v>
      </c>
      <c r="DM16" t="s">
        <v>256</v>
      </c>
      <c r="DO16" t="s">
        <v>257</v>
      </c>
      <c r="DP16" t="s">
        <v>272</v>
      </c>
      <c r="DQ16" t="s">
        <v>257</v>
      </c>
      <c r="DS16" t="s">
        <v>255</v>
      </c>
      <c r="DT16" t="s">
        <v>273</v>
      </c>
      <c r="DU16" t="s">
        <v>255</v>
      </c>
      <c r="DZ16" t="s">
        <v>274</v>
      </c>
      <c r="EA16" t="s">
        <v>274</v>
      </c>
      <c r="EB16" t="s">
        <v>274</v>
      </c>
      <c r="EC16" t="s">
        <v>274</v>
      </c>
      <c r="ED16" t="s">
        <v>274</v>
      </c>
      <c r="EE16" t="s">
        <v>274</v>
      </c>
      <c r="EF16" t="s">
        <v>274</v>
      </c>
      <c r="EG16" t="s">
        <v>274</v>
      </c>
      <c r="EH16" t="s">
        <v>274</v>
      </c>
      <c r="EI16" t="s">
        <v>274</v>
      </c>
      <c r="EJ16" t="s">
        <v>274</v>
      </c>
      <c r="EK16" t="s">
        <v>274</v>
      </c>
      <c r="ER16" t="s">
        <v>274</v>
      </c>
      <c r="ES16" t="s">
        <v>261</v>
      </c>
      <c r="ET16" t="s">
        <v>261</v>
      </c>
      <c r="EU16" t="s">
        <v>269</v>
      </c>
      <c r="EV16" t="s">
        <v>270</v>
      </c>
      <c r="EX16" t="s">
        <v>262</v>
      </c>
      <c r="EY16" t="s">
        <v>262</v>
      </c>
      <c r="EZ16" t="s">
        <v>259</v>
      </c>
      <c r="FA16" t="s">
        <v>259</v>
      </c>
      <c r="FB16" t="s">
        <v>259</v>
      </c>
      <c r="FC16" t="s">
        <v>259</v>
      </c>
      <c r="FD16" t="s">
        <v>259</v>
      </c>
      <c r="FE16" t="s">
        <v>261</v>
      </c>
      <c r="FF16" t="s">
        <v>261</v>
      </c>
      <c r="FG16" t="s">
        <v>261</v>
      </c>
      <c r="FH16" t="s">
        <v>259</v>
      </c>
      <c r="FI16" t="s">
        <v>257</v>
      </c>
      <c r="FJ16" t="s">
        <v>265</v>
      </c>
      <c r="FK16" t="s">
        <v>261</v>
      </c>
      <c r="FL16" t="s">
        <v>261</v>
      </c>
    </row>
    <row r="17" spans="1:168" x14ac:dyDescent="0.35">
      <c r="A17">
        <v>1</v>
      </c>
      <c r="B17">
        <v>1561662037.9000001</v>
      </c>
      <c r="C17">
        <v>0</v>
      </c>
      <c r="D17" t="s">
        <v>275</v>
      </c>
      <c r="E17" t="s">
        <v>276</v>
      </c>
      <c r="F17" t="s">
        <v>277</v>
      </c>
      <c r="G17" t="s">
        <v>278</v>
      </c>
      <c r="H17" t="s">
        <v>277</v>
      </c>
      <c r="J17" t="s">
        <v>277</v>
      </c>
      <c r="K17">
        <v>1561662029.9354801</v>
      </c>
      <c r="L17">
        <f t="shared" ref="L17:L29" si="0">BW17*AM17*(BU17-BV17)/(100*$B$5*(1000-AM17*BU17))</f>
        <v>9.9638882338255706E-3</v>
      </c>
      <c r="M17">
        <f t="shared" ref="M17:M29" si="1">BW17*AM17*(BT17-BS17*(1000-AM17*BV17)/(1000-AM17*BU17))/(100*$B$5)</f>
        <v>36.527645202408351</v>
      </c>
      <c r="N17">
        <f t="shared" ref="N17:N29" si="2">BS17 - IF(AM17&gt;1, M17*$B$5*100/(AO17*CC17), 0)</f>
        <v>351.92280645161298</v>
      </c>
      <c r="O17">
        <f t="shared" ref="O17:O29" si="3">((U17-L17/2)*N17-M17)/(U17+L17/2)</f>
        <v>237.21098851068351</v>
      </c>
      <c r="P17">
        <f t="shared" ref="P17:P29" si="4">O17*(BX17+BY17)/1000</f>
        <v>23.662358063659223</v>
      </c>
      <c r="Q17">
        <f t="shared" ref="Q17:Q29" si="5">(BS17 - IF(AM17&gt;1, M17*$B$5*100/(AO17*CC17), 0))*(BX17+BY17)/1000</f>
        <v>35.105133658893983</v>
      </c>
      <c r="R17">
        <f t="shared" ref="R17:R29" si="6">2/((1/T17-1/S17)+SIGN(T17)*SQRT((1/T17-1/S17)*(1/T17-1/S17) + 4*$C$5/(($C$5+1)*($C$5+1))*(2*1/T17*1/S17-1/S17*1/S17)))</f>
        <v>0.62194547793817023</v>
      </c>
      <c r="S17">
        <f t="shared" ref="S17:S29" si="7">AJ17+AI17*$B$5+AH17*$B$5*$B$5</f>
        <v>2.2553056094319177</v>
      </c>
      <c r="T17">
        <f t="shared" ref="T17:T29" si="8">L17*(1000-(1000*0.61365*EXP(17.502*X17/(240.97+X17))/(BX17+BY17)+BU17)/2)/(1000*0.61365*EXP(17.502*X17/(240.97+X17))/(BX17+BY17)-BU17)</f>
        <v>0.54010227724443283</v>
      </c>
      <c r="U17">
        <f t="shared" ref="U17:U29" si="9">1/(($C$5+1)/(R17/1.6)+1/(S17/1.37)) + $C$5/(($C$5+1)/(R17/1.6) + $C$5/(S17/1.37))</f>
        <v>0.34401579152565137</v>
      </c>
      <c r="V17">
        <f t="shared" ref="V17:V29" si="10">(BO17*BQ17)</f>
        <v>353.34023611402324</v>
      </c>
      <c r="W17">
        <f t="shared" ref="W17:W29" si="11">(BZ17+(V17+2*0.95*0.0000000567*(((BZ17+$B$7)+273)^4-(BZ17+273)^4)-44100*L17)/(1.84*29.3*S17+8*0.95*0.0000000567*(BZ17+273)^3))</f>
        <v>26.065688422616876</v>
      </c>
      <c r="X17">
        <f t="shared" ref="X17:X29" si="12">($C$7*CA17+$D$7*CB17+$E$7*W17)</f>
        <v>27.667593548387099</v>
      </c>
      <c r="Y17">
        <f t="shared" ref="Y17:Y29" si="13">0.61365*EXP(17.502*X17/(240.97+X17))</f>
        <v>3.7219213693902633</v>
      </c>
      <c r="Z17">
        <f t="shared" ref="Z17:Z29" si="14">(AA17/AB17*100)</f>
        <v>54.953720637181902</v>
      </c>
      <c r="AA17">
        <f t="shared" ref="AA17:AA29" si="15">BU17*(BX17+BY17)/1000</f>
        <v>1.9338438318901263</v>
      </c>
      <c r="AB17">
        <f t="shared" ref="AB17:AB29" si="16">0.61365*EXP(17.502*BZ17/(240.97+BZ17))</f>
        <v>3.5190407664257042</v>
      </c>
      <c r="AC17">
        <f t="shared" ref="AC17:AC29" si="17">(Y17-BU17*(BX17+BY17)/1000)</f>
        <v>1.788077537500137</v>
      </c>
      <c r="AD17">
        <f t="shared" ref="AD17:AD29" si="18">(-L17*44100)</f>
        <v>-439.40747111170765</v>
      </c>
      <c r="AE17">
        <f t="shared" ref="AE17:AE29" si="19">2*29.3*S17*0.92*(BZ17-X17)</f>
        <v>-116.20207823966297</v>
      </c>
      <c r="AF17">
        <f t="shared" ref="AF17:AF29" si="20">2*0.95*0.0000000567*(((BZ17+$B$7)+273)^4-(X17+273)^4)</f>
        <v>-11.140593963504859</v>
      </c>
      <c r="AG17">
        <f t="shared" ref="AG17:AG29" si="21">V17+AF17+AD17+AE17</f>
        <v>-213.40990720085222</v>
      </c>
      <c r="AH17">
        <v>-4.1326734576413698E-2</v>
      </c>
      <c r="AI17">
        <v>4.6392879982816798E-2</v>
      </c>
      <c r="AJ17">
        <v>3.4647107742859098</v>
      </c>
      <c r="AK17">
        <v>0</v>
      </c>
      <c r="AL17">
        <v>0</v>
      </c>
      <c r="AM17">
        <f t="shared" ref="AM17:AM29" si="22">IF(AK17*$H$13&gt;=AO17,1,(AO17/(AO17-AK17*$H$13)))</f>
        <v>1</v>
      </c>
      <c r="AN17">
        <f t="shared" ref="AN17:AN29" si="23">(AM17-1)*100</f>
        <v>0</v>
      </c>
      <c r="AO17">
        <f t="shared" ref="AO17:AO29" si="24">MAX(0,($B$13+$C$13*CC17)/(1+$D$13*CC17)*BX17/(BZ17+273)*$E$13)</f>
        <v>52748.607109463919</v>
      </c>
      <c r="AP17" t="s">
        <v>279</v>
      </c>
      <c r="AQ17">
        <v>585.08461538461495</v>
      </c>
      <c r="AR17">
        <v>3491.65</v>
      </c>
      <c r="AS17">
        <f t="shared" ref="AS17:AS29" si="25">AR17-AQ17</f>
        <v>2906.565384615385</v>
      </c>
      <c r="AT17">
        <f t="shared" ref="AT17:AT29" si="26">AS17/AR17</f>
        <v>0.83243320052564973</v>
      </c>
      <c r="AU17">
        <v>-24.085636743186001</v>
      </c>
      <c r="AV17" t="s">
        <v>280</v>
      </c>
      <c r="AW17">
        <v>832.45249999999999</v>
      </c>
      <c r="AX17">
        <v>1262.8699999999999</v>
      </c>
      <c r="AY17">
        <f t="shared" ref="AY17:AY29" si="27">1-AW17/AX17</f>
        <v>0.34082486716764193</v>
      </c>
      <c r="AZ17">
        <v>0.5</v>
      </c>
      <c r="BA17">
        <f t="shared" ref="BA17:BA29" si="28">BO17</f>
        <v>1849.1849032527759</v>
      </c>
      <c r="BB17">
        <f t="shared" ref="BB17:BB29" si="29">M17</f>
        <v>36.527645202408351</v>
      </c>
      <c r="BC17">
        <f t="shared" ref="BC17:BC29" si="30">AY17*AZ17*BA17</f>
        <v>315.12409950976809</v>
      </c>
      <c r="BD17">
        <f t="shared" ref="BD17:BD29" si="31">BI17/AX17</f>
        <v>0.55450679800771252</v>
      </c>
      <c r="BE17">
        <f t="shared" ref="BE17:BE29" si="32">(BB17-AU17)/BA17</f>
        <v>3.2778378105387751E-2</v>
      </c>
      <c r="BF17">
        <f t="shared" ref="BF17:BF29" si="33">(AR17-AX17)/AX17</f>
        <v>1.7648530727628342</v>
      </c>
      <c r="BG17" t="s">
        <v>281</v>
      </c>
      <c r="BH17">
        <v>562.6</v>
      </c>
      <c r="BI17">
        <f t="shared" ref="BI17:BI29" si="34">AX17-BH17</f>
        <v>700.26999999999987</v>
      </c>
      <c r="BJ17">
        <f t="shared" ref="BJ17:BJ29" si="35">(AX17-AW17)/(AX17-BH17)</f>
        <v>0.6146450654747454</v>
      </c>
      <c r="BK17">
        <f t="shared" ref="BK17:BK29" si="36">(AR17-AX17)/(AR17-BH17)</f>
        <v>0.76092248339905433</v>
      </c>
      <c r="BL17">
        <f t="shared" ref="BL17:BL29" si="37">(AX17-AW17)/(AX17-AQ17)</f>
        <v>0.63503508598705471</v>
      </c>
      <c r="BM17">
        <f t="shared" ref="BM17:BM29" si="38">(AR17-AX17)/(AR17-AQ17)</f>
        <v>0.76680882934788219</v>
      </c>
      <c r="BN17">
        <f t="shared" ref="BN17:BN29" si="39">$B$11*CD17+$C$11*CE17+$F$11*CF17</f>
        <v>2199.99774193548</v>
      </c>
      <c r="BO17">
        <f t="shared" ref="BO17:BO29" si="40">BN17*BP17</f>
        <v>1849.1849032527759</v>
      </c>
      <c r="BP17">
        <f t="shared" ref="BP17:BP29" si="41">($B$11*$D$9+$C$11*$D$9+$F$11*((CS17+CK17)/MAX(CS17+CK17+CT17, 0.1)*$I$9+CT17/MAX(CS17+CK17+CT17, 0.1)*$J$9))/($B$11+$C$11+$F$11)</f>
        <v>0.84053945511140782</v>
      </c>
      <c r="BQ17">
        <f t="shared" ref="BQ17:BQ29" si="42">($B$11*$K$9+$C$11*$K$9+$F$11*((CS17+CK17)/MAX(CS17+CK17+CT17, 0.1)*$P$9+CT17/MAX(CS17+CK17+CT17, 0.1)*$Q$9))/($B$11+$C$11+$F$11)</f>
        <v>0.19107891022281567</v>
      </c>
      <c r="BR17">
        <v>1561662029.9354801</v>
      </c>
      <c r="BS17">
        <v>351.92280645161298</v>
      </c>
      <c r="BT17">
        <v>399.96090322580602</v>
      </c>
      <c r="BU17">
        <v>19.3864451612903</v>
      </c>
      <c r="BV17">
        <v>7.6622845161290298</v>
      </c>
      <c r="BW17">
        <v>500.03019354838699</v>
      </c>
      <c r="BX17">
        <v>99.652370967741902</v>
      </c>
      <c r="BY17">
        <v>9.9998061290322598E-2</v>
      </c>
      <c r="BZ17">
        <v>26.7118903225807</v>
      </c>
      <c r="CA17">
        <v>27.667593548387099</v>
      </c>
      <c r="CB17">
        <v>999.9</v>
      </c>
      <c r="CC17">
        <v>10000.9090322581</v>
      </c>
      <c r="CD17">
        <v>0</v>
      </c>
      <c r="CE17">
        <v>191.15690322580599</v>
      </c>
      <c r="CF17">
        <v>2199.99774193548</v>
      </c>
      <c r="CG17">
        <v>0.98200200000000004</v>
      </c>
      <c r="CH17">
        <v>1.7998299999999998E-2</v>
      </c>
      <c r="CI17">
        <v>0</v>
      </c>
      <c r="CJ17">
        <v>832.50083870967705</v>
      </c>
      <c r="CK17">
        <v>1.9999499999999999</v>
      </c>
      <c r="CL17">
        <v>18955.364516129001</v>
      </c>
      <c r="CM17">
        <v>17938.2419354839</v>
      </c>
      <c r="CN17">
        <v>48.646999999999998</v>
      </c>
      <c r="CO17">
        <v>49.25</v>
      </c>
      <c r="CP17">
        <v>48.804000000000002</v>
      </c>
      <c r="CQ17">
        <v>48.378935483870997</v>
      </c>
      <c r="CR17">
        <v>49.725612903225802</v>
      </c>
      <c r="CS17">
        <v>2158.4377419354801</v>
      </c>
      <c r="CT17">
        <v>39.56</v>
      </c>
      <c r="CU17">
        <v>0</v>
      </c>
      <c r="CV17">
        <v>1658.4000000953699</v>
      </c>
      <c r="CW17">
        <v>832.45249999999999</v>
      </c>
      <c r="CX17">
        <v>-0.76926492470794505</v>
      </c>
      <c r="CY17">
        <v>6.2564102674161903</v>
      </c>
      <c r="CZ17">
        <v>18955.438461538499</v>
      </c>
      <c r="DA17">
        <v>15</v>
      </c>
      <c r="DB17">
        <v>1561661973.4000001</v>
      </c>
      <c r="DC17" t="s">
        <v>282</v>
      </c>
      <c r="DD17">
        <v>83</v>
      </c>
      <c r="DE17">
        <v>0.48599999999999999</v>
      </c>
      <c r="DF17">
        <v>9.8000000000000004E-2</v>
      </c>
      <c r="DG17">
        <v>400</v>
      </c>
      <c r="DH17">
        <v>15</v>
      </c>
      <c r="DI17">
        <v>7.0000000000000007E-2</v>
      </c>
      <c r="DJ17">
        <v>0.01</v>
      </c>
      <c r="DK17">
        <v>36.616326143558503</v>
      </c>
      <c r="DL17">
        <v>-0.42971000270743098</v>
      </c>
      <c r="DM17">
        <v>9.2987572723861697E-2</v>
      </c>
      <c r="DN17">
        <v>0</v>
      </c>
      <c r="DO17">
        <v>351.78626027397303</v>
      </c>
      <c r="DP17">
        <v>0.76935710794760903</v>
      </c>
      <c r="DQ17">
        <v>0.13587323134887899</v>
      </c>
      <c r="DR17">
        <v>1</v>
      </c>
      <c r="DS17">
        <v>0.63360759450533299</v>
      </c>
      <c r="DT17">
        <v>-5.2739579433946297E-2</v>
      </c>
      <c r="DU17">
        <v>1.0330633787641499E-2</v>
      </c>
      <c r="DV17">
        <v>1</v>
      </c>
      <c r="DW17">
        <v>2</v>
      </c>
      <c r="DX17">
        <v>3</v>
      </c>
      <c r="DY17" t="s">
        <v>283</v>
      </c>
      <c r="DZ17">
        <v>1.8670599999999999</v>
      </c>
      <c r="EA17">
        <v>1.8635600000000001</v>
      </c>
      <c r="EB17">
        <v>1.8691599999999999</v>
      </c>
      <c r="EC17">
        <v>1.86707</v>
      </c>
      <c r="ED17">
        <v>1.8717999999999999</v>
      </c>
      <c r="EE17">
        <v>1.8641700000000001</v>
      </c>
      <c r="EF17">
        <v>1.86558</v>
      </c>
      <c r="EG17">
        <v>1.86554</v>
      </c>
      <c r="EH17" t="s">
        <v>284</v>
      </c>
      <c r="EI17" t="s">
        <v>19</v>
      </c>
      <c r="EJ17" t="s">
        <v>19</v>
      </c>
      <c r="EK17" t="s">
        <v>19</v>
      </c>
      <c r="EL17" t="s">
        <v>285</v>
      </c>
      <c r="EM17" t="s">
        <v>286</v>
      </c>
      <c r="EN17" t="s">
        <v>287</v>
      </c>
      <c r="EO17" t="s">
        <v>287</v>
      </c>
      <c r="EP17" t="s">
        <v>287</v>
      </c>
      <c r="EQ17" t="s">
        <v>287</v>
      </c>
      <c r="ER17">
        <v>0</v>
      </c>
      <c r="ES17">
        <v>100</v>
      </c>
      <c r="ET17">
        <v>100</v>
      </c>
      <c r="EU17">
        <v>0.48599999999999999</v>
      </c>
      <c r="EV17">
        <v>9.8000000000000004E-2</v>
      </c>
      <c r="EW17">
        <v>2</v>
      </c>
      <c r="EX17">
        <v>511.19499999999999</v>
      </c>
      <c r="EY17">
        <v>440.34199999999998</v>
      </c>
      <c r="EZ17">
        <v>19.084</v>
      </c>
      <c r="FA17">
        <v>38.186399999999999</v>
      </c>
      <c r="FB17">
        <v>29.999199999999998</v>
      </c>
      <c r="FC17">
        <v>38.1858</v>
      </c>
      <c r="FD17">
        <v>38.159100000000002</v>
      </c>
      <c r="FE17">
        <v>22.169899999999998</v>
      </c>
      <c r="FF17">
        <v>79.363299999999995</v>
      </c>
      <c r="FG17">
        <v>0</v>
      </c>
      <c r="FH17">
        <v>17.403600000000001</v>
      </c>
      <c r="FI17">
        <v>400</v>
      </c>
      <c r="FJ17">
        <v>7.6559699999999999</v>
      </c>
      <c r="FK17">
        <v>99.939700000000002</v>
      </c>
      <c r="FL17">
        <v>100.197</v>
      </c>
    </row>
    <row r="18" spans="1:168" x14ac:dyDescent="0.35">
      <c r="A18">
        <v>2</v>
      </c>
      <c r="B18">
        <v>1561662178.5</v>
      </c>
      <c r="C18">
        <v>140.59999990463299</v>
      </c>
      <c r="D18" t="s">
        <v>288</v>
      </c>
      <c r="E18" t="s">
        <v>289</v>
      </c>
      <c r="F18" t="s">
        <v>277</v>
      </c>
      <c r="G18" t="s">
        <v>278</v>
      </c>
      <c r="H18" t="s">
        <v>277</v>
      </c>
      <c r="J18" t="s">
        <v>277</v>
      </c>
      <c r="K18">
        <v>1561662170.4419401</v>
      </c>
      <c r="L18">
        <f t="shared" si="0"/>
        <v>8.5935051248246415E-3</v>
      </c>
      <c r="M18">
        <f t="shared" si="1"/>
        <v>25.74348944232964</v>
      </c>
      <c r="N18">
        <f t="shared" si="2"/>
        <v>266.33474193548398</v>
      </c>
      <c r="O18">
        <f t="shared" si="3"/>
        <v>170.61097451446796</v>
      </c>
      <c r="P18">
        <f t="shared" si="4"/>
        <v>17.017962156140733</v>
      </c>
      <c r="Q18">
        <f t="shared" si="5"/>
        <v>26.566137213753603</v>
      </c>
      <c r="R18">
        <f t="shared" si="6"/>
        <v>0.5110726595538988</v>
      </c>
      <c r="S18">
        <f t="shared" si="7"/>
        <v>2.2542435017200777</v>
      </c>
      <c r="T18">
        <f t="shared" si="8"/>
        <v>0.45436747575054937</v>
      </c>
      <c r="U18">
        <f t="shared" si="9"/>
        <v>0.2885483700995341</v>
      </c>
      <c r="V18">
        <f t="shared" si="10"/>
        <v>353.34058395855874</v>
      </c>
      <c r="W18">
        <f t="shared" si="11"/>
        <v>26.449801946748064</v>
      </c>
      <c r="X18">
        <f t="shared" si="12"/>
        <v>27.749700000000001</v>
      </c>
      <c r="Y18">
        <f t="shared" si="13"/>
        <v>3.739817984273039</v>
      </c>
      <c r="Z18">
        <f t="shared" si="14"/>
        <v>54.404217878894237</v>
      </c>
      <c r="AA18">
        <f t="shared" si="15"/>
        <v>1.906684560941059</v>
      </c>
      <c r="AB18">
        <f t="shared" si="16"/>
        <v>3.5046631222332945</v>
      </c>
      <c r="AC18">
        <f t="shared" si="17"/>
        <v>1.83313342333198</v>
      </c>
      <c r="AD18">
        <f t="shared" si="18"/>
        <v>-378.9735760047667</v>
      </c>
      <c r="AE18">
        <f t="shared" si="19"/>
        <v>-134.57690841496483</v>
      </c>
      <c r="AF18">
        <f t="shared" si="20"/>
        <v>-12.909137341986156</v>
      </c>
      <c r="AG18">
        <f t="shared" si="21"/>
        <v>-173.11903780315893</v>
      </c>
      <c r="AH18">
        <v>-4.1298086083201499E-2</v>
      </c>
      <c r="AI18">
        <v>4.63607195394403E-2</v>
      </c>
      <c r="AJ18">
        <v>3.46281028347869</v>
      </c>
      <c r="AK18">
        <v>0</v>
      </c>
      <c r="AL18">
        <v>0</v>
      </c>
      <c r="AM18">
        <f t="shared" si="22"/>
        <v>1</v>
      </c>
      <c r="AN18">
        <f t="shared" si="23"/>
        <v>0</v>
      </c>
      <c r="AO18">
        <f t="shared" si="24"/>
        <v>52725.653363806741</v>
      </c>
      <c r="AP18" t="s">
        <v>279</v>
      </c>
      <c r="AQ18">
        <v>585.08461538461495</v>
      </c>
      <c r="AR18">
        <v>3491.65</v>
      </c>
      <c r="AS18">
        <f t="shared" si="25"/>
        <v>2906.565384615385</v>
      </c>
      <c r="AT18">
        <f t="shared" si="26"/>
        <v>0.83243320052564973</v>
      </c>
      <c r="AU18">
        <v>-24.085636743186001</v>
      </c>
      <c r="AV18" t="s">
        <v>290</v>
      </c>
      <c r="AW18">
        <v>771.15107692307697</v>
      </c>
      <c r="AX18">
        <v>1111.44</v>
      </c>
      <c r="AY18">
        <f t="shared" si="27"/>
        <v>0.30616940462546161</v>
      </c>
      <c r="AZ18">
        <v>0.5</v>
      </c>
      <c r="BA18">
        <f t="shared" si="28"/>
        <v>1849.1816804980438</v>
      </c>
      <c r="BB18">
        <f t="shared" si="29"/>
        <v>25.74348944232964</v>
      </c>
      <c r="BC18">
        <f t="shared" si="30"/>
        <v>283.08142708119829</v>
      </c>
      <c r="BD18">
        <f t="shared" si="31"/>
        <v>0.49866839415532999</v>
      </c>
      <c r="BE18">
        <f t="shared" si="32"/>
        <v>2.6946582215812923E-2</v>
      </c>
      <c r="BF18">
        <f t="shared" si="33"/>
        <v>2.1415550996904917</v>
      </c>
      <c r="BG18" t="s">
        <v>291</v>
      </c>
      <c r="BH18">
        <v>557.20000000000005</v>
      </c>
      <c r="BI18">
        <f t="shared" si="34"/>
        <v>554.24</v>
      </c>
      <c r="BJ18">
        <f t="shared" si="35"/>
        <v>0.61397395185645764</v>
      </c>
      <c r="BK18">
        <f t="shared" si="36"/>
        <v>0.81112644618241925</v>
      </c>
      <c r="BL18">
        <f t="shared" si="37"/>
        <v>0.64650031712998768</v>
      </c>
      <c r="BM18">
        <f t="shared" si="38"/>
        <v>0.81890812179852768</v>
      </c>
      <c r="BN18">
        <f t="shared" si="39"/>
        <v>2199.99322580645</v>
      </c>
      <c r="BO18">
        <f t="shared" si="40"/>
        <v>1849.1816804980438</v>
      </c>
      <c r="BP18">
        <f t="shared" si="41"/>
        <v>0.8405397156712564</v>
      </c>
      <c r="BQ18">
        <f t="shared" si="42"/>
        <v>0.19107943134251298</v>
      </c>
      <c r="BR18">
        <v>1561662170.4419401</v>
      </c>
      <c r="BS18">
        <v>266.33474193548398</v>
      </c>
      <c r="BT18">
        <v>299.97103225806501</v>
      </c>
      <c r="BU18">
        <v>19.115174193548398</v>
      </c>
      <c r="BV18">
        <v>9.0008080645161304</v>
      </c>
      <c r="BW18">
        <v>500.03561290322602</v>
      </c>
      <c r="BX18">
        <v>99.647148387096806</v>
      </c>
      <c r="BY18">
        <v>0.100023238709677</v>
      </c>
      <c r="BZ18">
        <v>26.642351612903202</v>
      </c>
      <c r="CA18">
        <v>27.749700000000001</v>
      </c>
      <c r="CB18">
        <v>999.9</v>
      </c>
      <c r="CC18">
        <v>9994.5</v>
      </c>
      <c r="CD18">
        <v>0</v>
      </c>
      <c r="CE18">
        <v>185.617548387097</v>
      </c>
      <c r="CF18">
        <v>2199.99322580645</v>
      </c>
      <c r="CG18">
        <v>0.98199361290322595</v>
      </c>
      <c r="CH18">
        <v>1.8006406451612899E-2</v>
      </c>
      <c r="CI18">
        <v>0</v>
      </c>
      <c r="CJ18">
        <v>771.15270967741901</v>
      </c>
      <c r="CK18">
        <v>1.9999499999999999</v>
      </c>
      <c r="CL18">
        <v>17606.945161290299</v>
      </c>
      <c r="CM18">
        <v>17938.158064516101</v>
      </c>
      <c r="CN18">
        <v>49.134935483870997</v>
      </c>
      <c r="CO18">
        <v>49.518000000000001</v>
      </c>
      <c r="CP18">
        <v>48.977516129032203</v>
      </c>
      <c r="CQ18">
        <v>48.876741935483899</v>
      </c>
      <c r="CR18">
        <v>50.149000000000001</v>
      </c>
      <c r="CS18">
        <v>2158.4145161290298</v>
      </c>
      <c r="CT18">
        <v>39.579032258064501</v>
      </c>
      <c r="CU18">
        <v>0</v>
      </c>
      <c r="CV18">
        <v>139.799999952316</v>
      </c>
      <c r="CW18">
        <v>771.15107692307697</v>
      </c>
      <c r="CX18">
        <v>-3.32984614045579</v>
      </c>
      <c r="CY18">
        <v>-28.553846114535101</v>
      </c>
      <c r="CZ18">
        <v>17606.769230769201</v>
      </c>
      <c r="DA18">
        <v>15</v>
      </c>
      <c r="DB18">
        <v>1561662120.4000001</v>
      </c>
      <c r="DC18" t="s">
        <v>292</v>
      </c>
      <c r="DD18">
        <v>84</v>
      </c>
      <c r="DE18">
        <v>0.36</v>
      </c>
      <c r="DF18">
        <v>2.1000000000000001E-2</v>
      </c>
      <c r="DG18">
        <v>300</v>
      </c>
      <c r="DH18">
        <v>8</v>
      </c>
      <c r="DI18">
        <v>0.06</v>
      </c>
      <c r="DJ18">
        <v>0.01</v>
      </c>
      <c r="DK18">
        <v>25.8889363824984</v>
      </c>
      <c r="DL18">
        <v>-0.74039462761111996</v>
      </c>
      <c r="DM18">
        <v>0.14713686246742699</v>
      </c>
      <c r="DN18">
        <v>0</v>
      </c>
      <c r="DO18">
        <v>266.164438356164</v>
      </c>
      <c r="DP18">
        <v>0.99272889112680995</v>
      </c>
      <c r="DQ18">
        <v>0.175007630855264</v>
      </c>
      <c r="DR18">
        <v>1</v>
      </c>
      <c r="DS18">
        <v>0.52155646602544403</v>
      </c>
      <c r="DT18">
        <v>-4.3373337720177499E-2</v>
      </c>
      <c r="DU18">
        <v>8.6957085376796802E-3</v>
      </c>
      <c r="DV18">
        <v>1</v>
      </c>
      <c r="DW18">
        <v>2</v>
      </c>
      <c r="DX18">
        <v>3</v>
      </c>
      <c r="DY18" t="s">
        <v>283</v>
      </c>
      <c r="DZ18">
        <v>1.86707</v>
      </c>
      <c r="EA18">
        <v>1.8635600000000001</v>
      </c>
      <c r="EB18">
        <v>1.8691899999999999</v>
      </c>
      <c r="EC18">
        <v>1.8670899999999999</v>
      </c>
      <c r="ED18">
        <v>1.8717999999999999</v>
      </c>
      <c r="EE18">
        <v>1.8641700000000001</v>
      </c>
      <c r="EF18">
        <v>1.86555</v>
      </c>
      <c r="EG18">
        <v>1.86555</v>
      </c>
      <c r="EH18" t="s">
        <v>284</v>
      </c>
      <c r="EI18" t="s">
        <v>19</v>
      </c>
      <c r="EJ18" t="s">
        <v>19</v>
      </c>
      <c r="EK18" t="s">
        <v>19</v>
      </c>
      <c r="EL18" t="s">
        <v>285</v>
      </c>
      <c r="EM18" t="s">
        <v>286</v>
      </c>
      <c r="EN18" t="s">
        <v>287</v>
      </c>
      <c r="EO18" t="s">
        <v>287</v>
      </c>
      <c r="EP18" t="s">
        <v>287</v>
      </c>
      <c r="EQ18" t="s">
        <v>287</v>
      </c>
      <c r="ER18">
        <v>0</v>
      </c>
      <c r="ES18">
        <v>100</v>
      </c>
      <c r="ET18">
        <v>100</v>
      </c>
      <c r="EU18">
        <v>0.36</v>
      </c>
      <c r="EV18">
        <v>2.1000000000000001E-2</v>
      </c>
      <c r="EW18">
        <v>2</v>
      </c>
      <c r="EX18">
        <v>510.44099999999997</v>
      </c>
      <c r="EY18">
        <v>441.149</v>
      </c>
      <c r="EZ18">
        <v>19.008199999999999</v>
      </c>
      <c r="FA18">
        <v>37.987900000000003</v>
      </c>
      <c r="FB18">
        <v>29.999600000000001</v>
      </c>
      <c r="FC18">
        <v>38.008400000000002</v>
      </c>
      <c r="FD18">
        <v>37.988100000000003</v>
      </c>
      <c r="FE18">
        <v>17.6831</v>
      </c>
      <c r="FF18">
        <v>76.179599999999994</v>
      </c>
      <c r="FG18">
        <v>0</v>
      </c>
      <c r="FH18">
        <v>17.1938</v>
      </c>
      <c r="FI18">
        <v>300</v>
      </c>
      <c r="FJ18">
        <v>9.1796699999999998</v>
      </c>
      <c r="FK18">
        <v>99.976399999999998</v>
      </c>
      <c r="FL18">
        <v>100.242</v>
      </c>
    </row>
    <row r="19" spans="1:168" x14ac:dyDescent="0.35">
      <c r="A19">
        <v>3</v>
      </c>
      <c r="B19">
        <v>1561662309</v>
      </c>
      <c r="C19">
        <v>271.09999990463302</v>
      </c>
      <c r="D19" t="s">
        <v>293</v>
      </c>
      <c r="E19" t="s">
        <v>294</v>
      </c>
      <c r="F19" t="s">
        <v>277</v>
      </c>
      <c r="G19" t="s">
        <v>278</v>
      </c>
      <c r="H19" t="s">
        <v>277</v>
      </c>
      <c r="J19" t="s">
        <v>277</v>
      </c>
      <c r="K19">
        <v>1561662301</v>
      </c>
      <c r="L19">
        <f t="shared" si="0"/>
        <v>8.4643090883294286E-3</v>
      </c>
      <c r="M19">
        <f t="shared" si="1"/>
        <v>15.713475451215247</v>
      </c>
      <c r="N19">
        <f t="shared" si="2"/>
        <v>179.322483870968</v>
      </c>
      <c r="O19">
        <f t="shared" si="3"/>
        <v>119.81926585347169</v>
      </c>
      <c r="P19">
        <f t="shared" si="4"/>
        <v>11.950854762281182</v>
      </c>
      <c r="Q19">
        <f t="shared" si="5"/>
        <v>17.88574604499928</v>
      </c>
      <c r="R19">
        <f t="shared" si="6"/>
        <v>0.50480369638590217</v>
      </c>
      <c r="S19">
        <f t="shared" si="7"/>
        <v>2.2550233334400929</v>
      </c>
      <c r="T19">
        <f t="shared" si="8"/>
        <v>0.44941754153843722</v>
      </c>
      <c r="U19">
        <f t="shared" si="9"/>
        <v>0.28535413936214793</v>
      </c>
      <c r="V19">
        <f t="shared" si="10"/>
        <v>353.33779965467755</v>
      </c>
      <c r="W19">
        <f t="shared" si="11"/>
        <v>26.563149189590145</v>
      </c>
      <c r="X19">
        <f t="shared" si="12"/>
        <v>27.878922580645199</v>
      </c>
      <c r="Y19">
        <f t="shared" si="13"/>
        <v>3.768136522903565</v>
      </c>
      <c r="Z19">
        <f t="shared" si="14"/>
        <v>55.22241550290159</v>
      </c>
      <c r="AA19">
        <f t="shared" si="15"/>
        <v>1.9434107453846139</v>
      </c>
      <c r="AB19">
        <f t="shared" si="16"/>
        <v>3.5192425533839602</v>
      </c>
      <c r="AC19">
        <f t="shared" si="17"/>
        <v>1.8247257775189512</v>
      </c>
      <c r="AD19">
        <f t="shared" si="18"/>
        <v>-373.27603079532781</v>
      </c>
      <c r="AE19">
        <f t="shared" si="19"/>
        <v>-141.76096479938187</v>
      </c>
      <c r="AF19">
        <f t="shared" si="20"/>
        <v>-13.607133488990705</v>
      </c>
      <c r="AG19">
        <f t="shared" si="21"/>
        <v>-175.30632942902284</v>
      </c>
      <c r="AH19">
        <v>-4.1319119478714701E-2</v>
      </c>
      <c r="AI19">
        <v>4.6384331368530402E-2</v>
      </c>
      <c r="AJ19">
        <v>3.4642056464626401</v>
      </c>
      <c r="AK19">
        <v>0</v>
      </c>
      <c r="AL19">
        <v>0</v>
      </c>
      <c r="AM19">
        <f t="shared" si="22"/>
        <v>1</v>
      </c>
      <c r="AN19">
        <f t="shared" si="23"/>
        <v>0</v>
      </c>
      <c r="AO19">
        <f t="shared" si="24"/>
        <v>52738.859837189179</v>
      </c>
      <c r="AP19" t="s">
        <v>279</v>
      </c>
      <c r="AQ19">
        <v>585.08461538461495</v>
      </c>
      <c r="AR19">
        <v>3491.65</v>
      </c>
      <c r="AS19">
        <f t="shared" si="25"/>
        <v>2906.565384615385</v>
      </c>
      <c r="AT19">
        <f t="shared" si="26"/>
        <v>0.83243320052564973</v>
      </c>
      <c r="AU19">
        <v>-24.085636743186001</v>
      </c>
      <c r="AV19" t="s">
        <v>295</v>
      </c>
      <c r="AW19">
        <v>738.16188461538502</v>
      </c>
      <c r="AX19">
        <v>998.904</v>
      </c>
      <c r="AY19">
        <f t="shared" si="27"/>
        <v>0.26102820229432955</v>
      </c>
      <c r="AZ19">
        <v>0.5</v>
      </c>
      <c r="BA19">
        <f t="shared" si="28"/>
        <v>1849.1689937494348</v>
      </c>
      <c r="BB19">
        <f t="shared" si="29"/>
        <v>15.713475451215247</v>
      </c>
      <c r="BC19">
        <f t="shared" si="30"/>
        <v>241.34262908841464</v>
      </c>
      <c r="BD19">
        <f t="shared" si="31"/>
        <v>0.44479149147465619</v>
      </c>
      <c r="BE19">
        <f t="shared" si="32"/>
        <v>2.1522701456129913E-2</v>
      </c>
      <c r="BF19">
        <f t="shared" si="33"/>
        <v>2.4954810472277615</v>
      </c>
      <c r="BG19" t="s">
        <v>296</v>
      </c>
      <c r="BH19">
        <v>554.6</v>
      </c>
      <c r="BI19">
        <f t="shared" si="34"/>
        <v>444.30399999999997</v>
      </c>
      <c r="BJ19">
        <f t="shared" si="35"/>
        <v>0.5868552058604356</v>
      </c>
      <c r="BK19">
        <f t="shared" si="36"/>
        <v>0.84872440033366814</v>
      </c>
      <c r="BL19">
        <f t="shared" si="37"/>
        <v>0.63008676025884036</v>
      </c>
      <c r="BM19">
        <f t="shared" si="38"/>
        <v>0.85762598467395423</v>
      </c>
      <c r="BN19">
        <f t="shared" si="39"/>
        <v>2199.9783870967699</v>
      </c>
      <c r="BO19">
        <f t="shared" si="40"/>
        <v>1849.1689937494348</v>
      </c>
      <c r="BP19">
        <f t="shared" si="41"/>
        <v>0.84053961829584822</v>
      </c>
      <c r="BQ19">
        <f t="shared" si="42"/>
        <v>0.19107923659169648</v>
      </c>
      <c r="BR19">
        <v>1561662301</v>
      </c>
      <c r="BS19">
        <v>179.322483870968</v>
      </c>
      <c r="BT19">
        <v>199.99887096774199</v>
      </c>
      <c r="BU19">
        <v>19.484635483870999</v>
      </c>
      <c r="BV19">
        <v>9.5259477419354894</v>
      </c>
      <c r="BW19">
        <v>500.02883870967702</v>
      </c>
      <c r="BX19">
        <v>99.640658064516103</v>
      </c>
      <c r="BY19">
        <v>0.10001950645161301</v>
      </c>
      <c r="BZ19">
        <v>26.712864516128999</v>
      </c>
      <c r="CA19">
        <v>27.878922580645199</v>
      </c>
      <c r="CB19">
        <v>999.9</v>
      </c>
      <c r="CC19">
        <v>10000.241612903201</v>
      </c>
      <c r="CD19">
        <v>0</v>
      </c>
      <c r="CE19">
        <v>197.05193548387101</v>
      </c>
      <c r="CF19">
        <v>2199.9783870967699</v>
      </c>
      <c r="CG19">
        <v>0.98199554838709702</v>
      </c>
      <c r="CH19">
        <v>1.80045096774194E-2</v>
      </c>
      <c r="CI19">
        <v>0</v>
      </c>
      <c r="CJ19">
        <v>738.20341935483896</v>
      </c>
      <c r="CK19">
        <v>1.9999499999999999</v>
      </c>
      <c r="CL19">
        <v>16894.580645161299</v>
      </c>
      <c r="CM19">
        <v>17938.058064516099</v>
      </c>
      <c r="CN19">
        <v>49.388870967741902</v>
      </c>
      <c r="CO19">
        <v>49.606709677419403</v>
      </c>
      <c r="CP19">
        <v>49.042064516129003</v>
      </c>
      <c r="CQ19">
        <v>49.221548387096803</v>
      </c>
      <c r="CR19">
        <v>50.368903225806399</v>
      </c>
      <c r="CS19">
        <v>2158.4064516129001</v>
      </c>
      <c r="CT19">
        <v>39.571612903225798</v>
      </c>
      <c r="CU19">
        <v>0</v>
      </c>
      <c r="CV19">
        <v>130.10000014305101</v>
      </c>
      <c r="CW19">
        <v>738.16188461538502</v>
      </c>
      <c r="CX19">
        <v>-3.1109401791492499</v>
      </c>
      <c r="CY19">
        <v>-65.401709419067004</v>
      </c>
      <c r="CZ19">
        <v>16893.946153846198</v>
      </c>
      <c r="DA19">
        <v>15</v>
      </c>
      <c r="DB19">
        <v>1561662263</v>
      </c>
      <c r="DC19" t="s">
        <v>297</v>
      </c>
      <c r="DD19">
        <v>85</v>
      </c>
      <c r="DE19">
        <v>0.216</v>
      </c>
      <c r="DF19">
        <v>3.9E-2</v>
      </c>
      <c r="DG19">
        <v>200</v>
      </c>
      <c r="DH19">
        <v>10</v>
      </c>
      <c r="DI19">
        <v>0.08</v>
      </c>
      <c r="DJ19">
        <v>0.01</v>
      </c>
      <c r="DK19">
        <v>15.690549757879101</v>
      </c>
      <c r="DL19">
        <v>0.13311504050449199</v>
      </c>
      <c r="DM19">
        <v>0.105863191522386</v>
      </c>
      <c r="DN19">
        <v>1</v>
      </c>
      <c r="DO19">
        <v>179.35156164383599</v>
      </c>
      <c r="DP19">
        <v>-0.139899982812344</v>
      </c>
      <c r="DQ19">
        <v>3.4584811893894098E-2</v>
      </c>
      <c r="DR19">
        <v>1</v>
      </c>
      <c r="DS19">
        <v>0.49662197199320102</v>
      </c>
      <c r="DT19">
        <v>5.6955481226649597E-2</v>
      </c>
      <c r="DU19">
        <v>1.42851008063182E-2</v>
      </c>
      <c r="DV19">
        <v>1</v>
      </c>
      <c r="DW19">
        <v>3</v>
      </c>
      <c r="DX19">
        <v>3</v>
      </c>
      <c r="DY19" t="s">
        <v>298</v>
      </c>
      <c r="DZ19">
        <v>1.8670500000000001</v>
      </c>
      <c r="EA19">
        <v>1.8635600000000001</v>
      </c>
      <c r="EB19">
        <v>1.86917</v>
      </c>
      <c r="EC19">
        <v>1.86707</v>
      </c>
      <c r="ED19">
        <v>1.8717999999999999</v>
      </c>
      <c r="EE19">
        <v>1.8641700000000001</v>
      </c>
      <c r="EF19">
        <v>1.86555</v>
      </c>
      <c r="EG19">
        <v>1.86554</v>
      </c>
      <c r="EH19" t="s">
        <v>284</v>
      </c>
      <c r="EI19" t="s">
        <v>19</v>
      </c>
      <c r="EJ19" t="s">
        <v>19</v>
      </c>
      <c r="EK19" t="s">
        <v>19</v>
      </c>
      <c r="EL19" t="s">
        <v>285</v>
      </c>
      <c r="EM19" t="s">
        <v>286</v>
      </c>
      <c r="EN19" t="s">
        <v>287</v>
      </c>
      <c r="EO19" t="s">
        <v>287</v>
      </c>
      <c r="EP19" t="s">
        <v>287</v>
      </c>
      <c r="EQ19" t="s">
        <v>287</v>
      </c>
      <c r="ER19">
        <v>0</v>
      </c>
      <c r="ES19">
        <v>100</v>
      </c>
      <c r="ET19">
        <v>100</v>
      </c>
      <c r="EU19">
        <v>0.216</v>
      </c>
      <c r="EV19">
        <v>3.9E-2</v>
      </c>
      <c r="EW19">
        <v>2</v>
      </c>
      <c r="EX19">
        <v>510.25599999999997</v>
      </c>
      <c r="EY19">
        <v>440.29300000000001</v>
      </c>
      <c r="EZ19">
        <v>19.0152</v>
      </c>
      <c r="FA19">
        <v>37.875999999999998</v>
      </c>
      <c r="FB19">
        <v>30.0001</v>
      </c>
      <c r="FC19">
        <v>37.885899999999999</v>
      </c>
      <c r="FD19">
        <v>37.865299999999998</v>
      </c>
      <c r="FE19">
        <v>12.9946</v>
      </c>
      <c r="FF19">
        <v>75.7864</v>
      </c>
      <c r="FG19">
        <v>0</v>
      </c>
      <c r="FH19">
        <v>17.508400000000002</v>
      </c>
      <c r="FI19">
        <v>200</v>
      </c>
      <c r="FJ19">
        <v>9.3906500000000008</v>
      </c>
      <c r="FK19">
        <v>99.9923</v>
      </c>
      <c r="FL19">
        <v>100.261</v>
      </c>
    </row>
    <row r="20" spans="1:168" x14ac:dyDescent="0.35">
      <c r="A20">
        <v>4</v>
      </c>
      <c r="B20">
        <v>1561662399.5</v>
      </c>
      <c r="C20">
        <v>361.59999990463302</v>
      </c>
      <c r="D20" t="s">
        <v>299</v>
      </c>
      <c r="E20" t="s">
        <v>300</v>
      </c>
      <c r="F20" t="s">
        <v>277</v>
      </c>
      <c r="G20" t="s">
        <v>278</v>
      </c>
      <c r="H20" t="s">
        <v>277</v>
      </c>
      <c r="J20" t="s">
        <v>277</v>
      </c>
      <c r="K20">
        <v>1561662391.5</v>
      </c>
      <c r="L20">
        <f t="shared" si="0"/>
        <v>8.8962853744995254E-3</v>
      </c>
      <c r="M20">
        <f t="shared" si="1"/>
        <v>5.9427134532239894</v>
      </c>
      <c r="N20">
        <f t="shared" si="2"/>
        <v>91.885919354838705</v>
      </c>
      <c r="O20">
        <f t="shared" si="3"/>
        <v>69.79455828184679</v>
      </c>
      <c r="P20">
        <f t="shared" si="4"/>
        <v>6.9612304992347411</v>
      </c>
      <c r="Q20">
        <f t="shared" si="5"/>
        <v>9.1645979286825554</v>
      </c>
      <c r="R20">
        <f t="shared" si="6"/>
        <v>0.53667545014165297</v>
      </c>
      <c r="S20">
        <f t="shared" si="7"/>
        <v>2.2547059174297859</v>
      </c>
      <c r="T20">
        <f t="shared" si="8"/>
        <v>0.47452635084278033</v>
      </c>
      <c r="U20">
        <f t="shared" si="9"/>
        <v>0.30156092535372309</v>
      </c>
      <c r="V20">
        <f t="shared" si="10"/>
        <v>353.34050665115342</v>
      </c>
      <c r="W20">
        <f t="shared" si="11"/>
        <v>26.471814435583429</v>
      </c>
      <c r="X20">
        <f t="shared" si="12"/>
        <v>27.863087096774201</v>
      </c>
      <c r="Y20">
        <f t="shared" si="13"/>
        <v>3.7646562206098251</v>
      </c>
      <c r="Z20">
        <f t="shared" si="14"/>
        <v>55.194049080016619</v>
      </c>
      <c r="AA20">
        <f t="shared" si="15"/>
        <v>1.9483329038211941</v>
      </c>
      <c r="AB20">
        <f t="shared" si="16"/>
        <v>3.5299691475735586</v>
      </c>
      <c r="AC20">
        <f t="shared" si="17"/>
        <v>1.816323316788631</v>
      </c>
      <c r="AD20">
        <f t="shared" si="18"/>
        <v>-392.32618501542908</v>
      </c>
      <c r="AE20">
        <f t="shared" si="19"/>
        <v>-133.52972663474878</v>
      </c>
      <c r="AF20">
        <f t="shared" si="20"/>
        <v>-12.821142605211815</v>
      </c>
      <c r="AG20">
        <f t="shared" si="21"/>
        <v>-185.33654760423627</v>
      </c>
      <c r="AH20">
        <v>-4.1310557427465998E-2</v>
      </c>
      <c r="AI20">
        <v>4.6374719715926903E-2</v>
      </c>
      <c r="AJ20">
        <v>3.4636376665230002</v>
      </c>
      <c r="AK20">
        <v>0</v>
      </c>
      <c r="AL20">
        <v>0</v>
      </c>
      <c r="AM20">
        <f t="shared" si="22"/>
        <v>1</v>
      </c>
      <c r="AN20">
        <f t="shared" si="23"/>
        <v>0</v>
      </c>
      <c r="AO20">
        <f t="shared" si="24"/>
        <v>52719.242466550808</v>
      </c>
      <c r="AP20" t="s">
        <v>279</v>
      </c>
      <c r="AQ20">
        <v>585.08461538461495</v>
      </c>
      <c r="AR20">
        <v>3491.65</v>
      </c>
      <c r="AS20">
        <f t="shared" si="25"/>
        <v>2906.565384615385</v>
      </c>
      <c r="AT20">
        <f t="shared" si="26"/>
        <v>0.83243320052564973</v>
      </c>
      <c r="AU20">
        <v>-24.085636743186001</v>
      </c>
      <c r="AV20" t="s">
        <v>301</v>
      </c>
      <c r="AW20">
        <v>730.01915384615404</v>
      </c>
      <c r="AX20">
        <v>930.44799999999998</v>
      </c>
      <c r="AY20">
        <f t="shared" si="27"/>
        <v>0.21541112039989974</v>
      </c>
      <c r="AZ20">
        <v>0.5</v>
      </c>
      <c r="BA20">
        <f t="shared" si="28"/>
        <v>1849.1835869496883</v>
      </c>
      <c r="BB20">
        <f t="shared" si="29"/>
        <v>5.9427134532239894</v>
      </c>
      <c r="BC20">
        <f t="shared" si="30"/>
        <v>199.1673541449689</v>
      </c>
      <c r="BD20">
        <f t="shared" si="31"/>
        <v>0.40114869396247821</v>
      </c>
      <c r="BE20">
        <f t="shared" si="32"/>
        <v>1.6238706858707905E-2</v>
      </c>
      <c r="BF20">
        <f t="shared" si="33"/>
        <v>2.7526546351864911</v>
      </c>
      <c r="BG20" t="s">
        <v>302</v>
      </c>
      <c r="BH20">
        <v>557.20000000000005</v>
      </c>
      <c r="BI20">
        <f t="shared" si="34"/>
        <v>373.24799999999993</v>
      </c>
      <c r="BJ20">
        <f t="shared" si="35"/>
        <v>0.53698572036245595</v>
      </c>
      <c r="BK20">
        <f t="shared" si="36"/>
        <v>0.8728047845422483</v>
      </c>
      <c r="BL20">
        <f t="shared" si="37"/>
        <v>0.5803419096585879</v>
      </c>
      <c r="BM20">
        <f t="shared" si="38"/>
        <v>0.8811781814909746</v>
      </c>
      <c r="BN20">
        <f t="shared" si="39"/>
        <v>2199.99580645161</v>
      </c>
      <c r="BO20">
        <f t="shared" si="40"/>
        <v>1849.1835869496883</v>
      </c>
      <c r="BP20">
        <f t="shared" si="41"/>
        <v>0.84053959626961772</v>
      </c>
      <c r="BQ20">
        <f t="shared" si="42"/>
        <v>0.19107919253923539</v>
      </c>
      <c r="BR20">
        <v>1561662391.5</v>
      </c>
      <c r="BS20">
        <v>91.885919354838705</v>
      </c>
      <c r="BT20">
        <v>99.997851612903204</v>
      </c>
      <c r="BU20">
        <v>19.534338709677399</v>
      </c>
      <c r="BV20">
        <v>9.0676661290322595</v>
      </c>
      <c r="BW20">
        <v>500.015774193548</v>
      </c>
      <c r="BX20">
        <v>99.638874193548403</v>
      </c>
      <c r="BY20">
        <v>9.9997583870967702E-2</v>
      </c>
      <c r="BZ20">
        <v>26.764580645161299</v>
      </c>
      <c r="CA20">
        <v>27.863087096774201</v>
      </c>
      <c r="CB20">
        <v>999.9</v>
      </c>
      <c r="CC20">
        <v>9998.3483870967702</v>
      </c>
      <c r="CD20">
        <v>0</v>
      </c>
      <c r="CE20">
        <v>198.650935483871</v>
      </c>
      <c r="CF20">
        <v>2199.99580645161</v>
      </c>
      <c r="CG20">
        <v>0.98199719354838699</v>
      </c>
      <c r="CH20">
        <v>1.80030580645161E-2</v>
      </c>
      <c r="CI20">
        <v>0</v>
      </c>
      <c r="CJ20">
        <v>730.11961290322597</v>
      </c>
      <c r="CK20">
        <v>1.9999499999999999</v>
      </c>
      <c r="CL20">
        <v>16737.0709677419</v>
      </c>
      <c r="CM20">
        <v>17938.1967741935</v>
      </c>
      <c r="CN20">
        <v>49.586387096774203</v>
      </c>
      <c r="CO20">
        <v>49.777999999999999</v>
      </c>
      <c r="CP20">
        <v>49.390999999999998</v>
      </c>
      <c r="CQ20">
        <v>49.265999999999998</v>
      </c>
      <c r="CR20">
        <v>50.582322580645098</v>
      </c>
      <c r="CS20">
        <v>2158.4258064516098</v>
      </c>
      <c r="CT20">
        <v>39.570322580645197</v>
      </c>
      <c r="CU20">
        <v>0</v>
      </c>
      <c r="CV20">
        <v>90</v>
      </c>
      <c r="CW20">
        <v>730.01915384615404</v>
      </c>
      <c r="CX20">
        <v>-7.15993161834799</v>
      </c>
      <c r="CY20">
        <v>-119.19658131915401</v>
      </c>
      <c r="CZ20">
        <v>16736.0884615385</v>
      </c>
      <c r="DA20">
        <v>15</v>
      </c>
      <c r="DB20">
        <v>1561662440</v>
      </c>
      <c r="DC20" t="s">
        <v>303</v>
      </c>
      <c r="DD20">
        <v>86</v>
      </c>
      <c r="DE20">
        <v>0.26800000000000002</v>
      </c>
      <c r="DF20">
        <v>3.1E-2</v>
      </c>
      <c r="DG20">
        <v>100</v>
      </c>
      <c r="DH20">
        <v>9</v>
      </c>
      <c r="DI20">
        <v>0.18</v>
      </c>
      <c r="DJ20">
        <v>0.01</v>
      </c>
      <c r="DK20">
        <v>6.0016183244803099</v>
      </c>
      <c r="DL20">
        <v>-7.67820941182151E-2</v>
      </c>
      <c r="DM20">
        <v>2.2154968794416599E-2</v>
      </c>
      <c r="DN20">
        <v>1</v>
      </c>
      <c r="DO20">
        <v>91.822397260274002</v>
      </c>
      <c r="DP20">
        <v>6.3039244724177407E-2</v>
      </c>
      <c r="DQ20">
        <v>1.5028055704159901E-2</v>
      </c>
      <c r="DR20">
        <v>1</v>
      </c>
      <c r="DS20">
        <v>0.53018757518416004</v>
      </c>
      <c r="DT20">
        <v>3.3115330295420499E-2</v>
      </c>
      <c r="DU20">
        <v>6.6791151171457603E-3</v>
      </c>
      <c r="DV20">
        <v>1</v>
      </c>
      <c r="DW20">
        <v>3</v>
      </c>
      <c r="DX20">
        <v>3</v>
      </c>
      <c r="DY20" t="s">
        <v>298</v>
      </c>
      <c r="DZ20">
        <v>1.8670599999999999</v>
      </c>
      <c r="EA20">
        <v>1.8635600000000001</v>
      </c>
      <c r="EB20">
        <v>1.8691899999999999</v>
      </c>
      <c r="EC20">
        <v>1.8670800000000001</v>
      </c>
      <c r="ED20">
        <v>1.8717999999999999</v>
      </c>
      <c r="EE20">
        <v>1.8641700000000001</v>
      </c>
      <c r="EF20">
        <v>1.86557</v>
      </c>
      <c r="EG20">
        <v>1.8655600000000001</v>
      </c>
      <c r="EH20" t="s">
        <v>284</v>
      </c>
      <c r="EI20" t="s">
        <v>19</v>
      </c>
      <c r="EJ20" t="s">
        <v>19</v>
      </c>
      <c r="EK20" t="s">
        <v>19</v>
      </c>
      <c r="EL20" t="s">
        <v>285</v>
      </c>
      <c r="EM20" t="s">
        <v>286</v>
      </c>
      <c r="EN20" t="s">
        <v>287</v>
      </c>
      <c r="EO20" t="s">
        <v>287</v>
      </c>
      <c r="EP20" t="s">
        <v>287</v>
      </c>
      <c r="EQ20" t="s">
        <v>287</v>
      </c>
      <c r="ER20">
        <v>0</v>
      </c>
      <c r="ES20">
        <v>100</v>
      </c>
      <c r="ET20">
        <v>100</v>
      </c>
      <c r="EU20">
        <v>0.26800000000000002</v>
      </c>
      <c r="EV20">
        <v>3.1E-2</v>
      </c>
      <c r="EW20">
        <v>2</v>
      </c>
      <c r="EX20">
        <v>510.54599999999999</v>
      </c>
      <c r="EY20">
        <v>439.387</v>
      </c>
      <c r="EZ20">
        <v>19.0441</v>
      </c>
      <c r="FA20">
        <v>37.868699999999997</v>
      </c>
      <c r="FB20">
        <v>30.0001</v>
      </c>
      <c r="FC20">
        <v>37.850299999999997</v>
      </c>
      <c r="FD20">
        <v>37.829599999999999</v>
      </c>
      <c r="FE20">
        <v>8.1137099999999993</v>
      </c>
      <c r="FF20">
        <v>76.6798</v>
      </c>
      <c r="FG20">
        <v>0</v>
      </c>
      <c r="FH20">
        <v>17.532499999999999</v>
      </c>
      <c r="FI20">
        <v>100</v>
      </c>
      <c r="FJ20">
        <v>8.9957399999999996</v>
      </c>
      <c r="FK20">
        <v>99.990300000000005</v>
      </c>
      <c r="FL20">
        <v>100.259</v>
      </c>
    </row>
    <row r="21" spans="1:168" x14ac:dyDescent="0.35">
      <c r="A21">
        <v>5</v>
      </c>
      <c r="B21">
        <v>1561662576</v>
      </c>
      <c r="C21">
        <v>538.09999990463302</v>
      </c>
      <c r="D21" t="s">
        <v>304</v>
      </c>
      <c r="E21" t="s">
        <v>305</v>
      </c>
      <c r="F21" t="s">
        <v>277</v>
      </c>
      <c r="G21" t="s">
        <v>278</v>
      </c>
      <c r="H21" t="s">
        <v>277</v>
      </c>
      <c r="J21" t="s">
        <v>277</v>
      </c>
      <c r="K21">
        <v>1561662568</v>
      </c>
      <c r="L21">
        <f t="shared" si="0"/>
        <v>9.2157911107273466E-3</v>
      </c>
      <c r="M21">
        <f t="shared" si="1"/>
        <v>0.70166962475400074</v>
      </c>
      <c r="N21">
        <f t="shared" si="2"/>
        <v>48.617712903225801</v>
      </c>
      <c r="O21">
        <f t="shared" si="3"/>
        <v>45.046985589696895</v>
      </c>
      <c r="P21">
        <f t="shared" si="4"/>
        <v>4.4927325352120224</v>
      </c>
      <c r="Q21">
        <f t="shared" si="5"/>
        <v>4.8488567589720848</v>
      </c>
      <c r="R21">
        <f t="shared" si="6"/>
        <v>0.56812260889554711</v>
      </c>
      <c r="S21">
        <f t="shared" si="7"/>
        <v>2.2552399576860283</v>
      </c>
      <c r="T21">
        <f t="shared" si="8"/>
        <v>0.49899129704683737</v>
      </c>
      <c r="U21">
        <f t="shared" si="9"/>
        <v>0.31737701401623497</v>
      </c>
      <c r="V21">
        <f t="shared" si="10"/>
        <v>353.33873841414032</v>
      </c>
      <c r="W21">
        <f t="shared" si="11"/>
        <v>26.241380836902007</v>
      </c>
      <c r="X21">
        <f t="shared" si="12"/>
        <v>27.693245161290299</v>
      </c>
      <c r="Y21">
        <f t="shared" si="13"/>
        <v>3.7275045672619083</v>
      </c>
      <c r="Z21">
        <f t="shared" si="14"/>
        <v>55.30115172128783</v>
      </c>
      <c r="AA21">
        <f t="shared" si="15"/>
        <v>1.937842586549509</v>
      </c>
      <c r="AB21">
        <f t="shared" si="16"/>
        <v>3.5041631615848403</v>
      </c>
      <c r="AC21">
        <f t="shared" si="17"/>
        <v>1.7896619807123992</v>
      </c>
      <c r="AD21">
        <f t="shared" si="18"/>
        <v>-406.41638798307599</v>
      </c>
      <c r="AE21">
        <f t="shared" si="19"/>
        <v>-128.06691130774431</v>
      </c>
      <c r="AF21">
        <f t="shared" si="20"/>
        <v>-12.275629282166051</v>
      </c>
      <c r="AG21">
        <f t="shared" si="21"/>
        <v>-193.42019015884603</v>
      </c>
      <c r="AH21">
        <v>-4.1324963379691597E-2</v>
      </c>
      <c r="AI21">
        <v>4.6390891659330899E-2</v>
      </c>
      <c r="AJ21">
        <v>3.4645932893989402</v>
      </c>
      <c r="AK21">
        <v>0</v>
      </c>
      <c r="AL21">
        <v>0</v>
      </c>
      <c r="AM21">
        <f t="shared" si="22"/>
        <v>1</v>
      </c>
      <c r="AN21">
        <f t="shared" si="23"/>
        <v>0</v>
      </c>
      <c r="AO21">
        <f t="shared" si="24"/>
        <v>52758.716791777799</v>
      </c>
      <c r="AP21" t="s">
        <v>279</v>
      </c>
      <c r="AQ21">
        <v>585.08461538461495</v>
      </c>
      <c r="AR21">
        <v>3491.65</v>
      </c>
      <c r="AS21">
        <f t="shared" si="25"/>
        <v>2906.565384615385</v>
      </c>
      <c r="AT21">
        <f t="shared" si="26"/>
        <v>0.83243320052564973</v>
      </c>
      <c r="AU21">
        <v>-24.085636743186001</v>
      </c>
      <c r="AV21" t="s">
        <v>306</v>
      </c>
      <c r="AW21">
        <v>726.08465384615397</v>
      </c>
      <c r="AX21">
        <v>895.37</v>
      </c>
      <c r="AY21">
        <f t="shared" si="27"/>
        <v>0.189067476187326</v>
      </c>
      <c r="AZ21">
        <v>0.5</v>
      </c>
      <c r="BA21">
        <f t="shared" si="28"/>
        <v>1849.1743645431109</v>
      </c>
      <c r="BB21">
        <f t="shared" si="29"/>
        <v>0.70166962475400074</v>
      </c>
      <c r="BC21">
        <f t="shared" si="30"/>
        <v>174.80936506723415</v>
      </c>
      <c r="BD21">
        <f t="shared" si="31"/>
        <v>0.35021276120486511</v>
      </c>
      <c r="BE21">
        <f t="shared" si="32"/>
        <v>1.3404526281146226E-2</v>
      </c>
      <c r="BF21">
        <f t="shared" si="33"/>
        <v>2.8996727609814941</v>
      </c>
      <c r="BG21" t="s">
        <v>307</v>
      </c>
      <c r="BH21">
        <v>581.79999999999995</v>
      </c>
      <c r="BI21">
        <f t="shared" si="34"/>
        <v>313.57000000000005</v>
      </c>
      <c r="BJ21">
        <f t="shared" si="35"/>
        <v>0.53986461126334151</v>
      </c>
      <c r="BK21">
        <f t="shared" si="36"/>
        <v>0.89223843153427151</v>
      </c>
      <c r="BL21">
        <f t="shared" si="37"/>
        <v>0.54557950373229491</v>
      </c>
      <c r="BM21">
        <f t="shared" si="38"/>
        <v>0.89324672128218996</v>
      </c>
      <c r="BN21">
        <f t="shared" si="39"/>
        <v>2199.9848387096799</v>
      </c>
      <c r="BO21">
        <f t="shared" si="40"/>
        <v>1849.1743645431109</v>
      </c>
      <c r="BP21">
        <f t="shared" si="41"/>
        <v>0.84053959463996852</v>
      </c>
      <c r="BQ21">
        <f t="shared" si="42"/>
        <v>0.191079189279937</v>
      </c>
      <c r="BR21">
        <v>1561662568</v>
      </c>
      <c r="BS21">
        <v>48.617712903225801</v>
      </c>
      <c r="BT21">
        <v>49.997316129032299</v>
      </c>
      <c r="BU21">
        <v>19.430038709677401</v>
      </c>
      <c r="BV21">
        <v>8.5864458064516107</v>
      </c>
      <c r="BW21">
        <v>500.02216129032303</v>
      </c>
      <c r="BX21">
        <v>99.634383870967696</v>
      </c>
      <c r="BY21">
        <v>9.99818451612903E-2</v>
      </c>
      <c r="BZ21">
        <v>26.639929032258099</v>
      </c>
      <c r="CA21">
        <v>27.693245161290299</v>
      </c>
      <c r="CB21">
        <v>999.9</v>
      </c>
      <c r="CC21">
        <v>10002.2858064516</v>
      </c>
      <c r="CD21">
        <v>0</v>
      </c>
      <c r="CE21">
        <v>187.71919354838701</v>
      </c>
      <c r="CF21">
        <v>2199.9848387096799</v>
      </c>
      <c r="CG21">
        <v>0.98199796774193504</v>
      </c>
      <c r="CH21">
        <v>1.8002090322580599E-2</v>
      </c>
      <c r="CI21">
        <v>0</v>
      </c>
      <c r="CJ21">
        <v>726.05258064516102</v>
      </c>
      <c r="CK21">
        <v>1.9999499999999999</v>
      </c>
      <c r="CL21">
        <v>16645.625806451601</v>
      </c>
      <c r="CM21">
        <v>17938.1129032258</v>
      </c>
      <c r="CN21">
        <v>49.795999999999999</v>
      </c>
      <c r="CO21">
        <v>49.911000000000001</v>
      </c>
      <c r="CP21">
        <v>49.489709677419398</v>
      </c>
      <c r="CQ21">
        <v>49.455290322580602</v>
      </c>
      <c r="CR21">
        <v>50.75</v>
      </c>
      <c r="CS21">
        <v>2158.4148387096802</v>
      </c>
      <c r="CT21">
        <v>39.57</v>
      </c>
      <c r="CU21">
        <v>0</v>
      </c>
      <c r="CV21">
        <v>175.90000009536701</v>
      </c>
      <c r="CW21">
        <v>726.08465384615397</v>
      </c>
      <c r="CX21">
        <v>-0.44037609746449602</v>
      </c>
      <c r="CY21">
        <v>-17.476923104600701</v>
      </c>
      <c r="CZ21">
        <v>16645.523076923098</v>
      </c>
      <c r="DA21">
        <v>15</v>
      </c>
      <c r="DB21">
        <v>1561662531.5</v>
      </c>
      <c r="DC21" t="s">
        <v>308</v>
      </c>
      <c r="DD21">
        <v>87</v>
      </c>
      <c r="DE21">
        <v>0.22700000000000001</v>
      </c>
      <c r="DF21">
        <v>2.5999999999999999E-2</v>
      </c>
      <c r="DG21">
        <v>50</v>
      </c>
      <c r="DH21">
        <v>9</v>
      </c>
      <c r="DI21">
        <v>0.22</v>
      </c>
      <c r="DJ21">
        <v>0.01</v>
      </c>
      <c r="DK21">
        <v>0.67712746338811003</v>
      </c>
      <c r="DL21">
        <v>0.20406167022536401</v>
      </c>
      <c r="DM21">
        <v>0.10156633285830401</v>
      </c>
      <c r="DN21">
        <v>1</v>
      </c>
      <c r="DO21">
        <v>48.629256164383598</v>
      </c>
      <c r="DP21">
        <v>-4.2956312476860201E-2</v>
      </c>
      <c r="DQ21">
        <v>1.3156622232766001E-2</v>
      </c>
      <c r="DR21">
        <v>1</v>
      </c>
      <c r="DS21">
        <v>0.55098636530867795</v>
      </c>
      <c r="DT21">
        <v>0.131127192185608</v>
      </c>
      <c r="DU21">
        <v>4.8900603724901397E-2</v>
      </c>
      <c r="DV21">
        <v>1</v>
      </c>
      <c r="DW21">
        <v>3</v>
      </c>
      <c r="DX21">
        <v>3</v>
      </c>
      <c r="DY21" t="s">
        <v>298</v>
      </c>
      <c r="DZ21">
        <v>1.86707</v>
      </c>
      <c r="EA21">
        <v>1.8635600000000001</v>
      </c>
      <c r="EB21">
        <v>1.8691899999999999</v>
      </c>
      <c r="EC21">
        <v>1.8671</v>
      </c>
      <c r="ED21">
        <v>1.8717999999999999</v>
      </c>
      <c r="EE21">
        <v>1.8641700000000001</v>
      </c>
      <c r="EF21">
        <v>1.8655999999999999</v>
      </c>
      <c r="EG21">
        <v>1.86554</v>
      </c>
      <c r="EH21" t="s">
        <v>284</v>
      </c>
      <c r="EI21" t="s">
        <v>19</v>
      </c>
      <c r="EJ21" t="s">
        <v>19</v>
      </c>
      <c r="EK21" t="s">
        <v>19</v>
      </c>
      <c r="EL21" t="s">
        <v>285</v>
      </c>
      <c r="EM21" t="s">
        <v>286</v>
      </c>
      <c r="EN21" t="s">
        <v>287</v>
      </c>
      <c r="EO21" t="s">
        <v>287</v>
      </c>
      <c r="EP21" t="s">
        <v>287</v>
      </c>
      <c r="EQ21" t="s">
        <v>287</v>
      </c>
      <c r="ER21">
        <v>0</v>
      </c>
      <c r="ES21">
        <v>100</v>
      </c>
      <c r="ET21">
        <v>100</v>
      </c>
      <c r="EU21">
        <v>0.22700000000000001</v>
      </c>
      <c r="EV21">
        <v>2.5999999999999999E-2</v>
      </c>
      <c r="EW21">
        <v>2</v>
      </c>
      <c r="EX21">
        <v>510.21800000000002</v>
      </c>
      <c r="EY21">
        <v>438.52</v>
      </c>
      <c r="EZ21">
        <v>18.975899999999999</v>
      </c>
      <c r="FA21">
        <v>37.767899999999997</v>
      </c>
      <c r="FB21">
        <v>29.9999</v>
      </c>
      <c r="FC21">
        <v>37.741100000000003</v>
      </c>
      <c r="FD21">
        <v>37.715499999999999</v>
      </c>
      <c r="FE21">
        <v>5.6546900000000004</v>
      </c>
      <c r="FF21">
        <v>77.382999999999996</v>
      </c>
      <c r="FG21">
        <v>0</v>
      </c>
      <c r="FH21">
        <v>17.514500000000002</v>
      </c>
      <c r="FI21">
        <v>50</v>
      </c>
      <c r="FJ21">
        <v>8.6590500000000006</v>
      </c>
      <c r="FK21">
        <v>100.012</v>
      </c>
      <c r="FL21">
        <v>100.289</v>
      </c>
    </row>
    <row r="22" spans="1:168" x14ac:dyDescent="0.35">
      <c r="A22">
        <v>6</v>
      </c>
      <c r="B22">
        <v>1561662702</v>
      </c>
      <c r="C22">
        <v>664.09999990463302</v>
      </c>
      <c r="D22" t="s">
        <v>309</v>
      </c>
      <c r="E22" t="s">
        <v>310</v>
      </c>
      <c r="F22" t="s">
        <v>277</v>
      </c>
      <c r="G22" t="s">
        <v>278</v>
      </c>
      <c r="H22" t="s">
        <v>277</v>
      </c>
      <c r="J22" t="s">
        <v>277</v>
      </c>
      <c r="K22">
        <v>1561662694</v>
      </c>
      <c r="L22">
        <f t="shared" si="0"/>
        <v>8.8187526080578168E-3</v>
      </c>
      <c r="M22">
        <f t="shared" si="1"/>
        <v>-3.3878660157142679</v>
      </c>
      <c r="N22">
        <f t="shared" si="2"/>
        <v>16.384096774193502</v>
      </c>
      <c r="O22">
        <f t="shared" si="3"/>
        <v>26.815394892566005</v>
      </c>
      <c r="P22">
        <f t="shared" si="4"/>
        <v>2.6743008715797711</v>
      </c>
      <c r="Q22">
        <f t="shared" si="5"/>
        <v>1.6339869115789172</v>
      </c>
      <c r="R22">
        <f t="shared" si="6"/>
        <v>0.54649805844229904</v>
      </c>
      <c r="S22">
        <f t="shared" si="7"/>
        <v>2.2546962974268938</v>
      </c>
      <c r="T22">
        <f t="shared" si="8"/>
        <v>0.48219826716764486</v>
      </c>
      <c r="U22">
        <f t="shared" si="9"/>
        <v>0.30651824581460835</v>
      </c>
      <c r="V22">
        <f t="shared" si="10"/>
        <v>353.33845205254039</v>
      </c>
      <c r="W22">
        <f t="shared" si="11"/>
        <v>26.124723424718358</v>
      </c>
      <c r="X22">
        <f t="shared" si="12"/>
        <v>27.462135483870998</v>
      </c>
      <c r="Y22">
        <f t="shared" si="13"/>
        <v>3.6774650970270137</v>
      </c>
      <c r="Z22">
        <f t="shared" si="14"/>
        <v>55.152384236877197</v>
      </c>
      <c r="AA22">
        <f t="shared" si="15"/>
        <v>1.9045815809073228</v>
      </c>
      <c r="AB22">
        <f t="shared" si="16"/>
        <v>3.453307789427968</v>
      </c>
      <c r="AC22">
        <f t="shared" si="17"/>
        <v>1.772883516119691</v>
      </c>
      <c r="AD22">
        <f t="shared" si="18"/>
        <v>-388.90699001534972</v>
      </c>
      <c r="AE22">
        <f t="shared" si="19"/>
        <v>-130.09071358035084</v>
      </c>
      <c r="AF22">
        <f t="shared" si="20"/>
        <v>-12.442786152227784</v>
      </c>
      <c r="AG22">
        <f t="shared" si="21"/>
        <v>-178.10203769538793</v>
      </c>
      <c r="AH22">
        <v>-4.1310297952449899E-2</v>
      </c>
      <c r="AI22">
        <v>4.6374428432490102E-2</v>
      </c>
      <c r="AJ22">
        <v>3.46362045312015</v>
      </c>
      <c r="AK22">
        <v>0</v>
      </c>
      <c r="AL22">
        <v>0</v>
      </c>
      <c r="AM22">
        <f t="shared" si="22"/>
        <v>1</v>
      </c>
      <c r="AN22">
        <f t="shared" si="23"/>
        <v>0</v>
      </c>
      <c r="AO22">
        <f t="shared" si="24"/>
        <v>52784.35527873996</v>
      </c>
      <c r="AP22" t="s">
        <v>279</v>
      </c>
      <c r="AQ22">
        <v>585.08461538461495</v>
      </c>
      <c r="AR22">
        <v>3491.65</v>
      </c>
      <c r="AS22">
        <f t="shared" si="25"/>
        <v>2906.565384615385</v>
      </c>
      <c r="AT22">
        <f t="shared" si="26"/>
        <v>0.83243320052564973</v>
      </c>
      <c r="AU22">
        <v>-24.085636743186001</v>
      </c>
      <c r="AV22" t="s">
        <v>311</v>
      </c>
      <c r="AW22">
        <v>730.62907692307704</v>
      </c>
      <c r="AX22">
        <v>877.50400000000002</v>
      </c>
      <c r="AY22">
        <f t="shared" si="27"/>
        <v>0.16737806674034872</v>
      </c>
      <c r="AZ22">
        <v>0.5</v>
      </c>
      <c r="BA22">
        <f t="shared" si="28"/>
        <v>1849.1739681169995</v>
      </c>
      <c r="BB22">
        <f t="shared" si="29"/>
        <v>-3.3878660157142679</v>
      </c>
      <c r="BC22">
        <f t="shared" si="30"/>
        <v>154.75558192500131</v>
      </c>
      <c r="BD22">
        <f t="shared" si="31"/>
        <v>0.32991758442126762</v>
      </c>
      <c r="BE22">
        <f t="shared" si="32"/>
        <v>1.1192981885067376E-2</v>
      </c>
      <c r="BF22">
        <f t="shared" si="33"/>
        <v>2.9790701808766684</v>
      </c>
      <c r="BG22" t="s">
        <v>312</v>
      </c>
      <c r="BH22">
        <v>588</v>
      </c>
      <c r="BI22">
        <f t="shared" si="34"/>
        <v>289.50400000000002</v>
      </c>
      <c r="BJ22">
        <f t="shared" si="35"/>
        <v>0.50733296630417191</v>
      </c>
      <c r="BK22">
        <f t="shared" si="36"/>
        <v>0.90029652334131183</v>
      </c>
      <c r="BL22">
        <f t="shared" si="37"/>
        <v>0.50227492021469577</v>
      </c>
      <c r="BM22">
        <f t="shared" si="38"/>
        <v>0.89939349509796784</v>
      </c>
      <c r="BN22">
        <f t="shared" si="39"/>
        <v>2199.98451612903</v>
      </c>
      <c r="BO22">
        <f t="shared" si="40"/>
        <v>1849.1739681169995</v>
      </c>
      <c r="BP22">
        <f t="shared" si="41"/>
        <v>0.84053953769215739</v>
      </c>
      <c r="BQ22">
        <f t="shared" si="42"/>
        <v>0.19107907538431465</v>
      </c>
      <c r="BR22">
        <v>1561662694</v>
      </c>
      <c r="BS22">
        <v>16.384096774193502</v>
      </c>
      <c r="BT22">
        <v>12.492158064516101</v>
      </c>
      <c r="BU22">
        <v>19.0973677419355</v>
      </c>
      <c r="BV22">
        <v>8.7172712903225804</v>
      </c>
      <c r="BW22">
        <v>500.01487096774201</v>
      </c>
      <c r="BX22">
        <v>99.630054838709697</v>
      </c>
      <c r="BY22">
        <v>0.100002551612903</v>
      </c>
      <c r="BZ22">
        <v>26.3919161290323</v>
      </c>
      <c r="CA22">
        <v>27.462135483870998</v>
      </c>
      <c r="CB22">
        <v>999.9</v>
      </c>
      <c r="CC22">
        <v>9999.1706451612899</v>
      </c>
      <c r="CD22">
        <v>0</v>
      </c>
      <c r="CE22">
        <v>194.86261290322599</v>
      </c>
      <c r="CF22">
        <v>2199.98451612903</v>
      </c>
      <c r="CG22">
        <v>0.98199929032258004</v>
      </c>
      <c r="CH22">
        <v>1.8000558064516101E-2</v>
      </c>
      <c r="CI22">
        <v>0</v>
      </c>
      <c r="CJ22">
        <v>730.68522580645197</v>
      </c>
      <c r="CK22">
        <v>1.9999499999999999</v>
      </c>
      <c r="CL22">
        <v>16747.793548387101</v>
      </c>
      <c r="CM22">
        <v>17938.129032258101</v>
      </c>
      <c r="CN22">
        <v>49.820193548387103</v>
      </c>
      <c r="CO22">
        <v>50.118838709677398</v>
      </c>
      <c r="CP22">
        <v>49.854612903225799</v>
      </c>
      <c r="CQ22">
        <v>49.346612903225797</v>
      </c>
      <c r="CR22">
        <v>50.749935483870999</v>
      </c>
      <c r="CS22">
        <v>2158.41806451613</v>
      </c>
      <c r="CT22">
        <v>39.5658064516129</v>
      </c>
      <c r="CU22">
        <v>0</v>
      </c>
      <c r="CV22">
        <v>125.5</v>
      </c>
      <c r="CW22">
        <v>730.62907692307704</v>
      </c>
      <c r="CX22">
        <v>2.2259145391629902</v>
      </c>
      <c r="CY22">
        <v>36.717948721196997</v>
      </c>
      <c r="CZ22">
        <v>16748.123076923101</v>
      </c>
      <c r="DA22">
        <v>15</v>
      </c>
      <c r="DB22">
        <v>1561662657.5</v>
      </c>
      <c r="DC22" t="s">
        <v>313</v>
      </c>
      <c r="DD22">
        <v>88</v>
      </c>
      <c r="DE22">
        <v>0.20699999999999999</v>
      </c>
      <c r="DF22">
        <v>2.7E-2</v>
      </c>
      <c r="DG22">
        <v>12</v>
      </c>
      <c r="DH22">
        <v>9</v>
      </c>
      <c r="DI22">
        <v>0.23</v>
      </c>
      <c r="DJ22">
        <v>0.01</v>
      </c>
      <c r="DK22">
        <v>-3.3725489657377898</v>
      </c>
      <c r="DL22">
        <v>-0.149909950541179</v>
      </c>
      <c r="DM22">
        <v>0.13325682557035301</v>
      </c>
      <c r="DN22">
        <v>1</v>
      </c>
      <c r="DO22">
        <v>16.394028767123299</v>
      </c>
      <c r="DP22">
        <v>-4.0072195483149199E-2</v>
      </c>
      <c r="DQ22">
        <v>1.40633837142314E-2</v>
      </c>
      <c r="DR22">
        <v>1</v>
      </c>
      <c r="DS22">
        <v>0.53268823057199299</v>
      </c>
      <c r="DT22">
        <v>0.11150728103567301</v>
      </c>
      <c r="DU22">
        <v>4.55915305904235E-2</v>
      </c>
      <c r="DV22">
        <v>1</v>
      </c>
      <c r="DW22">
        <v>3</v>
      </c>
      <c r="DX22">
        <v>3</v>
      </c>
      <c r="DY22" t="s">
        <v>298</v>
      </c>
      <c r="DZ22">
        <v>1.8670599999999999</v>
      </c>
      <c r="EA22">
        <v>1.8635600000000001</v>
      </c>
      <c r="EB22">
        <v>1.8691899999999999</v>
      </c>
      <c r="EC22">
        <v>1.8670899999999999</v>
      </c>
      <c r="ED22">
        <v>1.8717900000000001</v>
      </c>
      <c r="EE22">
        <v>1.8641700000000001</v>
      </c>
      <c r="EF22">
        <v>1.86557</v>
      </c>
      <c r="EG22">
        <v>1.86554</v>
      </c>
      <c r="EH22" t="s">
        <v>284</v>
      </c>
      <c r="EI22" t="s">
        <v>19</v>
      </c>
      <c r="EJ22" t="s">
        <v>19</v>
      </c>
      <c r="EK22" t="s">
        <v>19</v>
      </c>
      <c r="EL22" t="s">
        <v>285</v>
      </c>
      <c r="EM22" t="s">
        <v>286</v>
      </c>
      <c r="EN22" t="s">
        <v>287</v>
      </c>
      <c r="EO22" t="s">
        <v>287</v>
      </c>
      <c r="EP22" t="s">
        <v>287</v>
      </c>
      <c r="EQ22" t="s">
        <v>287</v>
      </c>
      <c r="ER22">
        <v>0</v>
      </c>
      <c r="ES22">
        <v>100</v>
      </c>
      <c r="ET22">
        <v>100</v>
      </c>
      <c r="EU22">
        <v>0.20699999999999999</v>
      </c>
      <c r="EV22">
        <v>2.7E-2</v>
      </c>
      <c r="EW22">
        <v>2</v>
      </c>
      <c r="EX22">
        <v>510.2</v>
      </c>
      <c r="EY22">
        <v>438.21199999999999</v>
      </c>
      <c r="EZ22">
        <v>18.765000000000001</v>
      </c>
      <c r="FA22">
        <v>37.674700000000001</v>
      </c>
      <c r="FB22">
        <v>29.999700000000001</v>
      </c>
      <c r="FC22">
        <v>37.655099999999997</v>
      </c>
      <c r="FD22">
        <v>37.630299999999998</v>
      </c>
      <c r="FE22">
        <v>3.84056</v>
      </c>
      <c r="FF22">
        <v>77.166700000000006</v>
      </c>
      <c r="FG22">
        <v>0</v>
      </c>
      <c r="FH22">
        <v>17.207599999999999</v>
      </c>
      <c r="FI22">
        <v>12.5</v>
      </c>
      <c r="FJ22">
        <v>8.80776</v>
      </c>
      <c r="FK22">
        <v>100.033</v>
      </c>
      <c r="FL22">
        <v>100.315</v>
      </c>
    </row>
    <row r="23" spans="1:168" x14ac:dyDescent="0.35">
      <c r="A23">
        <v>8</v>
      </c>
      <c r="B23">
        <v>1561662969.5</v>
      </c>
      <c r="C23">
        <v>931.59999990463302</v>
      </c>
      <c r="D23" t="s">
        <v>314</v>
      </c>
      <c r="E23" t="s">
        <v>315</v>
      </c>
      <c r="F23" t="s">
        <v>277</v>
      </c>
      <c r="G23" t="s">
        <v>278</v>
      </c>
      <c r="H23" t="s">
        <v>277</v>
      </c>
      <c r="J23" t="s">
        <v>277</v>
      </c>
      <c r="K23">
        <v>1561662961.5</v>
      </c>
      <c r="L23">
        <f t="shared" si="0"/>
        <v>9.5589620897753788E-3</v>
      </c>
      <c r="M23">
        <f t="shared" si="1"/>
        <v>35.675278023380081</v>
      </c>
      <c r="N23">
        <f t="shared" si="2"/>
        <v>353.154258064516</v>
      </c>
      <c r="O23">
        <f t="shared" si="3"/>
        <v>239.75509805885309</v>
      </c>
      <c r="P23">
        <f t="shared" si="4"/>
        <v>23.911509187893888</v>
      </c>
      <c r="Q23">
        <f t="shared" si="5"/>
        <v>35.221154231225775</v>
      </c>
      <c r="R23">
        <f t="shared" si="6"/>
        <v>0.61291825106024267</v>
      </c>
      <c r="S23">
        <f t="shared" si="7"/>
        <v>2.2555544410231136</v>
      </c>
      <c r="T23">
        <f t="shared" si="8"/>
        <v>0.53327919417281089</v>
      </c>
      <c r="U23">
        <f t="shared" si="9"/>
        <v>0.33958873284762631</v>
      </c>
      <c r="V23">
        <f t="shared" si="10"/>
        <v>353.338794245104</v>
      </c>
      <c r="W23">
        <f t="shared" si="11"/>
        <v>25.955484608014206</v>
      </c>
      <c r="X23">
        <f t="shared" si="12"/>
        <v>27.3819129032258</v>
      </c>
      <c r="Y23">
        <f t="shared" si="13"/>
        <v>3.6602330396796501</v>
      </c>
      <c r="Z23">
        <f t="shared" si="14"/>
        <v>55.424935269058381</v>
      </c>
      <c r="AA23">
        <f t="shared" si="15"/>
        <v>1.9225660697158722</v>
      </c>
      <c r="AB23">
        <f t="shared" si="16"/>
        <v>3.4687745874358598</v>
      </c>
      <c r="AC23">
        <f t="shared" si="17"/>
        <v>1.7376669699637779</v>
      </c>
      <c r="AD23">
        <f t="shared" si="18"/>
        <v>-421.55022815909422</v>
      </c>
      <c r="AE23">
        <f t="shared" si="19"/>
        <v>-111.17196915399195</v>
      </c>
      <c r="AF23">
        <f t="shared" si="20"/>
        <v>-10.628973413810057</v>
      </c>
      <c r="AG23">
        <f t="shared" si="21"/>
        <v>-190.01237648179222</v>
      </c>
      <c r="AH23">
        <v>-4.1333448147609003E-2</v>
      </c>
      <c r="AI23">
        <v>4.6400416554624603E-2</v>
      </c>
      <c r="AJ23">
        <v>3.4651560750092898</v>
      </c>
      <c r="AK23">
        <v>0</v>
      </c>
      <c r="AL23">
        <v>0</v>
      </c>
      <c r="AM23">
        <f t="shared" si="22"/>
        <v>1</v>
      </c>
      <c r="AN23">
        <f t="shared" si="23"/>
        <v>0</v>
      </c>
      <c r="AO23">
        <f t="shared" si="24"/>
        <v>52799.42871622528</v>
      </c>
      <c r="AP23" t="s">
        <v>279</v>
      </c>
      <c r="AQ23">
        <v>585.08461538461495</v>
      </c>
      <c r="AR23">
        <v>3491.65</v>
      </c>
      <c r="AS23">
        <f t="shared" si="25"/>
        <v>2906.565384615385</v>
      </c>
      <c r="AT23">
        <f t="shared" si="26"/>
        <v>0.83243320052564973</v>
      </c>
      <c r="AU23">
        <v>-24.085636743186001</v>
      </c>
      <c r="AV23" t="s">
        <v>316</v>
      </c>
      <c r="AW23">
        <v>765.492730769231</v>
      </c>
      <c r="AX23">
        <v>1119.8499999999999</v>
      </c>
      <c r="AY23">
        <f t="shared" si="27"/>
        <v>0.31643279834867966</v>
      </c>
      <c r="AZ23">
        <v>0.5</v>
      </c>
      <c r="BA23">
        <f t="shared" si="28"/>
        <v>1849.177315981987</v>
      </c>
      <c r="BB23">
        <f t="shared" si="29"/>
        <v>35.675278023380081</v>
      </c>
      <c r="BC23">
        <f t="shared" si="30"/>
        <v>292.57017636954038</v>
      </c>
      <c r="BD23">
        <f t="shared" si="31"/>
        <v>0.51975711032727601</v>
      </c>
      <c r="BE23">
        <f t="shared" si="32"/>
        <v>3.2317568602030278E-2</v>
      </c>
      <c r="BF23">
        <f t="shared" si="33"/>
        <v>2.1179622270839848</v>
      </c>
      <c r="BG23" t="s">
        <v>317</v>
      </c>
      <c r="BH23">
        <v>537.79999999999995</v>
      </c>
      <c r="BI23">
        <f t="shared" si="34"/>
        <v>582.04999999999995</v>
      </c>
      <c r="BJ23">
        <f t="shared" si="35"/>
        <v>0.60880898416075757</v>
      </c>
      <c r="BK23">
        <f t="shared" si="36"/>
        <v>0.80295207948947978</v>
      </c>
      <c r="BL23">
        <f t="shared" si="37"/>
        <v>0.66264062601140583</v>
      </c>
      <c r="BM23">
        <f t="shared" si="38"/>
        <v>0.81601467235317382</v>
      </c>
      <c r="BN23">
        <f t="shared" si="39"/>
        <v>2199.98870967742</v>
      </c>
      <c r="BO23">
        <f t="shared" si="40"/>
        <v>1849.177315981987</v>
      </c>
      <c r="BP23">
        <f t="shared" si="41"/>
        <v>0.84053945724709112</v>
      </c>
      <c r="BQ23">
        <f t="shared" si="42"/>
        <v>0.19107891449418249</v>
      </c>
      <c r="BR23">
        <v>1561662961.5</v>
      </c>
      <c r="BS23">
        <v>353.154258064516</v>
      </c>
      <c r="BT23">
        <v>400.01316129032301</v>
      </c>
      <c r="BU23">
        <v>19.2771193548387</v>
      </c>
      <c r="BV23">
        <v>8.0280583870967703</v>
      </c>
      <c r="BW23">
        <v>500.02535483870997</v>
      </c>
      <c r="BX23">
        <v>99.633067741935506</v>
      </c>
      <c r="BY23">
        <v>9.99906225806452E-2</v>
      </c>
      <c r="BZ23">
        <v>26.467680645161298</v>
      </c>
      <c r="CA23">
        <v>27.3819129032258</v>
      </c>
      <c r="CB23">
        <v>999.9</v>
      </c>
      <c r="CC23">
        <v>10004.4716129032</v>
      </c>
      <c r="CD23">
        <v>0</v>
      </c>
      <c r="CE23">
        <v>178.875483870968</v>
      </c>
      <c r="CF23">
        <v>2199.98870967742</v>
      </c>
      <c r="CG23">
        <v>0.98200290322580697</v>
      </c>
      <c r="CH23">
        <v>1.79971709677419E-2</v>
      </c>
      <c r="CI23">
        <v>0</v>
      </c>
      <c r="CJ23">
        <v>765.37554838709696</v>
      </c>
      <c r="CK23">
        <v>1.9999499999999999</v>
      </c>
      <c r="CL23">
        <v>17559.677419354801</v>
      </c>
      <c r="CM23">
        <v>17938.164516129</v>
      </c>
      <c r="CN23">
        <v>50.02</v>
      </c>
      <c r="CO23">
        <v>50.471548387096803</v>
      </c>
      <c r="CP23">
        <v>49.793999999999997</v>
      </c>
      <c r="CQ23">
        <v>49.568290322580602</v>
      </c>
      <c r="CR23">
        <v>50.9695161290323</v>
      </c>
      <c r="CS23">
        <v>2158.42903225806</v>
      </c>
      <c r="CT23">
        <v>39.56</v>
      </c>
      <c r="CU23">
        <v>0</v>
      </c>
      <c r="CV23">
        <v>139.90000009536701</v>
      </c>
      <c r="CW23">
        <v>765.492730769231</v>
      </c>
      <c r="CX23">
        <v>14.711282040707699</v>
      </c>
      <c r="CY23">
        <v>342.07179508367301</v>
      </c>
      <c r="CZ23">
        <v>17562.0846153846</v>
      </c>
      <c r="DA23">
        <v>15</v>
      </c>
      <c r="DB23">
        <v>1561662904</v>
      </c>
      <c r="DC23" t="s">
        <v>318</v>
      </c>
      <c r="DD23">
        <v>90</v>
      </c>
      <c r="DE23">
        <v>0.48599999999999999</v>
      </c>
      <c r="DF23">
        <v>2.5000000000000001E-2</v>
      </c>
      <c r="DG23">
        <v>400</v>
      </c>
      <c r="DH23">
        <v>8</v>
      </c>
      <c r="DI23">
        <v>0.06</v>
      </c>
      <c r="DJ23">
        <v>0.01</v>
      </c>
      <c r="DK23">
        <v>35.422388670249703</v>
      </c>
      <c r="DL23">
        <v>1.30810764315421</v>
      </c>
      <c r="DM23">
        <v>0.25712837532730098</v>
      </c>
      <c r="DN23">
        <v>0</v>
      </c>
      <c r="DO23">
        <v>353.41428767123301</v>
      </c>
      <c r="DP23">
        <v>-1.57390596075544</v>
      </c>
      <c r="DQ23">
        <v>0.27865560220911001</v>
      </c>
      <c r="DR23">
        <v>1</v>
      </c>
      <c r="DS23">
        <v>0.60516777544673805</v>
      </c>
      <c r="DT23">
        <v>2.4202021933569799E-2</v>
      </c>
      <c r="DU23">
        <v>7.5282109101459998E-3</v>
      </c>
      <c r="DV23">
        <v>1</v>
      </c>
      <c r="DW23">
        <v>2</v>
      </c>
      <c r="DX23">
        <v>3</v>
      </c>
      <c r="DY23" t="s">
        <v>283</v>
      </c>
      <c r="DZ23">
        <v>1.86707</v>
      </c>
      <c r="EA23">
        <v>1.8635600000000001</v>
      </c>
      <c r="EB23">
        <v>1.8691899999999999</v>
      </c>
      <c r="EC23">
        <v>1.86707</v>
      </c>
      <c r="ED23">
        <v>1.87178</v>
      </c>
      <c r="EE23">
        <v>1.8641700000000001</v>
      </c>
      <c r="EF23">
        <v>1.8655600000000001</v>
      </c>
      <c r="EG23">
        <v>1.86554</v>
      </c>
      <c r="EH23" t="s">
        <v>284</v>
      </c>
      <c r="EI23" t="s">
        <v>19</v>
      </c>
      <c r="EJ23" t="s">
        <v>19</v>
      </c>
      <c r="EK23" t="s">
        <v>19</v>
      </c>
      <c r="EL23" t="s">
        <v>285</v>
      </c>
      <c r="EM23" t="s">
        <v>286</v>
      </c>
      <c r="EN23" t="s">
        <v>287</v>
      </c>
      <c r="EO23" t="s">
        <v>287</v>
      </c>
      <c r="EP23" t="s">
        <v>287</v>
      </c>
      <c r="EQ23" t="s">
        <v>287</v>
      </c>
      <c r="ER23">
        <v>0</v>
      </c>
      <c r="ES23">
        <v>100</v>
      </c>
      <c r="ET23">
        <v>100</v>
      </c>
      <c r="EU23">
        <v>0.48599999999999999</v>
      </c>
      <c r="EV23">
        <v>2.5000000000000001E-2</v>
      </c>
      <c r="EW23">
        <v>2</v>
      </c>
      <c r="EX23">
        <v>510.83300000000003</v>
      </c>
      <c r="EY23">
        <v>437.47399999999999</v>
      </c>
      <c r="EZ23">
        <v>18.789300000000001</v>
      </c>
      <c r="FA23">
        <v>37.689</v>
      </c>
      <c r="FB23">
        <v>30.0002</v>
      </c>
      <c r="FC23">
        <v>37.632399999999997</v>
      </c>
      <c r="FD23">
        <v>37.609099999999998</v>
      </c>
      <c r="FE23">
        <v>22.205400000000001</v>
      </c>
      <c r="FF23">
        <v>78.934399999999997</v>
      </c>
      <c r="FG23">
        <v>0</v>
      </c>
      <c r="FH23">
        <v>17.3095</v>
      </c>
      <c r="FI23">
        <v>400</v>
      </c>
      <c r="FJ23">
        <v>7.8270600000000004</v>
      </c>
      <c r="FK23">
        <v>100.02500000000001</v>
      </c>
      <c r="FL23">
        <v>100.30200000000001</v>
      </c>
    </row>
    <row r="24" spans="1:168" x14ac:dyDescent="0.35">
      <c r="A24">
        <v>9</v>
      </c>
      <c r="B24">
        <v>1561663092</v>
      </c>
      <c r="C24">
        <v>1054.0999999046301</v>
      </c>
      <c r="D24" t="s">
        <v>319</v>
      </c>
      <c r="E24" t="s">
        <v>320</v>
      </c>
      <c r="F24" t="s">
        <v>277</v>
      </c>
      <c r="G24" t="s">
        <v>278</v>
      </c>
      <c r="H24" t="s">
        <v>277</v>
      </c>
      <c r="J24" t="s">
        <v>277</v>
      </c>
      <c r="K24">
        <v>1561663084</v>
      </c>
      <c r="L24">
        <f t="shared" si="0"/>
        <v>1.0333786696390235E-2</v>
      </c>
      <c r="M24">
        <f t="shared" si="1"/>
        <v>43.730149150309337</v>
      </c>
      <c r="N24">
        <f t="shared" si="2"/>
        <v>442.06783870967701</v>
      </c>
      <c r="O24">
        <f t="shared" si="3"/>
        <v>313.71739112281978</v>
      </c>
      <c r="P24">
        <f t="shared" si="4"/>
        <v>31.287676930287972</v>
      </c>
      <c r="Q24">
        <f t="shared" si="5"/>
        <v>44.088329529057276</v>
      </c>
      <c r="R24">
        <f t="shared" si="6"/>
        <v>0.67787745801505717</v>
      </c>
      <c r="S24">
        <f t="shared" si="7"/>
        <v>2.2544583852910591</v>
      </c>
      <c r="T24">
        <f t="shared" si="8"/>
        <v>0.58183063115236311</v>
      </c>
      <c r="U24">
        <f t="shared" si="9"/>
        <v>0.37113396737287796</v>
      </c>
      <c r="V24">
        <f t="shared" si="10"/>
        <v>353.34208485354196</v>
      </c>
      <c r="W24">
        <f t="shared" si="11"/>
        <v>25.807600812220311</v>
      </c>
      <c r="X24">
        <f t="shared" si="12"/>
        <v>27.377890322580701</v>
      </c>
      <c r="Y24">
        <f t="shared" si="13"/>
        <v>3.6593708355140224</v>
      </c>
      <c r="Z24">
        <f t="shared" si="14"/>
        <v>55.505204021217693</v>
      </c>
      <c r="AA24">
        <f t="shared" si="15"/>
        <v>1.9377530957177591</v>
      </c>
      <c r="AB24">
        <f t="shared" si="16"/>
        <v>3.4911196704673388</v>
      </c>
      <c r="AC24">
        <f t="shared" si="17"/>
        <v>1.7216177397962633</v>
      </c>
      <c r="AD24">
        <f t="shared" si="18"/>
        <v>-455.71999331080934</v>
      </c>
      <c r="AE24">
        <f t="shared" si="19"/>
        <v>-97.388364793690286</v>
      </c>
      <c r="AF24">
        <f t="shared" si="20"/>
        <v>-9.3205558382041271</v>
      </c>
      <c r="AG24">
        <f t="shared" si="21"/>
        <v>-209.08682908916182</v>
      </c>
      <c r="AH24">
        <v>-4.1303881200373198E-2</v>
      </c>
      <c r="AI24">
        <v>4.6367225066145698E-2</v>
      </c>
      <c r="AJ24">
        <v>3.4631947581076199</v>
      </c>
      <c r="AK24">
        <v>0</v>
      </c>
      <c r="AL24">
        <v>0</v>
      </c>
      <c r="AM24">
        <f t="shared" si="22"/>
        <v>1</v>
      </c>
      <c r="AN24">
        <f t="shared" si="23"/>
        <v>0</v>
      </c>
      <c r="AO24">
        <f t="shared" si="24"/>
        <v>52743.995235038768</v>
      </c>
      <c r="AP24" t="s">
        <v>279</v>
      </c>
      <c r="AQ24">
        <v>585.08461538461495</v>
      </c>
      <c r="AR24">
        <v>3491.65</v>
      </c>
      <c r="AS24">
        <f t="shared" si="25"/>
        <v>2906.565384615385</v>
      </c>
      <c r="AT24">
        <f t="shared" si="26"/>
        <v>0.83243320052564973</v>
      </c>
      <c r="AU24">
        <v>-24.085636743186001</v>
      </c>
      <c r="AV24" t="s">
        <v>321</v>
      </c>
      <c r="AW24">
        <v>798.56911538461497</v>
      </c>
      <c r="AX24">
        <v>1181.07</v>
      </c>
      <c r="AY24">
        <f t="shared" si="27"/>
        <v>0.32385962272802205</v>
      </c>
      <c r="AZ24">
        <v>0.5</v>
      </c>
      <c r="BA24">
        <f t="shared" si="28"/>
        <v>1849.191977446332</v>
      </c>
      <c r="BB24">
        <f t="shared" si="29"/>
        <v>43.730149150309337</v>
      </c>
      <c r="BC24">
        <f t="shared" si="30"/>
        <v>299.43930808372704</v>
      </c>
      <c r="BD24">
        <f t="shared" si="31"/>
        <v>0.53567527750260358</v>
      </c>
      <c r="BE24">
        <f t="shared" si="32"/>
        <v>3.6673199278717671E-2</v>
      </c>
      <c r="BF24">
        <f t="shared" si="33"/>
        <v>1.9563446705106387</v>
      </c>
      <c r="BG24" t="s">
        <v>322</v>
      </c>
      <c r="BH24">
        <v>548.4</v>
      </c>
      <c r="BI24">
        <f t="shared" si="34"/>
        <v>632.66999999999996</v>
      </c>
      <c r="BJ24">
        <f t="shared" si="35"/>
        <v>0.60458198526148699</v>
      </c>
      <c r="BK24">
        <f t="shared" si="36"/>
        <v>0.78504374416036693</v>
      </c>
      <c r="BL24">
        <f t="shared" si="37"/>
        <v>0.64179574615278401</v>
      </c>
      <c r="BM24">
        <f t="shared" si="38"/>
        <v>0.79495201182468855</v>
      </c>
      <c r="BN24">
        <f t="shared" si="39"/>
        <v>2200.0058064516102</v>
      </c>
      <c r="BO24">
        <f t="shared" si="40"/>
        <v>1849.191977446332</v>
      </c>
      <c r="BP24">
        <f t="shared" si="41"/>
        <v>0.84053958949721774</v>
      </c>
      <c r="BQ24">
        <f t="shared" si="42"/>
        <v>0.19107917899443558</v>
      </c>
      <c r="BR24">
        <v>1561663084</v>
      </c>
      <c r="BS24">
        <v>442.06783870967701</v>
      </c>
      <c r="BT24">
        <v>500.023741935484</v>
      </c>
      <c r="BU24">
        <v>19.4295935483871</v>
      </c>
      <c r="BV24">
        <v>7.2704396774193496</v>
      </c>
      <c r="BW24">
        <v>500.01861290322603</v>
      </c>
      <c r="BX24">
        <v>99.632064516129006</v>
      </c>
      <c r="BY24">
        <v>9.9980361290322603E-2</v>
      </c>
      <c r="BZ24">
        <v>26.576619354838702</v>
      </c>
      <c r="CA24">
        <v>27.377890322580701</v>
      </c>
      <c r="CB24">
        <v>999.9</v>
      </c>
      <c r="CC24">
        <v>9997.4158064516105</v>
      </c>
      <c r="CD24">
        <v>0</v>
      </c>
      <c r="CE24">
        <v>181.359580645161</v>
      </c>
      <c r="CF24">
        <v>2200.0058064516102</v>
      </c>
      <c r="CG24">
        <v>0.98199809677419303</v>
      </c>
      <c r="CH24">
        <v>1.8001929032258099E-2</v>
      </c>
      <c r="CI24">
        <v>0</v>
      </c>
      <c r="CJ24">
        <v>798.56003225806501</v>
      </c>
      <c r="CK24">
        <v>1.9999499999999999</v>
      </c>
      <c r="CL24">
        <v>18334.661290322601</v>
      </c>
      <c r="CM24">
        <v>17938.303225806401</v>
      </c>
      <c r="CN24">
        <v>50.104612903225799</v>
      </c>
      <c r="CO24">
        <v>50.457322580645098</v>
      </c>
      <c r="CP24">
        <v>50.025935483871002</v>
      </c>
      <c r="CQ24">
        <v>49.75</v>
      </c>
      <c r="CR24">
        <v>51.012</v>
      </c>
      <c r="CS24">
        <v>2158.43580645161</v>
      </c>
      <c r="CT24">
        <v>39.57</v>
      </c>
      <c r="CU24">
        <v>0</v>
      </c>
      <c r="CV24">
        <v>121.799999952316</v>
      </c>
      <c r="CW24">
        <v>798.56911538461497</v>
      </c>
      <c r="CX24">
        <v>5.7066325011877703</v>
      </c>
      <c r="CY24">
        <v>121.22051292545</v>
      </c>
      <c r="CZ24">
        <v>18335.25</v>
      </c>
      <c r="DA24">
        <v>15</v>
      </c>
      <c r="DB24">
        <v>1561663046</v>
      </c>
      <c r="DC24" t="s">
        <v>323</v>
      </c>
      <c r="DD24">
        <v>91</v>
      </c>
      <c r="DE24">
        <v>0.59</v>
      </c>
      <c r="DF24">
        <v>1.7000000000000001E-2</v>
      </c>
      <c r="DG24">
        <v>500</v>
      </c>
      <c r="DH24">
        <v>8</v>
      </c>
      <c r="DI24">
        <v>0.03</v>
      </c>
      <c r="DJ24">
        <v>0.01</v>
      </c>
      <c r="DK24">
        <v>43.684468820451499</v>
      </c>
      <c r="DL24">
        <v>0.246823689269041</v>
      </c>
      <c r="DM24">
        <v>0.231456521674963</v>
      </c>
      <c r="DN24">
        <v>1</v>
      </c>
      <c r="DO24">
        <v>442.183438356164</v>
      </c>
      <c r="DP24">
        <v>-0.60601258793042401</v>
      </c>
      <c r="DQ24">
        <v>0.109201709342509</v>
      </c>
      <c r="DR24">
        <v>1</v>
      </c>
      <c r="DS24">
        <v>0.66602755002298197</v>
      </c>
      <c r="DT24">
        <v>7.69807812144543E-2</v>
      </c>
      <c r="DU24">
        <v>1.9043047839927E-2</v>
      </c>
      <c r="DV24">
        <v>1</v>
      </c>
      <c r="DW24">
        <v>3</v>
      </c>
      <c r="DX24">
        <v>3</v>
      </c>
      <c r="DY24" t="s">
        <v>298</v>
      </c>
      <c r="DZ24">
        <v>1.8670599999999999</v>
      </c>
      <c r="EA24">
        <v>1.8635600000000001</v>
      </c>
      <c r="EB24">
        <v>1.8691800000000001</v>
      </c>
      <c r="EC24">
        <v>1.8670800000000001</v>
      </c>
      <c r="ED24">
        <v>1.8717900000000001</v>
      </c>
      <c r="EE24">
        <v>1.8641700000000001</v>
      </c>
      <c r="EF24">
        <v>1.86554</v>
      </c>
      <c r="EG24">
        <v>1.86554</v>
      </c>
      <c r="EH24" t="s">
        <v>284</v>
      </c>
      <c r="EI24" t="s">
        <v>19</v>
      </c>
      <c r="EJ24" t="s">
        <v>19</v>
      </c>
      <c r="EK24" t="s">
        <v>19</v>
      </c>
      <c r="EL24" t="s">
        <v>285</v>
      </c>
      <c r="EM24" t="s">
        <v>286</v>
      </c>
      <c r="EN24" t="s">
        <v>287</v>
      </c>
      <c r="EO24" t="s">
        <v>287</v>
      </c>
      <c r="EP24" t="s">
        <v>287</v>
      </c>
      <c r="EQ24" t="s">
        <v>287</v>
      </c>
      <c r="ER24">
        <v>0</v>
      </c>
      <c r="ES24">
        <v>100</v>
      </c>
      <c r="ET24">
        <v>100</v>
      </c>
      <c r="EU24">
        <v>0.59</v>
      </c>
      <c r="EV24">
        <v>1.7000000000000001E-2</v>
      </c>
      <c r="EW24">
        <v>2</v>
      </c>
      <c r="EX24">
        <v>510.66</v>
      </c>
      <c r="EY24">
        <v>436.68599999999998</v>
      </c>
      <c r="EZ24">
        <v>18.977699999999999</v>
      </c>
      <c r="FA24">
        <v>37.736600000000003</v>
      </c>
      <c r="FB24">
        <v>30.000499999999999</v>
      </c>
      <c r="FC24">
        <v>37.661499999999997</v>
      </c>
      <c r="FD24">
        <v>37.6342</v>
      </c>
      <c r="FE24">
        <v>26.535900000000002</v>
      </c>
      <c r="FF24">
        <v>80.7059</v>
      </c>
      <c r="FG24">
        <v>0</v>
      </c>
      <c r="FH24">
        <v>17.491499999999998</v>
      </c>
      <c r="FI24">
        <v>500</v>
      </c>
      <c r="FJ24">
        <v>7.0698400000000001</v>
      </c>
      <c r="FK24">
        <v>100.01300000000001</v>
      </c>
      <c r="FL24">
        <v>100.285</v>
      </c>
    </row>
    <row r="25" spans="1:168" x14ac:dyDescent="0.35">
      <c r="A25">
        <v>10</v>
      </c>
      <c r="B25">
        <v>1561663232.5</v>
      </c>
      <c r="C25">
        <v>1194.5999999046301</v>
      </c>
      <c r="D25" t="s">
        <v>324</v>
      </c>
      <c r="E25" t="s">
        <v>325</v>
      </c>
      <c r="F25" t="s">
        <v>277</v>
      </c>
      <c r="G25" t="s">
        <v>278</v>
      </c>
      <c r="H25" t="s">
        <v>277</v>
      </c>
      <c r="J25" t="s">
        <v>277</v>
      </c>
      <c r="K25">
        <v>1561663224.5</v>
      </c>
      <c r="L25">
        <f t="shared" si="0"/>
        <v>1.0223588268620996E-2</v>
      </c>
      <c r="M25">
        <f t="shared" si="1"/>
        <v>47.63299668774382</v>
      </c>
      <c r="N25">
        <f t="shared" si="2"/>
        <v>536.23954838709699</v>
      </c>
      <c r="O25">
        <f t="shared" si="3"/>
        <v>393.60385106690069</v>
      </c>
      <c r="P25">
        <f t="shared" si="4"/>
        <v>39.254579505756801</v>
      </c>
      <c r="Q25">
        <f t="shared" si="5"/>
        <v>53.47980699181366</v>
      </c>
      <c r="R25">
        <f t="shared" si="6"/>
        <v>0.6697990924374847</v>
      </c>
      <c r="S25">
        <f t="shared" si="7"/>
        <v>2.2556516241095608</v>
      </c>
      <c r="T25">
        <f t="shared" si="8"/>
        <v>0.57590137316534729</v>
      </c>
      <c r="U25">
        <f t="shared" si="9"/>
        <v>0.36727246900403088</v>
      </c>
      <c r="V25">
        <f t="shared" si="10"/>
        <v>353.3335900458286</v>
      </c>
      <c r="W25">
        <f t="shared" si="11"/>
        <v>25.779915367403241</v>
      </c>
      <c r="X25">
        <f t="shared" si="12"/>
        <v>27.2510096774194</v>
      </c>
      <c r="Y25">
        <f t="shared" si="13"/>
        <v>3.6322659182231178</v>
      </c>
      <c r="Z25">
        <f t="shared" si="14"/>
        <v>54.947398072049936</v>
      </c>
      <c r="AA25">
        <f t="shared" si="15"/>
        <v>1.9110084806418983</v>
      </c>
      <c r="AB25">
        <f t="shared" si="16"/>
        <v>3.4778871205804558</v>
      </c>
      <c r="AC25">
        <f t="shared" si="17"/>
        <v>1.7212574375812195</v>
      </c>
      <c r="AD25">
        <f t="shared" si="18"/>
        <v>-450.8602426461859</v>
      </c>
      <c r="AE25">
        <f t="shared" si="19"/>
        <v>-89.84655335404635</v>
      </c>
      <c r="AF25">
        <f t="shared" si="20"/>
        <v>-8.5859963570381268</v>
      </c>
      <c r="AG25">
        <f t="shared" si="21"/>
        <v>-195.9592023114418</v>
      </c>
      <c r="AH25">
        <v>-4.1336070367445597E-2</v>
      </c>
      <c r="AI25">
        <v>4.6403360226110302E-2</v>
      </c>
      <c r="AJ25">
        <v>3.46532999598094</v>
      </c>
      <c r="AK25">
        <v>0</v>
      </c>
      <c r="AL25">
        <v>0</v>
      </c>
      <c r="AM25">
        <f t="shared" si="22"/>
        <v>1</v>
      </c>
      <c r="AN25">
        <f t="shared" si="23"/>
        <v>0</v>
      </c>
      <c r="AO25">
        <f t="shared" si="24"/>
        <v>52794.754971360861</v>
      </c>
      <c r="AP25" t="s">
        <v>279</v>
      </c>
      <c r="AQ25">
        <v>585.08461538461495</v>
      </c>
      <c r="AR25">
        <v>3491.65</v>
      </c>
      <c r="AS25">
        <f t="shared" si="25"/>
        <v>2906.565384615385</v>
      </c>
      <c r="AT25">
        <f t="shared" si="26"/>
        <v>0.83243320052564973</v>
      </c>
      <c r="AU25">
        <v>-24.085636743186001</v>
      </c>
      <c r="AV25" t="s">
        <v>326</v>
      </c>
      <c r="AW25">
        <v>793.37084615384595</v>
      </c>
      <c r="AX25">
        <v>1168.28</v>
      </c>
      <c r="AY25">
        <f t="shared" si="27"/>
        <v>0.32090693484965427</v>
      </c>
      <c r="AZ25">
        <v>0.5</v>
      </c>
      <c r="BA25">
        <f t="shared" si="28"/>
        <v>1849.1472677689146</v>
      </c>
      <c r="BB25">
        <f t="shared" si="29"/>
        <v>47.63299668774382</v>
      </c>
      <c r="BC25">
        <f t="shared" si="30"/>
        <v>296.70209089266763</v>
      </c>
      <c r="BD25">
        <f t="shared" si="31"/>
        <v>0.53949395692813362</v>
      </c>
      <c r="BE25">
        <f t="shared" si="32"/>
        <v>3.878470616213376E-2</v>
      </c>
      <c r="BF25">
        <f t="shared" si="33"/>
        <v>1.9887098983120484</v>
      </c>
      <c r="BG25" t="s">
        <v>327</v>
      </c>
      <c r="BH25">
        <v>538</v>
      </c>
      <c r="BI25">
        <f t="shared" si="34"/>
        <v>630.28</v>
      </c>
      <c r="BJ25">
        <f t="shared" si="35"/>
        <v>0.59482952631553287</v>
      </c>
      <c r="BK25">
        <f t="shared" si="36"/>
        <v>0.78660978788956026</v>
      </c>
      <c r="BL25">
        <f t="shared" si="37"/>
        <v>0.64285343083331337</v>
      </c>
      <c r="BM25">
        <f t="shared" si="38"/>
        <v>0.79935239451268791</v>
      </c>
      <c r="BN25">
        <f t="shared" si="39"/>
        <v>2199.9525806451602</v>
      </c>
      <c r="BO25">
        <f t="shared" si="40"/>
        <v>1849.1472677689146</v>
      </c>
      <c r="BP25">
        <f t="shared" si="41"/>
        <v>0.84053960255208404</v>
      </c>
      <c r="BQ25">
        <f t="shared" si="42"/>
        <v>0.19107920510416818</v>
      </c>
      <c r="BR25">
        <v>1561663224.5</v>
      </c>
      <c r="BS25">
        <v>536.23954838709699</v>
      </c>
      <c r="BT25">
        <v>599.97393548387095</v>
      </c>
      <c r="BU25">
        <v>19.161593548387099</v>
      </c>
      <c r="BV25">
        <v>7.1291154838709696</v>
      </c>
      <c r="BW25">
        <v>500.03106451612899</v>
      </c>
      <c r="BX25">
        <v>99.631183870967803</v>
      </c>
      <c r="BY25">
        <v>0.100003716129032</v>
      </c>
      <c r="BZ25">
        <v>26.512180645161301</v>
      </c>
      <c r="CA25">
        <v>27.2510096774194</v>
      </c>
      <c r="CB25">
        <v>999.9</v>
      </c>
      <c r="CC25">
        <v>10005.295483870999</v>
      </c>
      <c r="CD25">
        <v>0</v>
      </c>
      <c r="CE25">
        <v>177.862129032258</v>
      </c>
      <c r="CF25">
        <v>2199.9525806451602</v>
      </c>
      <c r="CG25">
        <v>0.98199783870967705</v>
      </c>
      <c r="CH25">
        <v>1.8002251612903201E-2</v>
      </c>
      <c r="CI25">
        <v>0</v>
      </c>
      <c r="CJ25">
        <v>793.37035483871</v>
      </c>
      <c r="CK25">
        <v>1.9999499999999999</v>
      </c>
      <c r="CL25">
        <v>18237.183870967699</v>
      </c>
      <c r="CM25">
        <v>17937.8516129032</v>
      </c>
      <c r="CN25">
        <v>50.125</v>
      </c>
      <c r="CO25">
        <v>50.521999999999998</v>
      </c>
      <c r="CP25">
        <v>50.186999999999998</v>
      </c>
      <c r="CQ25">
        <v>49.753999999999998</v>
      </c>
      <c r="CR25">
        <v>51.003999999999998</v>
      </c>
      <c r="CS25">
        <v>2158.38258064516</v>
      </c>
      <c r="CT25">
        <v>39.57</v>
      </c>
      <c r="CU25">
        <v>0</v>
      </c>
      <c r="CV25">
        <v>139.700000047684</v>
      </c>
      <c r="CW25">
        <v>793.37084615384595</v>
      </c>
      <c r="CX25">
        <v>-6.93798291407116</v>
      </c>
      <c r="CY25">
        <v>-151.03589727643799</v>
      </c>
      <c r="CZ25">
        <v>18236.738461538502</v>
      </c>
      <c r="DA25">
        <v>15</v>
      </c>
      <c r="DB25">
        <v>1561663173</v>
      </c>
      <c r="DC25" t="s">
        <v>328</v>
      </c>
      <c r="DD25">
        <v>92</v>
      </c>
      <c r="DE25">
        <v>0.72899999999999998</v>
      </c>
      <c r="DF25">
        <v>1.4E-2</v>
      </c>
      <c r="DG25">
        <v>600</v>
      </c>
      <c r="DH25">
        <v>7</v>
      </c>
      <c r="DI25">
        <v>0.02</v>
      </c>
      <c r="DJ25">
        <v>0.01</v>
      </c>
      <c r="DK25">
        <v>47.786236416861101</v>
      </c>
      <c r="DL25">
        <v>-0.67283932118512102</v>
      </c>
      <c r="DM25">
        <v>0.13570060538568701</v>
      </c>
      <c r="DN25">
        <v>0</v>
      </c>
      <c r="DO25">
        <v>536.11013698630097</v>
      </c>
      <c r="DP25">
        <v>0.67730470196216297</v>
      </c>
      <c r="DQ25">
        <v>0.121124221876404</v>
      </c>
      <c r="DR25">
        <v>1</v>
      </c>
      <c r="DS25">
        <v>0.67414593967754199</v>
      </c>
      <c r="DT25">
        <v>-1.56559247931457E-2</v>
      </c>
      <c r="DU25">
        <v>4.1791067103936199E-3</v>
      </c>
      <c r="DV25">
        <v>1</v>
      </c>
      <c r="DW25">
        <v>2</v>
      </c>
      <c r="DX25">
        <v>3</v>
      </c>
      <c r="DY25" t="s">
        <v>283</v>
      </c>
      <c r="DZ25">
        <v>1.8670500000000001</v>
      </c>
      <c r="EA25">
        <v>1.8635600000000001</v>
      </c>
      <c r="EB25">
        <v>1.8691800000000001</v>
      </c>
      <c r="EC25">
        <v>1.8670800000000001</v>
      </c>
      <c r="ED25">
        <v>1.8717600000000001</v>
      </c>
      <c r="EE25">
        <v>1.8641700000000001</v>
      </c>
      <c r="EF25">
        <v>1.86554</v>
      </c>
      <c r="EG25">
        <v>1.8655299999999999</v>
      </c>
      <c r="EH25" t="s">
        <v>284</v>
      </c>
      <c r="EI25" t="s">
        <v>19</v>
      </c>
      <c r="EJ25" t="s">
        <v>19</v>
      </c>
      <c r="EK25" t="s">
        <v>19</v>
      </c>
      <c r="EL25" t="s">
        <v>285</v>
      </c>
      <c r="EM25" t="s">
        <v>286</v>
      </c>
      <c r="EN25" t="s">
        <v>287</v>
      </c>
      <c r="EO25" t="s">
        <v>287</v>
      </c>
      <c r="EP25" t="s">
        <v>287</v>
      </c>
      <c r="EQ25" t="s">
        <v>287</v>
      </c>
      <c r="ER25">
        <v>0</v>
      </c>
      <c r="ES25">
        <v>100</v>
      </c>
      <c r="ET25">
        <v>100</v>
      </c>
      <c r="EU25">
        <v>0.72899999999999998</v>
      </c>
      <c r="EV25">
        <v>1.4E-2</v>
      </c>
      <c r="EW25">
        <v>2</v>
      </c>
      <c r="EX25">
        <v>510.59</v>
      </c>
      <c r="EY25">
        <v>435.85500000000002</v>
      </c>
      <c r="EZ25">
        <v>19.0063</v>
      </c>
      <c r="FA25">
        <v>37.866500000000002</v>
      </c>
      <c r="FB25">
        <v>30.000399999999999</v>
      </c>
      <c r="FC25">
        <v>37.757800000000003</v>
      </c>
      <c r="FD25">
        <v>37.728700000000003</v>
      </c>
      <c r="FE25">
        <v>30.728200000000001</v>
      </c>
      <c r="FF25">
        <v>80.477000000000004</v>
      </c>
      <c r="FG25">
        <v>0</v>
      </c>
      <c r="FH25">
        <v>17.261399999999998</v>
      </c>
      <c r="FI25">
        <v>600</v>
      </c>
      <c r="FJ25">
        <v>7.2097300000000004</v>
      </c>
      <c r="FK25">
        <v>99.984899999999996</v>
      </c>
      <c r="FL25">
        <v>100.25700000000001</v>
      </c>
    </row>
    <row r="26" spans="1:168" x14ac:dyDescent="0.35">
      <c r="A26">
        <v>11</v>
      </c>
      <c r="B26">
        <v>1561663373</v>
      </c>
      <c r="C26">
        <v>1335.0999999046301</v>
      </c>
      <c r="D26" t="s">
        <v>329</v>
      </c>
      <c r="E26" t="s">
        <v>330</v>
      </c>
      <c r="F26" t="s">
        <v>277</v>
      </c>
      <c r="G26" t="s">
        <v>278</v>
      </c>
      <c r="H26" t="s">
        <v>277</v>
      </c>
      <c r="J26" t="s">
        <v>277</v>
      </c>
      <c r="K26">
        <v>1561663365</v>
      </c>
      <c r="L26">
        <f t="shared" si="0"/>
        <v>9.9986411850685047E-3</v>
      </c>
      <c r="M26">
        <f t="shared" si="1"/>
        <v>50.293493382950274</v>
      </c>
      <c r="N26">
        <f t="shared" si="2"/>
        <v>730.90148387096804</v>
      </c>
      <c r="O26">
        <f t="shared" si="3"/>
        <v>569.19148832399537</v>
      </c>
      <c r="P26">
        <f t="shared" si="4"/>
        <v>56.765695569129555</v>
      </c>
      <c r="Q26">
        <f t="shared" si="5"/>
        <v>72.893098325510095</v>
      </c>
      <c r="R26">
        <f t="shared" si="6"/>
        <v>0.63667663904525096</v>
      </c>
      <c r="S26">
        <f t="shared" si="7"/>
        <v>2.2546080176363339</v>
      </c>
      <c r="T26">
        <f t="shared" si="8"/>
        <v>0.55117152794100532</v>
      </c>
      <c r="U26">
        <f t="shared" si="9"/>
        <v>0.35120324355309679</v>
      </c>
      <c r="V26">
        <f t="shared" si="10"/>
        <v>353.34260436345136</v>
      </c>
      <c r="W26">
        <f t="shared" si="11"/>
        <v>26.148244944368699</v>
      </c>
      <c r="X26">
        <f t="shared" si="12"/>
        <v>27.5072451612903</v>
      </c>
      <c r="Y26">
        <f t="shared" si="13"/>
        <v>3.6871858590233377</v>
      </c>
      <c r="Z26">
        <f t="shared" si="14"/>
        <v>54.511644336910614</v>
      </c>
      <c r="AA26">
        <f t="shared" si="15"/>
        <v>1.9289461739547313</v>
      </c>
      <c r="AB26">
        <f t="shared" si="16"/>
        <v>3.5385947303897676</v>
      </c>
      <c r="AC26">
        <f t="shared" si="17"/>
        <v>1.7582396850686064</v>
      </c>
      <c r="AD26">
        <f t="shared" si="18"/>
        <v>-440.94007626152109</v>
      </c>
      <c r="AE26">
        <f t="shared" si="19"/>
        <v>-85.22841503862702</v>
      </c>
      <c r="AF26">
        <f t="shared" si="20"/>
        <v>-8.170885077635976</v>
      </c>
      <c r="AG26">
        <f t="shared" si="21"/>
        <v>-180.99677201433275</v>
      </c>
      <c r="AH26">
        <v>-4.1307916877512202E-2</v>
      </c>
      <c r="AI26">
        <v>4.6371755467278897E-2</v>
      </c>
      <c r="AJ26">
        <v>3.4634624924230999</v>
      </c>
      <c r="AK26">
        <v>0</v>
      </c>
      <c r="AL26">
        <v>0</v>
      </c>
      <c r="AM26">
        <f t="shared" si="22"/>
        <v>1</v>
      </c>
      <c r="AN26">
        <f t="shared" si="23"/>
        <v>0</v>
      </c>
      <c r="AO26">
        <f t="shared" si="24"/>
        <v>52708.531689320676</v>
      </c>
      <c r="AP26" t="s">
        <v>279</v>
      </c>
      <c r="AQ26">
        <v>585.08461538461495</v>
      </c>
      <c r="AR26">
        <v>3491.65</v>
      </c>
      <c r="AS26">
        <f t="shared" si="25"/>
        <v>2906.565384615385</v>
      </c>
      <c r="AT26">
        <f t="shared" si="26"/>
        <v>0.83243320052564973</v>
      </c>
      <c r="AU26">
        <v>-24.085636743186001</v>
      </c>
      <c r="AV26" t="s">
        <v>331</v>
      </c>
      <c r="AW26">
        <v>765.40815384615405</v>
      </c>
      <c r="AX26">
        <v>1093.72</v>
      </c>
      <c r="AY26">
        <f t="shared" si="27"/>
        <v>0.30017906425213581</v>
      </c>
      <c r="AZ26">
        <v>0.5</v>
      </c>
      <c r="BA26">
        <f t="shared" si="28"/>
        <v>1849.197367768907</v>
      </c>
      <c r="BB26">
        <f t="shared" si="29"/>
        <v>50.293493382950274</v>
      </c>
      <c r="BC26">
        <f t="shared" si="30"/>
        <v>277.5451677371916</v>
      </c>
      <c r="BD26">
        <f t="shared" si="31"/>
        <v>0.51614672859598432</v>
      </c>
      <c r="BE26">
        <f t="shared" si="32"/>
        <v>4.0222385897010091E-2</v>
      </c>
      <c r="BF26">
        <f t="shared" si="33"/>
        <v>2.192453278718502</v>
      </c>
      <c r="BG26" t="s">
        <v>332</v>
      </c>
      <c r="BH26">
        <v>529.20000000000005</v>
      </c>
      <c r="BI26">
        <f t="shared" si="34"/>
        <v>564.52</v>
      </c>
      <c r="BJ26">
        <f t="shared" si="35"/>
        <v>0.58157699665883578</v>
      </c>
      <c r="BK26">
        <f t="shared" si="36"/>
        <v>0.80944150956134298</v>
      </c>
      <c r="BL26">
        <f t="shared" si="37"/>
        <v>0.64547582823421856</v>
      </c>
      <c r="BM26">
        <f t="shared" si="38"/>
        <v>0.82500466450621734</v>
      </c>
      <c r="BN26">
        <f t="shared" si="39"/>
        <v>2200.0125806451601</v>
      </c>
      <c r="BO26">
        <f t="shared" si="40"/>
        <v>1849.197367768907</v>
      </c>
      <c r="BP26">
        <f t="shared" si="41"/>
        <v>0.84053945147287501</v>
      </c>
      <c r="BQ26">
        <f t="shared" si="42"/>
        <v>0.19107890294575</v>
      </c>
      <c r="BR26">
        <v>1561663365</v>
      </c>
      <c r="BS26">
        <v>730.90148387096804</v>
      </c>
      <c r="BT26">
        <v>800.01745161290296</v>
      </c>
      <c r="BU26">
        <v>19.3416064516129</v>
      </c>
      <c r="BV26">
        <v>7.5763006451612904</v>
      </c>
      <c r="BW26">
        <v>500.04232258064502</v>
      </c>
      <c r="BX26">
        <v>99.630367741935501</v>
      </c>
      <c r="BY26">
        <v>0.100033596774194</v>
      </c>
      <c r="BZ26">
        <v>26.8060677419355</v>
      </c>
      <c r="CA26">
        <v>27.5072451612903</v>
      </c>
      <c r="CB26">
        <v>999.9</v>
      </c>
      <c r="CC26">
        <v>9998.5629032258094</v>
      </c>
      <c r="CD26">
        <v>0</v>
      </c>
      <c r="CE26">
        <v>182.083967741935</v>
      </c>
      <c r="CF26">
        <v>2200.0125806451601</v>
      </c>
      <c r="CG26">
        <v>0.98200054838709705</v>
      </c>
      <c r="CH26">
        <v>1.7999509677419399E-2</v>
      </c>
      <c r="CI26">
        <v>0</v>
      </c>
      <c r="CJ26">
        <v>765.61922580645205</v>
      </c>
      <c r="CK26">
        <v>1.9999499999999999</v>
      </c>
      <c r="CL26">
        <v>17619.8129032258</v>
      </c>
      <c r="CM26">
        <v>17938.345161290301</v>
      </c>
      <c r="CN26">
        <v>50.191064516129003</v>
      </c>
      <c r="CO26">
        <v>50.390999999999998</v>
      </c>
      <c r="CP26">
        <v>49.785967741935501</v>
      </c>
      <c r="CQ26">
        <v>49.947225806451598</v>
      </c>
      <c r="CR26">
        <v>51.195129032258002</v>
      </c>
      <c r="CS26">
        <v>2158.4525806451602</v>
      </c>
      <c r="CT26">
        <v>39.56</v>
      </c>
      <c r="CU26">
        <v>0</v>
      </c>
      <c r="CV26">
        <v>140.10000014305101</v>
      </c>
      <c r="CW26">
        <v>765.40815384615405</v>
      </c>
      <c r="CX26">
        <v>-14.5468034320652</v>
      </c>
      <c r="CY26">
        <v>-270.48546996403297</v>
      </c>
      <c r="CZ26">
        <v>17616.503846153799</v>
      </c>
      <c r="DA26">
        <v>15</v>
      </c>
      <c r="DB26">
        <v>1561663310</v>
      </c>
      <c r="DC26" t="s">
        <v>333</v>
      </c>
      <c r="DD26">
        <v>93</v>
      </c>
      <c r="DE26">
        <v>0.90600000000000003</v>
      </c>
      <c r="DF26">
        <v>1.7000000000000001E-2</v>
      </c>
      <c r="DG26">
        <v>800</v>
      </c>
      <c r="DH26">
        <v>7</v>
      </c>
      <c r="DI26">
        <v>0.02</v>
      </c>
      <c r="DJ26">
        <v>0.01</v>
      </c>
      <c r="DK26">
        <v>50.582577030448498</v>
      </c>
      <c r="DL26">
        <v>-1.3292059830720599</v>
      </c>
      <c r="DM26">
        <v>0.25770065887377203</v>
      </c>
      <c r="DN26">
        <v>0</v>
      </c>
      <c r="DO26">
        <v>730.54610958904095</v>
      </c>
      <c r="DP26">
        <v>1.9943539429833199</v>
      </c>
      <c r="DQ26">
        <v>0.351175464929322</v>
      </c>
      <c r="DR26">
        <v>1</v>
      </c>
      <c r="DS26">
        <v>0.64775567045495197</v>
      </c>
      <c r="DT26">
        <v>-5.2592224103468102E-2</v>
      </c>
      <c r="DU26">
        <v>1.0128811131905301E-2</v>
      </c>
      <c r="DV26">
        <v>1</v>
      </c>
      <c r="DW26">
        <v>2</v>
      </c>
      <c r="DX26">
        <v>3</v>
      </c>
      <c r="DY26" t="s">
        <v>283</v>
      </c>
      <c r="DZ26">
        <v>1.8670599999999999</v>
      </c>
      <c r="EA26">
        <v>1.86355</v>
      </c>
      <c r="EB26">
        <v>1.8691800000000001</v>
      </c>
      <c r="EC26">
        <v>1.86707</v>
      </c>
      <c r="ED26">
        <v>1.8717600000000001</v>
      </c>
      <c r="EE26">
        <v>1.8641700000000001</v>
      </c>
      <c r="EF26">
        <v>1.86554</v>
      </c>
      <c r="EG26">
        <v>1.86554</v>
      </c>
      <c r="EH26" t="s">
        <v>284</v>
      </c>
      <c r="EI26" t="s">
        <v>19</v>
      </c>
      <c r="EJ26" t="s">
        <v>19</v>
      </c>
      <c r="EK26" t="s">
        <v>19</v>
      </c>
      <c r="EL26" t="s">
        <v>285</v>
      </c>
      <c r="EM26" t="s">
        <v>286</v>
      </c>
      <c r="EN26" t="s">
        <v>287</v>
      </c>
      <c r="EO26" t="s">
        <v>287</v>
      </c>
      <c r="EP26" t="s">
        <v>287</v>
      </c>
      <c r="EQ26" t="s">
        <v>287</v>
      </c>
      <c r="ER26">
        <v>0</v>
      </c>
      <c r="ES26">
        <v>100</v>
      </c>
      <c r="ET26">
        <v>100</v>
      </c>
      <c r="EU26">
        <v>0.90600000000000003</v>
      </c>
      <c r="EV26">
        <v>1.7000000000000001E-2</v>
      </c>
      <c r="EW26">
        <v>2</v>
      </c>
      <c r="EX26">
        <v>510.44299999999998</v>
      </c>
      <c r="EY26">
        <v>435.46</v>
      </c>
      <c r="EZ26">
        <v>19.079899999999999</v>
      </c>
      <c r="FA26">
        <v>37.962800000000001</v>
      </c>
      <c r="FB26">
        <v>30.000299999999999</v>
      </c>
      <c r="FC26">
        <v>37.851300000000002</v>
      </c>
      <c r="FD26">
        <v>37.817399999999999</v>
      </c>
      <c r="FE26">
        <v>38.790500000000002</v>
      </c>
      <c r="FF26">
        <v>79.532600000000002</v>
      </c>
      <c r="FG26">
        <v>0</v>
      </c>
      <c r="FH26">
        <v>17.4162</v>
      </c>
      <c r="FI26">
        <v>800</v>
      </c>
      <c r="FJ26">
        <v>7.7763099999999996</v>
      </c>
      <c r="FK26">
        <v>99.965599999999995</v>
      </c>
      <c r="FL26">
        <v>100.232</v>
      </c>
    </row>
    <row r="27" spans="1:168" x14ac:dyDescent="0.35">
      <c r="A27">
        <v>12</v>
      </c>
      <c r="B27">
        <v>1561663513.5</v>
      </c>
      <c r="C27">
        <v>1475.5999999046301</v>
      </c>
      <c r="D27" t="s">
        <v>334</v>
      </c>
      <c r="E27" t="s">
        <v>335</v>
      </c>
      <c r="F27" t="s">
        <v>277</v>
      </c>
      <c r="G27" t="s">
        <v>278</v>
      </c>
      <c r="H27" t="s">
        <v>277</v>
      </c>
      <c r="J27" t="s">
        <v>277</v>
      </c>
      <c r="K27">
        <v>1561663505.5</v>
      </c>
      <c r="L27">
        <f t="shared" si="0"/>
        <v>7.4546506006472101E-3</v>
      </c>
      <c r="M27">
        <f t="shared" si="1"/>
        <v>50.989584714253212</v>
      </c>
      <c r="N27">
        <f t="shared" si="2"/>
        <v>930.37974193548405</v>
      </c>
      <c r="O27">
        <f t="shared" si="3"/>
        <v>704.60094357853995</v>
      </c>
      <c r="P27">
        <f t="shared" si="4"/>
        <v>70.267133504900698</v>
      </c>
      <c r="Q27">
        <f t="shared" si="5"/>
        <v>92.783181931047949</v>
      </c>
      <c r="R27">
        <f t="shared" si="6"/>
        <v>0.44198040854321352</v>
      </c>
      <c r="S27">
        <f t="shared" si="7"/>
        <v>2.2551651608534122</v>
      </c>
      <c r="T27">
        <f t="shared" si="8"/>
        <v>0.39889618944027305</v>
      </c>
      <c r="U27">
        <f t="shared" si="9"/>
        <v>0.25283015944953263</v>
      </c>
      <c r="V27">
        <f t="shared" si="10"/>
        <v>353.34059182673144</v>
      </c>
      <c r="W27">
        <f t="shared" si="11"/>
        <v>26.868846256072445</v>
      </c>
      <c r="X27">
        <f t="shared" si="12"/>
        <v>27.648741935483901</v>
      </c>
      <c r="Y27">
        <f t="shared" si="13"/>
        <v>3.7178228778964537</v>
      </c>
      <c r="Z27">
        <f t="shared" si="14"/>
        <v>54.270101930509881</v>
      </c>
      <c r="AA27">
        <f t="shared" si="15"/>
        <v>1.9066769700647621</v>
      </c>
      <c r="AB27">
        <f t="shared" si="16"/>
        <v>3.5133100956879821</v>
      </c>
      <c r="AC27">
        <f t="shared" si="17"/>
        <v>1.8111459078316916</v>
      </c>
      <c r="AD27">
        <f t="shared" si="18"/>
        <v>-328.75009148854195</v>
      </c>
      <c r="AE27">
        <f t="shared" si="19"/>
        <v>-117.26906401509353</v>
      </c>
      <c r="AF27">
        <f t="shared" si="20"/>
        <v>-11.240974922074814</v>
      </c>
      <c r="AG27">
        <f t="shared" si="21"/>
        <v>-103.91953859897887</v>
      </c>
      <c r="AH27">
        <v>-4.1322945517888399E-2</v>
      </c>
      <c r="AI27">
        <v>4.6388626432682399E-2</v>
      </c>
      <c r="AJ27">
        <v>3.4644594409013001</v>
      </c>
      <c r="AK27">
        <v>0</v>
      </c>
      <c r="AL27">
        <v>0</v>
      </c>
      <c r="AM27">
        <f t="shared" si="22"/>
        <v>1</v>
      </c>
      <c r="AN27">
        <f t="shared" si="23"/>
        <v>0</v>
      </c>
      <c r="AO27">
        <f t="shared" si="24"/>
        <v>52748.273458169766</v>
      </c>
      <c r="AP27" t="s">
        <v>279</v>
      </c>
      <c r="AQ27">
        <v>585.08461538461495</v>
      </c>
      <c r="AR27">
        <v>3491.65</v>
      </c>
      <c r="AS27">
        <f t="shared" si="25"/>
        <v>2906.565384615385</v>
      </c>
      <c r="AT27">
        <f t="shared" si="26"/>
        <v>0.83243320052564973</v>
      </c>
      <c r="AU27">
        <v>-24.085636743186001</v>
      </c>
      <c r="AV27" t="s">
        <v>336</v>
      </c>
      <c r="AW27">
        <v>743.32488461538503</v>
      </c>
      <c r="AX27">
        <v>1054.55</v>
      </c>
      <c r="AY27">
        <f t="shared" si="27"/>
        <v>0.29512599249406379</v>
      </c>
      <c r="AZ27">
        <v>0.5</v>
      </c>
      <c r="BA27">
        <f t="shared" si="28"/>
        <v>1849.1841193818152</v>
      </c>
      <c r="BB27">
        <f t="shared" si="29"/>
        <v>50.989584714253212</v>
      </c>
      <c r="BC27">
        <f t="shared" si="30"/>
        <v>272.87114926840979</v>
      </c>
      <c r="BD27">
        <f t="shared" si="31"/>
        <v>0.50595040538618363</v>
      </c>
      <c r="BE27">
        <f t="shared" si="32"/>
        <v>4.0599105665333618E-2</v>
      </c>
      <c r="BF27">
        <f t="shared" si="33"/>
        <v>2.3110331420985259</v>
      </c>
      <c r="BG27" t="s">
        <v>337</v>
      </c>
      <c r="BH27">
        <v>521</v>
      </c>
      <c r="BI27">
        <f t="shared" si="34"/>
        <v>533.54999999999995</v>
      </c>
      <c r="BJ27">
        <f t="shared" si="35"/>
        <v>0.58331012160924922</v>
      </c>
      <c r="BK27">
        <f t="shared" si="36"/>
        <v>0.82039284331711926</v>
      </c>
      <c r="BL27">
        <f t="shared" si="37"/>
        <v>0.66293517175838157</v>
      </c>
      <c r="BM27">
        <f t="shared" si="38"/>
        <v>0.83848105151864416</v>
      </c>
      <c r="BN27">
        <f t="shared" si="39"/>
        <v>2199.9964516128998</v>
      </c>
      <c r="BO27">
        <f t="shared" si="40"/>
        <v>1849.1841193818152</v>
      </c>
      <c r="BP27">
        <f t="shared" si="41"/>
        <v>0.8405395917916636</v>
      </c>
      <c r="BQ27">
        <f t="shared" si="42"/>
        <v>0.19107918358332737</v>
      </c>
      <c r="BR27">
        <v>1561663505.5</v>
      </c>
      <c r="BS27">
        <v>930.37974193548405</v>
      </c>
      <c r="BT27">
        <v>999.88348387096801</v>
      </c>
      <c r="BU27">
        <v>19.119129032258101</v>
      </c>
      <c r="BV27">
        <v>10.345406451612901</v>
      </c>
      <c r="BW27">
        <v>500.04709677419402</v>
      </c>
      <c r="BX27">
        <v>99.626141935483901</v>
      </c>
      <c r="BY27">
        <v>9.9999712903225804E-2</v>
      </c>
      <c r="BZ27">
        <v>26.684203225806399</v>
      </c>
      <c r="CA27">
        <v>27.648741935483901</v>
      </c>
      <c r="CB27">
        <v>999.9</v>
      </c>
      <c r="CC27">
        <v>10002.6248387097</v>
      </c>
      <c r="CD27">
        <v>0</v>
      </c>
      <c r="CE27">
        <v>176.97641935483901</v>
      </c>
      <c r="CF27">
        <v>2199.9964516128998</v>
      </c>
      <c r="CG27">
        <v>0.98199899999999996</v>
      </c>
      <c r="CH27">
        <v>1.8000800000000001E-2</v>
      </c>
      <c r="CI27">
        <v>0</v>
      </c>
      <c r="CJ27">
        <v>743.38932258064494</v>
      </c>
      <c r="CK27">
        <v>1.9999499999999999</v>
      </c>
      <c r="CL27">
        <v>17122.690322580602</v>
      </c>
      <c r="CM27">
        <v>17938.222580645201</v>
      </c>
      <c r="CN27">
        <v>50.158935483870899</v>
      </c>
      <c r="CO27">
        <v>50.401000000000003</v>
      </c>
      <c r="CP27">
        <v>50.186999999999998</v>
      </c>
      <c r="CQ27">
        <v>49.755870967741899</v>
      </c>
      <c r="CR27">
        <v>51.060096774193497</v>
      </c>
      <c r="CS27">
        <v>2158.4264516129001</v>
      </c>
      <c r="CT27">
        <v>39.57</v>
      </c>
      <c r="CU27">
        <v>0</v>
      </c>
      <c r="CV27">
        <v>139.799999952316</v>
      </c>
      <c r="CW27">
        <v>743.32488461538503</v>
      </c>
      <c r="CX27">
        <v>-7.2684786276819899</v>
      </c>
      <c r="CY27">
        <v>-185.46324786357101</v>
      </c>
      <c r="CZ27">
        <v>17121.276923076901</v>
      </c>
      <c r="DA27">
        <v>15</v>
      </c>
      <c r="DB27">
        <v>1561663547</v>
      </c>
      <c r="DC27" t="s">
        <v>338</v>
      </c>
      <c r="DD27">
        <v>94</v>
      </c>
      <c r="DE27">
        <v>1.175</v>
      </c>
      <c r="DF27">
        <v>0.05</v>
      </c>
      <c r="DG27">
        <v>1000</v>
      </c>
      <c r="DH27">
        <v>11</v>
      </c>
      <c r="DI27">
        <v>0.03</v>
      </c>
      <c r="DJ27">
        <v>0.01</v>
      </c>
      <c r="DK27">
        <v>51.495702381669503</v>
      </c>
      <c r="DL27">
        <v>-1.20219857039161</v>
      </c>
      <c r="DM27">
        <v>0.243270044625058</v>
      </c>
      <c r="DN27">
        <v>0</v>
      </c>
      <c r="DO27">
        <v>929.63010958904101</v>
      </c>
      <c r="DP27">
        <v>2.6603258052579499</v>
      </c>
      <c r="DQ27">
        <v>0.469261896723214</v>
      </c>
      <c r="DR27">
        <v>0</v>
      </c>
      <c r="DS27">
        <v>0.458059392606744</v>
      </c>
      <c r="DT27">
        <v>-8.3945711151278204E-2</v>
      </c>
      <c r="DU27">
        <v>1.6267943890330702E-2</v>
      </c>
      <c r="DV27">
        <v>1</v>
      </c>
      <c r="DW27">
        <v>1</v>
      </c>
      <c r="DX27">
        <v>3</v>
      </c>
      <c r="DY27" t="s">
        <v>339</v>
      </c>
      <c r="DZ27">
        <v>1.86707</v>
      </c>
      <c r="EA27">
        <v>1.8635600000000001</v>
      </c>
      <c r="EB27">
        <v>1.86917</v>
      </c>
      <c r="EC27">
        <v>1.86707</v>
      </c>
      <c r="ED27">
        <v>1.8717900000000001</v>
      </c>
      <c r="EE27">
        <v>1.8641700000000001</v>
      </c>
      <c r="EF27">
        <v>1.86554</v>
      </c>
      <c r="EG27">
        <v>1.8655299999999999</v>
      </c>
      <c r="EH27" t="s">
        <v>284</v>
      </c>
      <c r="EI27" t="s">
        <v>19</v>
      </c>
      <c r="EJ27" t="s">
        <v>19</v>
      </c>
      <c r="EK27" t="s">
        <v>19</v>
      </c>
      <c r="EL27" t="s">
        <v>285</v>
      </c>
      <c r="EM27" t="s">
        <v>286</v>
      </c>
      <c r="EN27" t="s">
        <v>287</v>
      </c>
      <c r="EO27" t="s">
        <v>287</v>
      </c>
      <c r="EP27" t="s">
        <v>287</v>
      </c>
      <c r="EQ27" t="s">
        <v>287</v>
      </c>
      <c r="ER27">
        <v>0</v>
      </c>
      <c r="ES27">
        <v>100</v>
      </c>
      <c r="ET27">
        <v>100</v>
      </c>
      <c r="EU27">
        <v>1.175</v>
      </c>
      <c r="EV27">
        <v>0.05</v>
      </c>
      <c r="EW27">
        <v>2</v>
      </c>
      <c r="EX27">
        <v>508.95299999999997</v>
      </c>
      <c r="EY27">
        <v>437.214</v>
      </c>
      <c r="EZ27">
        <v>19.0625</v>
      </c>
      <c r="FA27">
        <v>37.995399999999997</v>
      </c>
      <c r="FB27">
        <v>30</v>
      </c>
      <c r="FC27">
        <v>37.890900000000002</v>
      </c>
      <c r="FD27">
        <v>37.865299999999998</v>
      </c>
      <c r="FE27">
        <v>46.543500000000002</v>
      </c>
      <c r="FF27">
        <v>72.191599999999994</v>
      </c>
      <c r="FG27">
        <v>0</v>
      </c>
      <c r="FH27">
        <v>17.159500000000001</v>
      </c>
      <c r="FI27">
        <v>1000</v>
      </c>
      <c r="FJ27">
        <v>10.7715</v>
      </c>
      <c r="FK27">
        <v>99.962699999999998</v>
      </c>
      <c r="FL27">
        <v>100.22799999999999</v>
      </c>
    </row>
    <row r="28" spans="1:168" x14ac:dyDescent="0.35">
      <c r="A28">
        <v>13</v>
      </c>
      <c r="B28">
        <v>1561663688.5</v>
      </c>
      <c r="C28">
        <v>1650.5999999046301</v>
      </c>
      <c r="D28" t="s">
        <v>340</v>
      </c>
      <c r="E28" t="s">
        <v>341</v>
      </c>
      <c r="F28" t="s">
        <v>277</v>
      </c>
      <c r="G28" t="s">
        <v>278</v>
      </c>
      <c r="H28" t="s">
        <v>277</v>
      </c>
      <c r="J28" t="s">
        <v>277</v>
      </c>
      <c r="K28">
        <v>1561663680.5</v>
      </c>
      <c r="L28">
        <f t="shared" si="0"/>
        <v>5.3496523204978174E-3</v>
      </c>
      <c r="M28">
        <f t="shared" si="1"/>
        <v>52.622090002237577</v>
      </c>
      <c r="N28">
        <f t="shared" si="2"/>
        <v>1129.49464516129</v>
      </c>
      <c r="O28">
        <f t="shared" si="3"/>
        <v>793.44974590689662</v>
      </c>
      <c r="P28">
        <f t="shared" si="4"/>
        <v>79.127306636302706</v>
      </c>
      <c r="Q28">
        <f t="shared" si="5"/>
        <v>112.6396089894601</v>
      </c>
      <c r="R28">
        <f t="shared" si="6"/>
        <v>0.29189821075836819</v>
      </c>
      <c r="S28">
        <f t="shared" si="7"/>
        <v>2.2544279987570555</v>
      </c>
      <c r="T28">
        <f t="shared" si="8"/>
        <v>0.27240983254157763</v>
      </c>
      <c r="U28">
        <f t="shared" si="9"/>
        <v>0.17189855311697746</v>
      </c>
      <c r="V28">
        <f t="shared" si="10"/>
        <v>353.34327365133362</v>
      </c>
      <c r="W28">
        <f t="shared" si="11"/>
        <v>27.732731960186328</v>
      </c>
      <c r="X28">
        <f t="shared" si="12"/>
        <v>28.162187096774201</v>
      </c>
      <c r="Y28">
        <f t="shared" si="13"/>
        <v>3.8308680318658794</v>
      </c>
      <c r="Z28">
        <f t="shared" si="14"/>
        <v>54.369280644439996</v>
      </c>
      <c r="AA28">
        <f t="shared" si="15"/>
        <v>1.9289871793065971</v>
      </c>
      <c r="AB28">
        <f t="shared" si="16"/>
        <v>3.5479358130957031</v>
      </c>
      <c r="AC28">
        <f t="shared" si="17"/>
        <v>1.9018808525592823</v>
      </c>
      <c r="AD28">
        <f t="shared" si="18"/>
        <v>-235.91966733395375</v>
      </c>
      <c r="AE28">
        <f t="shared" si="19"/>
        <v>-159.37517291079561</v>
      </c>
      <c r="AF28">
        <f t="shared" si="20"/>
        <v>-15.334137997576539</v>
      </c>
      <c r="AG28">
        <f t="shared" si="21"/>
        <v>-57.285704590992282</v>
      </c>
      <c r="AH28">
        <v>-4.1303061686460099E-2</v>
      </c>
      <c r="AI28">
        <v>4.6366305089984801E-2</v>
      </c>
      <c r="AJ28">
        <v>3.4631403889297099</v>
      </c>
      <c r="AK28">
        <v>0</v>
      </c>
      <c r="AL28">
        <v>0</v>
      </c>
      <c r="AM28">
        <f t="shared" si="22"/>
        <v>1</v>
      </c>
      <c r="AN28">
        <f t="shared" si="23"/>
        <v>0</v>
      </c>
      <c r="AO28">
        <f t="shared" si="24"/>
        <v>52694.608325602596</v>
      </c>
      <c r="AP28" t="s">
        <v>279</v>
      </c>
      <c r="AQ28">
        <v>585.08461538461495</v>
      </c>
      <c r="AR28">
        <v>3491.65</v>
      </c>
      <c r="AS28">
        <f t="shared" si="25"/>
        <v>2906.565384615385</v>
      </c>
      <c r="AT28">
        <f t="shared" si="26"/>
        <v>0.83243320052564973</v>
      </c>
      <c r="AU28">
        <v>-24.085636743186001</v>
      </c>
      <c r="AV28" t="s">
        <v>342</v>
      </c>
      <c r="AW28">
        <v>739.624384615385</v>
      </c>
      <c r="AX28">
        <v>1070.1199999999999</v>
      </c>
      <c r="AY28">
        <f t="shared" si="27"/>
        <v>0.3088397706655468</v>
      </c>
      <c r="AZ28">
        <v>0.5</v>
      </c>
      <c r="BA28">
        <f t="shared" si="28"/>
        <v>1849.2008903495546</v>
      </c>
      <c r="BB28">
        <f t="shared" si="29"/>
        <v>52.622090002237577</v>
      </c>
      <c r="BC28">
        <f t="shared" si="30"/>
        <v>285.55338944504069</v>
      </c>
      <c r="BD28">
        <f t="shared" si="31"/>
        <v>0.50566291630845139</v>
      </c>
      <c r="BE28">
        <f t="shared" si="32"/>
        <v>4.1481554084112249E-2</v>
      </c>
      <c r="BF28">
        <f t="shared" si="33"/>
        <v>2.2628583710238108</v>
      </c>
      <c r="BG28" t="s">
        <v>343</v>
      </c>
      <c r="BH28">
        <v>529</v>
      </c>
      <c r="BI28">
        <f t="shared" si="34"/>
        <v>541.11999999999989</v>
      </c>
      <c r="BJ28">
        <f t="shared" si="35"/>
        <v>0.61076215143519919</v>
      </c>
      <c r="BK28">
        <f t="shared" si="36"/>
        <v>0.81735270787976988</v>
      </c>
      <c r="BL28">
        <f t="shared" si="37"/>
        <v>0.68138454609179833</v>
      </c>
      <c r="BM28">
        <f t="shared" si="38"/>
        <v>0.83312421348485588</v>
      </c>
      <c r="BN28">
        <f t="shared" si="39"/>
        <v>2200.0167741935502</v>
      </c>
      <c r="BO28">
        <f t="shared" si="40"/>
        <v>1849.2008903495546</v>
      </c>
      <c r="BP28">
        <f t="shared" si="41"/>
        <v>0.84053945044460288</v>
      </c>
      <c r="BQ28">
        <f t="shared" si="42"/>
        <v>0.19107890088920579</v>
      </c>
      <c r="BR28">
        <v>1561663680.5</v>
      </c>
      <c r="BS28">
        <v>1129.49464516129</v>
      </c>
      <c r="BT28">
        <v>1199.8864516128999</v>
      </c>
      <c r="BU28">
        <v>19.342935483870999</v>
      </c>
      <c r="BV28">
        <v>13.0480258064516</v>
      </c>
      <c r="BW28">
        <v>500.03967741935497</v>
      </c>
      <c r="BX28">
        <v>99.625651612903198</v>
      </c>
      <c r="BY28">
        <v>0.100017270967742</v>
      </c>
      <c r="BZ28">
        <v>26.850896774193501</v>
      </c>
      <c r="CA28">
        <v>28.162187096774201</v>
      </c>
      <c r="CB28">
        <v>999.9</v>
      </c>
      <c r="CC28">
        <v>9997.8609677419408</v>
      </c>
      <c r="CD28">
        <v>0</v>
      </c>
      <c r="CE28">
        <v>179.198580645161</v>
      </c>
      <c r="CF28">
        <v>2200.0167741935502</v>
      </c>
      <c r="CG28">
        <v>0.98200132258064499</v>
      </c>
      <c r="CH28">
        <v>1.7998864516129E-2</v>
      </c>
      <c r="CI28">
        <v>0</v>
      </c>
      <c r="CJ28">
        <v>739.60996774193598</v>
      </c>
      <c r="CK28">
        <v>1.9999499999999999</v>
      </c>
      <c r="CL28">
        <v>17025.0193548387</v>
      </c>
      <c r="CM28">
        <v>17938.416129032299</v>
      </c>
      <c r="CN28">
        <v>50.108677419354798</v>
      </c>
      <c r="CO28">
        <v>50.330290322580602</v>
      </c>
      <c r="CP28">
        <v>49.899000000000001</v>
      </c>
      <c r="CQ28">
        <v>49.743741935483797</v>
      </c>
      <c r="CR28">
        <v>51.054064516129003</v>
      </c>
      <c r="CS28">
        <v>2158.4567741935498</v>
      </c>
      <c r="CT28">
        <v>39.56</v>
      </c>
      <c r="CU28">
        <v>0</v>
      </c>
      <c r="CV28">
        <v>174.60000014305101</v>
      </c>
      <c r="CW28">
        <v>739.624384615385</v>
      </c>
      <c r="CX28">
        <v>-0.154735050613557</v>
      </c>
      <c r="CY28">
        <v>-9.2854700721756593</v>
      </c>
      <c r="CZ28">
        <v>17024.876923076899</v>
      </c>
      <c r="DA28">
        <v>15</v>
      </c>
      <c r="DB28">
        <v>1561663725.5</v>
      </c>
      <c r="DC28" t="s">
        <v>344</v>
      </c>
      <c r="DD28">
        <v>95</v>
      </c>
      <c r="DE28">
        <v>1.2190000000000001</v>
      </c>
      <c r="DF28">
        <v>7.8E-2</v>
      </c>
      <c r="DG28">
        <v>1200</v>
      </c>
      <c r="DH28">
        <v>13</v>
      </c>
      <c r="DI28">
        <v>0.03</v>
      </c>
      <c r="DJ28">
        <v>0.01</v>
      </c>
      <c r="DK28">
        <v>52.932956971190102</v>
      </c>
      <c r="DL28">
        <v>-1.2244820607414</v>
      </c>
      <c r="DM28">
        <v>0.26022945423395399</v>
      </c>
      <c r="DN28">
        <v>0</v>
      </c>
      <c r="DO28">
        <v>1129.1639726027399</v>
      </c>
      <c r="DP28">
        <v>1.71466123657916</v>
      </c>
      <c r="DQ28">
        <v>0.30744523836263998</v>
      </c>
      <c r="DR28">
        <v>1</v>
      </c>
      <c r="DS28">
        <v>0.29641656400168398</v>
      </c>
      <c r="DT28">
        <v>-2.23486839882325E-2</v>
      </c>
      <c r="DU28">
        <v>6.3614564050425504E-3</v>
      </c>
      <c r="DV28">
        <v>1</v>
      </c>
      <c r="DW28">
        <v>2</v>
      </c>
      <c r="DX28">
        <v>3</v>
      </c>
      <c r="DY28" t="s">
        <v>283</v>
      </c>
      <c r="DZ28">
        <v>1.8670599999999999</v>
      </c>
      <c r="EA28">
        <v>1.86355</v>
      </c>
      <c r="EB28">
        <v>1.86913</v>
      </c>
      <c r="EC28">
        <v>1.86707</v>
      </c>
      <c r="ED28">
        <v>1.87178</v>
      </c>
      <c r="EE28">
        <v>1.8641700000000001</v>
      </c>
      <c r="EF28">
        <v>1.86554</v>
      </c>
      <c r="EG28">
        <v>1.86551</v>
      </c>
      <c r="EH28" t="s">
        <v>284</v>
      </c>
      <c r="EI28" t="s">
        <v>19</v>
      </c>
      <c r="EJ28" t="s">
        <v>19</v>
      </c>
      <c r="EK28" t="s">
        <v>19</v>
      </c>
      <c r="EL28" t="s">
        <v>285</v>
      </c>
      <c r="EM28" t="s">
        <v>286</v>
      </c>
      <c r="EN28" t="s">
        <v>287</v>
      </c>
      <c r="EO28" t="s">
        <v>287</v>
      </c>
      <c r="EP28" t="s">
        <v>287</v>
      </c>
      <c r="EQ28" t="s">
        <v>287</v>
      </c>
      <c r="ER28">
        <v>0</v>
      </c>
      <c r="ES28">
        <v>100</v>
      </c>
      <c r="ET28">
        <v>100</v>
      </c>
      <c r="EU28">
        <v>1.2190000000000001</v>
      </c>
      <c r="EV28">
        <v>7.8E-2</v>
      </c>
      <c r="EW28">
        <v>2</v>
      </c>
      <c r="EX28">
        <v>507.98200000000003</v>
      </c>
      <c r="EY28">
        <v>438.85700000000003</v>
      </c>
      <c r="EZ28">
        <v>19.069299999999998</v>
      </c>
      <c r="FA28">
        <v>37.982199999999999</v>
      </c>
      <c r="FB28">
        <v>29.9999</v>
      </c>
      <c r="FC28">
        <v>37.901800000000001</v>
      </c>
      <c r="FD28">
        <v>37.875999999999998</v>
      </c>
      <c r="FE28">
        <v>54.009599999999999</v>
      </c>
      <c r="FF28">
        <v>66.983900000000006</v>
      </c>
      <c r="FG28">
        <v>0</v>
      </c>
      <c r="FH28">
        <v>17.349599999999999</v>
      </c>
      <c r="FI28">
        <v>1200</v>
      </c>
      <c r="FJ28">
        <v>13.2163</v>
      </c>
      <c r="FK28">
        <v>99.968599999999995</v>
      </c>
      <c r="FL28">
        <v>100.235</v>
      </c>
    </row>
    <row r="29" spans="1:168" x14ac:dyDescent="0.35">
      <c r="A29">
        <v>14</v>
      </c>
      <c r="B29">
        <v>1561663867</v>
      </c>
      <c r="C29">
        <v>1829.0999999046301</v>
      </c>
      <c r="D29" t="s">
        <v>345</v>
      </c>
      <c r="E29" t="s">
        <v>346</v>
      </c>
      <c r="F29" t="s">
        <v>277</v>
      </c>
      <c r="G29" t="s">
        <v>278</v>
      </c>
      <c r="H29" t="s">
        <v>277</v>
      </c>
      <c r="J29" t="s">
        <v>277</v>
      </c>
      <c r="K29">
        <v>1561663859</v>
      </c>
      <c r="L29">
        <f t="shared" si="0"/>
        <v>4.1884351596219787E-3</v>
      </c>
      <c r="M29">
        <f t="shared" si="1"/>
        <v>54.370803907528909</v>
      </c>
      <c r="N29">
        <f t="shared" si="2"/>
        <v>1527.0125806451599</v>
      </c>
      <c r="O29">
        <f t="shared" si="3"/>
        <v>1071.0815061645787</v>
      </c>
      <c r="P29">
        <f t="shared" si="4"/>
        <v>106.80953970214861</v>
      </c>
      <c r="Q29">
        <f t="shared" si="5"/>
        <v>152.2755363801775</v>
      </c>
      <c r="R29">
        <f t="shared" si="6"/>
        <v>0.21959061302902735</v>
      </c>
      <c r="S29">
        <f t="shared" si="7"/>
        <v>2.2539060697931661</v>
      </c>
      <c r="T29">
        <f t="shared" si="8"/>
        <v>0.20835975196274686</v>
      </c>
      <c r="U29">
        <f t="shared" si="9"/>
        <v>0.13118600939027752</v>
      </c>
      <c r="V29">
        <f t="shared" si="10"/>
        <v>353.33938958435766</v>
      </c>
      <c r="W29">
        <f t="shared" si="11"/>
        <v>28.054562987139864</v>
      </c>
      <c r="X29">
        <f t="shared" si="12"/>
        <v>28.350135483871</v>
      </c>
      <c r="Y29">
        <f t="shared" si="13"/>
        <v>3.8729919589933894</v>
      </c>
      <c r="Z29">
        <f t="shared" si="14"/>
        <v>54.506423442149</v>
      </c>
      <c r="AA29">
        <f t="shared" si="15"/>
        <v>1.9266947669132739</v>
      </c>
      <c r="AB29">
        <f t="shared" si="16"/>
        <v>3.5348031392266872</v>
      </c>
      <c r="AC29">
        <f t="shared" si="17"/>
        <v>1.9462971920801155</v>
      </c>
      <c r="AD29">
        <f t="shared" si="18"/>
        <v>-184.70999053932925</v>
      </c>
      <c r="AE29">
        <f t="shared" si="19"/>
        <v>-189.8383260852402</v>
      </c>
      <c r="AF29">
        <f t="shared" si="20"/>
        <v>-18.280780503562735</v>
      </c>
      <c r="AG29">
        <f t="shared" si="21"/>
        <v>-39.4897075437745</v>
      </c>
      <c r="AH29">
        <v>-4.1288987017091799E-2</v>
      </c>
      <c r="AI29">
        <v>4.6350505040610203E-2</v>
      </c>
      <c r="AJ29">
        <v>3.4622065721648099</v>
      </c>
      <c r="AK29">
        <v>0</v>
      </c>
      <c r="AL29">
        <v>0</v>
      </c>
      <c r="AM29">
        <f t="shared" si="22"/>
        <v>1</v>
      </c>
      <c r="AN29">
        <f t="shared" si="23"/>
        <v>0</v>
      </c>
      <c r="AO29">
        <f t="shared" si="24"/>
        <v>52688.367745864743</v>
      </c>
      <c r="AP29" t="s">
        <v>279</v>
      </c>
      <c r="AQ29">
        <v>585.08461538461495</v>
      </c>
      <c r="AR29">
        <v>3491.65</v>
      </c>
      <c r="AS29">
        <f t="shared" si="25"/>
        <v>2906.565384615385</v>
      </c>
      <c r="AT29">
        <f t="shared" si="26"/>
        <v>0.83243320052564973</v>
      </c>
      <c r="AU29">
        <v>-24.085636743186001</v>
      </c>
      <c r="AV29" t="s">
        <v>347</v>
      </c>
      <c r="AW29">
        <v>734.57734615384595</v>
      </c>
      <c r="AX29">
        <v>1056.1199999999999</v>
      </c>
      <c r="AY29">
        <f t="shared" si="27"/>
        <v>0.30445655214005418</v>
      </c>
      <c r="AZ29">
        <v>0.5</v>
      </c>
      <c r="BA29">
        <f t="shared" si="28"/>
        <v>1849.1778774463303</v>
      </c>
      <c r="BB29">
        <f t="shared" si="29"/>
        <v>54.370803907528909</v>
      </c>
      <c r="BC29">
        <f t="shared" si="30"/>
        <v>281.4971604304867</v>
      </c>
      <c r="BD29">
        <f t="shared" si="31"/>
        <v>0.50213990834374878</v>
      </c>
      <c r="BE29">
        <f t="shared" si="32"/>
        <v>4.2427741326357064E-2</v>
      </c>
      <c r="BF29">
        <f t="shared" si="33"/>
        <v>2.3061110479869718</v>
      </c>
      <c r="BG29" t="s">
        <v>348</v>
      </c>
      <c r="BH29">
        <v>525.79999999999995</v>
      </c>
      <c r="BI29">
        <f t="shared" si="34"/>
        <v>530.31999999999994</v>
      </c>
      <c r="BJ29">
        <f t="shared" si="35"/>
        <v>0.60631817364261953</v>
      </c>
      <c r="BK29">
        <f t="shared" si="36"/>
        <v>0.8211912267983883</v>
      </c>
      <c r="BL29">
        <f t="shared" si="37"/>
        <v>0.68262951011356299</v>
      </c>
      <c r="BM29">
        <f t="shared" si="38"/>
        <v>0.83794089508235325</v>
      </c>
      <c r="BN29">
        <f t="shared" si="39"/>
        <v>2199.98903225806</v>
      </c>
      <c r="BO29">
        <f t="shared" si="40"/>
        <v>1849.1778774463303</v>
      </c>
      <c r="BP29">
        <f t="shared" si="41"/>
        <v>0.84053958921256144</v>
      </c>
      <c r="BQ29">
        <f t="shared" si="42"/>
        <v>0.19107917842512304</v>
      </c>
      <c r="BR29">
        <v>1561663859</v>
      </c>
      <c r="BS29">
        <v>1527.0125806451599</v>
      </c>
      <c r="BT29">
        <v>1599.92709677419</v>
      </c>
      <c r="BU29">
        <v>19.3208129032258</v>
      </c>
      <c r="BV29">
        <v>14.392164516129</v>
      </c>
      <c r="BW29">
        <v>500.03703225806402</v>
      </c>
      <c r="BX29">
        <v>99.621200000000002</v>
      </c>
      <c r="BY29">
        <v>0.100006170967742</v>
      </c>
      <c r="BZ29">
        <v>26.7878419354839</v>
      </c>
      <c r="CA29">
        <v>28.350135483871</v>
      </c>
      <c r="CB29">
        <v>999.9</v>
      </c>
      <c r="CC29">
        <v>9994.9006451612895</v>
      </c>
      <c r="CD29">
        <v>0</v>
      </c>
      <c r="CE29">
        <v>179.74464516129001</v>
      </c>
      <c r="CF29">
        <v>2199.98903225806</v>
      </c>
      <c r="CG29">
        <v>0.98199909677419295</v>
      </c>
      <c r="CH29">
        <v>1.8000719354838698E-2</v>
      </c>
      <c r="CI29">
        <v>0</v>
      </c>
      <c r="CJ29">
        <v>734.59325806451602</v>
      </c>
      <c r="CK29">
        <v>1.9999499999999999</v>
      </c>
      <c r="CL29">
        <v>16899.580645161299</v>
      </c>
      <c r="CM29">
        <v>17938.158064516101</v>
      </c>
      <c r="CN29">
        <v>49.896999999999998</v>
      </c>
      <c r="CO29">
        <v>50.241870967741903</v>
      </c>
      <c r="CP29">
        <v>50.045999999999999</v>
      </c>
      <c r="CQ29">
        <v>49.4491935483871</v>
      </c>
      <c r="CR29">
        <v>50.830290322580602</v>
      </c>
      <c r="CS29">
        <v>2158.4193548387102</v>
      </c>
      <c r="CT29">
        <v>39.569677419354797</v>
      </c>
      <c r="CU29">
        <v>0</v>
      </c>
      <c r="CV29">
        <v>177.799999952316</v>
      </c>
      <c r="CW29">
        <v>734.57734615384595</v>
      </c>
      <c r="CX29">
        <v>-3.2979487288581302</v>
      </c>
      <c r="CY29">
        <v>-114.902564118611</v>
      </c>
      <c r="CZ29">
        <v>16898.726923076902</v>
      </c>
      <c r="DA29">
        <v>15</v>
      </c>
      <c r="DB29">
        <v>1561663825</v>
      </c>
      <c r="DC29" t="s">
        <v>349</v>
      </c>
      <c r="DD29">
        <v>96</v>
      </c>
      <c r="DE29">
        <v>1.3</v>
      </c>
      <c r="DF29">
        <v>0.09</v>
      </c>
      <c r="DG29">
        <v>1600</v>
      </c>
      <c r="DH29">
        <v>14</v>
      </c>
      <c r="DI29">
        <v>0.04</v>
      </c>
      <c r="DJ29">
        <v>0.02</v>
      </c>
      <c r="DK29">
        <v>52.045630019162402</v>
      </c>
      <c r="DL29">
        <v>20.621374884199</v>
      </c>
      <c r="DM29">
        <v>9.1867311973090597</v>
      </c>
      <c r="DN29">
        <v>0</v>
      </c>
      <c r="DO29">
        <v>1526.62397260274</v>
      </c>
      <c r="DP29">
        <v>2.28048870788591</v>
      </c>
      <c r="DQ29">
        <v>0.40881633256261102</v>
      </c>
      <c r="DR29">
        <v>1</v>
      </c>
      <c r="DS29">
        <v>0.210718045779726</v>
      </c>
      <c r="DT29">
        <v>9.0652634281554095E-2</v>
      </c>
      <c r="DU29">
        <v>4.0634830769170099E-2</v>
      </c>
      <c r="DV29">
        <v>1</v>
      </c>
      <c r="DW29">
        <v>2</v>
      </c>
      <c r="DX29">
        <v>3</v>
      </c>
      <c r="DY29" t="s">
        <v>283</v>
      </c>
      <c r="DZ29">
        <v>1.86707</v>
      </c>
      <c r="EA29">
        <v>1.8635600000000001</v>
      </c>
      <c r="EB29">
        <v>1.86914</v>
      </c>
      <c r="EC29">
        <v>1.8670800000000001</v>
      </c>
      <c r="ED29">
        <v>1.8717600000000001</v>
      </c>
      <c r="EE29">
        <v>1.8641700000000001</v>
      </c>
      <c r="EF29">
        <v>1.86554</v>
      </c>
      <c r="EG29">
        <v>1.86554</v>
      </c>
      <c r="EH29" t="s">
        <v>284</v>
      </c>
      <c r="EI29" t="s">
        <v>19</v>
      </c>
      <c r="EJ29" t="s">
        <v>19</v>
      </c>
      <c r="EK29" t="s">
        <v>19</v>
      </c>
      <c r="EL29" t="s">
        <v>285</v>
      </c>
      <c r="EM29" t="s">
        <v>286</v>
      </c>
      <c r="EN29" t="s">
        <v>287</v>
      </c>
      <c r="EO29" t="s">
        <v>287</v>
      </c>
      <c r="EP29" t="s">
        <v>287</v>
      </c>
      <c r="EQ29" t="s">
        <v>287</v>
      </c>
      <c r="ER29">
        <v>0</v>
      </c>
      <c r="ES29">
        <v>100</v>
      </c>
      <c r="ET29">
        <v>100</v>
      </c>
      <c r="EU29">
        <v>1.3</v>
      </c>
      <c r="EV29">
        <v>0.09</v>
      </c>
      <c r="EW29">
        <v>2</v>
      </c>
      <c r="EX29">
        <v>507.39299999999997</v>
      </c>
      <c r="EY29">
        <v>440.536</v>
      </c>
      <c r="EZ29">
        <v>19.056100000000001</v>
      </c>
      <c r="FA29">
        <v>37.955500000000001</v>
      </c>
      <c r="FB29">
        <v>30.0002</v>
      </c>
      <c r="FC29">
        <v>37.887300000000003</v>
      </c>
      <c r="FD29">
        <v>37.861699999999999</v>
      </c>
      <c r="FE29">
        <v>68.037800000000004</v>
      </c>
      <c r="FF29">
        <v>64.185199999999995</v>
      </c>
      <c r="FG29">
        <v>0</v>
      </c>
      <c r="FH29">
        <v>17.347799999999999</v>
      </c>
      <c r="FI29">
        <v>1600</v>
      </c>
      <c r="FJ29">
        <v>14.571999999999999</v>
      </c>
      <c r="FK29">
        <v>99.977000000000004</v>
      </c>
      <c r="FL29">
        <v>100.241</v>
      </c>
    </row>
  </sheetData>
  <sortState xmlns:xlrd2="http://schemas.microsoft.com/office/spreadsheetml/2017/richdata2" ref="L34:N45">
    <sortCondition ref="L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2019-06-27T14:31:41Z</dcterms:created>
  <dcterms:modified xsi:type="dcterms:W3CDTF">2019-08-28T03:00:44Z</dcterms:modified>
</cp:coreProperties>
</file>