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ELL\Desktop\博士学习资料\2019SY\raw20190627SY\"/>
    </mc:Choice>
  </mc:AlternateContent>
  <bookViews>
    <workbookView xWindow="-108" yWindow="-108" windowWidth="19416" windowHeight="10416"/>
  </bookViews>
  <sheets>
    <sheet name="Measurements" sheetId="1" r:id="rId1"/>
    <sheet name="Remark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Q30" i="1" l="1"/>
  <c r="BP30" i="1"/>
  <c r="BN30" i="1"/>
  <c r="BM30" i="1"/>
  <c r="BL30" i="1"/>
  <c r="BK30" i="1"/>
  <c r="BJ30" i="1"/>
  <c r="BI30" i="1"/>
  <c r="BD30" i="1" s="1"/>
  <c r="BF30" i="1"/>
  <c r="AY30" i="1"/>
  <c r="AS30" i="1"/>
  <c r="AT30" i="1" s="1"/>
  <c r="AO30" i="1"/>
  <c r="AM30" i="1" s="1"/>
  <c r="AB30" i="1"/>
  <c r="AA30" i="1"/>
  <c r="S30" i="1"/>
  <c r="BQ29" i="1"/>
  <c r="BP29" i="1"/>
  <c r="BN29" i="1"/>
  <c r="BM29" i="1"/>
  <c r="BL29" i="1"/>
  <c r="BK29" i="1"/>
  <c r="BJ29" i="1"/>
  <c r="BI29" i="1"/>
  <c r="BD29" i="1" s="1"/>
  <c r="BF29" i="1"/>
  <c r="AY29" i="1"/>
  <c r="AS29" i="1"/>
  <c r="AT29" i="1" s="1"/>
  <c r="AO29" i="1"/>
  <c r="AM29" i="1"/>
  <c r="N29" i="1" s="1"/>
  <c r="AB29" i="1"/>
  <c r="AA29" i="1"/>
  <c r="S29" i="1"/>
  <c r="BQ28" i="1"/>
  <c r="BP28" i="1"/>
  <c r="BN28" i="1"/>
  <c r="BM28" i="1"/>
  <c r="BL28" i="1"/>
  <c r="BK28" i="1"/>
  <c r="BJ28" i="1"/>
  <c r="BI28" i="1"/>
  <c r="BD28" i="1" s="1"/>
  <c r="BF28" i="1"/>
  <c r="AY28" i="1"/>
  <c r="AS28" i="1"/>
  <c r="AT28" i="1" s="1"/>
  <c r="AO28" i="1"/>
  <c r="AM28" i="1" s="1"/>
  <c r="AB28" i="1"/>
  <c r="Z28" i="1" s="1"/>
  <c r="AA28" i="1"/>
  <c r="S28" i="1"/>
  <c r="BQ27" i="1"/>
  <c r="BP27" i="1"/>
  <c r="BN27" i="1"/>
  <c r="BM27" i="1"/>
  <c r="BL27" i="1"/>
  <c r="BK27" i="1"/>
  <c r="BJ27" i="1"/>
  <c r="BI27" i="1"/>
  <c r="BD27" i="1" s="1"/>
  <c r="BF27" i="1"/>
  <c r="AY27" i="1"/>
  <c r="AS27" i="1"/>
  <c r="AT27" i="1" s="1"/>
  <c r="AO27" i="1"/>
  <c r="AM27" i="1" s="1"/>
  <c r="L27" i="1" s="1"/>
  <c r="AB27" i="1"/>
  <c r="AA27" i="1"/>
  <c r="S27" i="1"/>
  <c r="BQ26" i="1"/>
  <c r="BP26" i="1"/>
  <c r="BN26" i="1"/>
  <c r="BM26" i="1"/>
  <c r="BL26" i="1"/>
  <c r="BK26" i="1"/>
  <c r="BJ26" i="1"/>
  <c r="BI26" i="1"/>
  <c r="BF26" i="1"/>
  <c r="BD26" i="1"/>
  <c r="AY26" i="1"/>
  <c r="AS26" i="1"/>
  <c r="AT26" i="1" s="1"/>
  <c r="AO26" i="1"/>
  <c r="AM26" i="1" s="1"/>
  <c r="AN26" i="1" s="1"/>
  <c r="AB26" i="1"/>
  <c r="AA26" i="1"/>
  <c r="S26" i="1"/>
  <c r="BQ25" i="1"/>
  <c r="BP25" i="1"/>
  <c r="BN25" i="1"/>
  <c r="BM25" i="1"/>
  <c r="BL25" i="1"/>
  <c r="BK25" i="1"/>
  <c r="BJ25" i="1"/>
  <c r="BI25" i="1"/>
  <c r="BD25" i="1" s="1"/>
  <c r="BF25" i="1"/>
  <c r="AY25" i="1"/>
  <c r="AS25" i="1"/>
  <c r="AT25" i="1" s="1"/>
  <c r="AO25" i="1"/>
  <c r="AM25" i="1" s="1"/>
  <c r="N25" i="1" s="1"/>
  <c r="AB25" i="1"/>
  <c r="AA25" i="1"/>
  <c r="S25" i="1"/>
  <c r="BQ24" i="1"/>
  <c r="BP24" i="1"/>
  <c r="BN24" i="1"/>
  <c r="BM24" i="1"/>
  <c r="BL24" i="1"/>
  <c r="BK24" i="1"/>
  <c r="BJ24" i="1"/>
  <c r="BI24" i="1"/>
  <c r="BD24" i="1" s="1"/>
  <c r="BF24" i="1"/>
  <c r="AY24" i="1"/>
  <c r="AS24" i="1"/>
  <c r="AT24" i="1" s="1"/>
  <c r="AO24" i="1"/>
  <c r="AM24" i="1" s="1"/>
  <c r="AB24" i="1"/>
  <c r="AA24" i="1"/>
  <c r="S24" i="1"/>
  <c r="BQ23" i="1"/>
  <c r="BP23" i="1"/>
  <c r="BN23" i="1"/>
  <c r="BM23" i="1"/>
  <c r="BL23" i="1"/>
  <c r="BK23" i="1"/>
  <c r="BJ23" i="1"/>
  <c r="BI23" i="1"/>
  <c r="BD23" i="1" s="1"/>
  <c r="BF23" i="1"/>
  <c r="AY23" i="1"/>
  <c r="AS23" i="1"/>
  <c r="AT23" i="1" s="1"/>
  <c r="AO23" i="1"/>
  <c r="AM23" i="1" s="1"/>
  <c r="AB23" i="1"/>
  <c r="AA23" i="1"/>
  <c r="S23" i="1"/>
  <c r="BQ22" i="1"/>
  <c r="BP22" i="1"/>
  <c r="BN22" i="1"/>
  <c r="BM22" i="1"/>
  <c r="BL22" i="1"/>
  <c r="BK22" i="1"/>
  <c r="BJ22" i="1"/>
  <c r="BI22" i="1"/>
  <c r="BD22" i="1" s="1"/>
  <c r="BF22" i="1"/>
  <c r="AY22" i="1"/>
  <c r="AS22" i="1"/>
  <c r="AT22" i="1" s="1"/>
  <c r="AO22" i="1"/>
  <c r="AM22" i="1" s="1"/>
  <c r="N22" i="1" s="1"/>
  <c r="AB22" i="1"/>
  <c r="AA22" i="1"/>
  <c r="S22" i="1"/>
  <c r="BQ21" i="1"/>
  <c r="BP21" i="1"/>
  <c r="BN21" i="1"/>
  <c r="BM21" i="1"/>
  <c r="BL21" i="1"/>
  <c r="BK21" i="1"/>
  <c r="BJ21" i="1"/>
  <c r="BI21" i="1"/>
  <c r="BD21" i="1" s="1"/>
  <c r="BF21" i="1"/>
  <c r="AY21" i="1"/>
  <c r="AS21" i="1"/>
  <c r="AT21" i="1" s="1"/>
  <c r="AO21" i="1"/>
  <c r="AM21" i="1" s="1"/>
  <c r="N21" i="1" s="1"/>
  <c r="AB21" i="1"/>
  <c r="AA21" i="1"/>
  <c r="S21" i="1"/>
  <c r="BQ20" i="1"/>
  <c r="BP20" i="1"/>
  <c r="BN20" i="1"/>
  <c r="BM20" i="1"/>
  <c r="BL20" i="1"/>
  <c r="BK20" i="1"/>
  <c r="BJ20" i="1"/>
  <c r="BI20" i="1"/>
  <c r="BD20" i="1" s="1"/>
  <c r="BF20" i="1"/>
  <c r="AY20" i="1"/>
  <c r="AS20" i="1"/>
  <c r="AT20" i="1" s="1"/>
  <c r="AO20" i="1"/>
  <c r="AM20" i="1" s="1"/>
  <c r="L20" i="1" s="1"/>
  <c r="AB20" i="1"/>
  <c r="AA20" i="1"/>
  <c r="S20" i="1"/>
  <c r="BQ19" i="1"/>
  <c r="BP19" i="1"/>
  <c r="BN19" i="1"/>
  <c r="BM19" i="1"/>
  <c r="BL19" i="1"/>
  <c r="BK19" i="1"/>
  <c r="BJ19" i="1"/>
  <c r="BI19" i="1"/>
  <c r="BD19" i="1" s="1"/>
  <c r="BF19" i="1"/>
  <c r="AY19" i="1"/>
  <c r="AS19" i="1"/>
  <c r="AT19" i="1" s="1"/>
  <c r="AO19" i="1"/>
  <c r="AM19" i="1" s="1"/>
  <c r="Q19" i="1" s="1"/>
  <c r="AB19" i="1"/>
  <c r="AA19" i="1"/>
  <c r="S19" i="1"/>
  <c r="BQ18" i="1"/>
  <c r="BP18" i="1"/>
  <c r="BN18" i="1"/>
  <c r="BM18" i="1"/>
  <c r="BL18" i="1"/>
  <c r="BK18" i="1"/>
  <c r="BJ18" i="1"/>
  <c r="BI18" i="1"/>
  <c r="BD18" i="1" s="1"/>
  <c r="BF18" i="1"/>
  <c r="AY18" i="1"/>
  <c r="AS18" i="1"/>
  <c r="AT18" i="1" s="1"/>
  <c r="AO18" i="1"/>
  <c r="AM18" i="1" s="1"/>
  <c r="AB18" i="1"/>
  <c r="AA18" i="1"/>
  <c r="S18" i="1"/>
  <c r="BQ17" i="1"/>
  <c r="BP17" i="1"/>
  <c r="BO17" i="1"/>
  <c r="V17" i="1" s="1"/>
  <c r="BN17" i="1"/>
  <c r="BM17" i="1"/>
  <c r="BL17" i="1"/>
  <c r="BK17" i="1"/>
  <c r="BJ17" i="1"/>
  <c r="BI17" i="1"/>
  <c r="BD17" i="1" s="1"/>
  <c r="BF17" i="1"/>
  <c r="BA17" i="1"/>
  <c r="BC17" i="1" s="1"/>
  <c r="AY17" i="1"/>
  <c r="AS17" i="1"/>
  <c r="AT17" i="1" s="1"/>
  <c r="AO17" i="1"/>
  <c r="AM17" i="1" s="1"/>
  <c r="AB17" i="1"/>
  <c r="AA17" i="1"/>
  <c r="S17" i="1"/>
  <c r="Z22" i="1" l="1"/>
  <c r="Z21" i="1"/>
  <c r="M21" i="1"/>
  <c r="BB21" i="1" s="1"/>
  <c r="Z24" i="1"/>
  <c r="Z27" i="1"/>
  <c r="BO19" i="1"/>
  <c r="BA19" i="1" s="1"/>
  <c r="BC19" i="1" s="1"/>
  <c r="BO20" i="1"/>
  <c r="BA20" i="1" s="1"/>
  <c r="BC20" i="1" s="1"/>
  <c r="Z29" i="1"/>
  <c r="Z19" i="1"/>
  <c r="Z25" i="1"/>
  <c r="BO25" i="1"/>
  <c r="BA25" i="1" s="1"/>
  <c r="BC25" i="1" s="1"/>
  <c r="Z26" i="1"/>
  <c r="BO27" i="1"/>
  <c r="V27" i="1" s="1"/>
  <c r="M30" i="1"/>
  <c r="BB30" i="1" s="1"/>
  <c r="AN30" i="1"/>
  <c r="L30" i="1"/>
  <c r="AD30" i="1" s="1"/>
  <c r="Q30" i="1"/>
  <c r="N30" i="1"/>
  <c r="L24" i="1"/>
  <c r="AD24" i="1" s="1"/>
  <c r="M24" i="1"/>
  <c r="BB24" i="1" s="1"/>
  <c r="Q24" i="1"/>
  <c r="N24" i="1"/>
  <c r="L28" i="1"/>
  <c r="AD28" i="1" s="1"/>
  <c r="N28" i="1"/>
  <c r="M28" i="1"/>
  <c r="BB28" i="1" s="1"/>
  <c r="Q28" i="1"/>
  <c r="L18" i="1"/>
  <c r="AD18" i="1" s="1"/>
  <c r="M18" i="1"/>
  <c r="BB18" i="1" s="1"/>
  <c r="AN18" i="1"/>
  <c r="N18" i="1"/>
  <c r="Q18" i="1"/>
  <c r="L19" i="1"/>
  <c r="AD19" i="1" s="1"/>
  <c r="BO18" i="1"/>
  <c r="BA18" i="1" s="1"/>
  <c r="BC18" i="1" s="1"/>
  <c r="N19" i="1"/>
  <c r="Q21" i="1"/>
  <c r="BO24" i="1"/>
  <c r="BO30" i="1"/>
  <c r="V30" i="1" s="1"/>
  <c r="Z17" i="1"/>
  <c r="Z18" i="1"/>
  <c r="AN19" i="1"/>
  <c r="Z20" i="1"/>
  <c r="BO22" i="1"/>
  <c r="BA22" i="1" s="1"/>
  <c r="BC22" i="1" s="1"/>
  <c r="Z23" i="1"/>
  <c r="BO23" i="1"/>
  <c r="V23" i="1" s="1"/>
  <c r="BO26" i="1"/>
  <c r="V26" i="1" s="1"/>
  <c r="BO29" i="1"/>
  <c r="BA29" i="1" s="1"/>
  <c r="BC29" i="1" s="1"/>
  <c r="Z30" i="1"/>
  <c r="AN17" i="1"/>
  <c r="L17" i="1"/>
  <c r="W17" i="1" s="1"/>
  <c r="X17" i="1" s="1"/>
  <c r="AE17" i="1" s="1"/>
  <c r="N17" i="1"/>
  <c r="Q17" i="1"/>
  <c r="M17" i="1"/>
  <c r="BB17" i="1" s="1"/>
  <c r="BE17" i="1" s="1"/>
  <c r="AD20" i="1"/>
  <c r="AD27" i="1"/>
  <c r="V18" i="1"/>
  <c r="V19" i="1"/>
  <c r="W27" i="1"/>
  <c r="X27" i="1" s="1"/>
  <c r="AE27" i="1" s="1"/>
  <c r="Q29" i="1"/>
  <c r="M29" i="1"/>
  <c r="BB29" i="1" s="1"/>
  <c r="L29" i="1"/>
  <c r="AN29" i="1"/>
  <c r="Q20" i="1"/>
  <c r="Q25" i="1"/>
  <c r="M25" i="1"/>
  <c r="BB25" i="1" s="1"/>
  <c r="L25" i="1"/>
  <c r="AN25" i="1"/>
  <c r="BO28" i="1"/>
  <c r="N23" i="1"/>
  <c r="Q23" i="1"/>
  <c r="M23" i="1"/>
  <c r="BB23" i="1" s="1"/>
  <c r="L23" i="1"/>
  <c r="L21" i="1"/>
  <c r="AN21" i="1"/>
  <c r="Q22" i="1"/>
  <c r="M22" i="1"/>
  <c r="BB22" i="1" s="1"/>
  <c r="BE22" i="1" s="1"/>
  <c r="L22" i="1"/>
  <c r="AN22" i="1"/>
  <c r="BA24" i="1"/>
  <c r="BC24" i="1" s="1"/>
  <c r="V24" i="1"/>
  <c r="AN20" i="1"/>
  <c r="N20" i="1"/>
  <c r="AN27" i="1"/>
  <c r="N27" i="1"/>
  <c r="Q27" i="1"/>
  <c r="M27" i="1"/>
  <c r="BB27" i="1" s="1"/>
  <c r="M19" i="1"/>
  <c r="BB19" i="1" s="1"/>
  <c r="M20" i="1"/>
  <c r="BB20" i="1" s="1"/>
  <c r="BO21" i="1"/>
  <c r="AN23" i="1"/>
  <c r="N26" i="1"/>
  <c r="Q26" i="1"/>
  <c r="M26" i="1"/>
  <c r="BB26" i="1" s="1"/>
  <c r="L26" i="1"/>
  <c r="AN24" i="1"/>
  <c r="AN28" i="1"/>
  <c r="BE25" i="1" l="1"/>
  <c r="BA23" i="1"/>
  <c r="BC23" i="1" s="1"/>
  <c r="V20" i="1"/>
  <c r="V29" i="1"/>
  <c r="W29" i="1" s="1"/>
  <c r="X29" i="1" s="1"/>
  <c r="T29" i="1" s="1"/>
  <c r="R29" i="1" s="1"/>
  <c r="U29" i="1" s="1"/>
  <c r="O29" i="1" s="1"/>
  <c r="P29" i="1" s="1"/>
  <c r="BE29" i="1"/>
  <c r="BE20" i="1"/>
  <c r="BE18" i="1"/>
  <c r="BE19" i="1"/>
  <c r="BA27" i="1"/>
  <c r="BC27" i="1" s="1"/>
  <c r="V25" i="1"/>
  <c r="W25" i="1" s="1"/>
  <c r="X25" i="1" s="1"/>
  <c r="BA30" i="1"/>
  <c r="BA26" i="1"/>
  <c r="BC26" i="1" s="1"/>
  <c r="V22" i="1"/>
  <c r="W22" i="1" s="1"/>
  <c r="X22" i="1" s="1"/>
  <c r="W23" i="1"/>
  <c r="X23" i="1" s="1"/>
  <c r="T23" i="1" s="1"/>
  <c r="R23" i="1" s="1"/>
  <c r="U23" i="1" s="1"/>
  <c r="O23" i="1" s="1"/>
  <c r="P23" i="1" s="1"/>
  <c r="AF17" i="1"/>
  <c r="Y17" i="1"/>
  <c r="AC17" i="1" s="1"/>
  <c r="W20" i="1"/>
  <c r="X20" i="1" s="1"/>
  <c r="AD26" i="1"/>
  <c r="W24" i="1"/>
  <c r="X24" i="1" s="1"/>
  <c r="BA28" i="1"/>
  <c r="V28" i="1"/>
  <c r="AD29" i="1"/>
  <c r="Y27" i="1"/>
  <c r="AC27" i="1" s="1"/>
  <c r="AF27" i="1"/>
  <c r="AG27" i="1" s="1"/>
  <c r="W19" i="1"/>
  <c r="X19" i="1" s="1"/>
  <c r="W18" i="1"/>
  <c r="X18" i="1" s="1"/>
  <c r="AD17" i="1"/>
  <c r="T17" i="1"/>
  <c r="R17" i="1" s="1"/>
  <c r="U17" i="1" s="1"/>
  <c r="O17" i="1" s="1"/>
  <c r="P17" i="1" s="1"/>
  <c r="W30" i="1"/>
  <c r="X30" i="1" s="1"/>
  <c r="W26" i="1"/>
  <c r="X26" i="1" s="1"/>
  <c r="BA21" i="1"/>
  <c r="V21" i="1"/>
  <c r="AD22" i="1"/>
  <c r="AD21" i="1"/>
  <c r="AD23" i="1"/>
  <c r="AD25" i="1"/>
  <c r="BE24" i="1"/>
  <c r="T27" i="1"/>
  <c r="R27" i="1" s="1"/>
  <c r="U27" i="1" s="1"/>
  <c r="O27" i="1" s="1"/>
  <c r="P27" i="1" s="1"/>
  <c r="BE23" i="1" l="1"/>
  <c r="BE27" i="1"/>
  <c r="AE25" i="1"/>
  <c r="Y25" i="1"/>
  <c r="AC25" i="1" s="1"/>
  <c r="T25" i="1"/>
  <c r="R25" i="1" s="1"/>
  <c r="U25" i="1" s="1"/>
  <c r="O25" i="1" s="1"/>
  <c r="P25" i="1" s="1"/>
  <c r="AF25" i="1"/>
  <c r="BE26" i="1"/>
  <c r="Y22" i="1"/>
  <c r="AC22" i="1" s="1"/>
  <c r="AF22" i="1"/>
  <c r="T22" i="1"/>
  <c r="R22" i="1" s="1"/>
  <c r="U22" i="1" s="1"/>
  <c r="O22" i="1" s="1"/>
  <c r="P22" i="1" s="1"/>
  <c r="AE22" i="1"/>
  <c r="AG17" i="1"/>
  <c r="BC30" i="1"/>
  <c r="BE30" i="1"/>
  <c r="BC28" i="1"/>
  <c r="BE28" i="1"/>
  <c r="W21" i="1"/>
  <c r="X21" i="1" s="1"/>
  <c r="Y26" i="1"/>
  <c r="AC26" i="1" s="1"/>
  <c r="AF26" i="1"/>
  <c r="AE26" i="1"/>
  <c r="Y19" i="1"/>
  <c r="AC19" i="1" s="1"/>
  <c r="AF19" i="1"/>
  <c r="T19" i="1"/>
  <c r="R19" i="1" s="1"/>
  <c r="U19" i="1" s="1"/>
  <c r="O19" i="1" s="1"/>
  <c r="P19" i="1" s="1"/>
  <c r="AE19" i="1"/>
  <c r="AF18" i="1"/>
  <c r="Y18" i="1"/>
  <c r="AC18" i="1" s="1"/>
  <c r="T18" i="1"/>
  <c r="R18" i="1" s="1"/>
  <c r="U18" i="1" s="1"/>
  <c r="O18" i="1" s="1"/>
  <c r="P18" i="1" s="1"/>
  <c r="AE18" i="1"/>
  <c r="BC21" i="1"/>
  <c r="BE21" i="1"/>
  <c r="AF24" i="1"/>
  <c r="Y24" i="1"/>
  <c r="AC24" i="1" s="1"/>
  <c r="T24" i="1"/>
  <c r="R24" i="1" s="1"/>
  <c r="U24" i="1" s="1"/>
  <c r="O24" i="1" s="1"/>
  <c r="P24" i="1" s="1"/>
  <c r="AE24" i="1"/>
  <c r="AF20" i="1"/>
  <c r="Y20" i="1"/>
  <c r="AC20" i="1" s="1"/>
  <c r="AE20" i="1"/>
  <c r="T20" i="1"/>
  <c r="R20" i="1" s="1"/>
  <c r="U20" i="1" s="1"/>
  <c r="O20" i="1" s="1"/>
  <c r="P20" i="1" s="1"/>
  <c r="Y29" i="1"/>
  <c r="AC29" i="1" s="1"/>
  <c r="AF29" i="1"/>
  <c r="AE29" i="1"/>
  <c r="Y30" i="1"/>
  <c r="AC30" i="1" s="1"/>
  <c r="AF30" i="1"/>
  <c r="T30" i="1"/>
  <c r="R30" i="1" s="1"/>
  <c r="U30" i="1" s="1"/>
  <c r="O30" i="1" s="1"/>
  <c r="P30" i="1" s="1"/>
  <c r="AE30" i="1"/>
  <c r="W28" i="1"/>
  <c r="X28" i="1" s="1"/>
  <c r="T26" i="1"/>
  <c r="R26" i="1" s="1"/>
  <c r="U26" i="1" s="1"/>
  <c r="O26" i="1" s="1"/>
  <c r="P26" i="1" s="1"/>
  <c r="Y23" i="1"/>
  <c r="AC23" i="1" s="1"/>
  <c r="AF23" i="1"/>
  <c r="AE23" i="1"/>
  <c r="AG25" i="1" l="1"/>
  <c r="AG22" i="1"/>
  <c r="AG30" i="1"/>
  <c r="AG20" i="1"/>
  <c r="AG24" i="1"/>
  <c r="AG23" i="1"/>
  <c r="AF28" i="1"/>
  <c r="Y28" i="1"/>
  <c r="AC28" i="1" s="1"/>
  <c r="AE28" i="1"/>
  <c r="T28" i="1"/>
  <c r="R28" i="1" s="1"/>
  <c r="U28" i="1" s="1"/>
  <c r="O28" i="1" s="1"/>
  <c r="P28" i="1" s="1"/>
  <c r="AF21" i="1"/>
  <c r="Y21" i="1"/>
  <c r="AC21" i="1" s="1"/>
  <c r="AE21" i="1"/>
  <c r="T21" i="1"/>
  <c r="R21" i="1" s="1"/>
  <c r="U21" i="1" s="1"/>
  <c r="O21" i="1" s="1"/>
  <c r="P21" i="1" s="1"/>
  <c r="AG26" i="1"/>
  <c r="AG29" i="1"/>
  <c r="AG18" i="1"/>
  <c r="AG19" i="1"/>
  <c r="AG21" i="1" l="1"/>
  <c r="AG28" i="1"/>
</calcChain>
</file>

<file path=xl/sharedStrings.xml><?xml version="1.0" encoding="utf-8"?>
<sst xmlns="http://schemas.openxmlformats.org/spreadsheetml/2006/main" count="824" uniqueCount="354">
  <si>
    <t>File opened</t>
  </si>
  <si>
    <t>2019-06-27 10:39:11</t>
  </si>
  <si>
    <t>Console s/n</t>
  </si>
  <si>
    <t>68C-571038</t>
  </si>
  <si>
    <t>Console ver</t>
  </si>
  <si>
    <t>Bluestem v.1.3.4</t>
  </si>
  <si>
    <t>Scripts ver</t>
  </si>
  <si>
    <t>2018.05  1.3.4, Mar 2018</t>
  </si>
  <si>
    <t>Head s/n</t>
  </si>
  <si>
    <t>68H-581038</t>
  </si>
  <si>
    <t>Head ver</t>
  </si>
  <si>
    <t>1.3.0</t>
  </si>
  <si>
    <t>Head cal</t>
  </si>
  <si>
    <t>{"h2oaspanconc2": "0", "h2obspan2": "0", "co2bzero": "0.880288", "ssa_ref": "36614.9", "h2obspanconc1": "20", "h2oazero": "1.00263", "h2oaspan2": "0", "flowazero": "0.4286", "tbzero": "0.197721", "co2azero": "0.869071", "co2aspan2": "0", "co2aspan2b": "0.163711", "ssb_ref": "36526.8", "h2oaspan2a": "0.0661155", "co2bspanconc2": "0", "co2aspanconc1": "1002", "flowmeterzero": "0.991801", "co2bspanconc1": "1002", "co2aspan1": "0.992625", "tazero": "0.00774765", "h2obspanconc2": "0", "chamberpressurezero": "2.57337", "co2bspan2a": "0.163389", "flowbzero": "0.20796", "oxygen": "21", "h2obspan2a": "0.0975941", "co2aspan2a": "0.164928", "h2oaspan1": "1.00223", "co2bspan2": "0", "co2aspanconc2": "0", "h2oaspan2b": "0.0662632", "h2obspan2b": "0.0963575", "co2bspan1": "0.992131", "h2obzero": "1.01783", "h2obspan1": "0.998578", "co2bspan2b": "0.162103", "h2oaspanconc1": "12.19"}</t>
  </si>
  <si>
    <t>Chamber type</t>
  </si>
  <si>
    <t>6800-01</t>
  </si>
  <si>
    <t>Chamber s/n</t>
  </si>
  <si>
    <t>MPF-551037</t>
  </si>
  <si>
    <t>Chamber rev</t>
  </si>
  <si>
    <t>0</t>
  </si>
  <si>
    <t>Chamber cal</t>
  </si>
  <si>
    <t>Fluorometer</t>
  </si>
  <si>
    <t>Flr. Version</t>
  </si>
  <si>
    <t>10:39:11</t>
  </si>
  <si>
    <t>Stability Definition:	gsw (GasEx): Slp&lt;1 Std&lt;1	A (GasEx): Slp&lt;0.3 Std&lt;0.5	CO2_s (Meas): Slp&lt;2.5</t>
  </si>
  <si>
    <t>SysConst</t>
  </si>
  <si>
    <t>AvgTime</t>
  </si>
  <si>
    <t>4</t>
  </si>
  <si>
    <t>Oxygen</t>
  </si>
  <si>
    <t>21</t>
  </si>
  <si>
    <t>Chamber</t>
  </si>
  <si>
    <t>Const</t>
  </si>
  <si>
    <t>S</t>
  </si>
  <si>
    <t>K</t>
  </si>
  <si>
    <t>Geometry</t>
  </si>
  <si>
    <t>0: Broadleaf</t>
  </si>
  <si>
    <t>CustomBLC</t>
  </si>
  <si>
    <t>LTConst</t>
  </si>
  <si>
    <t>deltaTw</t>
  </si>
  <si>
    <t>fT1</t>
  </si>
  <si>
    <t>fT2</t>
  </si>
  <si>
    <t>fTeb</t>
  </si>
  <si>
    <t>LQConst</t>
  </si>
  <si>
    <t>Leaf</t>
  </si>
  <si>
    <t>standard</t>
  </si>
  <si>
    <t>Ambient</t>
  </si>
  <si>
    <t>Sun+Sky</t>
  </si>
  <si>
    <t>abs_ambient</t>
  </si>
  <si>
    <t>abs_redLED</t>
  </si>
  <si>
    <t>abs_greenLED</t>
  </si>
  <si>
    <t>abs_blueLED</t>
  </si>
  <si>
    <t>abs_whiteLED</t>
  </si>
  <si>
    <t>abs_redFlr</t>
  </si>
  <si>
    <t>abs_blueFlr</t>
  </si>
  <si>
    <t>k_ambient</t>
  </si>
  <si>
    <t>k_redLED</t>
  </si>
  <si>
    <t>k_greenLED</t>
  </si>
  <si>
    <t>k_blueLED</t>
  </si>
  <si>
    <t>k_whiteLED</t>
  </si>
  <si>
    <t>k_redFlr</t>
  </si>
  <si>
    <t>k_blueFlr</t>
  </si>
  <si>
    <t>QConst</t>
  </si>
  <si>
    <t>fQ_Amb_in</t>
  </si>
  <si>
    <t>fQ_Amb_out</t>
  </si>
  <si>
    <t>fQ_HeadLS</t>
  </si>
  <si>
    <t>fQ_ConsoleLS</t>
  </si>
  <si>
    <t>fQ_Flr</t>
  </si>
  <si>
    <t>LeakConst</t>
  </si>
  <si>
    <t>fan_a</t>
  </si>
  <si>
    <t>fan_b</t>
  </si>
  <si>
    <t>fan_c</t>
  </si>
  <si>
    <t>fan_d</t>
  </si>
  <si>
    <t>Fs_meas</t>
  </si>
  <si>
    <t>-0.378671 73.8098 378.659 612.87 841.829 1051.51 1231 1404.54</t>
  </si>
  <si>
    <t>Fs_true</t>
  </si>
  <si>
    <t>0.0960846 99.8642 402.057 601.362 799.956 1000.81 1200.93 1400.54</t>
  </si>
  <si>
    <t>leak_wt</t>
  </si>
  <si>
    <t>Sys</t>
  </si>
  <si>
    <t>UserDefVar</t>
  </si>
  <si>
    <t>GasEx</t>
  </si>
  <si>
    <t>Leak</t>
  </si>
  <si>
    <t>FLR</t>
  </si>
  <si>
    <t>LeafQ</t>
  </si>
  <si>
    <t>Meas</t>
  </si>
  <si>
    <t>FlrLS</t>
  </si>
  <si>
    <t>FlrStats</t>
  </si>
  <si>
    <t>Match</t>
  </si>
  <si>
    <t>Stability</t>
  </si>
  <si>
    <t>Auxiliary</t>
  </si>
  <si>
    <t>Status</t>
  </si>
  <si>
    <t>obs</t>
  </si>
  <si>
    <t>time</t>
  </si>
  <si>
    <t>elapsed</t>
  </si>
  <si>
    <t>date</t>
  </si>
  <si>
    <t>hhmmss</t>
  </si>
  <si>
    <t>Treatment</t>
  </si>
  <si>
    <t>Genotype</t>
  </si>
  <si>
    <t>Plant</t>
  </si>
  <si>
    <t>species</t>
  </si>
  <si>
    <t>leaf</t>
  </si>
  <si>
    <t>TIME</t>
  </si>
  <si>
    <t>E</t>
  </si>
  <si>
    <t>A</t>
  </si>
  <si>
    <t>Ca</t>
  </si>
  <si>
    <t>Ci</t>
  </si>
  <si>
    <t>Pci</t>
  </si>
  <si>
    <t>Pca</t>
  </si>
  <si>
    <t>gsw</t>
  </si>
  <si>
    <t>gbw</t>
  </si>
  <si>
    <t>gtw</t>
  </si>
  <si>
    <t>gtc</t>
  </si>
  <si>
    <t>Rabs</t>
  </si>
  <si>
    <t>TleafEB</t>
  </si>
  <si>
    <t>TleafCnd</t>
  </si>
  <si>
    <t>SVPleaf</t>
  </si>
  <si>
    <t>RHcham</t>
  </si>
  <si>
    <t>VPcham</t>
  </si>
  <si>
    <t>SVPcham</t>
  </si>
  <si>
    <t>VPDleaf</t>
  </si>
  <si>
    <t>LatHFlux</t>
  </si>
  <si>
    <t>SenHFlux</t>
  </si>
  <si>
    <t>NetTherm</t>
  </si>
  <si>
    <t>EBSum</t>
  </si>
  <si>
    <t>blfa_1</t>
  </si>
  <si>
    <t>blfa_2</t>
  </si>
  <si>
    <t>blfa_3</t>
  </si>
  <si>
    <t>LeakPct</t>
  </si>
  <si>
    <t>CorrFact</t>
  </si>
  <si>
    <t>CorrFactPct</t>
  </si>
  <si>
    <t>Fan</t>
  </si>
  <si>
    <t>DarkAdaptedID</t>
  </si>
  <si>
    <t>Fo</t>
  </si>
  <si>
    <t>Fm</t>
  </si>
  <si>
    <t>Fv</t>
  </si>
  <si>
    <t>Fv/Fm</t>
  </si>
  <si>
    <t>Adark</t>
  </si>
  <si>
    <t>LightAdaptedID</t>
  </si>
  <si>
    <t>Fs</t>
  </si>
  <si>
    <t>Fm'</t>
  </si>
  <si>
    <t>PhiPS2</t>
  </si>
  <si>
    <t>PS2/1</t>
  </si>
  <si>
    <t>Qabs_fs</t>
  </si>
  <si>
    <t>Afs</t>
  </si>
  <si>
    <t>ETR</t>
  </si>
  <si>
    <t>Fv'/Fm'</t>
  </si>
  <si>
    <t>PhiCO2</t>
  </si>
  <si>
    <t>NPQ</t>
  </si>
  <si>
    <t>DarkPulseID</t>
  </si>
  <si>
    <t>Fo'</t>
  </si>
  <si>
    <t>Fv'</t>
  </si>
  <si>
    <t>qP</t>
  </si>
  <si>
    <t>qN</t>
  </si>
  <si>
    <t>qP_Fo</t>
  </si>
  <si>
    <t>qN_Fo</t>
  </si>
  <si>
    <t>Qin</t>
  </si>
  <si>
    <t>Qabs</t>
  </si>
  <si>
    <t>alpha</t>
  </si>
  <si>
    <t>convert</t>
  </si>
  <si>
    <t>CO2_s</t>
  </si>
  <si>
    <t>CO2_r</t>
  </si>
  <si>
    <t>H2O_s</t>
  </si>
  <si>
    <t>H2O_r</t>
  </si>
  <si>
    <t>Flow</t>
  </si>
  <si>
    <t>Pa</t>
  </si>
  <si>
    <t>ΔPcham</t>
  </si>
  <si>
    <t>Tair</t>
  </si>
  <si>
    <t>Tleaf</t>
  </si>
  <si>
    <t>Tleaf2</t>
  </si>
  <si>
    <t>Fan_speed</t>
  </si>
  <si>
    <t>Qamb_in</t>
  </si>
  <si>
    <t>Qamb_out</t>
  </si>
  <si>
    <t>Q</t>
  </si>
  <si>
    <t>f_red</t>
  </si>
  <si>
    <t>f_blue</t>
  </si>
  <si>
    <t>f_farred</t>
  </si>
  <si>
    <t>F</t>
  </si>
  <si>
    <t>Q_modavg</t>
  </si>
  <si>
    <t>F_dc</t>
  </si>
  <si>
    <t>Pc</t>
  </si>
  <si>
    <t>Tled</t>
  </si>
  <si>
    <t>TDigital</t>
  </si>
  <si>
    <t>TPreamp</t>
  </si>
  <si>
    <t>TPwrSpy</t>
  </si>
  <si>
    <t>TDrive</t>
  </si>
  <si>
    <t>Q_red</t>
  </si>
  <si>
    <t>Q_blue</t>
  </si>
  <si>
    <t>Q_farred</t>
  </si>
  <si>
    <t>TSPF</t>
  </si>
  <si>
    <t>F_avg</t>
  </si>
  <si>
    <t>dF/dt</t>
  </si>
  <si>
    <t>dF_dc/dt</t>
  </si>
  <si>
    <t>F_dc_avg</t>
  </si>
  <si>
    <t>period</t>
  </si>
  <si>
    <t>count</t>
  </si>
  <si>
    <t>co2_adj</t>
  </si>
  <si>
    <t>h2o_adj</t>
  </si>
  <si>
    <t>co2_at</t>
  </si>
  <si>
    <t>h2o_at</t>
  </si>
  <si>
    <t>co2_cv</t>
  </si>
  <si>
    <t>h2o_cv</t>
  </si>
  <si>
    <t>A:MN</t>
  </si>
  <si>
    <t>A:SLP</t>
  </si>
  <si>
    <t>A:SD</t>
  </si>
  <si>
    <t>A:OK</t>
  </si>
  <si>
    <t>CO2_s:MN</t>
  </si>
  <si>
    <t>CO2_s:SLP</t>
  </si>
  <si>
    <t>CO2_s:SD</t>
  </si>
  <si>
    <t>CO2_s:OK</t>
  </si>
  <si>
    <t>gsw:MN</t>
  </si>
  <si>
    <t>gsw:SLP</t>
  </si>
  <si>
    <t>gsw:SD</t>
  </si>
  <si>
    <t>gsw:OK</t>
  </si>
  <si>
    <t>Stable</t>
  </si>
  <si>
    <t>Total</t>
  </si>
  <si>
    <t>State</t>
  </si>
  <si>
    <t>ADC_CH1</t>
  </si>
  <si>
    <t>ADC_CH2</t>
  </si>
  <si>
    <t>ADC_CH3</t>
  </si>
  <si>
    <t>ADC_CH4</t>
  </si>
  <si>
    <t>ADC_CH5</t>
  </si>
  <si>
    <t>ADC_CH6</t>
  </si>
  <si>
    <t>ADC_CH7</t>
  </si>
  <si>
    <t>ADC_CH8</t>
  </si>
  <si>
    <t>DAC_1</t>
  </si>
  <si>
    <t>DAC_2</t>
  </si>
  <si>
    <t>DAC_3</t>
  </si>
  <si>
    <t>DAC_4</t>
  </si>
  <si>
    <t>GPIO</t>
  </si>
  <si>
    <t>GPIO_dir</t>
  </si>
  <si>
    <t>excit_5v</t>
  </si>
  <si>
    <t>power_12v</t>
  </si>
  <si>
    <t>power_5v</t>
  </si>
  <si>
    <t>ch1_pullup</t>
  </si>
  <si>
    <t>AuxPower</t>
  </si>
  <si>
    <t>MatchValveR</t>
  </si>
  <si>
    <t>MatchValveS</t>
  </si>
  <si>
    <t>MatchCO2</t>
  </si>
  <si>
    <t>MatchH2O</t>
  </si>
  <si>
    <t>DIAG</t>
  </si>
  <si>
    <t>Flow_s</t>
  </si>
  <si>
    <t>Flow_r</t>
  </si>
  <si>
    <t>Txchg</t>
  </si>
  <si>
    <t>Tirga</t>
  </si>
  <si>
    <t>Tchopper</t>
  </si>
  <si>
    <t>Ts</t>
  </si>
  <si>
    <t>Tr</t>
  </si>
  <si>
    <t>CO2_%</t>
  </si>
  <si>
    <t>Desiccant_%</t>
  </si>
  <si>
    <t>Humidifier_%</t>
  </si>
  <si>
    <t>Txchg_sp</t>
  </si>
  <si>
    <t>CO2_r_sp</t>
  </si>
  <si>
    <t>H2O_r_sp</t>
  </si>
  <si>
    <t>SS_s</t>
  </si>
  <si>
    <t>SS_r</t>
  </si>
  <si>
    <t>s</t>
  </si>
  <si>
    <t>mol m⁻² s⁻¹</t>
  </si>
  <si>
    <t>µmol m⁻² s⁻¹</t>
  </si>
  <si>
    <t>µmol mol⁻¹</t>
  </si>
  <si>
    <t>W m⁻²</t>
  </si>
  <si>
    <t>°C</t>
  </si>
  <si>
    <t>kPa</t>
  </si>
  <si>
    <t>%</t>
  </si>
  <si>
    <t>µmol s⁻¹</t>
  </si>
  <si>
    <t>µmol µmol⁻¹</t>
  </si>
  <si>
    <t>J/µmol</t>
  </si>
  <si>
    <t>mmol mol⁻¹</t>
  </si>
  <si>
    <t>rpm</t>
  </si>
  <si>
    <t>min⁻¹</t>
  </si>
  <si>
    <t>secs</t>
  </si>
  <si>
    <t>µmol/mol</t>
  </si>
  <si>
    <t>mmol/mol</t>
  </si>
  <si>
    <t>µmol m⁻² s⁻¹ min⁻¹</t>
  </si>
  <si>
    <t>µmol mol⁻¹ min⁻¹</t>
  </si>
  <si>
    <t>mol m⁻² s⁻¹ min⁻¹</t>
  </si>
  <si>
    <t>V</t>
  </si>
  <si>
    <t>20190627 10:45:35</t>
  </si>
  <si>
    <t>10:45:35</t>
  </si>
  <si>
    <t>1</t>
  </si>
  <si>
    <t>G2</t>
  </si>
  <si>
    <t>RECT-3890-20190627-05_07_53</t>
  </si>
  <si>
    <t>MPF-3957-20190627-10_45_37</t>
  </si>
  <si>
    <t>DARK-3958-20190627-10_45_45</t>
  </si>
  <si>
    <t>10:44:49</t>
  </si>
  <si>
    <t>3/3</t>
  </si>
  <si>
    <t>5</t>
  </si>
  <si>
    <t>11111111</t>
  </si>
  <si>
    <t>oooooooo</t>
  </si>
  <si>
    <t>off</t>
  </si>
  <si>
    <t>20190627 11:01:19</t>
  </si>
  <si>
    <t>11:01:19</t>
  </si>
  <si>
    <t>MPF-3959-20190627-11_01_21</t>
  </si>
  <si>
    <t>DARK-3960-20190627-11_01_28</t>
  </si>
  <si>
    <t>11:00:33</t>
  </si>
  <si>
    <t>20190627 11:03:23</t>
  </si>
  <si>
    <t>11:03:23</t>
  </si>
  <si>
    <t>MPF-3961-20190627-11_03_25</t>
  </si>
  <si>
    <t>DARK-3962-20190627-11_03_32</t>
  </si>
  <si>
    <t>11:02:37</t>
  </si>
  <si>
    <t>20190627 11:05:26</t>
  </si>
  <si>
    <t>11:05:26</t>
  </si>
  <si>
    <t>MPF-3963-20190627-11_05_28</t>
  </si>
  <si>
    <t>DARK-3964-20190627-11_05_35</t>
  </si>
  <si>
    <t>11:04:40</t>
  </si>
  <si>
    <t>20190627 11:07:33</t>
  </si>
  <si>
    <t>11:07:33</t>
  </si>
  <si>
    <t>MPF-3965-20190627-11_07_35</t>
  </si>
  <si>
    <t>DARK-3966-20190627-11_07_42</t>
  </si>
  <si>
    <t>11:06:48</t>
  </si>
  <si>
    <t>20190627 11:09:04</t>
  </si>
  <si>
    <t>11:09:04</t>
  </si>
  <si>
    <t>MPF-3967-20190627-11_09_05</t>
  </si>
  <si>
    <t>DARK-3968-20190627-11_09_13</t>
  </si>
  <si>
    <t>11:08:54</t>
  </si>
  <si>
    <t>20190627 11:11:05</t>
  </si>
  <si>
    <t>11:11:05</t>
  </si>
  <si>
    <t>MPF-3969-20190627-11_11_07</t>
  </si>
  <si>
    <t>DARK-3970-20190627-11_11_15</t>
  </si>
  <si>
    <t>11:10:21</t>
  </si>
  <si>
    <t>20190627 11:15:46</t>
  </si>
  <si>
    <t>11:15:46</t>
  </si>
  <si>
    <t>MPF-3973-20190627-11_15_48</t>
  </si>
  <si>
    <t>DARK-3974-20190627-11_15_55</t>
  </si>
  <si>
    <t>11:14:40</t>
  </si>
  <si>
    <t>2/3</t>
  </si>
  <si>
    <t>20190627 11:18:06</t>
  </si>
  <si>
    <t>11:18:06</t>
  </si>
  <si>
    <t>MPF-3975-20190627-11_18_07</t>
  </si>
  <si>
    <t>DARK-3976-20190627-11_18_15</t>
  </si>
  <si>
    <t>11:17:20</t>
  </si>
  <si>
    <t>20190627 11:20:26</t>
  </si>
  <si>
    <t>11:20:26</t>
  </si>
  <si>
    <t>MPF-3977-20190627-11_20_28</t>
  </si>
  <si>
    <t>DARK-3978-20190627-11_20_36</t>
  </si>
  <si>
    <t>11:19:22</t>
  </si>
  <si>
    <t>20190627 11:22:47</t>
  </si>
  <si>
    <t>11:22:47</t>
  </si>
  <si>
    <t>MPF-3979-20190627-11_22_48</t>
  </si>
  <si>
    <t>DARK-3980-20190627-11_22_56</t>
  </si>
  <si>
    <t>11:21:51</t>
  </si>
  <si>
    <t>20190627 11:25:07</t>
  </si>
  <si>
    <t>11:25:07</t>
  </si>
  <si>
    <t>MPF-3981-20190627-11_25_09</t>
  </si>
  <si>
    <t>DARK-3982-20190627-11_25_16</t>
  </si>
  <si>
    <t>11:24:14</t>
  </si>
  <si>
    <t>20190627 11:27:28</t>
  </si>
  <si>
    <t>11:27:28</t>
  </si>
  <si>
    <t>MPF-3983-20190627-11_27_29</t>
  </si>
  <si>
    <t>DARK-3984-20190627-11_27_37</t>
  </si>
  <si>
    <t>11:28:00</t>
  </si>
  <si>
    <t>20190627 11:30:21</t>
  </si>
  <si>
    <t>11:30:21</t>
  </si>
  <si>
    <t>MPF-3985-20190627-11_30_23</t>
  </si>
  <si>
    <t>DARK-3986-20190627-11_30_31</t>
  </si>
  <si>
    <t>11:30:55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</si>
</sst>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L30"/>
  <sheetViews>
    <sheetView tabSelected="1" topLeftCell="BD10" workbookViewId="0">
      <selection activeCell="BO12" sqref="BO12"/>
    </sheetView>
  </sheetViews>
  <sheetFormatPr defaultRowHeight="14.4" x14ac:dyDescent="0.25"/>
  <sheetData>
    <row r="2" spans="1:168" x14ac:dyDescent="0.25">
      <c r="A2" t="s">
        <v>25</v>
      </c>
      <c r="B2" t="s">
        <v>26</v>
      </c>
      <c r="C2" t="s">
        <v>28</v>
      </c>
      <c r="D2" t="s">
        <v>30</v>
      </c>
    </row>
    <row r="3" spans="1:168" x14ac:dyDescent="0.25">
      <c r="B3" t="s">
        <v>27</v>
      </c>
      <c r="C3" t="s">
        <v>29</v>
      </c>
      <c r="D3" t="s">
        <v>15</v>
      </c>
    </row>
    <row r="4" spans="1:168" x14ac:dyDescent="0.25">
      <c r="A4" t="s">
        <v>31</v>
      </c>
      <c r="B4" t="s">
        <v>32</v>
      </c>
      <c r="C4" t="s">
        <v>33</v>
      </c>
      <c r="D4" t="s">
        <v>34</v>
      </c>
      <c r="E4" t="s">
        <v>36</v>
      </c>
    </row>
    <row r="5" spans="1:168" x14ac:dyDescent="0.25">
      <c r="B5">
        <v>6</v>
      </c>
      <c r="C5">
        <v>0.5</v>
      </c>
      <c r="D5" t="s">
        <v>35</v>
      </c>
      <c r="E5">
        <v>2</v>
      </c>
    </row>
    <row r="6" spans="1:168" x14ac:dyDescent="0.25">
      <c r="A6" t="s">
        <v>37</v>
      </c>
      <c r="B6" t="s">
        <v>38</v>
      </c>
      <c r="C6" t="s">
        <v>39</v>
      </c>
      <c r="D6" t="s">
        <v>40</v>
      </c>
      <c r="E6" t="s">
        <v>41</v>
      </c>
    </row>
    <row r="7" spans="1:168" x14ac:dyDescent="0.25">
      <c r="B7">
        <v>0</v>
      </c>
      <c r="C7">
        <v>1</v>
      </c>
      <c r="D7">
        <v>0</v>
      </c>
      <c r="E7">
        <v>0</v>
      </c>
    </row>
    <row r="8" spans="1:168" x14ac:dyDescent="0.25">
      <c r="A8" t="s">
        <v>42</v>
      </c>
      <c r="B8" t="s">
        <v>43</v>
      </c>
      <c r="C8" t="s">
        <v>45</v>
      </c>
      <c r="D8" t="s">
        <v>47</v>
      </c>
      <c r="E8" t="s">
        <v>48</v>
      </c>
      <c r="F8" t="s">
        <v>49</v>
      </c>
      <c r="G8" t="s">
        <v>50</v>
      </c>
      <c r="H8" t="s">
        <v>51</v>
      </c>
      <c r="I8" t="s">
        <v>52</v>
      </c>
      <c r="J8" t="s">
        <v>53</v>
      </c>
      <c r="K8" t="s">
        <v>54</v>
      </c>
      <c r="L8" t="s">
        <v>55</v>
      </c>
      <c r="M8" t="s">
        <v>56</v>
      </c>
      <c r="N8" t="s">
        <v>57</v>
      </c>
      <c r="O8" t="s">
        <v>58</v>
      </c>
      <c r="P8" t="s">
        <v>59</v>
      </c>
      <c r="Q8" t="s">
        <v>60</v>
      </c>
    </row>
    <row r="9" spans="1:168" x14ac:dyDescent="0.25">
      <c r="B9" t="s">
        <v>44</v>
      </c>
      <c r="C9" t="s">
        <v>46</v>
      </c>
      <c r="D9">
        <v>0.49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0.39</v>
      </c>
      <c r="L9">
        <v>0.18</v>
      </c>
      <c r="M9">
        <v>0.23</v>
      </c>
      <c r="N9">
        <v>0.26</v>
      </c>
      <c r="O9">
        <v>0.21</v>
      </c>
      <c r="P9">
        <v>0.19</v>
      </c>
      <c r="Q9">
        <v>0.25</v>
      </c>
    </row>
    <row r="10" spans="1:168" x14ac:dyDescent="0.25">
      <c r="A10" t="s">
        <v>61</v>
      </c>
      <c r="B10" t="s">
        <v>62</v>
      </c>
      <c r="C10" t="s">
        <v>63</v>
      </c>
      <c r="D10" t="s">
        <v>64</v>
      </c>
      <c r="E10" t="s">
        <v>65</v>
      </c>
      <c r="F10" t="s">
        <v>66</v>
      </c>
    </row>
    <row r="11" spans="1:168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168" x14ac:dyDescent="0.25">
      <c r="A12" t="s">
        <v>67</v>
      </c>
      <c r="B12" t="s">
        <v>68</v>
      </c>
      <c r="C12" t="s">
        <v>69</v>
      </c>
      <c r="D12" t="s">
        <v>70</v>
      </c>
      <c r="E12" t="s">
        <v>71</v>
      </c>
      <c r="F12" t="s">
        <v>72</v>
      </c>
      <c r="G12" t="s">
        <v>74</v>
      </c>
      <c r="H12" t="s">
        <v>76</v>
      </c>
    </row>
    <row r="13" spans="1:168" x14ac:dyDescent="0.25">
      <c r="B13">
        <v>-6276</v>
      </c>
      <c r="C13">
        <v>6.6</v>
      </c>
      <c r="D13">
        <v>1.7090000000000001E-5</v>
      </c>
      <c r="E13">
        <v>3.11</v>
      </c>
      <c r="F13" t="s">
        <v>73</v>
      </c>
      <c r="G13" t="s">
        <v>75</v>
      </c>
      <c r="H13">
        <v>2</v>
      </c>
    </row>
    <row r="14" spans="1:168" x14ac:dyDescent="0.25">
      <c r="A14" t="s">
        <v>77</v>
      </c>
      <c r="B14" t="s">
        <v>77</v>
      </c>
      <c r="C14" t="s">
        <v>77</v>
      </c>
      <c r="D14" t="s">
        <v>77</v>
      </c>
      <c r="E14" t="s">
        <v>77</v>
      </c>
      <c r="F14" t="s">
        <v>78</v>
      </c>
      <c r="G14" t="s">
        <v>78</v>
      </c>
      <c r="H14" t="s">
        <v>78</v>
      </c>
      <c r="I14" t="s">
        <v>78</v>
      </c>
      <c r="J14" t="s">
        <v>78</v>
      </c>
      <c r="K14" t="s">
        <v>79</v>
      </c>
      <c r="L14" t="s">
        <v>79</v>
      </c>
      <c r="M14" t="s">
        <v>79</v>
      </c>
      <c r="N14" t="s">
        <v>79</v>
      </c>
      <c r="O14" t="s">
        <v>79</v>
      </c>
      <c r="P14" t="s">
        <v>79</v>
      </c>
      <c r="Q14" t="s">
        <v>79</v>
      </c>
      <c r="R14" t="s">
        <v>79</v>
      </c>
      <c r="S14" t="s">
        <v>79</v>
      </c>
      <c r="T14" t="s">
        <v>79</v>
      </c>
      <c r="U14" t="s">
        <v>79</v>
      </c>
      <c r="V14" t="s">
        <v>79</v>
      </c>
      <c r="W14" t="s">
        <v>79</v>
      </c>
      <c r="X14" t="s">
        <v>79</v>
      </c>
      <c r="Y14" t="s">
        <v>79</v>
      </c>
      <c r="Z14" t="s">
        <v>79</v>
      </c>
      <c r="AA14" t="s">
        <v>79</v>
      </c>
      <c r="AB14" t="s">
        <v>79</v>
      </c>
      <c r="AC14" t="s">
        <v>79</v>
      </c>
      <c r="AD14" t="s">
        <v>79</v>
      </c>
      <c r="AE14" t="s">
        <v>79</v>
      </c>
      <c r="AF14" t="s">
        <v>79</v>
      </c>
      <c r="AG14" t="s">
        <v>79</v>
      </c>
      <c r="AH14" t="s">
        <v>79</v>
      </c>
      <c r="AI14" t="s">
        <v>79</v>
      </c>
      <c r="AJ14" t="s">
        <v>79</v>
      </c>
      <c r="AK14" t="s">
        <v>80</v>
      </c>
      <c r="AL14" t="s">
        <v>80</v>
      </c>
      <c r="AM14" t="s">
        <v>80</v>
      </c>
      <c r="AN14" t="s">
        <v>80</v>
      </c>
      <c r="AO14" t="s">
        <v>80</v>
      </c>
      <c r="AP14" t="s">
        <v>81</v>
      </c>
      <c r="AQ14" t="s">
        <v>81</v>
      </c>
      <c r="AR14" t="s">
        <v>81</v>
      </c>
      <c r="AS14" t="s">
        <v>81</v>
      </c>
      <c r="AT14" t="s">
        <v>81</v>
      </c>
      <c r="AU14" t="s">
        <v>81</v>
      </c>
      <c r="AV14" t="s">
        <v>81</v>
      </c>
      <c r="AW14" t="s">
        <v>81</v>
      </c>
      <c r="AX14" t="s">
        <v>81</v>
      </c>
      <c r="AY14" t="s">
        <v>81</v>
      </c>
      <c r="AZ14" t="s">
        <v>81</v>
      </c>
      <c r="BA14" t="s">
        <v>81</v>
      </c>
      <c r="BB14" t="s">
        <v>81</v>
      </c>
      <c r="BC14" t="s">
        <v>81</v>
      </c>
      <c r="BD14" t="s">
        <v>81</v>
      </c>
      <c r="BE14" t="s">
        <v>81</v>
      </c>
      <c r="BF14" t="s">
        <v>81</v>
      </c>
      <c r="BG14" t="s">
        <v>81</v>
      </c>
      <c r="BH14" t="s">
        <v>81</v>
      </c>
      <c r="BI14" t="s">
        <v>81</v>
      </c>
      <c r="BJ14" t="s">
        <v>81</v>
      </c>
      <c r="BK14" t="s">
        <v>81</v>
      </c>
      <c r="BL14" t="s">
        <v>81</v>
      </c>
      <c r="BM14" t="s">
        <v>81</v>
      </c>
      <c r="BN14" t="s">
        <v>82</v>
      </c>
      <c r="BO14" t="s">
        <v>82</v>
      </c>
      <c r="BP14" t="s">
        <v>82</v>
      </c>
      <c r="BQ14" t="s">
        <v>82</v>
      </c>
      <c r="BR14" t="s">
        <v>83</v>
      </c>
      <c r="BS14" t="s">
        <v>83</v>
      </c>
      <c r="BT14" t="s">
        <v>83</v>
      </c>
      <c r="BU14" t="s">
        <v>83</v>
      </c>
      <c r="BV14" t="s">
        <v>83</v>
      </c>
      <c r="BW14" t="s">
        <v>83</v>
      </c>
      <c r="BX14" t="s">
        <v>83</v>
      </c>
      <c r="BY14" t="s">
        <v>83</v>
      </c>
      <c r="BZ14" t="s">
        <v>83</v>
      </c>
      <c r="CA14" t="s">
        <v>83</v>
      </c>
      <c r="CB14" t="s">
        <v>83</v>
      </c>
      <c r="CC14" t="s">
        <v>83</v>
      </c>
      <c r="CD14" t="s">
        <v>83</v>
      </c>
      <c r="CE14" t="s">
        <v>83</v>
      </c>
      <c r="CF14" t="s">
        <v>84</v>
      </c>
      <c r="CG14" t="s">
        <v>84</v>
      </c>
      <c r="CH14" t="s">
        <v>84</v>
      </c>
      <c r="CI14" t="s">
        <v>84</v>
      </c>
      <c r="CJ14" t="s">
        <v>84</v>
      </c>
      <c r="CK14" t="s">
        <v>84</v>
      </c>
      <c r="CL14" t="s">
        <v>84</v>
      </c>
      <c r="CM14" t="s">
        <v>84</v>
      </c>
      <c r="CN14" t="s">
        <v>84</v>
      </c>
      <c r="CO14" t="s">
        <v>84</v>
      </c>
      <c r="CP14" t="s">
        <v>84</v>
      </c>
      <c r="CQ14" t="s">
        <v>84</v>
      </c>
      <c r="CR14" t="s">
        <v>84</v>
      </c>
      <c r="CS14" t="s">
        <v>84</v>
      </c>
      <c r="CT14" t="s">
        <v>84</v>
      </c>
      <c r="CU14" t="s">
        <v>84</v>
      </c>
      <c r="CV14" t="s">
        <v>84</v>
      </c>
      <c r="CW14" t="s">
        <v>85</v>
      </c>
      <c r="CX14" t="s">
        <v>85</v>
      </c>
      <c r="CY14" t="s">
        <v>85</v>
      </c>
      <c r="CZ14" t="s">
        <v>85</v>
      </c>
      <c r="DA14" t="s">
        <v>85</v>
      </c>
      <c r="DB14" t="s">
        <v>86</v>
      </c>
      <c r="DC14" t="s">
        <v>86</v>
      </c>
      <c r="DD14" t="s">
        <v>86</v>
      </c>
      <c r="DE14" t="s">
        <v>86</v>
      </c>
      <c r="DF14" t="s">
        <v>86</v>
      </c>
      <c r="DG14" t="s">
        <v>86</v>
      </c>
      <c r="DH14" t="s">
        <v>86</v>
      </c>
      <c r="DI14" t="s">
        <v>86</v>
      </c>
      <c r="DJ14" t="s">
        <v>86</v>
      </c>
      <c r="DK14" t="s">
        <v>87</v>
      </c>
      <c r="DL14" t="s">
        <v>87</v>
      </c>
      <c r="DM14" t="s">
        <v>87</v>
      </c>
      <c r="DN14" t="s">
        <v>87</v>
      </c>
      <c r="DO14" t="s">
        <v>87</v>
      </c>
      <c r="DP14" t="s">
        <v>87</v>
      </c>
      <c r="DQ14" t="s">
        <v>87</v>
      </c>
      <c r="DR14" t="s">
        <v>87</v>
      </c>
      <c r="DS14" t="s">
        <v>87</v>
      </c>
      <c r="DT14" t="s">
        <v>87</v>
      </c>
      <c r="DU14" t="s">
        <v>87</v>
      </c>
      <c r="DV14" t="s">
        <v>87</v>
      </c>
      <c r="DW14" t="s">
        <v>87</v>
      </c>
      <c r="DX14" t="s">
        <v>87</v>
      </c>
      <c r="DY14" t="s">
        <v>87</v>
      </c>
      <c r="DZ14" t="s">
        <v>88</v>
      </c>
      <c r="EA14" t="s">
        <v>88</v>
      </c>
      <c r="EB14" t="s">
        <v>88</v>
      </c>
      <c r="EC14" t="s">
        <v>88</v>
      </c>
      <c r="ED14" t="s">
        <v>88</v>
      </c>
      <c r="EE14" t="s">
        <v>88</v>
      </c>
      <c r="EF14" t="s">
        <v>88</v>
      </c>
      <c r="EG14" t="s">
        <v>88</v>
      </c>
      <c r="EH14" t="s">
        <v>88</v>
      </c>
      <c r="EI14" t="s">
        <v>88</v>
      </c>
      <c r="EJ14" t="s">
        <v>88</v>
      </c>
      <c r="EK14" t="s">
        <v>88</v>
      </c>
      <c r="EL14" t="s">
        <v>88</v>
      </c>
      <c r="EM14" t="s">
        <v>88</v>
      </c>
      <c r="EN14" t="s">
        <v>88</v>
      </c>
      <c r="EO14" t="s">
        <v>88</v>
      </c>
      <c r="EP14" t="s">
        <v>88</v>
      </c>
      <c r="EQ14" t="s">
        <v>88</v>
      </c>
      <c r="ER14" t="s">
        <v>88</v>
      </c>
      <c r="ES14" t="s">
        <v>89</v>
      </c>
      <c r="ET14" t="s">
        <v>89</v>
      </c>
      <c r="EU14" t="s">
        <v>89</v>
      </c>
      <c r="EV14" t="s">
        <v>89</v>
      </c>
      <c r="EW14" t="s">
        <v>89</v>
      </c>
      <c r="EX14" t="s">
        <v>89</v>
      </c>
      <c r="EY14" t="s">
        <v>89</v>
      </c>
      <c r="EZ14" t="s">
        <v>89</v>
      </c>
      <c r="FA14" t="s">
        <v>89</v>
      </c>
      <c r="FB14" t="s">
        <v>89</v>
      </c>
      <c r="FC14" t="s">
        <v>89</v>
      </c>
      <c r="FD14" t="s">
        <v>89</v>
      </c>
      <c r="FE14" t="s">
        <v>89</v>
      </c>
      <c r="FF14" t="s">
        <v>89</v>
      </c>
      <c r="FG14" t="s">
        <v>89</v>
      </c>
      <c r="FH14" t="s">
        <v>89</v>
      </c>
      <c r="FI14" t="s">
        <v>89</v>
      </c>
      <c r="FJ14" t="s">
        <v>89</v>
      </c>
      <c r="FK14" t="s">
        <v>89</v>
      </c>
      <c r="FL14" t="s">
        <v>89</v>
      </c>
    </row>
    <row r="15" spans="1:168" x14ac:dyDescent="0.25">
      <c r="A15" t="s">
        <v>90</v>
      </c>
      <c r="B15" t="s">
        <v>91</v>
      </c>
      <c r="C15" t="s">
        <v>92</v>
      </c>
      <c r="D15" t="s">
        <v>93</v>
      </c>
      <c r="E15" t="s">
        <v>94</v>
      </c>
      <c r="F15" t="s">
        <v>95</v>
      </c>
      <c r="G15" t="s">
        <v>96</v>
      </c>
      <c r="H15" t="s">
        <v>97</v>
      </c>
      <c r="I15" t="s">
        <v>98</v>
      </c>
      <c r="J15" t="s">
        <v>99</v>
      </c>
      <c r="K15" t="s">
        <v>100</v>
      </c>
      <c r="L15" t="s">
        <v>101</v>
      </c>
      <c r="M15" t="s">
        <v>102</v>
      </c>
      <c r="N15" t="s">
        <v>103</v>
      </c>
      <c r="O15" t="s">
        <v>104</v>
      </c>
      <c r="P15" t="s">
        <v>105</v>
      </c>
      <c r="Q15" t="s">
        <v>106</v>
      </c>
      <c r="R15" t="s">
        <v>107</v>
      </c>
      <c r="S15" t="s">
        <v>108</v>
      </c>
      <c r="T15" t="s">
        <v>109</v>
      </c>
      <c r="U15" t="s">
        <v>110</v>
      </c>
      <c r="V15" t="s">
        <v>111</v>
      </c>
      <c r="W15" t="s">
        <v>112</v>
      </c>
      <c r="X15" t="s">
        <v>113</v>
      </c>
      <c r="Y15" t="s">
        <v>114</v>
      </c>
      <c r="Z15" t="s">
        <v>115</v>
      </c>
      <c r="AA15" t="s">
        <v>116</v>
      </c>
      <c r="AB15" t="s">
        <v>117</v>
      </c>
      <c r="AC15" t="s">
        <v>118</v>
      </c>
      <c r="AD15" t="s">
        <v>119</v>
      </c>
      <c r="AE15" t="s">
        <v>120</v>
      </c>
      <c r="AF15" t="s">
        <v>121</v>
      </c>
      <c r="AG15" t="s">
        <v>122</v>
      </c>
      <c r="AH15" t="s">
        <v>123</v>
      </c>
      <c r="AI15" t="s">
        <v>124</v>
      </c>
      <c r="AJ15" t="s">
        <v>125</v>
      </c>
      <c r="AK15" t="s">
        <v>80</v>
      </c>
      <c r="AL15" t="s">
        <v>126</v>
      </c>
      <c r="AM15" t="s">
        <v>127</v>
      </c>
      <c r="AN15" t="s">
        <v>128</v>
      </c>
      <c r="AO15" t="s">
        <v>129</v>
      </c>
      <c r="AP15" t="s">
        <v>130</v>
      </c>
      <c r="AQ15" t="s">
        <v>131</v>
      </c>
      <c r="AR15" t="s">
        <v>132</v>
      </c>
      <c r="AS15" t="s">
        <v>133</v>
      </c>
      <c r="AT15" t="s">
        <v>134</v>
      </c>
      <c r="AU15" t="s">
        <v>135</v>
      </c>
      <c r="AV15" t="s">
        <v>136</v>
      </c>
      <c r="AW15" t="s">
        <v>137</v>
      </c>
      <c r="AX15" t="s">
        <v>138</v>
      </c>
      <c r="AY15" t="s">
        <v>139</v>
      </c>
      <c r="AZ15" t="s">
        <v>140</v>
      </c>
      <c r="BA15" t="s">
        <v>141</v>
      </c>
      <c r="BB15" t="s">
        <v>142</v>
      </c>
      <c r="BC15" t="s">
        <v>143</v>
      </c>
      <c r="BD15" t="s">
        <v>144</v>
      </c>
      <c r="BE15" t="s">
        <v>145</v>
      </c>
      <c r="BF15" t="s">
        <v>146</v>
      </c>
      <c r="BG15" t="s">
        <v>147</v>
      </c>
      <c r="BH15" t="s">
        <v>148</v>
      </c>
      <c r="BI15" t="s">
        <v>149</v>
      </c>
      <c r="BJ15" t="s">
        <v>150</v>
      </c>
      <c r="BK15" t="s">
        <v>151</v>
      </c>
      <c r="BL15" t="s">
        <v>152</v>
      </c>
      <c r="BM15" t="s">
        <v>153</v>
      </c>
      <c r="BN15" t="s">
        <v>154</v>
      </c>
      <c r="BO15" s="1" t="s">
        <v>155</v>
      </c>
      <c r="BP15" t="s">
        <v>156</v>
      </c>
      <c r="BQ15" t="s">
        <v>157</v>
      </c>
      <c r="BR15" t="s">
        <v>100</v>
      </c>
      <c r="BS15" t="s">
        <v>158</v>
      </c>
      <c r="BT15" t="s">
        <v>159</v>
      </c>
      <c r="BU15" t="s">
        <v>160</v>
      </c>
      <c r="BV15" t="s">
        <v>161</v>
      </c>
      <c r="BW15" t="s">
        <v>162</v>
      </c>
      <c r="BX15" t="s">
        <v>163</v>
      </c>
      <c r="BY15" t="s">
        <v>164</v>
      </c>
      <c r="BZ15" t="s">
        <v>165</v>
      </c>
      <c r="CA15" t="s">
        <v>166</v>
      </c>
      <c r="CB15" t="s">
        <v>167</v>
      </c>
      <c r="CC15" t="s">
        <v>168</v>
      </c>
      <c r="CD15" t="s">
        <v>169</v>
      </c>
      <c r="CE15" t="s">
        <v>170</v>
      </c>
      <c r="CF15" t="s">
        <v>171</v>
      </c>
      <c r="CG15" t="s">
        <v>172</v>
      </c>
      <c r="CH15" t="s">
        <v>173</v>
      </c>
      <c r="CI15" t="s">
        <v>174</v>
      </c>
      <c r="CJ15" t="s">
        <v>175</v>
      </c>
      <c r="CK15" t="s">
        <v>176</v>
      </c>
      <c r="CL15" t="s">
        <v>177</v>
      </c>
      <c r="CM15" t="s">
        <v>178</v>
      </c>
      <c r="CN15" t="s">
        <v>179</v>
      </c>
      <c r="CO15" t="s">
        <v>180</v>
      </c>
      <c r="CP15" t="s">
        <v>181</v>
      </c>
      <c r="CQ15" t="s">
        <v>182</v>
      </c>
      <c r="CR15" t="s">
        <v>183</v>
      </c>
      <c r="CS15" t="s">
        <v>184</v>
      </c>
      <c r="CT15" t="s">
        <v>185</v>
      </c>
      <c r="CU15" t="s">
        <v>186</v>
      </c>
      <c r="CV15" t="s">
        <v>187</v>
      </c>
      <c r="CW15" t="s">
        <v>188</v>
      </c>
      <c r="CX15" t="s">
        <v>189</v>
      </c>
      <c r="CY15" t="s">
        <v>190</v>
      </c>
      <c r="CZ15" t="s">
        <v>191</v>
      </c>
      <c r="DA15" t="s">
        <v>192</v>
      </c>
      <c r="DB15" t="s">
        <v>91</v>
      </c>
      <c r="DC15" t="s">
        <v>94</v>
      </c>
      <c r="DD15" t="s">
        <v>193</v>
      </c>
      <c r="DE15" t="s">
        <v>194</v>
      </c>
      <c r="DF15" t="s">
        <v>195</v>
      </c>
      <c r="DG15" t="s">
        <v>196</v>
      </c>
      <c r="DH15" t="s">
        <v>197</v>
      </c>
      <c r="DI15" t="s">
        <v>198</v>
      </c>
      <c r="DJ15" t="s">
        <v>199</v>
      </c>
      <c r="DK15" t="s">
        <v>200</v>
      </c>
      <c r="DL15" t="s">
        <v>201</v>
      </c>
      <c r="DM15" t="s">
        <v>202</v>
      </c>
      <c r="DN15" t="s">
        <v>203</v>
      </c>
      <c r="DO15" t="s">
        <v>204</v>
      </c>
      <c r="DP15" t="s">
        <v>205</v>
      </c>
      <c r="DQ15" t="s">
        <v>206</v>
      </c>
      <c r="DR15" t="s">
        <v>207</v>
      </c>
      <c r="DS15" t="s">
        <v>208</v>
      </c>
      <c r="DT15" t="s">
        <v>209</v>
      </c>
      <c r="DU15" t="s">
        <v>210</v>
      </c>
      <c r="DV15" t="s">
        <v>211</v>
      </c>
      <c r="DW15" t="s">
        <v>212</v>
      </c>
      <c r="DX15" t="s">
        <v>213</v>
      </c>
      <c r="DY15" t="s">
        <v>214</v>
      </c>
      <c r="DZ15" t="s">
        <v>215</v>
      </c>
      <c r="EA15" t="s">
        <v>216</v>
      </c>
      <c r="EB15" t="s">
        <v>217</v>
      </c>
      <c r="EC15" t="s">
        <v>218</v>
      </c>
      <c r="ED15" t="s">
        <v>219</v>
      </c>
      <c r="EE15" t="s">
        <v>220</v>
      </c>
      <c r="EF15" t="s">
        <v>221</v>
      </c>
      <c r="EG15" t="s">
        <v>222</v>
      </c>
      <c r="EH15" t="s">
        <v>223</v>
      </c>
      <c r="EI15" t="s">
        <v>224</v>
      </c>
      <c r="EJ15" t="s">
        <v>225</v>
      </c>
      <c r="EK15" t="s">
        <v>226</v>
      </c>
      <c r="EL15" t="s">
        <v>227</v>
      </c>
      <c r="EM15" t="s">
        <v>228</v>
      </c>
      <c r="EN15" t="s">
        <v>229</v>
      </c>
      <c r="EO15" t="s">
        <v>230</v>
      </c>
      <c r="EP15" t="s">
        <v>231</v>
      </c>
      <c r="EQ15" t="s">
        <v>232</v>
      </c>
      <c r="ER15" t="s">
        <v>233</v>
      </c>
      <c r="ES15" t="s">
        <v>234</v>
      </c>
      <c r="ET15" t="s">
        <v>235</v>
      </c>
      <c r="EU15" t="s">
        <v>236</v>
      </c>
      <c r="EV15" t="s">
        <v>237</v>
      </c>
      <c r="EW15" t="s">
        <v>238</v>
      </c>
      <c r="EX15" t="s">
        <v>239</v>
      </c>
      <c r="EY15" t="s">
        <v>240</v>
      </c>
      <c r="EZ15" t="s">
        <v>241</v>
      </c>
      <c r="FA15" t="s">
        <v>242</v>
      </c>
      <c r="FB15" t="s">
        <v>243</v>
      </c>
      <c r="FC15" t="s">
        <v>244</v>
      </c>
      <c r="FD15" t="s">
        <v>245</v>
      </c>
      <c r="FE15" t="s">
        <v>246</v>
      </c>
      <c r="FF15" t="s">
        <v>247</v>
      </c>
      <c r="FG15" t="s">
        <v>248</v>
      </c>
      <c r="FH15" t="s">
        <v>249</v>
      </c>
      <c r="FI15" t="s">
        <v>250</v>
      </c>
      <c r="FJ15" t="s">
        <v>251</v>
      </c>
      <c r="FK15" t="s">
        <v>252</v>
      </c>
      <c r="FL15" t="s">
        <v>253</v>
      </c>
    </row>
    <row r="16" spans="1:168" x14ac:dyDescent="0.25">
      <c r="B16" t="s">
        <v>254</v>
      </c>
      <c r="C16" t="s">
        <v>254</v>
      </c>
      <c r="K16" t="s">
        <v>254</v>
      </c>
      <c r="L16" t="s">
        <v>255</v>
      </c>
      <c r="M16" t="s">
        <v>256</v>
      </c>
      <c r="N16" t="s">
        <v>257</v>
      </c>
      <c r="O16" t="s">
        <v>257</v>
      </c>
      <c r="P16" t="s">
        <v>163</v>
      </c>
      <c r="Q16" t="s">
        <v>163</v>
      </c>
      <c r="R16" t="s">
        <v>255</v>
      </c>
      <c r="S16" t="s">
        <v>255</v>
      </c>
      <c r="T16" t="s">
        <v>255</v>
      </c>
      <c r="U16" t="s">
        <v>255</v>
      </c>
      <c r="V16" t="s">
        <v>258</v>
      </c>
      <c r="W16" t="s">
        <v>259</v>
      </c>
      <c r="X16" t="s">
        <v>259</v>
      </c>
      <c r="Y16" t="s">
        <v>260</v>
      </c>
      <c r="Z16" t="s">
        <v>261</v>
      </c>
      <c r="AA16" t="s">
        <v>260</v>
      </c>
      <c r="AB16" t="s">
        <v>260</v>
      </c>
      <c r="AC16" t="s">
        <v>260</v>
      </c>
      <c r="AD16" t="s">
        <v>258</v>
      </c>
      <c r="AE16" t="s">
        <v>258</v>
      </c>
      <c r="AF16" t="s">
        <v>258</v>
      </c>
      <c r="AG16" t="s">
        <v>258</v>
      </c>
      <c r="AK16" t="s">
        <v>262</v>
      </c>
      <c r="AL16" t="s">
        <v>261</v>
      </c>
      <c r="AN16" t="s">
        <v>261</v>
      </c>
      <c r="AO16" t="s">
        <v>262</v>
      </c>
      <c r="AU16" t="s">
        <v>256</v>
      </c>
      <c r="BA16" t="s">
        <v>256</v>
      </c>
      <c r="BB16" t="s">
        <v>256</v>
      </c>
      <c r="BC16" t="s">
        <v>256</v>
      </c>
      <c r="BE16" t="s">
        <v>263</v>
      </c>
      <c r="BN16" t="s">
        <v>256</v>
      </c>
      <c r="BO16" t="s">
        <v>256</v>
      </c>
      <c r="BQ16" t="s">
        <v>264</v>
      </c>
      <c r="BR16" t="s">
        <v>254</v>
      </c>
      <c r="BS16" t="s">
        <v>257</v>
      </c>
      <c r="BT16" t="s">
        <v>257</v>
      </c>
      <c r="BU16" t="s">
        <v>265</v>
      </c>
      <c r="BV16" t="s">
        <v>265</v>
      </c>
      <c r="BW16" t="s">
        <v>262</v>
      </c>
      <c r="BX16" t="s">
        <v>260</v>
      </c>
      <c r="BY16" t="s">
        <v>260</v>
      </c>
      <c r="BZ16" t="s">
        <v>259</v>
      </c>
      <c r="CA16" t="s">
        <v>259</v>
      </c>
      <c r="CB16" t="s">
        <v>259</v>
      </c>
      <c r="CC16" t="s">
        <v>266</v>
      </c>
      <c r="CD16" t="s">
        <v>256</v>
      </c>
      <c r="CE16" t="s">
        <v>256</v>
      </c>
      <c r="CF16" t="s">
        <v>256</v>
      </c>
      <c r="CK16" t="s">
        <v>256</v>
      </c>
      <c r="CN16" t="s">
        <v>259</v>
      </c>
      <c r="CO16" t="s">
        <v>259</v>
      </c>
      <c r="CP16" t="s">
        <v>259</v>
      </c>
      <c r="CQ16" t="s">
        <v>259</v>
      </c>
      <c r="CR16" t="s">
        <v>259</v>
      </c>
      <c r="CS16" t="s">
        <v>256</v>
      </c>
      <c r="CT16" t="s">
        <v>256</v>
      </c>
      <c r="CU16" t="s">
        <v>256</v>
      </c>
      <c r="CV16" t="s">
        <v>254</v>
      </c>
      <c r="CX16" t="s">
        <v>267</v>
      </c>
      <c r="CY16" t="s">
        <v>267</v>
      </c>
      <c r="DA16" t="s">
        <v>254</v>
      </c>
      <c r="DB16" t="s">
        <v>268</v>
      </c>
      <c r="DE16" t="s">
        <v>269</v>
      </c>
      <c r="DF16" t="s">
        <v>270</v>
      </c>
      <c r="DG16" t="s">
        <v>269</v>
      </c>
      <c r="DH16" t="s">
        <v>270</v>
      </c>
      <c r="DI16" t="s">
        <v>261</v>
      </c>
      <c r="DJ16" t="s">
        <v>261</v>
      </c>
      <c r="DK16" t="s">
        <v>256</v>
      </c>
      <c r="DL16" t="s">
        <v>271</v>
      </c>
      <c r="DM16" t="s">
        <v>256</v>
      </c>
      <c r="DO16" t="s">
        <v>257</v>
      </c>
      <c r="DP16" t="s">
        <v>272</v>
      </c>
      <c r="DQ16" t="s">
        <v>257</v>
      </c>
      <c r="DS16" t="s">
        <v>255</v>
      </c>
      <c r="DT16" t="s">
        <v>273</v>
      </c>
      <c r="DU16" t="s">
        <v>255</v>
      </c>
      <c r="DZ16" t="s">
        <v>274</v>
      </c>
      <c r="EA16" t="s">
        <v>274</v>
      </c>
      <c r="EB16" t="s">
        <v>274</v>
      </c>
      <c r="EC16" t="s">
        <v>274</v>
      </c>
      <c r="ED16" t="s">
        <v>274</v>
      </c>
      <c r="EE16" t="s">
        <v>274</v>
      </c>
      <c r="EF16" t="s">
        <v>274</v>
      </c>
      <c r="EG16" t="s">
        <v>274</v>
      </c>
      <c r="EH16" t="s">
        <v>274</v>
      </c>
      <c r="EI16" t="s">
        <v>274</v>
      </c>
      <c r="EJ16" t="s">
        <v>274</v>
      </c>
      <c r="EK16" t="s">
        <v>274</v>
      </c>
      <c r="ER16" t="s">
        <v>274</v>
      </c>
      <c r="ES16" t="s">
        <v>261</v>
      </c>
      <c r="ET16" t="s">
        <v>261</v>
      </c>
      <c r="EU16" t="s">
        <v>269</v>
      </c>
      <c r="EV16" t="s">
        <v>270</v>
      </c>
      <c r="EX16" t="s">
        <v>262</v>
      </c>
      <c r="EY16" t="s">
        <v>262</v>
      </c>
      <c r="EZ16" t="s">
        <v>259</v>
      </c>
      <c r="FA16" t="s">
        <v>259</v>
      </c>
      <c r="FB16" t="s">
        <v>259</v>
      </c>
      <c r="FC16" t="s">
        <v>259</v>
      </c>
      <c r="FD16" t="s">
        <v>259</v>
      </c>
      <c r="FE16" t="s">
        <v>261</v>
      </c>
      <c r="FF16" t="s">
        <v>261</v>
      </c>
      <c r="FG16" t="s">
        <v>261</v>
      </c>
      <c r="FH16" t="s">
        <v>259</v>
      </c>
      <c r="FI16" t="s">
        <v>257</v>
      </c>
      <c r="FJ16" t="s">
        <v>265</v>
      </c>
      <c r="FK16" t="s">
        <v>261</v>
      </c>
      <c r="FL16" t="s">
        <v>261</v>
      </c>
    </row>
    <row r="17" spans="1:168" x14ac:dyDescent="0.25">
      <c r="A17">
        <v>1</v>
      </c>
      <c r="B17">
        <v>1561650335.9000001</v>
      </c>
      <c r="C17">
        <v>0</v>
      </c>
      <c r="D17" t="s">
        <v>275</v>
      </c>
      <c r="E17" t="s">
        <v>276</v>
      </c>
      <c r="F17" t="s">
        <v>277</v>
      </c>
      <c r="G17" t="s">
        <v>278</v>
      </c>
      <c r="H17" t="s">
        <v>277</v>
      </c>
      <c r="J17" t="s">
        <v>277</v>
      </c>
      <c r="K17">
        <v>1561650327.9000001</v>
      </c>
      <c r="L17">
        <f t="shared" ref="L17:L30" si="0">BW17*AM17*(BU17-BV17)/(100*$B$5*(1000-AM17*BU17))</f>
        <v>6.3094424495999148E-3</v>
      </c>
      <c r="M17">
        <f t="shared" ref="M17:M30" si="1">BW17*AM17*(BT17-BS17*(1000-AM17*BV17)/(1000-AM17*BU17))/(100*$B$5)</f>
        <v>26.433595812323357</v>
      </c>
      <c r="N17">
        <f t="shared" ref="N17:N30" si="2">BS17 - IF(AM17&gt;1, M17*$B$5*100/(AO17*CC17), 0)</f>
        <v>365.46135483871001</v>
      </c>
      <c r="O17">
        <f t="shared" ref="O17:O30" si="3">((U17-L17/2)*N17-M17)/(U17+L17/2)</f>
        <v>228.37783985318401</v>
      </c>
      <c r="P17">
        <f t="shared" ref="P17:P30" si="4">O17*(BX17+BY17)/1000</f>
        <v>22.798415871454448</v>
      </c>
      <c r="Q17">
        <f t="shared" ref="Q17:Q30" si="5">(BS17 - IF(AM17&gt;1, M17*$B$5*100/(AO17*CC17), 0))*(BX17+BY17)/1000</f>
        <v>36.483136708510777</v>
      </c>
      <c r="R17">
        <f t="shared" ref="R17:R30" si="6">2/((1/T17-1/S17)+SIGN(T17)*SQRT((1/T17-1/S17)*(1/T17-1/S17) + 4*$C$5/(($C$5+1)*($C$5+1))*(2*1/T17*1/S17-1/S17*1/S17)))</f>
        <v>0.35498404277046997</v>
      </c>
      <c r="S17">
        <f t="shared" ref="S17:S30" si="7">AJ17+AI17*$B$5+AH17*$B$5*$B$5</f>
        <v>2.2557762834247086</v>
      </c>
      <c r="T17">
        <f t="shared" ref="T17:T30" si="8">L17*(1000-(1000*0.61365*EXP(17.502*X17/(240.97+X17))/(BX17+BY17)+BU17)/2)/(1000*0.61365*EXP(17.502*X17/(240.97+X17))/(BX17+BY17)-BU17)</f>
        <v>0.32661599208343822</v>
      </c>
      <c r="U17">
        <f t="shared" ref="U17:U30" si="9">1/(($C$5+1)/(R17/1.6)+1/(S17/1.37)) + $C$5/(($C$5+1)/(R17/1.6) + $C$5/(S17/1.37))</f>
        <v>0.20649450757755072</v>
      </c>
      <c r="V17">
        <f t="shared" ref="V17:V30" si="10">(BO17*BQ17)</f>
        <v>353.34616215036959</v>
      </c>
      <c r="W17">
        <f t="shared" ref="W17:W30" si="11">(BZ17+(V17+2*0.95*0.0000000567*(((BZ17+$B$7)+273)^4-(BZ17+273)^4)-44100*L17)/(1.84*29.3*S17+8*0.95*0.0000000567*(BZ17+273)^3))</f>
        <v>26.851267569251366</v>
      </c>
      <c r="X17">
        <f t="shared" ref="X17:X30" si="12">($C$7*CA17+$D$7*CB17+$E$7*W17)</f>
        <v>27.803206451612901</v>
      </c>
      <c r="Y17">
        <f t="shared" ref="Y17:Y30" si="13">0.61365*EXP(17.502*X17/(240.97+X17))</f>
        <v>3.7515210712881877</v>
      </c>
      <c r="Z17">
        <f t="shared" ref="Z17:Z30" si="14">(AA17/AB17*100)</f>
        <v>54.703676175477433</v>
      </c>
      <c r="AA17">
        <f t="shared" ref="AA17:AA30" si="15">BU17*(BX17+BY17)/1000</f>
        <v>1.8774586652393186</v>
      </c>
      <c r="AB17">
        <f t="shared" ref="AB17:AB30" si="16">0.61365*EXP(17.502*BZ17/(240.97+BZ17))</f>
        <v>3.4320520968587953</v>
      </c>
      <c r="AC17">
        <f t="shared" ref="AC17:AC30" si="17">(Y17-BU17*(BX17+BY17)/1000)</f>
        <v>1.8740624060488691</v>
      </c>
      <c r="AD17">
        <f t="shared" ref="AD17:AD30" si="18">(-L17*44100)</f>
        <v>-278.24641202735626</v>
      </c>
      <c r="AE17">
        <f t="shared" ref="AE17:AE30" si="19">2*29.3*S17*0.92*(BZ17-X17)</f>
        <v>-184.35337742143039</v>
      </c>
      <c r="AF17">
        <f t="shared" ref="AF17:AF30" si="20">2*0.95*0.0000000567*(((BZ17+$B$7)+273)^4-(X17+273)^4)</f>
        <v>-17.645312489736341</v>
      </c>
      <c r="AG17">
        <f t="shared" ref="AG17:AG30" si="21">V17+AF17+AD17+AE17</f>
        <v>-126.8989397881534</v>
      </c>
      <c r="AH17">
        <v>-4.1339434108801199E-2</v>
      </c>
      <c r="AI17">
        <v>4.6407136320461999E-2</v>
      </c>
      <c r="AJ17">
        <v>3.4655530934187802</v>
      </c>
      <c r="AK17">
        <v>0</v>
      </c>
      <c r="AL17">
        <v>0</v>
      </c>
      <c r="AM17">
        <f t="shared" ref="AM17:AM30" si="22">IF(AK17*$H$13&gt;=AO17,1,(AO17/(AO17-AK17*$H$13)))</f>
        <v>1</v>
      </c>
      <c r="AN17">
        <f t="shared" ref="AN17:AN30" si="23">(AM17-1)*100</f>
        <v>0</v>
      </c>
      <c r="AO17">
        <f t="shared" ref="AO17:AO30" si="24">MAX(0,($B$13+$C$13*CC17)/(1+$D$13*CC17)*BX17/(BZ17+273)*$E$13)</f>
        <v>52840.636920934739</v>
      </c>
      <c r="AP17" t="s">
        <v>279</v>
      </c>
      <c r="AQ17">
        <v>585.08461538461495</v>
      </c>
      <c r="AR17">
        <v>3491.65</v>
      </c>
      <c r="AS17">
        <f t="shared" ref="AS17:AS30" si="25">AR17-AQ17</f>
        <v>2906.565384615385</v>
      </c>
      <c r="AT17">
        <f t="shared" ref="AT17:AT30" si="26">AS17/AR17</f>
        <v>0.83243320052564973</v>
      </c>
      <c r="AU17">
        <v>-24.085636743186001</v>
      </c>
      <c r="AV17" t="s">
        <v>280</v>
      </c>
      <c r="AW17">
        <v>831.09626923076905</v>
      </c>
      <c r="AX17">
        <v>1144.96</v>
      </c>
      <c r="AY17">
        <f t="shared" ref="AY17:AY30" si="27">1-AW17/AX17</f>
        <v>0.27412637189878331</v>
      </c>
      <c r="AZ17">
        <v>0.5</v>
      </c>
      <c r="BA17">
        <f t="shared" ref="BA17:BA30" si="28">BO17</f>
        <v>1849.2155804981137</v>
      </c>
      <c r="BB17">
        <f t="shared" ref="BB17:BB30" si="29">M17</f>
        <v>26.433595812323357</v>
      </c>
      <c r="BC17">
        <f t="shared" ref="BC17:BC30" si="30">AY17*AZ17*BA17</f>
        <v>253.45937897032519</v>
      </c>
      <c r="BD17">
        <f t="shared" ref="BD17:BD30" si="31">BI17/AX17</f>
        <v>0.50600894354387926</v>
      </c>
      <c r="BE17">
        <f t="shared" ref="BE17:BE30" si="32">(BB17-AU17)/BA17</f>
        <v>2.7319276934656401E-2</v>
      </c>
      <c r="BF17">
        <f t="shared" ref="BF17:BF30" si="33">(AR17-AX17)/AX17</f>
        <v>2.0495825181665737</v>
      </c>
      <c r="BG17" t="s">
        <v>281</v>
      </c>
      <c r="BH17">
        <v>565.6</v>
      </c>
      <c r="BI17">
        <f t="shared" ref="BI17:BI30" si="34">AX17-BH17</f>
        <v>579.36</v>
      </c>
      <c r="BJ17">
        <f t="shared" ref="BJ17:BJ30" si="35">(AX17-AW17)/(AX17-BH17)</f>
        <v>0.54174214783421526</v>
      </c>
      <c r="BK17">
        <f t="shared" ref="BK17:BK30" si="36">(AR17-AX17)/(AR17-BH17)</f>
        <v>0.80199928230891471</v>
      </c>
      <c r="BL17">
        <f t="shared" ref="BL17:BL30" si="37">(AX17-AW17)/(AX17-AQ17)</f>
        <v>0.56059569574548174</v>
      </c>
      <c r="BM17">
        <f t="shared" ref="BM17:BM30" si="38">(AR17-AX17)/(AR17-AQ17)</f>
        <v>0.80737560985937662</v>
      </c>
      <c r="BN17">
        <f t="shared" ref="BN17:BN30" si="39">$B$11*CD17+$C$11*CE17+$F$11*CF17</f>
        <v>2200.0341935483898</v>
      </c>
      <c r="BO17">
        <f t="shared" ref="BO17:BO30" si="40">BN17*BP17</f>
        <v>1849.2155804981137</v>
      </c>
      <c r="BP17">
        <f t="shared" ref="BP17:BP30" si="41">($B$11*$D$9+$C$11*$D$9+$F$11*((CS17+CK17)/MAX(CS17+CK17+CT17, 0.1)*$I$9+CT17/MAX(CS17+CK17+CT17, 0.1)*$J$9))/($B$11+$C$11+$F$11)</f>
        <v>0.8405394724868126</v>
      </c>
      <c r="BQ17">
        <f t="shared" ref="BQ17:BQ30" si="42">($B$11*$K$9+$C$11*$K$9+$F$11*((CS17+CK17)/MAX(CS17+CK17+CT17, 0.1)*$P$9+CT17/MAX(CS17+CK17+CT17, 0.1)*$Q$9))/($B$11+$C$11+$F$11)</f>
        <v>0.19107894497362526</v>
      </c>
      <c r="BR17">
        <v>1561650327.9000001</v>
      </c>
      <c r="BS17">
        <v>365.46135483871001</v>
      </c>
      <c r="BT17">
        <v>399.94741935483898</v>
      </c>
      <c r="BU17">
        <v>18.807006451612899</v>
      </c>
      <c r="BV17">
        <v>11.3783451612903</v>
      </c>
      <c r="BW17">
        <v>500.01854838709698</v>
      </c>
      <c r="BX17">
        <v>99.727632258064503</v>
      </c>
      <c r="BY17">
        <v>9.9986245161290302E-2</v>
      </c>
      <c r="BZ17">
        <v>26.287309677419401</v>
      </c>
      <c r="CA17">
        <v>27.803206451612901</v>
      </c>
      <c r="CB17">
        <v>999.9</v>
      </c>
      <c r="CC17">
        <v>9996.4325806451598</v>
      </c>
      <c r="CD17">
        <v>0</v>
      </c>
      <c r="CE17">
        <v>141.75167741935499</v>
      </c>
      <c r="CF17">
        <v>2200.0341935483898</v>
      </c>
      <c r="CG17">
        <v>0.98200129032257999</v>
      </c>
      <c r="CH17">
        <v>1.79989580645161E-2</v>
      </c>
      <c r="CI17">
        <v>0</v>
      </c>
      <c r="CJ17">
        <v>831.146548387096</v>
      </c>
      <c r="CK17">
        <v>1.9999499999999999</v>
      </c>
      <c r="CL17">
        <v>19039.267741935499</v>
      </c>
      <c r="CM17">
        <v>17938.532258064501</v>
      </c>
      <c r="CN17">
        <v>50.473548387096798</v>
      </c>
      <c r="CO17">
        <v>51.786032258064502</v>
      </c>
      <c r="CP17">
        <v>50.824354838709702</v>
      </c>
      <c r="CQ17">
        <v>50.580387096774203</v>
      </c>
      <c r="CR17">
        <v>51.261838709677399</v>
      </c>
      <c r="CS17">
        <v>2158.4725806451602</v>
      </c>
      <c r="CT17">
        <v>39.561935483870897</v>
      </c>
      <c r="CU17">
        <v>0</v>
      </c>
      <c r="CV17">
        <v>441.09999990463302</v>
      </c>
      <c r="CW17">
        <v>831.09626923076905</v>
      </c>
      <c r="CX17">
        <v>-8.9617435827679905</v>
      </c>
      <c r="CY17">
        <v>-229.96581197709699</v>
      </c>
      <c r="CZ17">
        <v>19036.342307692299</v>
      </c>
      <c r="DA17">
        <v>15</v>
      </c>
      <c r="DB17">
        <v>1561650289.9000001</v>
      </c>
      <c r="DC17" t="s">
        <v>282</v>
      </c>
      <c r="DD17">
        <v>34</v>
      </c>
      <c r="DE17">
        <v>0.63</v>
      </c>
      <c r="DF17">
        <v>5.0999999999999997E-2</v>
      </c>
      <c r="DG17">
        <v>400</v>
      </c>
      <c r="DH17">
        <v>11</v>
      </c>
      <c r="DI17">
        <v>0.02</v>
      </c>
      <c r="DJ17">
        <v>0.01</v>
      </c>
      <c r="DK17">
        <v>26.4286835550257</v>
      </c>
      <c r="DL17">
        <v>0.16839204088345799</v>
      </c>
      <c r="DM17">
        <v>0.18750610769166101</v>
      </c>
      <c r="DN17">
        <v>1</v>
      </c>
      <c r="DO17">
        <v>365.45787671232898</v>
      </c>
      <c r="DP17">
        <v>0.15239911144017801</v>
      </c>
      <c r="DQ17">
        <v>6.0778724018368403E-2</v>
      </c>
      <c r="DR17">
        <v>1</v>
      </c>
      <c r="DS17">
        <v>0.35482060161530599</v>
      </c>
      <c r="DT17">
        <v>9.4142836496818403E-3</v>
      </c>
      <c r="DU17">
        <v>4.5246702394062203E-3</v>
      </c>
      <c r="DV17">
        <v>1</v>
      </c>
      <c r="DW17">
        <v>3</v>
      </c>
      <c r="DX17">
        <v>3</v>
      </c>
      <c r="DY17" t="s">
        <v>283</v>
      </c>
      <c r="DZ17">
        <v>1.8666199999999999</v>
      </c>
      <c r="EA17">
        <v>1.8631</v>
      </c>
      <c r="EB17">
        <v>1.8687800000000001</v>
      </c>
      <c r="EC17">
        <v>1.86673</v>
      </c>
      <c r="ED17">
        <v>1.87138</v>
      </c>
      <c r="EE17">
        <v>1.8638600000000001</v>
      </c>
      <c r="EF17">
        <v>1.8653999999999999</v>
      </c>
      <c r="EG17">
        <v>1.8653900000000001</v>
      </c>
      <c r="EH17" t="s">
        <v>284</v>
      </c>
      <c r="EI17" t="s">
        <v>19</v>
      </c>
      <c r="EJ17" t="s">
        <v>19</v>
      </c>
      <c r="EK17" t="s">
        <v>19</v>
      </c>
      <c r="EL17" t="s">
        <v>285</v>
      </c>
      <c r="EM17" t="s">
        <v>286</v>
      </c>
      <c r="EN17" t="s">
        <v>287</v>
      </c>
      <c r="EO17" t="s">
        <v>287</v>
      </c>
      <c r="EP17" t="s">
        <v>287</v>
      </c>
      <c r="EQ17" t="s">
        <v>287</v>
      </c>
      <c r="ER17">
        <v>0</v>
      </c>
      <c r="ES17">
        <v>100</v>
      </c>
      <c r="ET17">
        <v>100</v>
      </c>
      <c r="EU17">
        <v>0.63</v>
      </c>
      <c r="EV17">
        <v>5.0999999999999997E-2</v>
      </c>
      <c r="EW17">
        <v>2</v>
      </c>
      <c r="EX17">
        <v>506.79199999999997</v>
      </c>
      <c r="EY17">
        <v>492.661</v>
      </c>
      <c r="EZ17">
        <v>18.891100000000002</v>
      </c>
      <c r="FA17">
        <v>37.814700000000002</v>
      </c>
      <c r="FB17">
        <v>30</v>
      </c>
      <c r="FC17">
        <v>37.632399999999997</v>
      </c>
      <c r="FD17">
        <v>37.5807</v>
      </c>
      <c r="FE17">
        <v>21.709900000000001</v>
      </c>
      <c r="FF17">
        <v>67.432500000000005</v>
      </c>
      <c r="FG17">
        <v>0</v>
      </c>
      <c r="FH17">
        <v>16.944700000000001</v>
      </c>
      <c r="FI17">
        <v>400</v>
      </c>
      <c r="FJ17">
        <v>11.5715</v>
      </c>
      <c r="FK17">
        <v>100.01900000000001</v>
      </c>
      <c r="FL17">
        <v>100.16</v>
      </c>
    </row>
    <row r="18" spans="1:168" x14ac:dyDescent="0.25">
      <c r="A18">
        <v>2</v>
      </c>
      <c r="B18">
        <v>1561651279.5</v>
      </c>
      <c r="C18">
        <v>943.59999990463302</v>
      </c>
      <c r="D18" t="s">
        <v>288</v>
      </c>
      <c r="E18" t="s">
        <v>289</v>
      </c>
      <c r="F18" t="s">
        <v>277</v>
      </c>
      <c r="G18" t="s">
        <v>278</v>
      </c>
      <c r="H18" t="s">
        <v>277</v>
      </c>
      <c r="J18" t="s">
        <v>277</v>
      </c>
      <c r="K18">
        <v>1561651271.5483899</v>
      </c>
      <c r="L18">
        <f t="shared" si="0"/>
        <v>7.4842576984788679E-3</v>
      </c>
      <c r="M18">
        <f t="shared" si="1"/>
        <v>29.497102036243529</v>
      </c>
      <c r="N18">
        <f t="shared" si="2"/>
        <v>361.351612903226</v>
      </c>
      <c r="O18">
        <f t="shared" si="3"/>
        <v>239.1610084471213</v>
      </c>
      <c r="P18">
        <f t="shared" si="4"/>
        <v>23.876349148241562</v>
      </c>
      <c r="Q18">
        <f t="shared" si="5"/>
        <v>36.075099912723687</v>
      </c>
      <c r="R18">
        <f t="shared" si="6"/>
        <v>0.45527651717691164</v>
      </c>
      <c r="S18">
        <f t="shared" si="7"/>
        <v>2.2566728282135138</v>
      </c>
      <c r="T18">
        <f t="shared" si="8"/>
        <v>0.40973110671967822</v>
      </c>
      <c r="U18">
        <f t="shared" si="9"/>
        <v>0.25979327774202771</v>
      </c>
      <c r="V18">
        <f t="shared" si="10"/>
        <v>353.34144589890207</v>
      </c>
      <c r="W18">
        <f t="shared" si="11"/>
        <v>26.560842293337156</v>
      </c>
      <c r="X18">
        <f t="shared" si="12"/>
        <v>27.433541935483898</v>
      </c>
      <c r="Y18">
        <f t="shared" si="13"/>
        <v>3.6713150120404965</v>
      </c>
      <c r="Z18">
        <f t="shared" si="14"/>
        <v>54.998036877327529</v>
      </c>
      <c r="AA18">
        <f t="shared" si="15"/>
        <v>1.8985951609090197</v>
      </c>
      <c r="AB18">
        <f t="shared" si="16"/>
        <v>3.4521144184542689</v>
      </c>
      <c r="AC18">
        <f t="shared" si="17"/>
        <v>1.7727198511314768</v>
      </c>
      <c r="AD18">
        <f t="shared" si="18"/>
        <v>-330.05576450291807</v>
      </c>
      <c r="AE18">
        <f t="shared" si="19"/>
        <v>-127.43871614038166</v>
      </c>
      <c r="AF18">
        <f t="shared" si="20"/>
        <v>-12.176354728838527</v>
      </c>
      <c r="AG18">
        <f t="shared" si="21"/>
        <v>-116.32938947323619</v>
      </c>
      <c r="AH18">
        <v>-4.1363630990407699E-2</v>
      </c>
      <c r="AI18">
        <v>4.6434299439828498E-2</v>
      </c>
      <c r="AJ18">
        <v>3.4671577472292201</v>
      </c>
      <c r="AK18">
        <v>0</v>
      </c>
      <c r="AL18">
        <v>0</v>
      </c>
      <c r="AM18">
        <f t="shared" si="22"/>
        <v>1</v>
      </c>
      <c r="AN18">
        <f t="shared" si="23"/>
        <v>0</v>
      </c>
      <c r="AO18">
        <f t="shared" si="24"/>
        <v>52852.996129729938</v>
      </c>
      <c r="AP18" t="s">
        <v>279</v>
      </c>
      <c r="AQ18">
        <v>585.08461538461495</v>
      </c>
      <c r="AR18">
        <v>3491.65</v>
      </c>
      <c r="AS18">
        <f t="shared" si="25"/>
        <v>2906.565384615385</v>
      </c>
      <c r="AT18">
        <f t="shared" si="26"/>
        <v>0.83243320052564973</v>
      </c>
      <c r="AU18">
        <v>-24.085636743186001</v>
      </c>
      <c r="AV18" t="s">
        <v>290</v>
      </c>
      <c r="AW18">
        <v>813.12876923076897</v>
      </c>
      <c r="AX18">
        <v>1134.07</v>
      </c>
      <c r="AY18">
        <f t="shared" si="27"/>
        <v>0.28299948924601748</v>
      </c>
      <c r="AZ18">
        <v>0.5</v>
      </c>
      <c r="BA18">
        <f t="shared" si="28"/>
        <v>1849.1935838979311</v>
      </c>
      <c r="BB18">
        <f t="shared" si="29"/>
        <v>29.497102036243529</v>
      </c>
      <c r="BC18">
        <f t="shared" si="30"/>
        <v>261.66041988006356</v>
      </c>
      <c r="BD18">
        <f t="shared" si="31"/>
        <v>0.50814323630816438</v>
      </c>
      <c r="BE18">
        <f t="shared" si="32"/>
        <v>2.8976273358293843E-2</v>
      </c>
      <c r="BF18">
        <f t="shared" si="33"/>
        <v>2.0788663839092827</v>
      </c>
      <c r="BG18" t="s">
        <v>291</v>
      </c>
      <c r="BH18">
        <v>557.79999999999995</v>
      </c>
      <c r="BI18">
        <f t="shared" si="34"/>
        <v>576.27</v>
      </c>
      <c r="BJ18">
        <f t="shared" si="35"/>
        <v>0.55692857648191119</v>
      </c>
      <c r="BK18">
        <f t="shared" si="36"/>
        <v>0.80357891507745782</v>
      </c>
      <c r="BL18">
        <f t="shared" si="37"/>
        <v>0.5846079691066457</v>
      </c>
      <c r="BM18">
        <f t="shared" si="38"/>
        <v>0.81112230004485852</v>
      </c>
      <c r="BN18">
        <f t="shared" si="39"/>
        <v>2200.0083870967701</v>
      </c>
      <c r="BO18">
        <f t="shared" si="40"/>
        <v>1849.1935838979311</v>
      </c>
      <c r="BP18">
        <f t="shared" si="41"/>
        <v>0.84053933373327272</v>
      </c>
      <c r="BQ18">
        <f t="shared" si="42"/>
        <v>0.19107866746654537</v>
      </c>
      <c r="BR18">
        <v>1561651271.5483899</v>
      </c>
      <c r="BS18">
        <v>361.351612903226</v>
      </c>
      <c r="BT18">
        <v>399.99083870967797</v>
      </c>
      <c r="BU18">
        <v>19.0175612903226</v>
      </c>
      <c r="BV18">
        <v>10.2078516129032</v>
      </c>
      <c r="BW18">
        <v>500.03409677419398</v>
      </c>
      <c r="BX18">
        <v>99.733764516129</v>
      </c>
      <c r="BY18">
        <v>0.100022367741935</v>
      </c>
      <c r="BZ18">
        <v>26.386058064516099</v>
      </c>
      <c r="CA18">
        <v>27.433541935483898</v>
      </c>
      <c r="CB18">
        <v>999.9</v>
      </c>
      <c r="CC18">
        <v>10001.6687096774</v>
      </c>
      <c r="CD18">
        <v>0</v>
      </c>
      <c r="CE18">
        <v>0.24452093548387099</v>
      </c>
      <c r="CF18">
        <v>2200.0083870967701</v>
      </c>
      <c r="CG18">
        <v>0.98200477419354804</v>
      </c>
      <c r="CH18">
        <v>1.7995254838709701E-2</v>
      </c>
      <c r="CI18">
        <v>0</v>
      </c>
      <c r="CJ18">
        <v>813.17558064516095</v>
      </c>
      <c r="CK18">
        <v>1.9999499999999999</v>
      </c>
      <c r="CL18">
        <v>18464.4483870968</v>
      </c>
      <c r="CM18">
        <v>17938.345161290301</v>
      </c>
      <c r="CN18">
        <v>47.5078064516129</v>
      </c>
      <c r="CO18">
        <v>49.908999999999999</v>
      </c>
      <c r="CP18">
        <v>48.205290322580602</v>
      </c>
      <c r="CQ18">
        <v>48.142870967741899</v>
      </c>
      <c r="CR18">
        <v>48.525935483871002</v>
      </c>
      <c r="CS18">
        <v>2158.4570967741902</v>
      </c>
      <c r="CT18">
        <v>39.551290322580599</v>
      </c>
      <c r="CU18">
        <v>0</v>
      </c>
      <c r="CV18">
        <v>942.60000014305103</v>
      </c>
      <c r="CW18">
        <v>813.12876923076897</v>
      </c>
      <c r="CX18">
        <v>4.0068385589713401E-2</v>
      </c>
      <c r="CY18">
        <v>-17.3743590181972</v>
      </c>
      <c r="CZ18">
        <v>18464.323076923101</v>
      </c>
      <c r="DA18">
        <v>15</v>
      </c>
      <c r="DB18">
        <v>1561651233.0999999</v>
      </c>
      <c r="DC18" t="s">
        <v>292</v>
      </c>
      <c r="DD18">
        <v>36</v>
      </c>
      <c r="DE18">
        <v>0.59699999999999998</v>
      </c>
      <c r="DF18">
        <v>4.2999999999999997E-2</v>
      </c>
      <c r="DG18">
        <v>400</v>
      </c>
      <c r="DH18">
        <v>10</v>
      </c>
      <c r="DI18">
        <v>0.06</v>
      </c>
      <c r="DJ18">
        <v>0.01</v>
      </c>
      <c r="DK18">
        <v>29.5307303899495</v>
      </c>
      <c r="DL18">
        <v>-0.203576618824651</v>
      </c>
      <c r="DM18">
        <v>0.14485821529544901</v>
      </c>
      <c r="DN18">
        <v>1</v>
      </c>
      <c r="DO18">
        <v>361.36453424657498</v>
      </c>
      <c r="DP18">
        <v>2.56120111605719E-2</v>
      </c>
      <c r="DQ18">
        <v>5.7672928097950001E-2</v>
      </c>
      <c r="DR18">
        <v>1</v>
      </c>
      <c r="DS18">
        <v>0.44978415601176303</v>
      </c>
      <c r="DT18">
        <v>3.6190871313058801E-2</v>
      </c>
      <c r="DU18">
        <v>9.5800095447630806E-3</v>
      </c>
      <c r="DV18">
        <v>1</v>
      </c>
      <c r="DW18">
        <v>3</v>
      </c>
      <c r="DX18">
        <v>3</v>
      </c>
      <c r="DY18" t="s">
        <v>283</v>
      </c>
      <c r="DZ18">
        <v>1.8666100000000001</v>
      </c>
      <c r="EA18">
        <v>1.8631</v>
      </c>
      <c r="EB18">
        <v>1.8687400000000001</v>
      </c>
      <c r="EC18">
        <v>1.8667400000000001</v>
      </c>
      <c r="ED18">
        <v>1.8713500000000001</v>
      </c>
      <c r="EE18">
        <v>1.8638600000000001</v>
      </c>
      <c r="EF18">
        <v>1.8653900000000001</v>
      </c>
      <c r="EG18">
        <v>1.8653900000000001</v>
      </c>
      <c r="EH18" t="s">
        <v>284</v>
      </c>
      <c r="EI18" t="s">
        <v>19</v>
      </c>
      <c r="EJ18" t="s">
        <v>19</v>
      </c>
      <c r="EK18" t="s">
        <v>19</v>
      </c>
      <c r="EL18" t="s">
        <v>285</v>
      </c>
      <c r="EM18" t="s">
        <v>286</v>
      </c>
      <c r="EN18" t="s">
        <v>287</v>
      </c>
      <c r="EO18" t="s">
        <v>287</v>
      </c>
      <c r="EP18" t="s">
        <v>287</v>
      </c>
      <c r="EQ18" t="s">
        <v>287</v>
      </c>
      <c r="ER18">
        <v>0</v>
      </c>
      <c r="ES18">
        <v>100</v>
      </c>
      <c r="ET18">
        <v>100</v>
      </c>
      <c r="EU18">
        <v>0.59699999999999998</v>
      </c>
      <c r="EV18">
        <v>4.2999999999999997E-2</v>
      </c>
      <c r="EW18">
        <v>2</v>
      </c>
      <c r="EX18">
        <v>508.87099999999998</v>
      </c>
      <c r="EY18">
        <v>489.32799999999997</v>
      </c>
      <c r="EZ18">
        <v>19.127600000000001</v>
      </c>
      <c r="FA18">
        <v>38.117100000000001</v>
      </c>
      <c r="FB18">
        <v>30.000800000000002</v>
      </c>
      <c r="FC18">
        <v>37.983800000000002</v>
      </c>
      <c r="FD18">
        <v>37.950400000000002</v>
      </c>
      <c r="FE18">
        <v>21.700900000000001</v>
      </c>
      <c r="FF18">
        <v>71.962599999999995</v>
      </c>
      <c r="FG18">
        <v>0</v>
      </c>
      <c r="FH18">
        <v>17.146799999999999</v>
      </c>
      <c r="FI18">
        <v>400</v>
      </c>
      <c r="FJ18">
        <v>10.235099999999999</v>
      </c>
      <c r="FK18">
        <v>99.980400000000003</v>
      </c>
      <c r="FL18">
        <v>100.13</v>
      </c>
    </row>
    <row r="19" spans="1:168" x14ac:dyDescent="0.25">
      <c r="A19">
        <v>3</v>
      </c>
      <c r="B19">
        <v>1561651403.5999999</v>
      </c>
      <c r="C19">
        <v>1067.6999998092699</v>
      </c>
      <c r="D19" t="s">
        <v>293</v>
      </c>
      <c r="E19" t="s">
        <v>294</v>
      </c>
      <c r="F19" t="s">
        <v>277</v>
      </c>
      <c r="G19" t="s">
        <v>278</v>
      </c>
      <c r="H19" t="s">
        <v>277</v>
      </c>
      <c r="J19" t="s">
        <v>277</v>
      </c>
      <c r="K19">
        <v>1561651395.57742</v>
      </c>
      <c r="L19">
        <f t="shared" si="0"/>
        <v>7.6954878257364584E-3</v>
      </c>
      <c r="M19">
        <f t="shared" si="1"/>
        <v>21.973886892491063</v>
      </c>
      <c r="N19">
        <f t="shared" si="2"/>
        <v>271.11880645161301</v>
      </c>
      <c r="O19">
        <f t="shared" si="3"/>
        <v>181.44238717459234</v>
      </c>
      <c r="P19">
        <f t="shared" si="4"/>
        <v>18.115048429508743</v>
      </c>
      <c r="Q19">
        <f t="shared" si="5"/>
        <v>27.068263295586306</v>
      </c>
      <c r="R19">
        <f t="shared" si="6"/>
        <v>0.4642359364527493</v>
      </c>
      <c r="S19">
        <f t="shared" si="7"/>
        <v>2.2564033812388451</v>
      </c>
      <c r="T19">
        <f t="shared" si="8"/>
        <v>0.41697467102717539</v>
      </c>
      <c r="U19">
        <f t="shared" si="9"/>
        <v>0.2644533162860534</v>
      </c>
      <c r="V19">
        <f t="shared" si="10"/>
        <v>353.34183415139523</v>
      </c>
      <c r="W19">
        <f t="shared" si="11"/>
        <v>26.740258025434681</v>
      </c>
      <c r="X19">
        <f t="shared" si="12"/>
        <v>27.658929032258101</v>
      </c>
      <c r="Y19">
        <f t="shared" si="13"/>
        <v>3.720037144908237</v>
      </c>
      <c r="Z19">
        <f t="shared" si="14"/>
        <v>55.080231749505884</v>
      </c>
      <c r="AA19">
        <f t="shared" si="15"/>
        <v>1.9295868248941392</v>
      </c>
      <c r="AB19">
        <f t="shared" si="16"/>
        <v>3.5032293140477742</v>
      </c>
      <c r="AC19">
        <f t="shared" si="17"/>
        <v>1.7904503200140978</v>
      </c>
      <c r="AD19">
        <f t="shared" si="18"/>
        <v>-339.37101311497781</v>
      </c>
      <c r="AE19">
        <f t="shared" si="19"/>
        <v>-124.50906802102023</v>
      </c>
      <c r="AF19">
        <f t="shared" si="20"/>
        <v>-11.926127628844583</v>
      </c>
      <c r="AG19">
        <f t="shared" si="21"/>
        <v>-122.4643746134474</v>
      </c>
      <c r="AH19">
        <v>-4.1356357954706699E-2</v>
      </c>
      <c r="AI19">
        <v>4.6426134820101099E-2</v>
      </c>
      <c r="AJ19">
        <v>3.4666754586876798</v>
      </c>
      <c r="AK19">
        <v>0</v>
      </c>
      <c r="AL19">
        <v>0</v>
      </c>
      <c r="AM19">
        <f t="shared" si="22"/>
        <v>1</v>
      </c>
      <c r="AN19">
        <f t="shared" si="23"/>
        <v>0</v>
      </c>
      <c r="AO19">
        <f t="shared" si="24"/>
        <v>52800.223407130121</v>
      </c>
      <c r="AP19" t="s">
        <v>279</v>
      </c>
      <c r="AQ19">
        <v>585.08461538461495</v>
      </c>
      <c r="AR19">
        <v>3491.65</v>
      </c>
      <c r="AS19">
        <f t="shared" si="25"/>
        <v>2906.565384615385</v>
      </c>
      <c r="AT19">
        <f t="shared" si="26"/>
        <v>0.83243320052564973</v>
      </c>
      <c r="AU19">
        <v>-24.085636743186001</v>
      </c>
      <c r="AV19" t="s">
        <v>295</v>
      </c>
      <c r="AW19">
        <v>761.05338461538395</v>
      </c>
      <c r="AX19">
        <v>1032.3599999999999</v>
      </c>
      <c r="AY19">
        <f t="shared" si="27"/>
        <v>0.26280233192356928</v>
      </c>
      <c r="AZ19">
        <v>0.5</v>
      </c>
      <c r="BA19">
        <f t="shared" si="28"/>
        <v>1849.1901392588707</v>
      </c>
      <c r="BB19">
        <f t="shared" si="29"/>
        <v>21.973886892491063</v>
      </c>
      <c r="BC19">
        <f t="shared" si="30"/>
        <v>242.98574038365052</v>
      </c>
      <c r="BD19">
        <f t="shared" si="31"/>
        <v>0.48215738695803784</v>
      </c>
      <c r="BE19">
        <f t="shared" si="32"/>
        <v>2.490794356827853E-2</v>
      </c>
      <c r="BF19">
        <f t="shared" si="33"/>
        <v>2.3822019450579259</v>
      </c>
      <c r="BG19" t="s">
        <v>296</v>
      </c>
      <c r="BH19">
        <v>534.6</v>
      </c>
      <c r="BI19">
        <f t="shared" si="34"/>
        <v>497.75999999999988</v>
      </c>
      <c r="BJ19">
        <f t="shared" si="35"/>
        <v>0.54505507751650595</v>
      </c>
      <c r="BK19">
        <f t="shared" si="36"/>
        <v>0.83167007659660808</v>
      </c>
      <c r="BL19">
        <f t="shared" si="37"/>
        <v>0.60657622734574201</v>
      </c>
      <c r="BM19">
        <f t="shared" si="38"/>
        <v>0.84611549185067747</v>
      </c>
      <c r="BN19">
        <f t="shared" si="39"/>
        <v>2200.0035483871002</v>
      </c>
      <c r="BO19">
        <f t="shared" si="40"/>
        <v>1849.1901392588707</v>
      </c>
      <c r="BP19">
        <f t="shared" si="41"/>
        <v>0.84053961668133526</v>
      </c>
      <c r="BQ19">
        <f t="shared" si="42"/>
        <v>0.19107923336267069</v>
      </c>
      <c r="BR19">
        <v>1561651395.57742</v>
      </c>
      <c r="BS19">
        <v>271.11880645161301</v>
      </c>
      <c r="BT19">
        <v>299.98932258064502</v>
      </c>
      <c r="BU19">
        <v>19.3269612903226</v>
      </c>
      <c r="BV19">
        <v>10.271422580645201</v>
      </c>
      <c r="BW19">
        <v>500.03148387096797</v>
      </c>
      <c r="BX19">
        <v>99.739096774193598</v>
      </c>
      <c r="BY19">
        <v>0.10002412580645199</v>
      </c>
      <c r="BZ19">
        <v>26.635403225806499</v>
      </c>
      <c r="CA19">
        <v>27.658929032258101</v>
      </c>
      <c r="CB19">
        <v>999.9</v>
      </c>
      <c r="CC19">
        <v>9999.3754838709701</v>
      </c>
      <c r="CD19">
        <v>0</v>
      </c>
      <c r="CE19">
        <v>0.22918983870967699</v>
      </c>
      <c r="CF19">
        <v>2200.0035483871002</v>
      </c>
      <c r="CG19">
        <v>0.98199496774193595</v>
      </c>
      <c r="CH19">
        <v>1.8005025806451601E-2</v>
      </c>
      <c r="CI19">
        <v>0</v>
      </c>
      <c r="CJ19">
        <v>761.06183870967698</v>
      </c>
      <c r="CK19">
        <v>1.9999499999999999</v>
      </c>
      <c r="CL19">
        <v>17321.964516128999</v>
      </c>
      <c r="CM19">
        <v>17938.251612903201</v>
      </c>
      <c r="CN19">
        <v>47.914999999999999</v>
      </c>
      <c r="CO19">
        <v>50.340516129032302</v>
      </c>
      <c r="CP19">
        <v>48.602645161290297</v>
      </c>
      <c r="CQ19">
        <v>48.594516129032201</v>
      </c>
      <c r="CR19">
        <v>48.814258064516103</v>
      </c>
      <c r="CS19">
        <v>2158.4306451612902</v>
      </c>
      <c r="CT19">
        <v>39.571935483871002</v>
      </c>
      <c r="CU19">
        <v>0</v>
      </c>
      <c r="CV19">
        <v>123.40000009536701</v>
      </c>
      <c r="CW19">
        <v>761.05338461538395</v>
      </c>
      <c r="CX19">
        <v>-3.3069401693797</v>
      </c>
      <c r="CY19">
        <v>-63.7230769462045</v>
      </c>
      <c r="CZ19">
        <v>17321.526923076901</v>
      </c>
      <c r="DA19">
        <v>15</v>
      </c>
      <c r="DB19">
        <v>1561651357</v>
      </c>
      <c r="DC19" t="s">
        <v>297</v>
      </c>
      <c r="DD19">
        <v>37</v>
      </c>
      <c r="DE19">
        <v>0.52800000000000002</v>
      </c>
      <c r="DF19">
        <v>4.5999999999999999E-2</v>
      </c>
      <c r="DG19">
        <v>300</v>
      </c>
      <c r="DH19">
        <v>10</v>
      </c>
      <c r="DI19">
        <v>7.0000000000000007E-2</v>
      </c>
      <c r="DJ19">
        <v>0.01</v>
      </c>
      <c r="DK19">
        <v>21.982043354925999</v>
      </c>
      <c r="DL19">
        <v>-0.18521767135409001</v>
      </c>
      <c r="DM19">
        <v>0.183429519307134</v>
      </c>
      <c r="DN19">
        <v>1</v>
      </c>
      <c r="DO19">
        <v>271.161273972603</v>
      </c>
      <c r="DP19">
        <v>-0.13488307917396899</v>
      </c>
      <c r="DQ19">
        <v>8.78044621255058E-2</v>
      </c>
      <c r="DR19">
        <v>1</v>
      </c>
      <c r="DS19">
        <v>0.460959543631419</v>
      </c>
      <c r="DT19">
        <v>3.5146385091517601E-2</v>
      </c>
      <c r="DU19">
        <v>1.22970155458407E-2</v>
      </c>
      <c r="DV19">
        <v>1</v>
      </c>
      <c r="DW19">
        <v>3</v>
      </c>
      <c r="DX19">
        <v>3</v>
      </c>
      <c r="DY19" t="s">
        <v>283</v>
      </c>
      <c r="DZ19">
        <v>1.8666100000000001</v>
      </c>
      <c r="EA19">
        <v>1.8631</v>
      </c>
      <c r="EB19">
        <v>1.8687400000000001</v>
      </c>
      <c r="EC19">
        <v>1.86673</v>
      </c>
      <c r="ED19">
        <v>1.87134</v>
      </c>
      <c r="EE19">
        <v>1.8638600000000001</v>
      </c>
      <c r="EF19">
        <v>1.8653900000000001</v>
      </c>
      <c r="EG19">
        <v>1.8653900000000001</v>
      </c>
      <c r="EH19" t="s">
        <v>284</v>
      </c>
      <c r="EI19" t="s">
        <v>19</v>
      </c>
      <c r="EJ19" t="s">
        <v>19</v>
      </c>
      <c r="EK19" t="s">
        <v>19</v>
      </c>
      <c r="EL19" t="s">
        <v>285</v>
      </c>
      <c r="EM19" t="s">
        <v>286</v>
      </c>
      <c r="EN19" t="s">
        <v>287</v>
      </c>
      <c r="EO19" t="s">
        <v>287</v>
      </c>
      <c r="EP19" t="s">
        <v>287</v>
      </c>
      <c r="EQ19" t="s">
        <v>287</v>
      </c>
      <c r="ER19">
        <v>0</v>
      </c>
      <c r="ES19">
        <v>100</v>
      </c>
      <c r="ET19">
        <v>100</v>
      </c>
      <c r="EU19">
        <v>0.52800000000000002</v>
      </c>
      <c r="EV19">
        <v>4.5999999999999999E-2</v>
      </c>
      <c r="EW19">
        <v>2</v>
      </c>
      <c r="EX19">
        <v>508.77</v>
      </c>
      <c r="EY19">
        <v>488.33800000000002</v>
      </c>
      <c r="EZ19">
        <v>19.502199999999998</v>
      </c>
      <c r="FA19">
        <v>38.391500000000001</v>
      </c>
      <c r="FB19">
        <v>30.001200000000001</v>
      </c>
      <c r="FC19">
        <v>38.207299999999996</v>
      </c>
      <c r="FD19">
        <v>38.172499999999999</v>
      </c>
      <c r="FE19">
        <v>17.2437</v>
      </c>
      <c r="FF19">
        <v>71.736699999999999</v>
      </c>
      <c r="FG19">
        <v>0</v>
      </c>
      <c r="FH19">
        <v>17.3691</v>
      </c>
      <c r="FI19">
        <v>300</v>
      </c>
      <c r="FJ19">
        <v>10.231199999999999</v>
      </c>
      <c r="FK19">
        <v>99.930599999999998</v>
      </c>
      <c r="FL19">
        <v>100.07</v>
      </c>
    </row>
    <row r="20" spans="1:168" x14ac:dyDescent="0.25">
      <c r="A20">
        <v>4</v>
      </c>
      <c r="B20">
        <v>1561651526.5999999</v>
      </c>
      <c r="C20">
        <v>1190.6999998092699</v>
      </c>
      <c r="D20" t="s">
        <v>298</v>
      </c>
      <c r="E20" t="s">
        <v>299</v>
      </c>
      <c r="F20" t="s">
        <v>277</v>
      </c>
      <c r="G20" t="s">
        <v>278</v>
      </c>
      <c r="H20" t="s">
        <v>277</v>
      </c>
      <c r="J20" t="s">
        <v>277</v>
      </c>
      <c r="K20">
        <v>1561651518.5999999</v>
      </c>
      <c r="L20">
        <f t="shared" si="0"/>
        <v>8.1257532929648272E-3</v>
      </c>
      <c r="M20">
        <f t="shared" si="1"/>
        <v>13.965111236306356</v>
      </c>
      <c r="N20">
        <f t="shared" si="2"/>
        <v>181.466451612903</v>
      </c>
      <c r="O20">
        <f t="shared" si="3"/>
        <v>126.84868152118845</v>
      </c>
      <c r="P20">
        <f t="shared" si="4"/>
        <v>12.663879085109846</v>
      </c>
      <c r="Q20">
        <f t="shared" si="5"/>
        <v>18.116618743458339</v>
      </c>
      <c r="R20">
        <f t="shared" si="6"/>
        <v>0.49164029851896635</v>
      </c>
      <c r="S20">
        <f t="shared" si="7"/>
        <v>2.2568062974577616</v>
      </c>
      <c r="T20">
        <f t="shared" si="8"/>
        <v>0.43898093422421686</v>
      </c>
      <c r="U20">
        <f t="shared" si="9"/>
        <v>0.27862282852119757</v>
      </c>
      <c r="V20">
        <f t="shared" si="10"/>
        <v>353.3395182117473</v>
      </c>
      <c r="W20">
        <f t="shared" si="11"/>
        <v>26.964693622017283</v>
      </c>
      <c r="X20">
        <f t="shared" si="12"/>
        <v>27.878170967741902</v>
      </c>
      <c r="Y20">
        <f t="shared" si="13"/>
        <v>3.7679712709493947</v>
      </c>
      <c r="Z20">
        <f t="shared" si="14"/>
        <v>55.120746549240664</v>
      </c>
      <c r="AA20">
        <f t="shared" si="15"/>
        <v>1.9731200805553293</v>
      </c>
      <c r="AB20">
        <f t="shared" si="16"/>
        <v>3.5796323600093021</v>
      </c>
      <c r="AC20">
        <f t="shared" si="17"/>
        <v>1.7948511903940654</v>
      </c>
      <c r="AD20">
        <f t="shared" si="18"/>
        <v>-358.3457202197489</v>
      </c>
      <c r="AE20">
        <f t="shared" si="19"/>
        <v>-106.57257288015188</v>
      </c>
      <c r="AF20">
        <f t="shared" si="20"/>
        <v>-10.236169424684487</v>
      </c>
      <c r="AG20">
        <f t="shared" si="21"/>
        <v>-121.81494431283795</v>
      </c>
      <c r="AH20">
        <v>-4.1367233946397103E-2</v>
      </c>
      <c r="AI20">
        <v>4.6438344073562898E-2</v>
      </c>
      <c r="AJ20">
        <v>3.4673966550866799</v>
      </c>
      <c r="AK20">
        <v>0</v>
      </c>
      <c r="AL20">
        <v>0</v>
      </c>
      <c r="AM20">
        <f t="shared" si="22"/>
        <v>1</v>
      </c>
      <c r="AN20">
        <f t="shared" si="23"/>
        <v>0</v>
      </c>
      <c r="AO20">
        <f t="shared" si="24"/>
        <v>52748.86132932832</v>
      </c>
      <c r="AP20" t="s">
        <v>279</v>
      </c>
      <c r="AQ20">
        <v>585.08461538461495</v>
      </c>
      <c r="AR20">
        <v>3491.65</v>
      </c>
      <c r="AS20">
        <f t="shared" si="25"/>
        <v>2906.565384615385</v>
      </c>
      <c r="AT20">
        <f t="shared" si="26"/>
        <v>0.83243320052564973</v>
      </c>
      <c r="AU20">
        <v>-24.085636743186001</v>
      </c>
      <c r="AV20" t="s">
        <v>300</v>
      </c>
      <c r="AW20">
        <v>733.80226923076896</v>
      </c>
      <c r="AX20">
        <v>947.41099999999994</v>
      </c>
      <c r="AY20">
        <f t="shared" si="27"/>
        <v>0.22546574904580063</v>
      </c>
      <c r="AZ20">
        <v>0.5</v>
      </c>
      <c r="BA20">
        <f t="shared" si="28"/>
        <v>1849.1808677689119</v>
      </c>
      <c r="BB20">
        <f t="shared" si="29"/>
        <v>13.965111236306356</v>
      </c>
      <c r="BC20">
        <f t="shared" si="30"/>
        <v>208.46347473634066</v>
      </c>
      <c r="BD20">
        <f t="shared" si="31"/>
        <v>0.42305926361420748</v>
      </c>
      <c r="BE20">
        <f t="shared" si="32"/>
        <v>2.057708288178519E-2</v>
      </c>
      <c r="BF20">
        <f t="shared" si="33"/>
        <v>2.6854649143824592</v>
      </c>
      <c r="BG20" t="s">
        <v>301</v>
      </c>
      <c r="BH20">
        <v>546.6</v>
      </c>
      <c r="BI20">
        <f t="shared" si="34"/>
        <v>400.81099999999992</v>
      </c>
      <c r="BJ20">
        <f t="shared" si="35"/>
        <v>0.53294128846072342</v>
      </c>
      <c r="BK20">
        <f t="shared" si="36"/>
        <v>0.86390349909169617</v>
      </c>
      <c r="BL20">
        <f t="shared" si="37"/>
        <v>0.58954782163043395</v>
      </c>
      <c r="BM20">
        <f t="shared" si="38"/>
        <v>0.87534208363823529</v>
      </c>
      <c r="BN20">
        <f t="shared" si="39"/>
        <v>2199.9929032258101</v>
      </c>
      <c r="BO20">
        <f t="shared" si="40"/>
        <v>1849.1808677689119</v>
      </c>
      <c r="BP20">
        <f t="shared" si="41"/>
        <v>0.84053946949442027</v>
      </c>
      <c r="BQ20">
        <f t="shared" si="42"/>
        <v>0.19107893898884065</v>
      </c>
      <c r="BR20">
        <v>1561651518.5999999</v>
      </c>
      <c r="BS20">
        <v>181.466451612903</v>
      </c>
      <c r="BT20">
        <v>199.99303225806401</v>
      </c>
      <c r="BU20">
        <v>19.763903225806398</v>
      </c>
      <c r="BV20">
        <v>10.2062387096774</v>
      </c>
      <c r="BW20">
        <v>500.02738709677402</v>
      </c>
      <c r="BX20">
        <v>99.7345258064516</v>
      </c>
      <c r="BY20">
        <v>0.10000879999999999</v>
      </c>
      <c r="BZ20">
        <v>27.002248387096799</v>
      </c>
      <c r="CA20">
        <v>27.878170967741902</v>
      </c>
      <c r="CB20">
        <v>999.9</v>
      </c>
      <c r="CC20">
        <v>10002.463548387101</v>
      </c>
      <c r="CD20">
        <v>0</v>
      </c>
      <c r="CE20">
        <v>0.242922967741935</v>
      </c>
      <c r="CF20">
        <v>2199.9929032258101</v>
      </c>
      <c r="CG20">
        <v>0.98200016129032197</v>
      </c>
      <c r="CH20">
        <v>1.7999832258064501E-2</v>
      </c>
      <c r="CI20">
        <v>0</v>
      </c>
      <c r="CJ20">
        <v>733.89003225806402</v>
      </c>
      <c r="CK20">
        <v>1.9999499999999999</v>
      </c>
      <c r="CL20">
        <v>16744.693548387098</v>
      </c>
      <c r="CM20">
        <v>17938.206451612899</v>
      </c>
      <c r="CN20">
        <v>48.552096774193501</v>
      </c>
      <c r="CO20">
        <v>51.025935483871002</v>
      </c>
      <c r="CP20">
        <v>49.247870967741903</v>
      </c>
      <c r="CQ20">
        <v>49.3122258064516</v>
      </c>
      <c r="CR20">
        <v>49.429000000000002</v>
      </c>
      <c r="CS20">
        <v>2158.4319354838699</v>
      </c>
      <c r="CT20">
        <v>39.560967741935499</v>
      </c>
      <c r="CU20">
        <v>0</v>
      </c>
      <c r="CV20">
        <v>122.5</v>
      </c>
      <c r="CW20">
        <v>733.80226923076896</v>
      </c>
      <c r="CX20">
        <v>-5.5444444441601304</v>
      </c>
      <c r="CY20">
        <v>-84.331623880752204</v>
      </c>
      <c r="CZ20">
        <v>16743.803846153802</v>
      </c>
      <c r="DA20">
        <v>15</v>
      </c>
      <c r="DB20">
        <v>1561651480.0999999</v>
      </c>
      <c r="DC20" t="s">
        <v>302</v>
      </c>
      <c r="DD20">
        <v>38</v>
      </c>
      <c r="DE20">
        <v>0.26800000000000002</v>
      </c>
      <c r="DF20">
        <v>4.4999999999999998E-2</v>
      </c>
      <c r="DG20">
        <v>200</v>
      </c>
      <c r="DH20">
        <v>10</v>
      </c>
      <c r="DI20">
        <v>0.05</v>
      </c>
      <c r="DJ20">
        <v>0.01</v>
      </c>
      <c r="DK20">
        <v>13.9539012860548</v>
      </c>
      <c r="DL20">
        <v>3.2775491331546599E-3</v>
      </c>
      <c r="DM20">
        <v>0.12968746549707599</v>
      </c>
      <c r="DN20">
        <v>1</v>
      </c>
      <c r="DO20">
        <v>181.532589041096</v>
      </c>
      <c r="DP20">
        <v>-0.26777489818586703</v>
      </c>
      <c r="DQ20">
        <v>7.65563335633936E-2</v>
      </c>
      <c r="DR20">
        <v>1</v>
      </c>
      <c r="DS20">
        <v>0.48514679880327499</v>
      </c>
      <c r="DT20">
        <v>5.1923257511607798E-2</v>
      </c>
      <c r="DU20">
        <v>1.45362874445441E-2</v>
      </c>
      <c r="DV20">
        <v>1</v>
      </c>
      <c r="DW20">
        <v>3</v>
      </c>
      <c r="DX20">
        <v>3</v>
      </c>
      <c r="DY20" t="s">
        <v>283</v>
      </c>
      <c r="DZ20">
        <v>1.8666100000000001</v>
      </c>
      <c r="EA20">
        <v>1.8631</v>
      </c>
      <c r="EB20">
        <v>1.8687400000000001</v>
      </c>
      <c r="EC20">
        <v>1.8667499999999999</v>
      </c>
      <c r="ED20">
        <v>1.87137</v>
      </c>
      <c r="EE20">
        <v>1.8638600000000001</v>
      </c>
      <c r="EF20">
        <v>1.8653900000000001</v>
      </c>
      <c r="EG20">
        <v>1.8653900000000001</v>
      </c>
      <c r="EH20" t="s">
        <v>284</v>
      </c>
      <c r="EI20" t="s">
        <v>19</v>
      </c>
      <c r="EJ20" t="s">
        <v>19</v>
      </c>
      <c r="EK20" t="s">
        <v>19</v>
      </c>
      <c r="EL20" t="s">
        <v>285</v>
      </c>
      <c r="EM20" t="s">
        <v>286</v>
      </c>
      <c r="EN20" t="s">
        <v>287</v>
      </c>
      <c r="EO20" t="s">
        <v>287</v>
      </c>
      <c r="EP20" t="s">
        <v>287</v>
      </c>
      <c r="EQ20" t="s">
        <v>287</v>
      </c>
      <c r="ER20">
        <v>0</v>
      </c>
      <c r="ES20">
        <v>100</v>
      </c>
      <c r="ET20">
        <v>100</v>
      </c>
      <c r="EU20">
        <v>0.26800000000000002</v>
      </c>
      <c r="EV20">
        <v>4.4999999999999998E-2</v>
      </c>
      <c r="EW20">
        <v>2</v>
      </c>
      <c r="EX20">
        <v>508.74099999999999</v>
      </c>
      <c r="EY20">
        <v>485.96100000000001</v>
      </c>
      <c r="EZ20">
        <v>19.956900000000001</v>
      </c>
      <c r="FA20">
        <v>38.8078</v>
      </c>
      <c r="FB20">
        <v>30.0016</v>
      </c>
      <c r="FC20">
        <v>38.5503</v>
      </c>
      <c r="FD20">
        <v>38.506399999999999</v>
      </c>
      <c r="FE20">
        <v>12.598000000000001</v>
      </c>
      <c r="FF20">
        <v>72.357600000000005</v>
      </c>
      <c r="FG20">
        <v>0</v>
      </c>
      <c r="FH20">
        <v>17.726199999999999</v>
      </c>
      <c r="FI20">
        <v>200</v>
      </c>
      <c r="FJ20">
        <v>10.137499999999999</v>
      </c>
      <c r="FK20">
        <v>99.854399999999998</v>
      </c>
      <c r="FL20">
        <v>99.974299999999999</v>
      </c>
    </row>
    <row r="21" spans="1:168" x14ac:dyDescent="0.25">
      <c r="A21">
        <v>5</v>
      </c>
      <c r="B21">
        <v>1561651653.5999999</v>
      </c>
      <c r="C21">
        <v>1317.6999998092699</v>
      </c>
      <c r="D21" t="s">
        <v>303</v>
      </c>
      <c r="E21" t="s">
        <v>304</v>
      </c>
      <c r="F21" t="s">
        <v>277</v>
      </c>
      <c r="G21" t="s">
        <v>278</v>
      </c>
      <c r="H21" t="s">
        <v>277</v>
      </c>
      <c r="J21" t="s">
        <v>277</v>
      </c>
      <c r="K21">
        <v>1561651645.5999999</v>
      </c>
      <c r="L21">
        <f t="shared" si="0"/>
        <v>8.5399162309465829E-3</v>
      </c>
      <c r="M21">
        <f t="shared" si="1"/>
        <v>5.059892832363559</v>
      </c>
      <c r="N21">
        <f t="shared" si="2"/>
        <v>92.961232258064499</v>
      </c>
      <c r="O21">
        <f t="shared" si="3"/>
        <v>73.535825958186464</v>
      </c>
      <c r="P21">
        <f t="shared" si="4"/>
        <v>7.3412270989875728</v>
      </c>
      <c r="Q21">
        <f t="shared" si="5"/>
        <v>9.2805038702663296</v>
      </c>
      <c r="R21">
        <f t="shared" si="6"/>
        <v>0.527769832045349</v>
      </c>
      <c r="S21">
        <f t="shared" si="7"/>
        <v>2.2566810053209982</v>
      </c>
      <c r="T21">
        <f t="shared" si="8"/>
        <v>0.46758906274150014</v>
      </c>
      <c r="U21">
        <f t="shared" si="9"/>
        <v>0.29707632407836476</v>
      </c>
      <c r="V21">
        <f t="shared" si="10"/>
        <v>353.34465903769814</v>
      </c>
      <c r="W21">
        <f t="shared" si="11"/>
        <v>27.036195464288827</v>
      </c>
      <c r="X21">
        <f t="shared" si="12"/>
        <v>27.9487806451613</v>
      </c>
      <c r="Y21">
        <f t="shared" si="13"/>
        <v>3.7835233685735514</v>
      </c>
      <c r="Z21">
        <f t="shared" si="14"/>
        <v>55.555336259770897</v>
      </c>
      <c r="AA21">
        <f t="shared" si="15"/>
        <v>2.013154383784618</v>
      </c>
      <c r="AB21">
        <f t="shared" si="16"/>
        <v>3.6236921946999301</v>
      </c>
      <c r="AC21">
        <f t="shared" si="17"/>
        <v>1.7703689847889335</v>
      </c>
      <c r="AD21">
        <f t="shared" si="18"/>
        <v>-376.6103057847443</v>
      </c>
      <c r="AE21">
        <f t="shared" si="19"/>
        <v>-89.796112540826243</v>
      </c>
      <c r="AF21">
        <f t="shared" si="20"/>
        <v>-8.6373068038546208</v>
      </c>
      <c r="AG21">
        <f t="shared" si="21"/>
        <v>-121.69906609172705</v>
      </c>
      <c r="AH21">
        <v>-4.1363851723002901E-2</v>
      </c>
      <c r="AI21">
        <v>4.6434547231503802E-2</v>
      </c>
      <c r="AJ21">
        <v>3.4671723839600799</v>
      </c>
      <c r="AK21">
        <v>0</v>
      </c>
      <c r="AL21">
        <v>0</v>
      </c>
      <c r="AM21">
        <f t="shared" si="22"/>
        <v>1</v>
      </c>
      <c r="AN21">
        <f t="shared" si="23"/>
        <v>0</v>
      </c>
      <c r="AO21">
        <f t="shared" si="24"/>
        <v>52708.046966215989</v>
      </c>
      <c r="AP21" t="s">
        <v>279</v>
      </c>
      <c r="AQ21">
        <v>585.08461538461495</v>
      </c>
      <c r="AR21">
        <v>3491.65</v>
      </c>
      <c r="AS21">
        <f t="shared" si="25"/>
        <v>2906.565384615385</v>
      </c>
      <c r="AT21">
        <f t="shared" si="26"/>
        <v>0.83243320052564973</v>
      </c>
      <c r="AU21">
        <v>-24.085636743186001</v>
      </c>
      <c r="AV21" t="s">
        <v>305</v>
      </c>
      <c r="AW21">
        <v>729.85469230769195</v>
      </c>
      <c r="AX21">
        <v>889.81700000000001</v>
      </c>
      <c r="AY21">
        <f t="shared" si="27"/>
        <v>0.17976989391336429</v>
      </c>
      <c r="AZ21">
        <v>0.5</v>
      </c>
      <c r="BA21">
        <f t="shared" si="28"/>
        <v>1849.2055258334299</v>
      </c>
      <c r="BB21">
        <f t="shared" si="29"/>
        <v>5.059892832363559</v>
      </c>
      <c r="BC21">
        <f t="shared" si="30"/>
        <v>166.21574060154134</v>
      </c>
      <c r="BD21">
        <f t="shared" si="31"/>
        <v>0.3760514802481858</v>
      </c>
      <c r="BE21">
        <f t="shared" si="32"/>
        <v>1.5761108848305967E-2</v>
      </c>
      <c r="BF21">
        <f t="shared" si="33"/>
        <v>2.9240090940047225</v>
      </c>
      <c r="BG21" t="s">
        <v>306</v>
      </c>
      <c r="BH21">
        <v>555.20000000000005</v>
      </c>
      <c r="BI21">
        <f t="shared" si="34"/>
        <v>334.61699999999996</v>
      </c>
      <c r="BJ21">
        <f t="shared" si="35"/>
        <v>0.4780459680539485</v>
      </c>
      <c r="BK21">
        <f t="shared" si="36"/>
        <v>0.88604709768598144</v>
      </c>
      <c r="BL21">
        <f t="shared" si="37"/>
        <v>0.52492716812557649</v>
      </c>
      <c r="BM21">
        <f t="shared" si="38"/>
        <v>0.89515722363296879</v>
      </c>
      <c r="BN21">
        <f t="shared" si="39"/>
        <v>2200.02193548387</v>
      </c>
      <c r="BO21">
        <f t="shared" si="40"/>
        <v>1849.2055258334299</v>
      </c>
      <c r="BP21">
        <f t="shared" si="41"/>
        <v>0.84053958554132235</v>
      </c>
      <c r="BQ21">
        <f t="shared" si="42"/>
        <v>0.19107917108264483</v>
      </c>
      <c r="BR21">
        <v>1561651645.5999999</v>
      </c>
      <c r="BS21">
        <v>92.961232258064499</v>
      </c>
      <c r="BT21">
        <v>99.985690322580595</v>
      </c>
      <c r="BU21">
        <v>20.165425806451601</v>
      </c>
      <c r="BV21">
        <v>10.124280645161299</v>
      </c>
      <c r="BW21">
        <v>500.005032258065</v>
      </c>
      <c r="BX21">
        <v>99.732022580645193</v>
      </c>
      <c r="BY21">
        <v>9.9957319354838703E-2</v>
      </c>
      <c r="BZ21">
        <v>27.210703225806402</v>
      </c>
      <c r="CA21">
        <v>27.9487806451613</v>
      </c>
      <c r="CB21">
        <v>999.9</v>
      </c>
      <c r="CC21">
        <v>10001.896774193499</v>
      </c>
      <c r="CD21">
        <v>0</v>
      </c>
      <c r="CE21">
        <v>160.87029032258101</v>
      </c>
      <c r="CF21">
        <v>2200.02193548387</v>
      </c>
      <c r="CG21">
        <v>0.98199899999999996</v>
      </c>
      <c r="CH21">
        <v>1.8000800000000001E-2</v>
      </c>
      <c r="CI21">
        <v>0</v>
      </c>
      <c r="CJ21">
        <v>729.90787096774204</v>
      </c>
      <c r="CK21">
        <v>1.9999499999999999</v>
      </c>
      <c r="CL21">
        <v>16671.474193548402</v>
      </c>
      <c r="CM21">
        <v>17938.4258064516</v>
      </c>
      <c r="CN21">
        <v>48.834548387096802</v>
      </c>
      <c r="CO21">
        <v>51.2195483870968</v>
      </c>
      <c r="CP21">
        <v>49.463419354838699</v>
      </c>
      <c r="CQ21">
        <v>49.612806451612897</v>
      </c>
      <c r="CR21">
        <v>49.874935483870999</v>
      </c>
      <c r="CS21">
        <v>2158.4519354838699</v>
      </c>
      <c r="CT21">
        <v>39.57</v>
      </c>
      <c r="CU21">
        <v>0</v>
      </c>
      <c r="CV21">
        <v>126.700000047684</v>
      </c>
      <c r="CW21">
        <v>729.85469230769195</v>
      </c>
      <c r="CX21">
        <v>-2.4748717725734202</v>
      </c>
      <c r="CY21">
        <v>-21.2683760853431</v>
      </c>
      <c r="CZ21">
        <v>16671.2038461538</v>
      </c>
      <c r="DA21">
        <v>15</v>
      </c>
      <c r="DB21">
        <v>1561651608.0999999</v>
      </c>
      <c r="DC21" t="s">
        <v>307</v>
      </c>
      <c r="DD21">
        <v>39</v>
      </c>
      <c r="DE21">
        <v>0.32300000000000001</v>
      </c>
      <c r="DF21">
        <v>4.4999999999999998E-2</v>
      </c>
      <c r="DG21">
        <v>100</v>
      </c>
      <c r="DH21">
        <v>10</v>
      </c>
      <c r="DI21">
        <v>0.16</v>
      </c>
      <c r="DJ21">
        <v>0.01</v>
      </c>
      <c r="DK21">
        <v>5.0535630763019199</v>
      </c>
      <c r="DL21">
        <v>1.3859534437441701E-2</v>
      </c>
      <c r="DM21">
        <v>0.23189263574025301</v>
      </c>
      <c r="DN21">
        <v>1</v>
      </c>
      <c r="DO21">
        <v>92.989917808219204</v>
      </c>
      <c r="DP21">
        <v>9.7808219177744505E-3</v>
      </c>
      <c r="DQ21">
        <v>9.8382484439614795E-2</v>
      </c>
      <c r="DR21">
        <v>1</v>
      </c>
      <c r="DS21">
        <v>0.520628776629943</v>
      </c>
      <c r="DT21">
        <v>7.1510050657822399E-2</v>
      </c>
      <c r="DU21">
        <v>2.4112386277947501E-2</v>
      </c>
      <c r="DV21">
        <v>1</v>
      </c>
      <c r="DW21">
        <v>3</v>
      </c>
      <c r="DX21">
        <v>3</v>
      </c>
      <c r="DY21" t="s">
        <v>283</v>
      </c>
      <c r="DZ21">
        <v>1.8672800000000001</v>
      </c>
      <c r="EA21">
        <v>1.8637699999999999</v>
      </c>
      <c r="EB21">
        <v>1.86947</v>
      </c>
      <c r="EC21">
        <v>1.86737</v>
      </c>
      <c r="ED21">
        <v>1.8721000000000001</v>
      </c>
      <c r="EE21">
        <v>1.8645099999999999</v>
      </c>
      <c r="EF21">
        <v>1.8660300000000001</v>
      </c>
      <c r="EG21">
        <v>1.8660000000000001</v>
      </c>
      <c r="EH21" t="s">
        <v>284</v>
      </c>
      <c r="EI21" t="s">
        <v>19</v>
      </c>
      <c r="EJ21" t="s">
        <v>19</v>
      </c>
      <c r="EK21" t="s">
        <v>19</v>
      </c>
      <c r="EL21" t="s">
        <v>285</v>
      </c>
      <c r="EM21" t="s">
        <v>286</v>
      </c>
      <c r="EN21" t="s">
        <v>287</v>
      </c>
      <c r="EO21" t="s">
        <v>287</v>
      </c>
      <c r="EP21" t="s">
        <v>287</v>
      </c>
      <c r="EQ21" t="s">
        <v>287</v>
      </c>
      <c r="ER21">
        <v>0</v>
      </c>
      <c r="ES21">
        <v>100</v>
      </c>
      <c r="ET21">
        <v>100</v>
      </c>
      <c r="EU21">
        <v>0.32300000000000001</v>
      </c>
      <c r="EV21">
        <v>4.4999999999999998E-2</v>
      </c>
      <c r="EW21">
        <v>2</v>
      </c>
      <c r="EX21">
        <v>508.89</v>
      </c>
      <c r="EY21">
        <v>484.39100000000002</v>
      </c>
      <c r="EZ21">
        <v>20.079499999999999</v>
      </c>
      <c r="FA21">
        <v>39.168500000000002</v>
      </c>
      <c r="FB21">
        <v>29.9998</v>
      </c>
      <c r="FC21">
        <v>38.881999999999998</v>
      </c>
      <c r="FD21">
        <v>38.810400000000001</v>
      </c>
      <c r="FE21">
        <v>7.7708000000000004</v>
      </c>
      <c r="FF21">
        <v>73.049700000000001</v>
      </c>
      <c r="FG21">
        <v>0</v>
      </c>
      <c r="FH21">
        <v>18.111000000000001</v>
      </c>
      <c r="FI21">
        <v>100</v>
      </c>
      <c r="FJ21">
        <v>9.95167</v>
      </c>
      <c r="FK21">
        <v>99.790999999999997</v>
      </c>
      <c r="FL21">
        <v>99.911199999999994</v>
      </c>
    </row>
    <row r="22" spans="1:168" x14ac:dyDescent="0.25">
      <c r="A22">
        <v>6</v>
      </c>
      <c r="B22">
        <v>1561651744.0999999</v>
      </c>
      <c r="C22">
        <v>1408.1999998092699</v>
      </c>
      <c r="D22" t="s">
        <v>308</v>
      </c>
      <c r="E22" t="s">
        <v>309</v>
      </c>
      <c r="F22" t="s">
        <v>277</v>
      </c>
      <c r="G22" t="s">
        <v>278</v>
      </c>
      <c r="H22" t="s">
        <v>277</v>
      </c>
      <c r="J22" t="s">
        <v>277</v>
      </c>
      <c r="K22">
        <v>1561651721.9290299</v>
      </c>
      <c r="L22">
        <f t="shared" si="0"/>
        <v>6.2920638261514802E-3</v>
      </c>
      <c r="M22">
        <f t="shared" si="1"/>
        <v>0.12533632932397618</v>
      </c>
      <c r="N22">
        <f t="shared" si="2"/>
        <v>49.438754838709698</v>
      </c>
      <c r="O22">
        <f t="shared" si="3"/>
        <v>47.239689112075297</v>
      </c>
      <c r="P22">
        <f t="shared" si="4"/>
        <v>4.7160064880399286</v>
      </c>
      <c r="Q22">
        <f t="shared" si="5"/>
        <v>4.9355424000953514</v>
      </c>
      <c r="R22">
        <f t="shared" si="6"/>
        <v>0.33439096940303975</v>
      </c>
      <c r="S22">
        <f t="shared" si="7"/>
        <v>2.2574012915201118</v>
      </c>
      <c r="T22">
        <f t="shared" si="8"/>
        <v>0.30910991008910893</v>
      </c>
      <c r="U22">
        <f t="shared" si="9"/>
        <v>0.19530557640811069</v>
      </c>
      <c r="V22">
        <f t="shared" si="10"/>
        <v>353.33940966951536</v>
      </c>
      <c r="W22">
        <f t="shared" si="11"/>
        <v>27.553148979436962</v>
      </c>
      <c r="X22">
        <f t="shared" si="12"/>
        <v>27.753425806451599</v>
      </c>
      <c r="Y22">
        <f t="shared" si="13"/>
        <v>3.7406318703754771</v>
      </c>
      <c r="Z22">
        <f t="shared" si="14"/>
        <v>49.3464454084964</v>
      </c>
      <c r="AA22">
        <f t="shared" si="15"/>
        <v>1.7645504412056083</v>
      </c>
      <c r="AB22">
        <f t="shared" si="16"/>
        <v>3.5758410288693061</v>
      </c>
      <c r="AC22">
        <f t="shared" si="17"/>
        <v>1.9760814291698687</v>
      </c>
      <c r="AD22">
        <f t="shared" si="18"/>
        <v>-277.48001473328026</v>
      </c>
      <c r="AE22">
        <f t="shared" si="19"/>
        <v>-93.614778878731457</v>
      </c>
      <c r="AF22">
        <f t="shared" si="20"/>
        <v>-8.9828075425726368</v>
      </c>
      <c r="AG22">
        <f t="shared" si="21"/>
        <v>-26.738191485068981</v>
      </c>
      <c r="AH22">
        <v>-4.1383297969307203E-2</v>
      </c>
      <c r="AI22">
        <v>4.64563773465652E-2</v>
      </c>
      <c r="AJ22">
        <v>3.4684617543357801</v>
      </c>
      <c r="AK22">
        <v>0</v>
      </c>
      <c r="AL22">
        <v>0</v>
      </c>
      <c r="AM22">
        <f t="shared" si="22"/>
        <v>1</v>
      </c>
      <c r="AN22">
        <f t="shared" si="23"/>
        <v>0</v>
      </c>
      <c r="AO22">
        <f t="shared" si="24"/>
        <v>52771.639327491517</v>
      </c>
      <c r="AP22" t="s">
        <v>279</v>
      </c>
      <c r="AQ22">
        <v>585.08461538461495</v>
      </c>
      <c r="AR22">
        <v>3491.65</v>
      </c>
      <c r="AS22">
        <f t="shared" si="25"/>
        <v>2906.565384615385</v>
      </c>
      <c r="AT22">
        <f t="shared" si="26"/>
        <v>0.83243320052564973</v>
      </c>
      <c r="AU22">
        <v>-24.085636743186001</v>
      </c>
      <c r="AV22" t="s">
        <v>310</v>
      </c>
      <c r="AW22">
        <v>734.35838461538503</v>
      </c>
      <c r="AX22">
        <v>876.48699999999997</v>
      </c>
      <c r="AY22">
        <f t="shared" si="27"/>
        <v>0.16215712883889311</v>
      </c>
      <c r="AZ22">
        <v>0.5</v>
      </c>
      <c r="BA22">
        <f t="shared" si="28"/>
        <v>1849.1761838979533</v>
      </c>
      <c r="BB22">
        <f t="shared" si="29"/>
        <v>0.12533632932397618</v>
      </c>
      <c r="BC22">
        <f t="shared" si="30"/>
        <v>149.92855034907654</v>
      </c>
      <c r="BD22">
        <f t="shared" si="31"/>
        <v>0.35173025954748893</v>
      </c>
      <c r="BE22">
        <f t="shared" si="32"/>
        <v>1.3092842793094321E-2</v>
      </c>
      <c r="BF22">
        <f t="shared" si="33"/>
        <v>2.9836871510929428</v>
      </c>
      <c r="BG22" t="s">
        <v>311</v>
      </c>
      <c r="BH22">
        <v>568.20000000000005</v>
      </c>
      <c r="BI22">
        <f t="shared" si="34"/>
        <v>308.28699999999992</v>
      </c>
      <c r="BJ22">
        <f t="shared" si="35"/>
        <v>0.4610269501620729</v>
      </c>
      <c r="BK22">
        <f t="shared" si="36"/>
        <v>0.8945468538883854</v>
      </c>
      <c r="BL22">
        <f t="shared" si="37"/>
        <v>0.48774005597863268</v>
      </c>
      <c r="BM22">
        <f t="shared" si="38"/>
        <v>0.89974339261115732</v>
      </c>
      <c r="BN22">
        <f t="shared" si="39"/>
        <v>2199.98677419355</v>
      </c>
      <c r="BO22">
        <f t="shared" si="40"/>
        <v>1849.1761838979533</v>
      </c>
      <c r="BP22">
        <f t="shared" si="41"/>
        <v>0.84053968214231944</v>
      </c>
      <c r="BQ22">
        <f t="shared" si="42"/>
        <v>0.19107936428463887</v>
      </c>
      <c r="BR22">
        <v>1561651721.9290299</v>
      </c>
      <c r="BS22">
        <v>49.438754838709698</v>
      </c>
      <c r="BT22">
        <v>49.962374193548399</v>
      </c>
      <c r="BU22">
        <v>17.675296774193601</v>
      </c>
      <c r="BV22">
        <v>10.2592741935484</v>
      </c>
      <c r="BW22">
        <v>500.06722580645197</v>
      </c>
      <c r="BX22">
        <v>99.7326870967742</v>
      </c>
      <c r="BY22">
        <v>9.8759229032258103E-2</v>
      </c>
      <c r="BZ22">
        <v>26.984206451612899</v>
      </c>
      <c r="CA22">
        <v>27.753425806451599</v>
      </c>
      <c r="CB22">
        <v>999.9</v>
      </c>
      <c r="CC22">
        <v>10006.532258064501</v>
      </c>
      <c r="CD22">
        <v>0</v>
      </c>
      <c r="CE22">
        <v>176.20319354838699</v>
      </c>
      <c r="CF22">
        <v>2199.98677419355</v>
      </c>
      <c r="CG22">
        <v>0.981994387096774</v>
      </c>
      <c r="CH22">
        <v>1.80055870967742E-2</v>
      </c>
      <c r="CI22">
        <v>0</v>
      </c>
      <c r="CJ22">
        <v>734.81051612903195</v>
      </c>
      <c r="CK22">
        <v>1.9999499999999999</v>
      </c>
      <c r="CL22">
        <v>16750.596774193498</v>
      </c>
      <c r="CM22">
        <v>17938.1161290323</v>
      </c>
      <c r="CN22">
        <v>48.296129032258101</v>
      </c>
      <c r="CO22">
        <v>50.090483870967702</v>
      </c>
      <c r="CP22">
        <v>48.737580645161302</v>
      </c>
      <c r="CQ22">
        <v>48.616709677419301</v>
      </c>
      <c r="CR22">
        <v>49.431129032257999</v>
      </c>
      <c r="CS22">
        <v>2158.4103225806498</v>
      </c>
      <c r="CT22">
        <v>39.576451612903199</v>
      </c>
      <c r="CU22">
        <v>0</v>
      </c>
      <c r="CV22">
        <v>89.5</v>
      </c>
      <c r="CW22">
        <v>734.35838461538503</v>
      </c>
      <c r="CX22">
        <v>0.44711112715748202</v>
      </c>
      <c r="CY22">
        <v>-9.4085469976697205</v>
      </c>
      <c r="CZ22">
        <v>16731.746153846201</v>
      </c>
      <c r="DA22">
        <v>15</v>
      </c>
      <c r="DB22">
        <v>1561651734.0999999</v>
      </c>
      <c r="DC22" t="s">
        <v>312</v>
      </c>
      <c r="DD22">
        <v>40</v>
      </c>
      <c r="DE22">
        <v>0.33300000000000002</v>
      </c>
      <c r="DF22">
        <v>4.3999999999999997E-2</v>
      </c>
      <c r="DG22">
        <v>50</v>
      </c>
      <c r="DH22">
        <v>10</v>
      </c>
      <c r="DI22">
        <v>0.2</v>
      </c>
      <c r="DJ22">
        <v>0.01</v>
      </c>
      <c r="DK22">
        <v>1.70470247922173E-2</v>
      </c>
      <c r="DL22">
        <v>0.188437772553111</v>
      </c>
      <c r="DM22">
        <v>0.10911138777003</v>
      </c>
      <c r="DN22">
        <v>1</v>
      </c>
      <c r="DO22">
        <v>49.868004109589002</v>
      </c>
      <c r="DP22">
        <v>-1.1432623542803499</v>
      </c>
      <c r="DQ22">
        <v>0.33618375293362401</v>
      </c>
      <c r="DR22">
        <v>1</v>
      </c>
      <c r="DS22">
        <v>7.0158206646883603E-2</v>
      </c>
      <c r="DT22">
        <v>0.53319581579987396</v>
      </c>
      <c r="DU22">
        <v>0.15920191645016499</v>
      </c>
      <c r="DV22">
        <v>1</v>
      </c>
      <c r="DW22">
        <v>3</v>
      </c>
      <c r="DX22">
        <v>3</v>
      </c>
      <c r="DY22" t="s">
        <v>283</v>
      </c>
      <c r="DZ22">
        <v>1.8673299999999999</v>
      </c>
      <c r="EA22">
        <v>1.8638300000000001</v>
      </c>
      <c r="EB22">
        <v>1.8694900000000001</v>
      </c>
      <c r="EC22">
        <v>1.86738</v>
      </c>
      <c r="ED22">
        <v>1.8721000000000001</v>
      </c>
      <c r="EE22">
        <v>1.86453</v>
      </c>
      <c r="EF22">
        <v>1.8660699999999999</v>
      </c>
      <c r="EG22">
        <v>1.8660300000000001</v>
      </c>
      <c r="EH22" t="s">
        <v>284</v>
      </c>
      <c r="EI22" t="s">
        <v>19</v>
      </c>
      <c r="EJ22" t="s">
        <v>19</v>
      </c>
      <c r="EK22" t="s">
        <v>19</v>
      </c>
      <c r="EL22" t="s">
        <v>285</v>
      </c>
      <c r="EM22" t="s">
        <v>286</v>
      </c>
      <c r="EN22" t="s">
        <v>287</v>
      </c>
      <c r="EO22" t="s">
        <v>287</v>
      </c>
      <c r="EP22" t="s">
        <v>287</v>
      </c>
      <c r="EQ22" t="s">
        <v>287</v>
      </c>
      <c r="ER22">
        <v>0</v>
      </c>
      <c r="ES22">
        <v>100</v>
      </c>
      <c r="ET22">
        <v>100</v>
      </c>
      <c r="EU22">
        <v>0.33300000000000002</v>
      </c>
      <c r="EV22">
        <v>4.3999999999999997E-2</v>
      </c>
      <c r="EW22">
        <v>2</v>
      </c>
      <c r="EX22">
        <v>507.589</v>
      </c>
      <c r="EY22">
        <v>485.24</v>
      </c>
      <c r="EZ22">
        <v>19.456399999999999</v>
      </c>
      <c r="FA22">
        <v>38.917999999999999</v>
      </c>
      <c r="FB22">
        <v>29.997900000000001</v>
      </c>
      <c r="FC22">
        <v>38.785699999999999</v>
      </c>
      <c r="FD22">
        <v>38.684699999999999</v>
      </c>
      <c r="FE22">
        <v>5.3414200000000003</v>
      </c>
      <c r="FF22">
        <v>72.635599999999997</v>
      </c>
      <c r="FG22">
        <v>0</v>
      </c>
      <c r="FH22">
        <v>17.844100000000001</v>
      </c>
      <c r="FI22">
        <v>50</v>
      </c>
      <c r="FJ22">
        <v>10.001899999999999</v>
      </c>
      <c r="FK22">
        <v>99.848100000000002</v>
      </c>
      <c r="FL22">
        <v>99.996399999999994</v>
      </c>
    </row>
    <row r="23" spans="1:168" x14ac:dyDescent="0.25">
      <c r="A23">
        <v>7</v>
      </c>
      <c r="B23">
        <v>1561651865.5999999</v>
      </c>
      <c r="C23">
        <v>1529.6999998092699</v>
      </c>
      <c r="D23" t="s">
        <v>313</v>
      </c>
      <c r="E23" t="s">
        <v>314</v>
      </c>
      <c r="F23" t="s">
        <v>277</v>
      </c>
      <c r="G23" t="s">
        <v>278</v>
      </c>
      <c r="H23" t="s">
        <v>277</v>
      </c>
      <c r="J23" t="s">
        <v>277</v>
      </c>
      <c r="K23">
        <v>1561651857.5999999</v>
      </c>
      <c r="L23">
        <f t="shared" si="0"/>
        <v>8.4236927847372231E-3</v>
      </c>
      <c r="M23">
        <f t="shared" si="1"/>
        <v>-3.1767045933016793</v>
      </c>
      <c r="N23">
        <f t="shared" si="2"/>
        <v>16.1607290322581</v>
      </c>
      <c r="O23">
        <f t="shared" si="3"/>
        <v>26.021719900772183</v>
      </c>
      <c r="P23">
        <f t="shared" si="4"/>
        <v>2.5976695611740124</v>
      </c>
      <c r="Q23">
        <f t="shared" si="5"/>
        <v>1.6132766801564211</v>
      </c>
      <c r="R23">
        <f t="shared" si="6"/>
        <v>0.54178227137006618</v>
      </c>
      <c r="S23">
        <f t="shared" si="7"/>
        <v>2.2540447902311929</v>
      </c>
      <c r="T23">
        <f t="shared" si="8"/>
        <v>0.47850287974688827</v>
      </c>
      <c r="U23">
        <f t="shared" si="9"/>
        <v>0.30413156628282506</v>
      </c>
      <c r="V23">
        <f t="shared" si="10"/>
        <v>353.34883388912141</v>
      </c>
      <c r="W23">
        <f t="shared" si="11"/>
        <v>26.22496040490833</v>
      </c>
      <c r="X23">
        <f t="shared" si="12"/>
        <v>27.251300000000001</v>
      </c>
      <c r="Y23">
        <f t="shared" si="13"/>
        <v>3.632327737902457</v>
      </c>
      <c r="Z23">
        <f t="shared" si="14"/>
        <v>55.811384029404465</v>
      </c>
      <c r="AA23">
        <f t="shared" si="15"/>
        <v>1.9238532099274952</v>
      </c>
      <c r="AB23">
        <f t="shared" si="16"/>
        <v>3.4470623572314651</v>
      </c>
      <c r="AC23">
        <f t="shared" si="17"/>
        <v>1.7084745279749618</v>
      </c>
      <c r="AD23">
        <f t="shared" si="18"/>
        <v>-371.48485180691154</v>
      </c>
      <c r="AE23">
        <f t="shared" si="19"/>
        <v>-108.16030383438726</v>
      </c>
      <c r="AF23">
        <f t="shared" si="20"/>
        <v>-10.335694225209238</v>
      </c>
      <c r="AG23">
        <f t="shared" si="21"/>
        <v>-136.63201597738663</v>
      </c>
      <c r="AH23">
        <v>-4.1292727551916902E-2</v>
      </c>
      <c r="AI23">
        <v>4.6354704118640198E-2</v>
      </c>
      <c r="AJ23">
        <v>3.4624547573883602</v>
      </c>
      <c r="AK23">
        <v>0</v>
      </c>
      <c r="AL23">
        <v>0</v>
      </c>
      <c r="AM23">
        <f t="shared" si="22"/>
        <v>1</v>
      </c>
      <c r="AN23">
        <f t="shared" si="23"/>
        <v>0</v>
      </c>
      <c r="AO23">
        <f t="shared" si="24"/>
        <v>52770.312320122182</v>
      </c>
      <c r="AP23" t="s">
        <v>279</v>
      </c>
      <c r="AQ23">
        <v>585.08461538461495</v>
      </c>
      <c r="AR23">
        <v>3491.65</v>
      </c>
      <c r="AS23">
        <f t="shared" si="25"/>
        <v>2906.565384615385</v>
      </c>
      <c r="AT23">
        <f t="shared" si="26"/>
        <v>0.83243320052564973</v>
      </c>
      <c r="AU23">
        <v>-24.085636743186001</v>
      </c>
      <c r="AV23" t="s">
        <v>315</v>
      </c>
      <c r="AW23">
        <v>745.21349999999995</v>
      </c>
      <c r="AX23">
        <v>859.17600000000004</v>
      </c>
      <c r="AY23">
        <f t="shared" si="27"/>
        <v>0.13264162406771152</v>
      </c>
      <c r="AZ23">
        <v>0.5</v>
      </c>
      <c r="BA23">
        <f t="shared" si="28"/>
        <v>1849.2301548656851</v>
      </c>
      <c r="BB23">
        <f t="shared" si="29"/>
        <v>-3.1767045933016793</v>
      </c>
      <c r="BC23">
        <f t="shared" si="30"/>
        <v>122.64244550818508</v>
      </c>
      <c r="BD23">
        <f t="shared" si="31"/>
        <v>0.32865908731156374</v>
      </c>
      <c r="BE23">
        <f t="shared" si="32"/>
        <v>1.1306830626176436E-2</v>
      </c>
      <c r="BF23">
        <f t="shared" si="33"/>
        <v>3.0639519725876885</v>
      </c>
      <c r="BG23" t="s">
        <v>316</v>
      </c>
      <c r="BH23">
        <v>576.79999999999995</v>
      </c>
      <c r="BI23">
        <f t="shared" si="34"/>
        <v>282.37600000000009</v>
      </c>
      <c r="BJ23">
        <f t="shared" si="35"/>
        <v>0.40358422812137029</v>
      </c>
      <c r="BK23">
        <f t="shared" si="36"/>
        <v>0.90312503216288997</v>
      </c>
      <c r="BL23">
        <f t="shared" si="37"/>
        <v>0.41578286074156023</v>
      </c>
      <c r="BM23">
        <f t="shared" si="38"/>
        <v>0.90569921940646303</v>
      </c>
      <c r="BN23">
        <f t="shared" si="39"/>
        <v>2200.0516129032299</v>
      </c>
      <c r="BO23">
        <f t="shared" si="40"/>
        <v>1849.2301548656851</v>
      </c>
      <c r="BP23">
        <f t="shared" si="41"/>
        <v>0.8405394419021861</v>
      </c>
      <c r="BQ23">
        <f t="shared" si="42"/>
        <v>0.19107888380437218</v>
      </c>
      <c r="BR23">
        <v>1561651857.5999999</v>
      </c>
      <c r="BS23">
        <v>16.1607290322581</v>
      </c>
      <c r="BT23">
        <v>12.5121387096774</v>
      </c>
      <c r="BU23">
        <v>19.271877419354801</v>
      </c>
      <c r="BV23">
        <v>9.3585141935483893</v>
      </c>
      <c r="BW23">
        <v>500.01309677419403</v>
      </c>
      <c r="BX23">
        <v>99.726977419354895</v>
      </c>
      <c r="BY23">
        <v>9.9996780645161307E-2</v>
      </c>
      <c r="BZ23">
        <v>26.361238709677401</v>
      </c>
      <c r="CA23">
        <v>27.251300000000001</v>
      </c>
      <c r="CB23">
        <v>999.9</v>
      </c>
      <c r="CC23">
        <v>9985.2038709677399</v>
      </c>
      <c r="CD23">
        <v>0</v>
      </c>
      <c r="CE23">
        <v>186.17564516128999</v>
      </c>
      <c r="CF23">
        <v>2200.0516129032299</v>
      </c>
      <c r="CG23">
        <v>0.982002451612904</v>
      </c>
      <c r="CH23">
        <v>1.7997835483870999E-2</v>
      </c>
      <c r="CI23">
        <v>0</v>
      </c>
      <c r="CJ23">
        <v>745.21929032258004</v>
      </c>
      <c r="CK23">
        <v>1.9999499999999999</v>
      </c>
      <c r="CL23">
        <v>16910.732258064501</v>
      </c>
      <c r="CM23">
        <v>17938.677419354801</v>
      </c>
      <c r="CN23">
        <v>47.2679677419355</v>
      </c>
      <c r="CO23">
        <v>48.130709677419297</v>
      </c>
      <c r="CP23">
        <v>47.4090967741936</v>
      </c>
      <c r="CQ23">
        <v>47.054161290322597</v>
      </c>
      <c r="CR23">
        <v>48.346580645161303</v>
      </c>
      <c r="CS23">
        <v>2158.4916129032299</v>
      </c>
      <c r="CT23">
        <v>39.56</v>
      </c>
      <c r="CU23">
        <v>0</v>
      </c>
      <c r="CV23">
        <v>120.60000014305101</v>
      </c>
      <c r="CW23">
        <v>745.21349999999995</v>
      </c>
      <c r="CX23">
        <v>5.0693675029237104</v>
      </c>
      <c r="CY23">
        <v>68.027350466508395</v>
      </c>
      <c r="CZ23">
        <v>16911.099999999999</v>
      </c>
      <c r="DA23">
        <v>15</v>
      </c>
      <c r="DB23">
        <v>1561651821.5999999</v>
      </c>
      <c r="DC23" t="s">
        <v>317</v>
      </c>
      <c r="DD23">
        <v>41</v>
      </c>
      <c r="DE23">
        <v>0.249</v>
      </c>
      <c r="DF23">
        <v>4.2999999999999997E-2</v>
      </c>
      <c r="DG23">
        <v>13</v>
      </c>
      <c r="DH23">
        <v>10</v>
      </c>
      <c r="DI23">
        <v>0.22</v>
      </c>
      <c r="DJ23">
        <v>0.02</v>
      </c>
      <c r="DK23">
        <v>-3.17247437870784</v>
      </c>
      <c r="DL23">
        <v>-0.23289890147352599</v>
      </c>
      <c r="DM23">
        <v>0.212569165181103</v>
      </c>
      <c r="DN23">
        <v>1</v>
      </c>
      <c r="DO23">
        <v>16.219746575342501</v>
      </c>
      <c r="DP23">
        <v>-0.269773787486144</v>
      </c>
      <c r="DQ23">
        <v>5.8727826085807698E-2</v>
      </c>
      <c r="DR23">
        <v>1</v>
      </c>
      <c r="DS23">
        <v>0.52367779429655104</v>
      </c>
      <c r="DT23">
        <v>0.15068320460020199</v>
      </c>
      <c r="DU23">
        <v>6.0733189193570201E-2</v>
      </c>
      <c r="DV23">
        <v>1</v>
      </c>
      <c r="DW23">
        <v>3</v>
      </c>
      <c r="DX23">
        <v>3</v>
      </c>
      <c r="DY23" t="s">
        <v>283</v>
      </c>
      <c r="DZ23">
        <v>1.86734</v>
      </c>
      <c r="EA23">
        <v>1.8637999999999999</v>
      </c>
      <c r="EB23">
        <v>1.8694900000000001</v>
      </c>
      <c r="EC23">
        <v>1.86737</v>
      </c>
      <c r="ED23">
        <v>1.8721000000000001</v>
      </c>
      <c r="EE23">
        <v>1.8645799999999999</v>
      </c>
      <c r="EF23">
        <v>1.8660300000000001</v>
      </c>
      <c r="EG23">
        <v>1.86602</v>
      </c>
      <c r="EH23" t="s">
        <v>284</v>
      </c>
      <c r="EI23" t="s">
        <v>19</v>
      </c>
      <c r="EJ23" t="s">
        <v>19</v>
      </c>
      <c r="EK23" t="s">
        <v>19</v>
      </c>
      <c r="EL23" t="s">
        <v>285</v>
      </c>
      <c r="EM23" t="s">
        <v>286</v>
      </c>
      <c r="EN23" t="s">
        <v>287</v>
      </c>
      <c r="EO23" t="s">
        <v>287</v>
      </c>
      <c r="EP23" t="s">
        <v>287</v>
      </c>
      <c r="EQ23" t="s">
        <v>287</v>
      </c>
      <c r="ER23">
        <v>0</v>
      </c>
      <c r="ES23">
        <v>100</v>
      </c>
      <c r="ET23">
        <v>100</v>
      </c>
      <c r="EU23">
        <v>0.249</v>
      </c>
      <c r="EV23">
        <v>4.2999999999999997E-2</v>
      </c>
      <c r="EW23">
        <v>2</v>
      </c>
      <c r="EX23">
        <v>510.70600000000002</v>
      </c>
      <c r="EY23">
        <v>487.37299999999999</v>
      </c>
      <c r="EZ23">
        <v>18.919499999999999</v>
      </c>
      <c r="FA23">
        <v>38.294499999999999</v>
      </c>
      <c r="FB23">
        <v>29.997800000000002</v>
      </c>
      <c r="FC23">
        <v>38.285499999999999</v>
      </c>
      <c r="FD23">
        <v>38.226500000000001</v>
      </c>
      <c r="FE23">
        <v>3.5320499999999999</v>
      </c>
      <c r="FF23">
        <v>75.468699999999998</v>
      </c>
      <c r="FG23">
        <v>0</v>
      </c>
      <c r="FH23">
        <v>17.415199999999999</v>
      </c>
      <c r="FI23">
        <v>12.5</v>
      </c>
      <c r="FJ23">
        <v>9.2276000000000007</v>
      </c>
      <c r="FK23">
        <v>99.972999999999999</v>
      </c>
      <c r="FL23">
        <v>100.154</v>
      </c>
    </row>
    <row r="24" spans="1:168" x14ac:dyDescent="0.25">
      <c r="A24">
        <v>9</v>
      </c>
      <c r="B24">
        <v>1561652146.5999999</v>
      </c>
      <c r="C24">
        <v>1810.6999998092699</v>
      </c>
      <c r="D24" t="s">
        <v>318</v>
      </c>
      <c r="E24" t="s">
        <v>319</v>
      </c>
      <c r="F24" t="s">
        <v>277</v>
      </c>
      <c r="G24" t="s">
        <v>278</v>
      </c>
      <c r="H24" t="s">
        <v>277</v>
      </c>
      <c r="J24" t="s">
        <v>277</v>
      </c>
      <c r="K24">
        <v>1561652138.5999999</v>
      </c>
      <c r="L24">
        <f t="shared" si="0"/>
        <v>8.8185235310076545E-3</v>
      </c>
      <c r="M24">
        <f t="shared" si="1"/>
        <v>29.986721674983993</v>
      </c>
      <c r="N24">
        <f t="shared" si="2"/>
        <v>360.218419354839</v>
      </c>
      <c r="O24">
        <f t="shared" si="3"/>
        <v>261.06432261194175</v>
      </c>
      <c r="P24">
        <f t="shared" si="4"/>
        <v>26.061944399456465</v>
      </c>
      <c r="Q24">
        <f t="shared" si="5"/>
        <v>35.960457265700988</v>
      </c>
      <c r="R24">
        <f t="shared" si="6"/>
        <v>0.59354163346144295</v>
      </c>
      <c r="S24">
        <f t="shared" si="7"/>
        <v>2.257151572928942</v>
      </c>
      <c r="T24">
        <f t="shared" si="8"/>
        <v>0.51857604813661606</v>
      </c>
      <c r="U24">
        <f t="shared" si="9"/>
        <v>0.33005312931812658</v>
      </c>
      <c r="V24">
        <f t="shared" si="10"/>
        <v>353.34347958606645</v>
      </c>
      <c r="W24">
        <f t="shared" si="11"/>
        <v>26.138134445485285</v>
      </c>
      <c r="X24">
        <f t="shared" si="12"/>
        <v>26.950767741935501</v>
      </c>
      <c r="Y24">
        <f t="shared" si="13"/>
        <v>3.5688234885697465</v>
      </c>
      <c r="Z24">
        <f t="shared" si="14"/>
        <v>55.493816050824229</v>
      </c>
      <c r="AA24">
        <f t="shared" si="15"/>
        <v>1.9178459054333783</v>
      </c>
      <c r="AB24">
        <f t="shared" si="16"/>
        <v>3.4559632800831563</v>
      </c>
      <c r="AC24">
        <f t="shared" si="17"/>
        <v>1.6509775831363682</v>
      </c>
      <c r="AD24">
        <f t="shared" si="18"/>
        <v>-388.89688771743755</v>
      </c>
      <c r="AE24">
        <f t="shared" si="19"/>
        <v>-66.419815629859229</v>
      </c>
      <c r="AF24">
        <f t="shared" si="20"/>
        <v>-6.3301276899647645</v>
      </c>
      <c r="AG24">
        <f t="shared" si="21"/>
        <v>-108.30335145119507</v>
      </c>
      <c r="AH24">
        <v>-4.1376555439704997E-2</v>
      </c>
      <c r="AI24">
        <v>4.6448808266408598E-2</v>
      </c>
      <c r="AJ24">
        <v>3.46801471915987</v>
      </c>
      <c r="AK24">
        <v>0</v>
      </c>
      <c r="AL24">
        <v>0</v>
      </c>
      <c r="AM24">
        <f t="shared" si="22"/>
        <v>1</v>
      </c>
      <c r="AN24">
        <f t="shared" si="23"/>
        <v>0</v>
      </c>
      <c r="AO24">
        <f t="shared" si="24"/>
        <v>52865.408031335137</v>
      </c>
      <c r="AP24" t="s">
        <v>279</v>
      </c>
      <c r="AQ24">
        <v>585.08461538461495</v>
      </c>
      <c r="AR24">
        <v>3491.65</v>
      </c>
      <c r="AS24">
        <f t="shared" si="25"/>
        <v>2906.565384615385</v>
      </c>
      <c r="AT24">
        <f t="shared" si="26"/>
        <v>0.83243320052564973</v>
      </c>
      <c r="AU24">
        <v>-24.085636743186001</v>
      </c>
      <c r="AV24" t="s">
        <v>320</v>
      </c>
      <c r="AW24">
        <v>768.24238461538505</v>
      </c>
      <c r="AX24">
        <v>1043.79</v>
      </c>
      <c r="AY24">
        <f t="shared" si="27"/>
        <v>0.2639875984485528</v>
      </c>
      <c r="AZ24">
        <v>0.5</v>
      </c>
      <c r="BA24">
        <f t="shared" si="28"/>
        <v>1849.2019742205218</v>
      </c>
      <c r="BB24">
        <f t="shared" si="29"/>
        <v>29.986721674983993</v>
      </c>
      <c r="BC24">
        <f t="shared" si="30"/>
        <v>244.08319411039909</v>
      </c>
      <c r="BD24">
        <f t="shared" si="31"/>
        <v>0.48380421349121955</v>
      </c>
      <c r="BE24">
        <f t="shared" si="32"/>
        <v>2.9240915363484107E-2</v>
      </c>
      <c r="BF24">
        <f t="shared" si="33"/>
        <v>2.3451652152252849</v>
      </c>
      <c r="BG24" t="s">
        <v>321</v>
      </c>
      <c r="BH24">
        <v>538.79999999999995</v>
      </c>
      <c r="BI24">
        <f t="shared" si="34"/>
        <v>504.99</v>
      </c>
      <c r="BJ24">
        <f t="shared" si="35"/>
        <v>0.54564964728928278</v>
      </c>
      <c r="BK24">
        <f t="shared" si="36"/>
        <v>0.82898216976818995</v>
      </c>
      <c r="BL24">
        <f t="shared" si="37"/>
        <v>0.60070717420432262</v>
      </c>
      <c r="BM24">
        <f t="shared" si="38"/>
        <v>0.84218301537500639</v>
      </c>
      <c r="BN24">
        <f t="shared" si="39"/>
        <v>2200.0180645161299</v>
      </c>
      <c r="BO24">
        <f t="shared" si="40"/>
        <v>1849.2019742205218</v>
      </c>
      <c r="BP24">
        <f t="shared" si="41"/>
        <v>0.8405394501282123</v>
      </c>
      <c r="BQ24">
        <f t="shared" si="42"/>
        <v>0.19107890025642454</v>
      </c>
      <c r="BR24">
        <v>1561652138.5999999</v>
      </c>
      <c r="BS24">
        <v>360.218419354839</v>
      </c>
      <c r="BT24">
        <v>400.01219354838702</v>
      </c>
      <c r="BU24">
        <v>19.211196774193599</v>
      </c>
      <c r="BV24">
        <v>8.8328409677419408</v>
      </c>
      <c r="BW24">
        <v>500.02770967741901</v>
      </c>
      <c r="BX24">
        <v>99.729574193548402</v>
      </c>
      <c r="BY24">
        <v>0.100016225806452</v>
      </c>
      <c r="BZ24">
        <v>26.4049451612903</v>
      </c>
      <c r="CA24">
        <v>26.950767741935501</v>
      </c>
      <c r="CB24">
        <v>999.9</v>
      </c>
      <c r="CC24">
        <v>10005.2141935484</v>
      </c>
      <c r="CD24">
        <v>0</v>
      </c>
      <c r="CE24">
        <v>808.74490322580698</v>
      </c>
      <c r="CF24">
        <v>2200.0180645161299</v>
      </c>
      <c r="CG24">
        <v>0.98200296774193596</v>
      </c>
      <c r="CH24">
        <v>1.7997190322580601E-2</v>
      </c>
      <c r="CI24">
        <v>0</v>
      </c>
      <c r="CJ24">
        <v>768.11719354838704</v>
      </c>
      <c r="CK24">
        <v>1.9999499999999999</v>
      </c>
      <c r="CL24">
        <v>17465.496774193602</v>
      </c>
      <c r="CM24">
        <v>17938.403225806502</v>
      </c>
      <c r="CN24">
        <v>47.217483870967698</v>
      </c>
      <c r="CO24">
        <v>47.378935483870997</v>
      </c>
      <c r="CP24">
        <v>47.225612903225802</v>
      </c>
      <c r="CQ24">
        <v>46.674999999999997</v>
      </c>
      <c r="CR24">
        <v>48.348580645161299</v>
      </c>
      <c r="CS24">
        <v>2158.45806451613</v>
      </c>
      <c r="CT24">
        <v>39.56</v>
      </c>
      <c r="CU24">
        <v>0</v>
      </c>
      <c r="CV24">
        <v>139.90000009536701</v>
      </c>
      <c r="CW24">
        <v>768.24238461538505</v>
      </c>
      <c r="CX24">
        <v>10.609777806677201</v>
      </c>
      <c r="CY24">
        <v>333.189743531901</v>
      </c>
      <c r="CZ24">
        <v>17467.523076923098</v>
      </c>
      <c r="DA24">
        <v>15</v>
      </c>
      <c r="DB24">
        <v>1561652080.5999999</v>
      </c>
      <c r="DC24" t="s">
        <v>322</v>
      </c>
      <c r="DD24">
        <v>43</v>
      </c>
      <c r="DE24">
        <v>0.53800000000000003</v>
      </c>
      <c r="DF24">
        <v>2.9000000000000001E-2</v>
      </c>
      <c r="DG24">
        <v>400</v>
      </c>
      <c r="DH24">
        <v>9</v>
      </c>
      <c r="DI24">
        <v>0.04</v>
      </c>
      <c r="DJ24">
        <v>0.01</v>
      </c>
      <c r="DK24">
        <v>29.7811027462567</v>
      </c>
      <c r="DL24">
        <v>0.985935558703675</v>
      </c>
      <c r="DM24">
        <v>0.192250070160738</v>
      </c>
      <c r="DN24">
        <v>0</v>
      </c>
      <c r="DO24">
        <v>360.44202739726001</v>
      </c>
      <c r="DP24">
        <v>-1.21814513143283</v>
      </c>
      <c r="DQ24">
        <v>0.21551658059106099</v>
      </c>
      <c r="DR24">
        <v>1</v>
      </c>
      <c r="DS24">
        <v>0.58983676232519799</v>
      </c>
      <c r="DT24">
        <v>1.6588367437607599E-2</v>
      </c>
      <c r="DU24">
        <v>3.5028588324019301E-3</v>
      </c>
      <c r="DV24">
        <v>1</v>
      </c>
      <c r="DW24">
        <v>2</v>
      </c>
      <c r="DX24">
        <v>3</v>
      </c>
      <c r="DY24" t="s">
        <v>323</v>
      </c>
      <c r="DZ24">
        <v>1.8673200000000001</v>
      </c>
      <c r="EA24">
        <v>1.8638300000000001</v>
      </c>
      <c r="EB24">
        <v>1.8694999999999999</v>
      </c>
      <c r="EC24">
        <v>1.86737</v>
      </c>
      <c r="ED24">
        <v>1.8721000000000001</v>
      </c>
      <c r="EE24">
        <v>1.8645099999999999</v>
      </c>
      <c r="EF24">
        <v>1.8660000000000001</v>
      </c>
      <c r="EG24">
        <v>1.8660000000000001</v>
      </c>
      <c r="EH24" t="s">
        <v>284</v>
      </c>
      <c r="EI24" t="s">
        <v>19</v>
      </c>
      <c r="EJ24" t="s">
        <v>19</v>
      </c>
      <c r="EK24" t="s">
        <v>19</v>
      </c>
      <c r="EL24" t="s">
        <v>285</v>
      </c>
      <c r="EM24" t="s">
        <v>286</v>
      </c>
      <c r="EN24" t="s">
        <v>287</v>
      </c>
      <c r="EO24" t="s">
        <v>287</v>
      </c>
      <c r="EP24" t="s">
        <v>287</v>
      </c>
      <c r="EQ24" t="s">
        <v>287</v>
      </c>
      <c r="ER24">
        <v>0</v>
      </c>
      <c r="ES24">
        <v>100</v>
      </c>
      <c r="ET24">
        <v>100</v>
      </c>
      <c r="EU24">
        <v>0.53800000000000003</v>
      </c>
      <c r="EV24">
        <v>2.9000000000000001E-2</v>
      </c>
      <c r="EW24">
        <v>2</v>
      </c>
      <c r="EX24">
        <v>511.95</v>
      </c>
      <c r="EY24">
        <v>490.61900000000003</v>
      </c>
      <c r="EZ24">
        <v>20.327200000000001</v>
      </c>
      <c r="FA24">
        <v>36.8187</v>
      </c>
      <c r="FB24">
        <v>29.9985</v>
      </c>
      <c r="FC24">
        <v>37.034999999999997</v>
      </c>
      <c r="FD24">
        <v>37.019599999999997</v>
      </c>
      <c r="FE24">
        <v>21.522099999999998</v>
      </c>
      <c r="FF24">
        <v>76.744799999999998</v>
      </c>
      <c r="FG24">
        <v>0</v>
      </c>
      <c r="FH24">
        <v>20.310099999999998</v>
      </c>
      <c r="FI24">
        <v>400</v>
      </c>
      <c r="FJ24">
        <v>8.6949799999999993</v>
      </c>
      <c r="FK24">
        <v>100.22799999999999</v>
      </c>
      <c r="FL24">
        <v>100.467</v>
      </c>
    </row>
    <row r="25" spans="1:168" x14ac:dyDescent="0.25">
      <c r="A25">
        <v>10</v>
      </c>
      <c r="B25">
        <v>1561652286.0999999</v>
      </c>
      <c r="C25">
        <v>1950.1999998092699</v>
      </c>
      <c r="D25" t="s">
        <v>324</v>
      </c>
      <c r="E25" t="s">
        <v>325</v>
      </c>
      <c r="F25" t="s">
        <v>277</v>
      </c>
      <c r="G25" t="s">
        <v>278</v>
      </c>
      <c r="H25" t="s">
        <v>277</v>
      </c>
      <c r="J25" t="s">
        <v>277</v>
      </c>
      <c r="K25">
        <v>1561652278.0999999</v>
      </c>
      <c r="L25">
        <f t="shared" si="0"/>
        <v>9.0936216956331115E-3</v>
      </c>
      <c r="M25">
        <f t="shared" si="1"/>
        <v>35.922194479232246</v>
      </c>
      <c r="N25">
        <f t="shared" si="2"/>
        <v>451.96738709677402</v>
      </c>
      <c r="O25">
        <f t="shared" si="3"/>
        <v>336.41457387758754</v>
      </c>
      <c r="P25">
        <f t="shared" si="4"/>
        <v>33.587235877334855</v>
      </c>
      <c r="Q25">
        <f t="shared" si="5"/>
        <v>45.123893011857994</v>
      </c>
      <c r="R25">
        <f t="shared" si="6"/>
        <v>0.61758376880321408</v>
      </c>
      <c r="S25">
        <f t="shared" si="7"/>
        <v>2.256325122955765</v>
      </c>
      <c r="T25">
        <f t="shared" si="8"/>
        <v>0.53683650606232458</v>
      </c>
      <c r="U25">
        <f t="shared" si="9"/>
        <v>0.34189403988524975</v>
      </c>
      <c r="V25">
        <f t="shared" si="10"/>
        <v>353.33956682614263</v>
      </c>
      <c r="W25">
        <f t="shared" si="11"/>
        <v>26.137299181856005</v>
      </c>
      <c r="X25">
        <f t="shared" si="12"/>
        <v>26.981854838709701</v>
      </c>
      <c r="Y25">
        <f t="shared" si="13"/>
        <v>3.575347119399618</v>
      </c>
      <c r="Z25">
        <f t="shared" si="14"/>
        <v>55.571381530521926</v>
      </c>
      <c r="AA25">
        <f t="shared" si="15"/>
        <v>1.930784653217025</v>
      </c>
      <c r="AB25">
        <f t="shared" si="16"/>
        <v>3.4744226255317487</v>
      </c>
      <c r="AC25">
        <f t="shared" si="17"/>
        <v>1.6445624661825931</v>
      </c>
      <c r="AD25">
        <f t="shared" si="18"/>
        <v>-401.02871677742024</v>
      </c>
      <c r="AE25">
        <f t="shared" si="19"/>
        <v>-59.189129433365316</v>
      </c>
      <c r="AF25">
        <f t="shared" si="20"/>
        <v>-5.6465039522741307</v>
      </c>
      <c r="AG25">
        <f t="shared" si="21"/>
        <v>-112.52478333691707</v>
      </c>
      <c r="AH25">
        <v>-4.13542457197663E-2</v>
      </c>
      <c r="AI25">
        <v>4.6423763651338601E-2</v>
      </c>
      <c r="AJ25">
        <v>3.4665353869593201</v>
      </c>
      <c r="AK25">
        <v>0</v>
      </c>
      <c r="AL25">
        <v>0</v>
      </c>
      <c r="AM25">
        <f t="shared" si="22"/>
        <v>1</v>
      </c>
      <c r="AN25">
        <f t="shared" si="23"/>
        <v>0</v>
      </c>
      <c r="AO25">
        <f t="shared" si="24"/>
        <v>52822.334574548644</v>
      </c>
      <c r="AP25" t="s">
        <v>279</v>
      </c>
      <c r="AQ25">
        <v>585.08461538461495</v>
      </c>
      <c r="AR25">
        <v>3491.65</v>
      </c>
      <c r="AS25">
        <f t="shared" si="25"/>
        <v>2906.565384615385</v>
      </c>
      <c r="AT25">
        <f t="shared" si="26"/>
        <v>0.83243320052564973</v>
      </c>
      <c r="AU25">
        <v>-24.085636743186001</v>
      </c>
      <c r="AV25" t="s">
        <v>326</v>
      </c>
      <c r="AW25">
        <v>803.67273076923095</v>
      </c>
      <c r="AX25">
        <v>1098.8800000000001</v>
      </c>
      <c r="AY25">
        <f t="shared" si="27"/>
        <v>0.26864377296044073</v>
      </c>
      <c r="AZ25">
        <v>0.5</v>
      </c>
      <c r="BA25">
        <f t="shared" si="28"/>
        <v>1849.1813806721368</v>
      </c>
      <c r="BB25">
        <f t="shared" si="29"/>
        <v>35.922194479232246</v>
      </c>
      <c r="BC25">
        <f t="shared" si="30"/>
        <v>248.38553149597993</v>
      </c>
      <c r="BD25">
        <f t="shared" si="31"/>
        <v>0.50149242865463028</v>
      </c>
      <c r="BE25">
        <f t="shared" si="32"/>
        <v>3.2451025004700575E-2</v>
      </c>
      <c r="BF25">
        <f t="shared" si="33"/>
        <v>2.1774625072801395</v>
      </c>
      <c r="BG25" t="s">
        <v>327</v>
      </c>
      <c r="BH25">
        <v>547.79999999999995</v>
      </c>
      <c r="BI25">
        <f t="shared" si="34"/>
        <v>551.08000000000015</v>
      </c>
      <c r="BJ25">
        <f t="shared" si="35"/>
        <v>0.53568859191182605</v>
      </c>
      <c r="BK25">
        <f t="shared" si="36"/>
        <v>0.81280296210744418</v>
      </c>
      <c r="BL25">
        <f t="shared" si="37"/>
        <v>0.57456193276581147</v>
      </c>
      <c r="BM25">
        <f t="shared" si="38"/>
        <v>0.82322937328885393</v>
      </c>
      <c r="BN25">
        <f t="shared" si="39"/>
        <v>2199.9935483871</v>
      </c>
      <c r="BO25">
        <f t="shared" si="40"/>
        <v>1849.1813806721368</v>
      </c>
      <c r="BP25">
        <f t="shared" si="41"/>
        <v>0.84053945613969772</v>
      </c>
      <c r="BQ25">
        <f t="shared" si="42"/>
        <v>0.19107891227939547</v>
      </c>
      <c r="BR25">
        <v>1561652278.0999999</v>
      </c>
      <c r="BS25">
        <v>451.96738709677402</v>
      </c>
      <c r="BT25">
        <v>500.00493548387101</v>
      </c>
      <c r="BU25">
        <v>19.339016129032299</v>
      </c>
      <c r="BV25">
        <v>8.6379512903225795</v>
      </c>
      <c r="BW25">
        <v>500.01154838709698</v>
      </c>
      <c r="BX25">
        <v>99.7388451612903</v>
      </c>
      <c r="BY25">
        <v>9.9980161290322597E-2</v>
      </c>
      <c r="BZ25">
        <v>26.495274193548401</v>
      </c>
      <c r="CA25">
        <v>26.981854838709701</v>
      </c>
      <c r="CB25">
        <v>999.9</v>
      </c>
      <c r="CC25">
        <v>9998.89</v>
      </c>
      <c r="CD25">
        <v>0</v>
      </c>
      <c r="CE25">
        <v>194.613612903226</v>
      </c>
      <c r="CF25">
        <v>2199.9935483871</v>
      </c>
      <c r="CG25">
        <v>0.98200225806451602</v>
      </c>
      <c r="CH25">
        <v>1.7998077419354799E-2</v>
      </c>
      <c r="CI25">
        <v>0</v>
      </c>
      <c r="CJ25">
        <v>803.62922580645204</v>
      </c>
      <c r="CK25">
        <v>1.9999499999999999</v>
      </c>
      <c r="CL25">
        <v>18266.9806451613</v>
      </c>
      <c r="CM25">
        <v>17938.212903225802</v>
      </c>
      <c r="CN25">
        <v>47.168999999999997</v>
      </c>
      <c r="CO25">
        <v>47.481709677419403</v>
      </c>
      <c r="CP25">
        <v>47.235709677419401</v>
      </c>
      <c r="CQ25">
        <v>46.723516129032198</v>
      </c>
      <c r="CR25">
        <v>48.292064516129003</v>
      </c>
      <c r="CS25">
        <v>2158.4335483871</v>
      </c>
      <c r="CT25">
        <v>39.56</v>
      </c>
      <c r="CU25">
        <v>0</v>
      </c>
      <c r="CV25">
        <v>138.59999990463299</v>
      </c>
      <c r="CW25">
        <v>803.67273076923095</v>
      </c>
      <c r="CX25">
        <v>0.45350428944109</v>
      </c>
      <c r="CY25">
        <v>20.656410258671901</v>
      </c>
      <c r="CZ25">
        <v>18267.2076923077</v>
      </c>
      <c r="DA25">
        <v>15</v>
      </c>
      <c r="DB25">
        <v>1561652240.0999999</v>
      </c>
      <c r="DC25" t="s">
        <v>328</v>
      </c>
      <c r="DD25">
        <v>44</v>
      </c>
      <c r="DE25">
        <v>0.69499999999999995</v>
      </c>
      <c r="DF25">
        <v>2.7E-2</v>
      </c>
      <c r="DG25">
        <v>500</v>
      </c>
      <c r="DH25">
        <v>9</v>
      </c>
      <c r="DI25">
        <v>0.04</v>
      </c>
      <c r="DJ25">
        <v>0.01</v>
      </c>
      <c r="DK25">
        <v>35.908325957919097</v>
      </c>
      <c r="DL25">
        <v>2.9628573487922801E-2</v>
      </c>
      <c r="DM25">
        <v>0.259722292887555</v>
      </c>
      <c r="DN25">
        <v>1</v>
      </c>
      <c r="DO25">
        <v>452.04235616438399</v>
      </c>
      <c r="DP25">
        <v>-0.30086264346532199</v>
      </c>
      <c r="DQ25">
        <v>8.1209920755556095E-2</v>
      </c>
      <c r="DR25">
        <v>1</v>
      </c>
      <c r="DS25">
        <v>0.61056718940715105</v>
      </c>
      <c r="DT25">
        <v>5.4710966336457202E-2</v>
      </c>
      <c r="DU25">
        <v>1.5940881524426E-2</v>
      </c>
      <c r="DV25">
        <v>1</v>
      </c>
      <c r="DW25">
        <v>3</v>
      </c>
      <c r="DX25">
        <v>3</v>
      </c>
      <c r="DY25" t="s">
        <v>283</v>
      </c>
      <c r="DZ25">
        <v>1.8673200000000001</v>
      </c>
      <c r="EA25">
        <v>1.8637900000000001</v>
      </c>
      <c r="EB25">
        <v>1.8694900000000001</v>
      </c>
      <c r="EC25">
        <v>1.86738</v>
      </c>
      <c r="ED25">
        <v>1.8721000000000001</v>
      </c>
      <c r="EE25">
        <v>1.8645400000000001</v>
      </c>
      <c r="EF25">
        <v>1.8660000000000001</v>
      </c>
      <c r="EG25">
        <v>1.8660000000000001</v>
      </c>
      <c r="EH25" t="s">
        <v>284</v>
      </c>
      <c r="EI25" t="s">
        <v>19</v>
      </c>
      <c r="EJ25" t="s">
        <v>19</v>
      </c>
      <c r="EK25" t="s">
        <v>19</v>
      </c>
      <c r="EL25" t="s">
        <v>285</v>
      </c>
      <c r="EM25" t="s">
        <v>286</v>
      </c>
      <c r="EN25" t="s">
        <v>287</v>
      </c>
      <c r="EO25" t="s">
        <v>287</v>
      </c>
      <c r="EP25" t="s">
        <v>287</v>
      </c>
      <c r="EQ25" t="s">
        <v>287</v>
      </c>
      <c r="ER25">
        <v>0</v>
      </c>
      <c r="ES25">
        <v>100</v>
      </c>
      <c r="ET25">
        <v>100</v>
      </c>
      <c r="EU25">
        <v>0.69499999999999995</v>
      </c>
      <c r="EV25">
        <v>2.7E-2</v>
      </c>
      <c r="EW25">
        <v>2</v>
      </c>
      <c r="EX25">
        <v>511.64299999999997</v>
      </c>
      <c r="EY25">
        <v>490.14800000000002</v>
      </c>
      <c r="EZ25">
        <v>20.351299999999998</v>
      </c>
      <c r="FA25">
        <v>36.275399999999998</v>
      </c>
      <c r="FB25">
        <v>29.996500000000001</v>
      </c>
      <c r="FC25">
        <v>36.500799999999998</v>
      </c>
      <c r="FD25">
        <v>36.494700000000002</v>
      </c>
      <c r="FE25">
        <v>25.758199999999999</v>
      </c>
      <c r="FF25">
        <v>77.613600000000005</v>
      </c>
      <c r="FG25">
        <v>0</v>
      </c>
      <c r="FH25">
        <v>20.345099999999999</v>
      </c>
      <c r="FI25">
        <v>500</v>
      </c>
      <c r="FJ25">
        <v>8.3796400000000002</v>
      </c>
      <c r="FK25">
        <v>100.324</v>
      </c>
      <c r="FL25">
        <v>100.575</v>
      </c>
    </row>
    <row r="26" spans="1:168" x14ac:dyDescent="0.25">
      <c r="A26">
        <v>11</v>
      </c>
      <c r="B26">
        <v>1561652426.5999999</v>
      </c>
      <c r="C26">
        <v>2090.6999998092701</v>
      </c>
      <c r="D26" t="s">
        <v>329</v>
      </c>
      <c r="E26" t="s">
        <v>330</v>
      </c>
      <c r="F26" t="s">
        <v>277</v>
      </c>
      <c r="G26" t="s">
        <v>278</v>
      </c>
      <c r="H26" t="s">
        <v>277</v>
      </c>
      <c r="J26" t="s">
        <v>277</v>
      </c>
      <c r="K26">
        <v>1561652418.5999999</v>
      </c>
      <c r="L26">
        <f t="shared" si="0"/>
        <v>9.1244319706082783E-3</v>
      </c>
      <c r="M26">
        <f t="shared" si="1"/>
        <v>38.845913920886936</v>
      </c>
      <c r="N26">
        <f t="shared" si="2"/>
        <v>547.39648387096804</v>
      </c>
      <c r="O26">
        <f t="shared" si="3"/>
        <v>421.17765230311346</v>
      </c>
      <c r="P26">
        <f t="shared" si="4"/>
        <v>42.052432983013667</v>
      </c>
      <c r="Q26">
        <f t="shared" si="5"/>
        <v>54.65473732341956</v>
      </c>
      <c r="R26">
        <f t="shared" si="6"/>
        <v>0.61936789582450547</v>
      </c>
      <c r="S26">
        <f t="shared" si="7"/>
        <v>2.2566842149849347</v>
      </c>
      <c r="T26">
        <f t="shared" si="8"/>
        <v>0.53819719117867204</v>
      </c>
      <c r="U26">
        <f t="shared" si="9"/>
        <v>0.3427757791010258</v>
      </c>
      <c r="V26">
        <f t="shared" si="10"/>
        <v>353.34085391822299</v>
      </c>
      <c r="W26">
        <f t="shared" si="11"/>
        <v>26.156136905275211</v>
      </c>
      <c r="X26">
        <f t="shared" si="12"/>
        <v>26.969958064516099</v>
      </c>
      <c r="Y26">
        <f t="shared" si="13"/>
        <v>3.5728493514399831</v>
      </c>
      <c r="Z26">
        <f t="shared" si="14"/>
        <v>55.360038427543614</v>
      </c>
      <c r="AA26">
        <f t="shared" si="15"/>
        <v>1.9267285888517445</v>
      </c>
      <c r="AB26">
        <f t="shared" si="16"/>
        <v>3.4803599194994916</v>
      </c>
      <c r="AC26">
        <f t="shared" si="17"/>
        <v>1.6461207625882386</v>
      </c>
      <c r="AD26">
        <f t="shared" si="18"/>
        <v>-402.38744990382509</v>
      </c>
      <c r="AE26">
        <f t="shared" si="19"/>
        <v>-54.227268339149667</v>
      </c>
      <c r="AF26">
        <f t="shared" si="20"/>
        <v>-5.1727721334840533</v>
      </c>
      <c r="AG26">
        <f t="shared" si="21"/>
        <v>-108.44663645823582</v>
      </c>
      <c r="AH26">
        <v>-4.1363938364774498E-2</v>
      </c>
      <c r="AI26">
        <v>4.6434644494482702E-2</v>
      </c>
      <c r="AJ26">
        <v>3.4671781291499202</v>
      </c>
      <c r="AK26">
        <v>0</v>
      </c>
      <c r="AL26">
        <v>0</v>
      </c>
      <c r="AM26">
        <f t="shared" si="22"/>
        <v>1</v>
      </c>
      <c r="AN26">
        <f t="shared" si="23"/>
        <v>0</v>
      </c>
      <c r="AO26">
        <f t="shared" si="24"/>
        <v>52829.230170760027</v>
      </c>
      <c r="AP26" t="s">
        <v>279</v>
      </c>
      <c r="AQ26">
        <v>585.08461538461495</v>
      </c>
      <c r="AR26">
        <v>3491.65</v>
      </c>
      <c r="AS26">
        <f t="shared" si="25"/>
        <v>2906.565384615385</v>
      </c>
      <c r="AT26">
        <f t="shared" si="26"/>
        <v>0.83243320052564973</v>
      </c>
      <c r="AU26">
        <v>-24.085636743186001</v>
      </c>
      <c r="AV26" t="s">
        <v>331</v>
      </c>
      <c r="AW26">
        <v>803.82215384615404</v>
      </c>
      <c r="AX26">
        <v>1086.72</v>
      </c>
      <c r="AY26">
        <f t="shared" si="27"/>
        <v>0.26032266467337128</v>
      </c>
      <c r="AZ26">
        <v>0.5</v>
      </c>
      <c r="BA26">
        <f t="shared" si="28"/>
        <v>1849.1881548656859</v>
      </c>
      <c r="BB26">
        <f t="shared" si="29"/>
        <v>38.845913920886936</v>
      </c>
      <c r="BC26">
        <f t="shared" si="30"/>
        <v>240.69279397853506</v>
      </c>
      <c r="BD26">
        <f t="shared" si="31"/>
        <v>0.4999631919905772</v>
      </c>
      <c r="BE26">
        <f t="shared" si="32"/>
        <v>3.4031988847908187E-2</v>
      </c>
      <c r="BF26">
        <f t="shared" si="33"/>
        <v>2.2130171525323914</v>
      </c>
      <c r="BG26" t="s">
        <v>332</v>
      </c>
      <c r="BH26">
        <v>543.4</v>
      </c>
      <c r="BI26">
        <f t="shared" si="34"/>
        <v>543.32000000000005</v>
      </c>
      <c r="BJ26">
        <f t="shared" si="35"/>
        <v>0.52068366000486999</v>
      </c>
      <c r="BK26">
        <f t="shared" si="36"/>
        <v>0.81571440685152219</v>
      </c>
      <c r="BL26">
        <f t="shared" si="37"/>
        <v>0.56395113827695786</v>
      </c>
      <c r="BM26">
        <f t="shared" si="38"/>
        <v>0.82741300530496609</v>
      </c>
      <c r="BN26">
        <f t="shared" si="39"/>
        <v>2200.0016129032301</v>
      </c>
      <c r="BO26">
        <f t="shared" si="40"/>
        <v>1849.1881548656859</v>
      </c>
      <c r="BP26">
        <f t="shared" si="41"/>
        <v>0.84053945416222053</v>
      </c>
      <c r="BQ26">
        <f t="shared" si="42"/>
        <v>0.19107890832444122</v>
      </c>
      <c r="BR26">
        <v>1561652418.5999999</v>
      </c>
      <c r="BS26">
        <v>547.39648387096804</v>
      </c>
      <c r="BT26">
        <v>600.00235483870995</v>
      </c>
      <c r="BU26">
        <v>19.297219354838699</v>
      </c>
      <c r="BV26">
        <v>8.5597729032258005</v>
      </c>
      <c r="BW26">
        <v>500.02703225806499</v>
      </c>
      <c r="BX26">
        <v>99.744861290322604</v>
      </c>
      <c r="BY26">
        <v>0.10002068064516099</v>
      </c>
      <c r="BZ26">
        <v>26.524238709677402</v>
      </c>
      <c r="CA26">
        <v>26.969958064516099</v>
      </c>
      <c r="CB26">
        <v>999.9</v>
      </c>
      <c r="CC26">
        <v>10000.6303225806</v>
      </c>
      <c r="CD26">
        <v>0</v>
      </c>
      <c r="CE26">
        <v>199.77538709677401</v>
      </c>
      <c r="CF26">
        <v>2200.0016129032301</v>
      </c>
      <c r="CG26">
        <v>0.98200225806451602</v>
      </c>
      <c r="CH26">
        <v>1.7998077419354799E-2</v>
      </c>
      <c r="CI26">
        <v>0</v>
      </c>
      <c r="CJ26">
        <v>803.84945161290295</v>
      </c>
      <c r="CK26">
        <v>1.9999499999999999</v>
      </c>
      <c r="CL26">
        <v>18282.858064516098</v>
      </c>
      <c r="CM26">
        <v>17938.283870967702</v>
      </c>
      <c r="CN26">
        <v>47.211258064516102</v>
      </c>
      <c r="CO26">
        <v>47.29</v>
      </c>
      <c r="CP26">
        <v>47.186999999999998</v>
      </c>
      <c r="CQ26">
        <v>46.561999999999998</v>
      </c>
      <c r="CR26">
        <v>48.298000000000002</v>
      </c>
      <c r="CS26">
        <v>2158.4416129032302</v>
      </c>
      <c r="CT26">
        <v>39.56</v>
      </c>
      <c r="CU26">
        <v>0</v>
      </c>
      <c r="CV26">
        <v>140</v>
      </c>
      <c r="CW26">
        <v>803.82215384615404</v>
      </c>
      <c r="CX26">
        <v>-4.4545640936056401</v>
      </c>
      <c r="CY26">
        <v>-145.48034181997701</v>
      </c>
      <c r="CZ26">
        <v>18281.2038461538</v>
      </c>
      <c r="DA26">
        <v>15</v>
      </c>
      <c r="DB26">
        <v>1561652362.0999999</v>
      </c>
      <c r="DC26" t="s">
        <v>333</v>
      </c>
      <c r="DD26">
        <v>45</v>
      </c>
      <c r="DE26">
        <v>0.77500000000000002</v>
      </c>
      <c r="DF26">
        <v>2.5000000000000001E-2</v>
      </c>
      <c r="DG26">
        <v>600</v>
      </c>
      <c r="DH26">
        <v>9</v>
      </c>
      <c r="DI26">
        <v>0.05</v>
      </c>
      <c r="DJ26">
        <v>0.01</v>
      </c>
      <c r="DK26">
        <v>38.927042666739403</v>
      </c>
      <c r="DL26">
        <v>-0.465760220272045</v>
      </c>
      <c r="DM26">
        <v>9.9444565279061301E-2</v>
      </c>
      <c r="DN26">
        <v>0</v>
      </c>
      <c r="DO26">
        <v>547.33906849315099</v>
      </c>
      <c r="DP26">
        <v>0.33856107183755701</v>
      </c>
      <c r="DQ26">
        <v>6.9164748477645296E-2</v>
      </c>
      <c r="DR26">
        <v>1</v>
      </c>
      <c r="DS26">
        <v>0.61760677716701495</v>
      </c>
      <c r="DT26">
        <v>7.9363001706370898E-3</v>
      </c>
      <c r="DU26">
        <v>2.2614159241535802E-3</v>
      </c>
      <c r="DV26">
        <v>1</v>
      </c>
      <c r="DW26">
        <v>2</v>
      </c>
      <c r="DX26">
        <v>3</v>
      </c>
      <c r="DY26" t="s">
        <v>323</v>
      </c>
      <c r="DZ26">
        <v>1.8673200000000001</v>
      </c>
      <c r="EA26">
        <v>1.86381</v>
      </c>
      <c r="EB26">
        <v>1.8694599999999999</v>
      </c>
      <c r="EC26">
        <v>1.86737</v>
      </c>
      <c r="ED26">
        <v>1.8721000000000001</v>
      </c>
      <c r="EE26">
        <v>1.8645</v>
      </c>
      <c r="EF26">
        <v>1.8660000000000001</v>
      </c>
      <c r="EG26">
        <v>1.86599</v>
      </c>
      <c r="EH26" t="s">
        <v>284</v>
      </c>
      <c r="EI26" t="s">
        <v>19</v>
      </c>
      <c r="EJ26" t="s">
        <v>19</v>
      </c>
      <c r="EK26" t="s">
        <v>19</v>
      </c>
      <c r="EL26" t="s">
        <v>285</v>
      </c>
      <c r="EM26" t="s">
        <v>286</v>
      </c>
      <c r="EN26" t="s">
        <v>287</v>
      </c>
      <c r="EO26" t="s">
        <v>287</v>
      </c>
      <c r="EP26" t="s">
        <v>287</v>
      </c>
      <c r="EQ26" t="s">
        <v>287</v>
      </c>
      <c r="ER26">
        <v>0</v>
      </c>
      <c r="ES26">
        <v>100</v>
      </c>
      <c r="ET26">
        <v>100</v>
      </c>
      <c r="EU26">
        <v>0.77500000000000002</v>
      </c>
      <c r="EV26">
        <v>2.5000000000000001E-2</v>
      </c>
      <c r="EW26">
        <v>2</v>
      </c>
      <c r="EX26">
        <v>511.733</v>
      </c>
      <c r="EY26">
        <v>489.08199999999999</v>
      </c>
      <c r="EZ26">
        <v>20.521799999999999</v>
      </c>
      <c r="FA26">
        <v>35.835999999999999</v>
      </c>
      <c r="FB26">
        <v>29.999600000000001</v>
      </c>
      <c r="FC26">
        <v>36.038499999999999</v>
      </c>
      <c r="FD26">
        <v>36.034999999999997</v>
      </c>
      <c r="FE26">
        <v>29.861699999999999</v>
      </c>
      <c r="FF26">
        <v>77.691800000000001</v>
      </c>
      <c r="FG26">
        <v>0</v>
      </c>
      <c r="FH26">
        <v>20.4739</v>
      </c>
      <c r="FI26">
        <v>600</v>
      </c>
      <c r="FJ26">
        <v>8.4154400000000003</v>
      </c>
      <c r="FK26">
        <v>100.396</v>
      </c>
      <c r="FL26">
        <v>100.657</v>
      </c>
    </row>
    <row r="27" spans="1:168" x14ac:dyDescent="0.25">
      <c r="A27">
        <v>12</v>
      </c>
      <c r="B27">
        <v>1561652567.0999999</v>
      </c>
      <c r="C27">
        <v>2231.1999998092701</v>
      </c>
      <c r="D27" t="s">
        <v>334</v>
      </c>
      <c r="E27" t="s">
        <v>335</v>
      </c>
      <c r="F27" t="s">
        <v>277</v>
      </c>
      <c r="G27" t="s">
        <v>278</v>
      </c>
      <c r="H27" t="s">
        <v>277</v>
      </c>
      <c r="J27" t="s">
        <v>277</v>
      </c>
      <c r="K27">
        <v>1561652559.11935</v>
      </c>
      <c r="L27">
        <f t="shared" si="0"/>
        <v>8.4429772626814191E-3</v>
      </c>
      <c r="M27">
        <f t="shared" si="1"/>
        <v>40.284498686413073</v>
      </c>
      <c r="N27">
        <f t="shared" si="2"/>
        <v>744.11674193548401</v>
      </c>
      <c r="O27">
        <f t="shared" si="3"/>
        <v>595.46753496923759</v>
      </c>
      <c r="P27">
        <f t="shared" si="4"/>
        <v>59.455147681833182</v>
      </c>
      <c r="Q27">
        <f t="shared" si="5"/>
        <v>74.297200411747568</v>
      </c>
      <c r="R27">
        <f t="shared" si="6"/>
        <v>0.55147973088618696</v>
      </c>
      <c r="S27">
        <f t="shared" si="7"/>
        <v>2.2561924611979598</v>
      </c>
      <c r="T27">
        <f t="shared" si="8"/>
        <v>0.48611502558493563</v>
      </c>
      <c r="U27">
        <f t="shared" si="9"/>
        <v>0.30904664356884559</v>
      </c>
      <c r="V27">
        <f t="shared" si="10"/>
        <v>353.34414854816356</v>
      </c>
      <c r="W27">
        <f t="shared" si="11"/>
        <v>26.222233437462204</v>
      </c>
      <c r="X27">
        <f t="shared" si="12"/>
        <v>27.042970967741901</v>
      </c>
      <c r="Y27">
        <f t="shared" si="13"/>
        <v>3.5882027012956335</v>
      </c>
      <c r="Z27">
        <f t="shared" si="14"/>
        <v>55.157741372498435</v>
      </c>
      <c r="AA27">
        <f t="shared" si="15"/>
        <v>1.9017228143222453</v>
      </c>
      <c r="AB27">
        <f t="shared" si="16"/>
        <v>3.4477894979043531</v>
      </c>
      <c r="AC27">
        <f t="shared" si="17"/>
        <v>1.6864798869733881</v>
      </c>
      <c r="AD27">
        <f t="shared" si="18"/>
        <v>-372.3352972842506</v>
      </c>
      <c r="AE27">
        <f t="shared" si="19"/>
        <v>-82.488331233824368</v>
      </c>
      <c r="AF27">
        <f t="shared" si="20"/>
        <v>-7.8669300003129603</v>
      </c>
      <c r="AG27">
        <f t="shared" si="21"/>
        <v>-109.34640997022436</v>
      </c>
      <c r="AH27">
        <v>-4.1350665257057301E-2</v>
      </c>
      <c r="AI27">
        <v>4.6419744268282097E-2</v>
      </c>
      <c r="AJ27">
        <v>3.4662979448423301</v>
      </c>
      <c r="AK27">
        <v>0</v>
      </c>
      <c r="AL27">
        <v>0</v>
      </c>
      <c r="AM27">
        <f t="shared" si="22"/>
        <v>1</v>
      </c>
      <c r="AN27">
        <f t="shared" si="23"/>
        <v>0</v>
      </c>
      <c r="AO27">
        <f t="shared" si="24"/>
        <v>52841.123458726404</v>
      </c>
      <c r="AP27" t="s">
        <v>279</v>
      </c>
      <c r="AQ27">
        <v>585.08461538461495</v>
      </c>
      <c r="AR27">
        <v>3491.65</v>
      </c>
      <c r="AS27">
        <f t="shared" si="25"/>
        <v>2906.565384615385</v>
      </c>
      <c r="AT27">
        <f t="shared" si="26"/>
        <v>0.83243320052564973</v>
      </c>
      <c r="AU27">
        <v>-24.085636743186001</v>
      </c>
      <c r="AV27" t="s">
        <v>336</v>
      </c>
      <c r="AW27">
        <v>782.595384615385</v>
      </c>
      <c r="AX27">
        <v>1037.1099999999999</v>
      </c>
      <c r="AY27">
        <f t="shared" si="27"/>
        <v>0.24540754151885036</v>
      </c>
      <c r="AZ27">
        <v>0.5</v>
      </c>
      <c r="BA27">
        <f t="shared" si="28"/>
        <v>1849.2054966271535</v>
      </c>
      <c r="BB27">
        <f t="shared" si="29"/>
        <v>40.284498686413073</v>
      </c>
      <c r="BC27">
        <f t="shared" si="30"/>
        <v>226.90448734520723</v>
      </c>
      <c r="BD27">
        <f t="shared" si="31"/>
        <v>0.48877168284945655</v>
      </c>
      <c r="BE27">
        <f t="shared" si="32"/>
        <v>3.4809617182626033E-2</v>
      </c>
      <c r="BF27">
        <f t="shared" si="33"/>
        <v>2.36671134209486</v>
      </c>
      <c r="BG27" t="s">
        <v>337</v>
      </c>
      <c r="BH27">
        <v>530.20000000000005</v>
      </c>
      <c r="BI27">
        <f t="shared" si="34"/>
        <v>506.90999999999985</v>
      </c>
      <c r="BJ27">
        <f t="shared" si="35"/>
        <v>0.50209034223948035</v>
      </c>
      <c r="BK27">
        <f t="shared" si="36"/>
        <v>0.82883047155954015</v>
      </c>
      <c r="BL27">
        <f t="shared" si="37"/>
        <v>0.56305381079687344</v>
      </c>
      <c r="BM27">
        <f t="shared" si="38"/>
        <v>0.84448126059438366</v>
      </c>
      <c r="BN27">
        <f t="shared" si="39"/>
        <v>2200.02225806452</v>
      </c>
      <c r="BO27">
        <f t="shared" si="40"/>
        <v>1849.2054966271535</v>
      </c>
      <c r="BP27">
        <f t="shared" si="41"/>
        <v>0.84053944902084798</v>
      </c>
      <c r="BQ27">
        <f t="shared" si="42"/>
        <v>0.19107889804169595</v>
      </c>
      <c r="BR27">
        <v>1561652559.11935</v>
      </c>
      <c r="BS27">
        <v>744.11674193548401</v>
      </c>
      <c r="BT27">
        <v>799.99441935483901</v>
      </c>
      <c r="BU27">
        <v>19.0465290322581</v>
      </c>
      <c r="BV27">
        <v>9.1084245161290305</v>
      </c>
      <c r="BW27">
        <v>500.02499999999998</v>
      </c>
      <c r="BX27">
        <v>99.746141935483905</v>
      </c>
      <c r="BY27">
        <v>0.10001959354838701</v>
      </c>
      <c r="BZ27">
        <v>26.364812903225801</v>
      </c>
      <c r="CA27">
        <v>27.042970967741901</v>
      </c>
      <c r="CB27">
        <v>999.9</v>
      </c>
      <c r="CC27">
        <v>9997.2929032258107</v>
      </c>
      <c r="CD27">
        <v>0</v>
      </c>
      <c r="CE27">
        <v>212.190129032258</v>
      </c>
      <c r="CF27">
        <v>2200.02225806452</v>
      </c>
      <c r="CG27">
        <v>0.98200348387096803</v>
      </c>
      <c r="CH27">
        <v>1.79965451612903E-2</v>
      </c>
      <c r="CI27">
        <v>0</v>
      </c>
      <c r="CJ27">
        <v>782.72009677419396</v>
      </c>
      <c r="CK27">
        <v>1.9999499999999999</v>
      </c>
      <c r="CL27">
        <v>17814.996774193602</v>
      </c>
      <c r="CM27">
        <v>17938.445161290299</v>
      </c>
      <c r="CN27">
        <v>47.255935483870999</v>
      </c>
      <c r="CO27">
        <v>47.5</v>
      </c>
      <c r="CP27">
        <v>47.308</v>
      </c>
      <c r="CQ27">
        <v>46.721548387096803</v>
      </c>
      <c r="CR27">
        <v>48.375</v>
      </c>
      <c r="CS27">
        <v>2158.46258064516</v>
      </c>
      <c r="CT27">
        <v>39.56</v>
      </c>
      <c r="CU27">
        <v>0</v>
      </c>
      <c r="CV27">
        <v>139.89999985694899</v>
      </c>
      <c r="CW27">
        <v>782.595384615385</v>
      </c>
      <c r="CX27">
        <v>-9.7123418945159408</v>
      </c>
      <c r="CY27">
        <v>-238.36923074731499</v>
      </c>
      <c r="CZ27">
        <v>17812.365384615401</v>
      </c>
      <c r="DA27">
        <v>15</v>
      </c>
      <c r="DB27">
        <v>1561652511.5999999</v>
      </c>
      <c r="DC27" t="s">
        <v>338</v>
      </c>
      <c r="DD27">
        <v>46</v>
      </c>
      <c r="DE27">
        <v>1.1020000000000001</v>
      </c>
      <c r="DF27">
        <v>2.7E-2</v>
      </c>
      <c r="DG27">
        <v>800</v>
      </c>
      <c r="DH27">
        <v>9</v>
      </c>
      <c r="DI27">
        <v>0.03</v>
      </c>
      <c r="DJ27">
        <v>0.01</v>
      </c>
      <c r="DK27">
        <v>40.494179145016297</v>
      </c>
      <c r="DL27">
        <v>-1.06267736830606</v>
      </c>
      <c r="DM27">
        <v>0.22036365529344801</v>
      </c>
      <c r="DN27">
        <v>0</v>
      </c>
      <c r="DO27">
        <v>743.84995890411005</v>
      </c>
      <c r="DP27">
        <v>1.4338461669145499</v>
      </c>
      <c r="DQ27">
        <v>0.25763983772383098</v>
      </c>
      <c r="DR27">
        <v>1</v>
      </c>
      <c r="DS27">
        <v>0.56077863241339798</v>
      </c>
      <c r="DT27">
        <v>-3.7872386635327597E-2</v>
      </c>
      <c r="DU27">
        <v>7.74697353756355E-3</v>
      </c>
      <c r="DV27">
        <v>1</v>
      </c>
      <c r="DW27">
        <v>2</v>
      </c>
      <c r="DX27">
        <v>3</v>
      </c>
      <c r="DY27" t="s">
        <v>323</v>
      </c>
      <c r="DZ27">
        <v>1.8672599999999999</v>
      </c>
      <c r="EA27">
        <v>1.8637300000000001</v>
      </c>
      <c r="EB27">
        <v>1.8694299999999999</v>
      </c>
      <c r="EC27">
        <v>1.86737</v>
      </c>
      <c r="ED27">
        <v>1.8720399999999999</v>
      </c>
      <c r="EE27">
        <v>1.8644700000000001</v>
      </c>
      <c r="EF27">
        <v>1.8660000000000001</v>
      </c>
      <c r="EG27">
        <v>1.8659699999999999</v>
      </c>
      <c r="EH27" t="s">
        <v>284</v>
      </c>
      <c r="EI27" t="s">
        <v>19</v>
      </c>
      <c r="EJ27" t="s">
        <v>19</v>
      </c>
      <c r="EK27" t="s">
        <v>19</v>
      </c>
      <c r="EL27" t="s">
        <v>285</v>
      </c>
      <c r="EM27" t="s">
        <v>286</v>
      </c>
      <c r="EN27" t="s">
        <v>287</v>
      </c>
      <c r="EO27" t="s">
        <v>287</v>
      </c>
      <c r="EP27" t="s">
        <v>287</v>
      </c>
      <c r="EQ27" t="s">
        <v>287</v>
      </c>
      <c r="ER27">
        <v>0</v>
      </c>
      <c r="ES27">
        <v>100</v>
      </c>
      <c r="ET27">
        <v>100</v>
      </c>
      <c r="EU27">
        <v>1.1020000000000001</v>
      </c>
      <c r="EV27">
        <v>2.7E-2</v>
      </c>
      <c r="EW27">
        <v>2</v>
      </c>
      <c r="EX27">
        <v>510.27100000000002</v>
      </c>
      <c r="EY27">
        <v>487.78</v>
      </c>
      <c r="EZ27">
        <v>18.555599999999998</v>
      </c>
      <c r="FA27">
        <v>35.6417</v>
      </c>
      <c r="FB27">
        <v>30</v>
      </c>
      <c r="FC27">
        <v>35.7532</v>
      </c>
      <c r="FD27">
        <v>35.750300000000003</v>
      </c>
      <c r="FE27">
        <v>37.796599999999998</v>
      </c>
      <c r="FF27">
        <v>76.445999999999998</v>
      </c>
      <c r="FG27">
        <v>0</v>
      </c>
      <c r="FH27">
        <v>17.8491</v>
      </c>
      <c r="FI27">
        <v>800</v>
      </c>
      <c r="FJ27">
        <v>9.1259399999999999</v>
      </c>
      <c r="FK27">
        <v>100.42</v>
      </c>
      <c r="FL27">
        <v>100.682</v>
      </c>
    </row>
    <row r="28" spans="1:168" x14ac:dyDescent="0.25">
      <c r="A28">
        <v>13</v>
      </c>
      <c r="B28">
        <v>1561652707.5999999</v>
      </c>
      <c r="C28">
        <v>2371.6999998092701</v>
      </c>
      <c r="D28" t="s">
        <v>339</v>
      </c>
      <c r="E28" t="s">
        <v>340</v>
      </c>
      <c r="F28" t="s">
        <v>277</v>
      </c>
      <c r="G28" t="s">
        <v>278</v>
      </c>
      <c r="H28" t="s">
        <v>277</v>
      </c>
      <c r="J28" t="s">
        <v>277</v>
      </c>
      <c r="K28">
        <v>1561652699.63871</v>
      </c>
      <c r="L28">
        <f t="shared" si="0"/>
        <v>6.6157631008521905E-3</v>
      </c>
      <c r="M28">
        <f t="shared" si="1"/>
        <v>40.091479976268843</v>
      </c>
      <c r="N28">
        <f t="shared" si="2"/>
        <v>944.32019354838701</v>
      </c>
      <c r="O28">
        <f t="shared" si="3"/>
        <v>747.05712581028263</v>
      </c>
      <c r="P28">
        <f t="shared" si="4"/>
        <v>74.589441959489704</v>
      </c>
      <c r="Q28">
        <f t="shared" si="5"/>
        <v>94.285047065783573</v>
      </c>
      <c r="R28">
        <f t="shared" si="6"/>
        <v>0.40174698366670442</v>
      </c>
      <c r="S28">
        <f t="shared" si="7"/>
        <v>2.2564687839390696</v>
      </c>
      <c r="T28">
        <f t="shared" si="8"/>
        <v>0.36582744377807258</v>
      </c>
      <c r="U28">
        <f t="shared" si="9"/>
        <v>0.2316011624965697</v>
      </c>
      <c r="V28">
        <f t="shared" si="10"/>
        <v>353.33925727246435</v>
      </c>
      <c r="W28">
        <f t="shared" si="11"/>
        <v>26.328776433338344</v>
      </c>
      <c r="X28">
        <f t="shared" si="12"/>
        <v>27.003858064516098</v>
      </c>
      <c r="Y28">
        <f t="shared" si="13"/>
        <v>3.5799707879522491</v>
      </c>
      <c r="Z28">
        <f t="shared" si="14"/>
        <v>54.462197802154307</v>
      </c>
      <c r="AA28">
        <f t="shared" si="15"/>
        <v>1.8232037817450828</v>
      </c>
      <c r="AB28">
        <f t="shared" si="16"/>
        <v>3.3476500312533548</v>
      </c>
      <c r="AC28">
        <f t="shared" si="17"/>
        <v>1.7567670062071663</v>
      </c>
      <c r="AD28">
        <f t="shared" si="18"/>
        <v>-291.75515274758158</v>
      </c>
      <c r="AE28">
        <f t="shared" si="19"/>
        <v>-138.3879254938962</v>
      </c>
      <c r="AF28">
        <f t="shared" si="20"/>
        <v>-13.161022107286483</v>
      </c>
      <c r="AG28">
        <f t="shared" si="21"/>
        <v>-89.964843076299928</v>
      </c>
      <c r="AH28">
        <v>-4.1358123261478003E-2</v>
      </c>
      <c r="AI28">
        <v>4.6428116531601303E-2</v>
      </c>
      <c r="AJ28">
        <v>3.4667925221626699</v>
      </c>
      <c r="AK28">
        <v>0</v>
      </c>
      <c r="AL28">
        <v>0</v>
      </c>
      <c r="AM28">
        <f t="shared" si="22"/>
        <v>1</v>
      </c>
      <c r="AN28">
        <f t="shared" si="23"/>
        <v>0</v>
      </c>
      <c r="AO28">
        <f t="shared" si="24"/>
        <v>52938.38590459813</v>
      </c>
      <c r="AP28" t="s">
        <v>279</v>
      </c>
      <c r="AQ28">
        <v>585.08461538461495</v>
      </c>
      <c r="AR28">
        <v>3491.65</v>
      </c>
      <c r="AS28">
        <f t="shared" si="25"/>
        <v>2906.565384615385</v>
      </c>
      <c r="AT28">
        <f t="shared" si="26"/>
        <v>0.83243320052564973</v>
      </c>
      <c r="AU28">
        <v>-24.085636743186001</v>
      </c>
      <c r="AV28" t="s">
        <v>341</v>
      </c>
      <c r="AW28">
        <v>763.41919230769201</v>
      </c>
      <c r="AX28">
        <v>996.07600000000002</v>
      </c>
      <c r="AY28">
        <f t="shared" si="27"/>
        <v>0.23357334951580799</v>
      </c>
      <c r="AZ28">
        <v>0.5</v>
      </c>
      <c r="BA28">
        <f t="shared" si="28"/>
        <v>1849.1797545176496</v>
      </c>
      <c r="BB28">
        <f t="shared" si="29"/>
        <v>40.091479976268843</v>
      </c>
      <c r="BC28">
        <f t="shared" si="30"/>
        <v>215.95955455975349</v>
      </c>
      <c r="BD28">
        <f t="shared" si="31"/>
        <v>0.47674675426373087</v>
      </c>
      <c r="BE28">
        <f t="shared" si="32"/>
        <v>3.4705721043433745E-2</v>
      </c>
      <c r="BF28">
        <f t="shared" si="33"/>
        <v>2.5054052100442137</v>
      </c>
      <c r="BG28" t="s">
        <v>342</v>
      </c>
      <c r="BH28">
        <v>521.20000000000005</v>
      </c>
      <c r="BI28">
        <f t="shared" si="34"/>
        <v>474.87599999999998</v>
      </c>
      <c r="BJ28">
        <f t="shared" si="35"/>
        <v>0.48993170362854305</v>
      </c>
      <c r="BK28">
        <f t="shared" si="36"/>
        <v>0.84013331313437367</v>
      </c>
      <c r="BL28">
        <f t="shared" si="37"/>
        <v>0.5660868242044379</v>
      </c>
      <c r="BM28">
        <f t="shared" si="38"/>
        <v>0.85859895435664868</v>
      </c>
      <c r="BN28">
        <f t="shared" si="39"/>
        <v>2199.9916129032299</v>
      </c>
      <c r="BO28">
        <f t="shared" si="40"/>
        <v>1849.1797545176496</v>
      </c>
      <c r="BP28">
        <f t="shared" si="41"/>
        <v>0.8405394564560954</v>
      </c>
      <c r="BQ28">
        <f t="shared" si="42"/>
        <v>0.19107891291219081</v>
      </c>
      <c r="BR28">
        <v>1561652699.63871</v>
      </c>
      <c r="BS28">
        <v>944.32019354838701</v>
      </c>
      <c r="BT28">
        <v>999.92448387096795</v>
      </c>
      <c r="BU28">
        <v>18.260458064516101</v>
      </c>
      <c r="BV28">
        <v>10.466841935483901</v>
      </c>
      <c r="BW28">
        <v>500.02125806451602</v>
      </c>
      <c r="BX28">
        <v>99.744374193548396</v>
      </c>
      <c r="BY28">
        <v>9.9987612903225803E-2</v>
      </c>
      <c r="BZ28">
        <v>25.866274193548399</v>
      </c>
      <c r="CA28">
        <v>27.003858064516098</v>
      </c>
      <c r="CB28">
        <v>999.9</v>
      </c>
      <c r="CC28">
        <v>9999.2732258064498</v>
      </c>
      <c r="CD28">
        <v>0</v>
      </c>
      <c r="CE28">
        <v>240.61183870967699</v>
      </c>
      <c r="CF28">
        <v>2199.9916129032299</v>
      </c>
      <c r="CG28">
        <v>0.98200341935483904</v>
      </c>
      <c r="CH28">
        <v>1.7996625806451599E-2</v>
      </c>
      <c r="CI28">
        <v>0</v>
      </c>
      <c r="CJ28">
        <v>763.46354838709703</v>
      </c>
      <c r="CK28">
        <v>1.9999499999999999</v>
      </c>
      <c r="CL28">
        <v>17385.1677419355</v>
      </c>
      <c r="CM28">
        <v>17938.2</v>
      </c>
      <c r="CN28">
        <v>47.241806451612902</v>
      </c>
      <c r="CO28">
        <v>47.433</v>
      </c>
      <c r="CP28">
        <v>47.29</v>
      </c>
      <c r="CQ28">
        <v>46.664999999999999</v>
      </c>
      <c r="CR28">
        <v>48.312064516128999</v>
      </c>
      <c r="CS28">
        <v>2158.4322580645198</v>
      </c>
      <c r="CT28">
        <v>39.56</v>
      </c>
      <c r="CU28">
        <v>0</v>
      </c>
      <c r="CV28">
        <v>139.799999952316</v>
      </c>
      <c r="CW28">
        <v>763.41919230769201</v>
      </c>
      <c r="CX28">
        <v>-7.4087179680439998</v>
      </c>
      <c r="CY28">
        <v>-214.57435906382</v>
      </c>
      <c r="CZ28">
        <v>17383.6653846154</v>
      </c>
      <c r="DA28">
        <v>15</v>
      </c>
      <c r="DB28">
        <v>1561652654.0999999</v>
      </c>
      <c r="DC28" t="s">
        <v>343</v>
      </c>
      <c r="DD28">
        <v>47</v>
      </c>
      <c r="DE28">
        <v>1.3069999999999999</v>
      </c>
      <c r="DF28">
        <v>3.5000000000000003E-2</v>
      </c>
      <c r="DG28">
        <v>1000</v>
      </c>
      <c r="DH28">
        <v>10</v>
      </c>
      <c r="DI28">
        <v>0.03</v>
      </c>
      <c r="DJ28">
        <v>0.01</v>
      </c>
      <c r="DK28">
        <v>40.246156747561301</v>
      </c>
      <c r="DL28">
        <v>-0.87395295567144105</v>
      </c>
      <c r="DM28">
        <v>0.205692003029318</v>
      </c>
      <c r="DN28">
        <v>0</v>
      </c>
      <c r="DO28">
        <v>944.094178082192</v>
      </c>
      <c r="DP28">
        <v>1.3697911325496399</v>
      </c>
      <c r="DQ28">
        <v>0.24720665984210899</v>
      </c>
      <c r="DR28">
        <v>1</v>
      </c>
      <c r="DS28">
        <v>0.411567510994099</v>
      </c>
      <c r="DT28">
        <v>-4.0506771082909197E-2</v>
      </c>
      <c r="DU28">
        <v>8.36728966452417E-3</v>
      </c>
      <c r="DV28">
        <v>1</v>
      </c>
      <c r="DW28">
        <v>2</v>
      </c>
      <c r="DX28">
        <v>3</v>
      </c>
      <c r="DY28" t="s">
        <v>323</v>
      </c>
      <c r="DZ28">
        <v>1.86727</v>
      </c>
      <c r="EA28">
        <v>1.8637699999999999</v>
      </c>
      <c r="EB28">
        <v>1.8694500000000001</v>
      </c>
      <c r="EC28">
        <v>1.86737</v>
      </c>
      <c r="ED28">
        <v>1.8720699999999999</v>
      </c>
      <c r="EE28">
        <v>1.8644799999999999</v>
      </c>
      <c r="EF28">
        <v>1.8660000000000001</v>
      </c>
      <c r="EG28">
        <v>1.86598</v>
      </c>
      <c r="EH28" t="s">
        <v>284</v>
      </c>
      <c r="EI28" t="s">
        <v>19</v>
      </c>
      <c r="EJ28" t="s">
        <v>19</v>
      </c>
      <c r="EK28" t="s">
        <v>19</v>
      </c>
      <c r="EL28" t="s">
        <v>285</v>
      </c>
      <c r="EM28" t="s">
        <v>286</v>
      </c>
      <c r="EN28" t="s">
        <v>287</v>
      </c>
      <c r="EO28" t="s">
        <v>287</v>
      </c>
      <c r="EP28" t="s">
        <v>287</v>
      </c>
      <c r="EQ28" t="s">
        <v>287</v>
      </c>
      <c r="ER28">
        <v>0</v>
      </c>
      <c r="ES28">
        <v>100</v>
      </c>
      <c r="ET28">
        <v>100</v>
      </c>
      <c r="EU28">
        <v>1.3069999999999999</v>
      </c>
      <c r="EV28">
        <v>3.5000000000000003E-2</v>
      </c>
      <c r="EW28">
        <v>2</v>
      </c>
      <c r="EX28">
        <v>508.59399999999999</v>
      </c>
      <c r="EY28">
        <v>486.255</v>
      </c>
      <c r="EZ28">
        <v>18.3872</v>
      </c>
      <c r="FA28">
        <v>35.591900000000003</v>
      </c>
      <c r="FB28">
        <v>29.998699999999999</v>
      </c>
      <c r="FC28">
        <v>35.617899999999999</v>
      </c>
      <c r="FD28">
        <v>35.596499999999999</v>
      </c>
      <c r="FE28">
        <v>45.390099999999997</v>
      </c>
      <c r="FF28">
        <v>72.549599999999998</v>
      </c>
      <c r="FG28">
        <v>0</v>
      </c>
      <c r="FH28">
        <v>18.8294</v>
      </c>
      <c r="FI28">
        <v>1000</v>
      </c>
      <c r="FJ28">
        <v>10.764900000000001</v>
      </c>
      <c r="FK28">
        <v>100.426</v>
      </c>
      <c r="FL28">
        <v>100.691</v>
      </c>
    </row>
    <row r="29" spans="1:168" x14ac:dyDescent="0.25">
      <c r="A29">
        <v>14</v>
      </c>
      <c r="B29">
        <v>1561652848.2</v>
      </c>
      <c r="C29">
        <v>2512.2999999523199</v>
      </c>
      <c r="D29" t="s">
        <v>344</v>
      </c>
      <c r="E29" t="s">
        <v>345</v>
      </c>
      <c r="F29" t="s">
        <v>277</v>
      </c>
      <c r="G29" t="s">
        <v>278</v>
      </c>
      <c r="H29" t="s">
        <v>277</v>
      </c>
      <c r="J29" t="s">
        <v>277</v>
      </c>
      <c r="K29">
        <v>1561652840.11935</v>
      </c>
      <c r="L29">
        <f t="shared" si="0"/>
        <v>5.0292343804771277E-3</v>
      </c>
      <c r="M29">
        <f t="shared" si="1"/>
        <v>39.879681676261441</v>
      </c>
      <c r="N29">
        <f t="shared" si="2"/>
        <v>1145.1611290322601</v>
      </c>
      <c r="O29">
        <f t="shared" si="3"/>
        <v>884.89909226567067</v>
      </c>
      <c r="P29">
        <f t="shared" si="4"/>
        <v>88.355778137539772</v>
      </c>
      <c r="Q29">
        <f t="shared" si="5"/>
        <v>114.34253185800701</v>
      </c>
      <c r="R29">
        <f t="shared" si="6"/>
        <v>0.29358637671333293</v>
      </c>
      <c r="S29">
        <f t="shared" si="7"/>
        <v>2.2562111784980541</v>
      </c>
      <c r="T29">
        <f t="shared" si="8"/>
        <v>0.27389454198994206</v>
      </c>
      <c r="U29">
        <f t="shared" si="9"/>
        <v>0.17284313365418011</v>
      </c>
      <c r="V29">
        <f t="shared" si="10"/>
        <v>353.3396141868796</v>
      </c>
      <c r="W29">
        <f t="shared" si="11"/>
        <v>26.409304166607512</v>
      </c>
      <c r="X29">
        <f t="shared" si="12"/>
        <v>26.986409677419399</v>
      </c>
      <c r="Y29">
        <f t="shared" si="13"/>
        <v>3.5763038266240703</v>
      </c>
      <c r="Z29">
        <f t="shared" si="14"/>
        <v>54.969139231497557</v>
      </c>
      <c r="AA29">
        <f t="shared" si="15"/>
        <v>1.7921812619810051</v>
      </c>
      <c r="AB29">
        <f t="shared" si="16"/>
        <v>3.2603407785473881</v>
      </c>
      <c r="AC29">
        <f t="shared" si="17"/>
        <v>1.7841225646430652</v>
      </c>
      <c r="AD29">
        <f t="shared" si="18"/>
        <v>-221.78923617904132</v>
      </c>
      <c r="AE29">
        <f t="shared" si="19"/>
        <v>-190.42799299731999</v>
      </c>
      <c r="AF29">
        <f t="shared" si="20"/>
        <v>-18.070319415133085</v>
      </c>
      <c r="AG29">
        <f t="shared" si="21"/>
        <v>-76.947934404614813</v>
      </c>
      <c r="AH29">
        <v>-4.1351170414338702E-2</v>
      </c>
      <c r="AI29">
        <v>4.6420311351584601E-2</v>
      </c>
      <c r="AJ29">
        <v>3.46633144530474</v>
      </c>
      <c r="AK29">
        <v>0</v>
      </c>
      <c r="AL29">
        <v>0</v>
      </c>
      <c r="AM29">
        <f t="shared" si="22"/>
        <v>1</v>
      </c>
      <c r="AN29">
        <f t="shared" si="23"/>
        <v>0</v>
      </c>
      <c r="AO29">
        <f t="shared" si="24"/>
        <v>53008.938394048171</v>
      </c>
      <c r="AP29" t="s">
        <v>279</v>
      </c>
      <c r="AQ29">
        <v>585.08461538461495</v>
      </c>
      <c r="AR29">
        <v>3491.65</v>
      </c>
      <c r="AS29">
        <f t="shared" si="25"/>
        <v>2906.565384615385</v>
      </c>
      <c r="AT29">
        <f t="shared" si="26"/>
        <v>0.83243320052564973</v>
      </c>
      <c r="AU29">
        <v>-24.085636743186001</v>
      </c>
      <c r="AV29" t="s">
        <v>346</v>
      </c>
      <c r="AW29">
        <v>751.14949999999999</v>
      </c>
      <c r="AX29">
        <v>978.51400000000001</v>
      </c>
      <c r="AY29">
        <f t="shared" si="27"/>
        <v>0.23235692080031556</v>
      </c>
      <c r="AZ29">
        <v>0.5</v>
      </c>
      <c r="BA29">
        <f t="shared" si="28"/>
        <v>1849.1838406504398</v>
      </c>
      <c r="BB29">
        <f t="shared" si="29"/>
        <v>39.879681676261441</v>
      </c>
      <c r="BC29">
        <f t="shared" si="30"/>
        <v>214.83533160361878</v>
      </c>
      <c r="BD29">
        <f t="shared" si="31"/>
        <v>0.46408533756287595</v>
      </c>
      <c r="BE29">
        <f t="shared" si="32"/>
        <v>3.4591108257223363E-2</v>
      </c>
      <c r="BF29">
        <f t="shared" si="33"/>
        <v>2.5683188998828834</v>
      </c>
      <c r="BG29" t="s">
        <v>347</v>
      </c>
      <c r="BH29">
        <v>524.4</v>
      </c>
      <c r="BI29">
        <f t="shared" si="34"/>
        <v>454.11400000000003</v>
      </c>
      <c r="BJ29">
        <f t="shared" si="35"/>
        <v>0.50067714274389252</v>
      </c>
      <c r="BK29">
        <f t="shared" si="36"/>
        <v>0.84695795770494564</v>
      </c>
      <c r="BL29">
        <f t="shared" si="37"/>
        <v>0.57790421582838969</v>
      </c>
      <c r="BM29">
        <f t="shared" si="38"/>
        <v>0.86464113737202364</v>
      </c>
      <c r="BN29">
        <f t="shared" si="39"/>
        <v>2199.9967741935502</v>
      </c>
      <c r="BO29">
        <f t="shared" si="40"/>
        <v>1849.1838406504398</v>
      </c>
      <c r="BP29">
        <f t="shared" si="41"/>
        <v>0.84053934184894097</v>
      </c>
      <c r="BQ29">
        <f t="shared" si="42"/>
        <v>0.19107868369788178</v>
      </c>
      <c r="BR29">
        <v>1561652840.11935</v>
      </c>
      <c r="BS29">
        <v>1145.1611290322601</v>
      </c>
      <c r="BT29">
        <v>1199.92580645161</v>
      </c>
      <c r="BU29">
        <v>17.9490193548387</v>
      </c>
      <c r="BV29">
        <v>12.022487096774199</v>
      </c>
      <c r="BW29">
        <v>500.01900000000001</v>
      </c>
      <c r="BX29">
        <v>99.748432258064497</v>
      </c>
      <c r="BY29">
        <v>9.9989906451612903E-2</v>
      </c>
      <c r="BZ29">
        <v>25.420864516129001</v>
      </c>
      <c r="CA29">
        <v>26.986409677419399</v>
      </c>
      <c r="CB29">
        <v>999.9</v>
      </c>
      <c r="CC29">
        <v>9997.1854838709696</v>
      </c>
      <c r="CD29">
        <v>0</v>
      </c>
      <c r="CE29">
        <v>210.64132258064501</v>
      </c>
      <c r="CF29">
        <v>2199.9967741935502</v>
      </c>
      <c r="CG29">
        <v>0.98200399999999999</v>
      </c>
      <c r="CH29">
        <v>1.7995899999999999E-2</v>
      </c>
      <c r="CI29">
        <v>0</v>
      </c>
      <c r="CJ29">
        <v>751.18564516129004</v>
      </c>
      <c r="CK29">
        <v>1.9999499999999999</v>
      </c>
      <c r="CL29">
        <v>17101.329032258102</v>
      </c>
      <c r="CM29">
        <v>17938.2419354839</v>
      </c>
      <c r="CN29">
        <v>47.149000000000001</v>
      </c>
      <c r="CO29">
        <v>47.287999999999997</v>
      </c>
      <c r="CP29">
        <v>47.207322580645098</v>
      </c>
      <c r="CQ29">
        <v>46.515999999999998</v>
      </c>
      <c r="CR29">
        <v>48.140999999999998</v>
      </c>
      <c r="CS29">
        <v>2158.4416129032302</v>
      </c>
      <c r="CT29">
        <v>39.551612903225802</v>
      </c>
      <c r="CU29">
        <v>0</v>
      </c>
      <c r="CV29">
        <v>139.799999952316</v>
      </c>
      <c r="CW29">
        <v>751.14949999999999</v>
      </c>
      <c r="CX29">
        <v>-7.3446495846693596</v>
      </c>
      <c r="CY29">
        <v>-185.77777788649701</v>
      </c>
      <c r="CZ29">
        <v>17100.223076923099</v>
      </c>
      <c r="DA29">
        <v>15</v>
      </c>
      <c r="DB29">
        <v>1561652880.2</v>
      </c>
      <c r="DC29" t="s">
        <v>348</v>
      </c>
      <c r="DD29">
        <v>48</v>
      </c>
      <c r="DE29">
        <v>1.4019999999999999</v>
      </c>
      <c r="DF29">
        <v>6.3E-2</v>
      </c>
      <c r="DG29">
        <v>1200</v>
      </c>
      <c r="DH29">
        <v>12</v>
      </c>
      <c r="DI29">
        <v>0.05</v>
      </c>
      <c r="DJ29">
        <v>0.02</v>
      </c>
      <c r="DK29">
        <v>40.182255283781899</v>
      </c>
      <c r="DL29">
        <v>-0.85075522287400396</v>
      </c>
      <c r="DM29">
        <v>0.20257095585683901</v>
      </c>
      <c r="DN29">
        <v>0</v>
      </c>
      <c r="DO29">
        <v>1144.7984931506901</v>
      </c>
      <c r="DP29">
        <v>1.4912783528177</v>
      </c>
      <c r="DQ29">
        <v>0.26772850300807599</v>
      </c>
      <c r="DR29">
        <v>1</v>
      </c>
      <c r="DS29">
        <v>0.29763739123781102</v>
      </c>
      <c r="DT29">
        <v>-2.8736759175651602E-2</v>
      </c>
      <c r="DU29">
        <v>5.6760823403618297E-3</v>
      </c>
      <c r="DV29">
        <v>1</v>
      </c>
      <c r="DW29">
        <v>2</v>
      </c>
      <c r="DX29">
        <v>3</v>
      </c>
      <c r="DY29" t="s">
        <v>323</v>
      </c>
      <c r="DZ29">
        <v>1.8673</v>
      </c>
      <c r="EA29">
        <v>1.8637900000000001</v>
      </c>
      <c r="EB29">
        <v>1.8694200000000001</v>
      </c>
      <c r="EC29">
        <v>1.86737</v>
      </c>
      <c r="ED29">
        <v>1.8720399999999999</v>
      </c>
      <c r="EE29">
        <v>1.8644700000000001</v>
      </c>
      <c r="EF29">
        <v>1.8660000000000001</v>
      </c>
      <c r="EG29">
        <v>1.8659699999999999</v>
      </c>
      <c r="EH29" t="s">
        <v>284</v>
      </c>
      <c r="EI29" t="s">
        <v>19</v>
      </c>
      <c r="EJ29" t="s">
        <v>19</v>
      </c>
      <c r="EK29" t="s">
        <v>19</v>
      </c>
      <c r="EL29" t="s">
        <v>285</v>
      </c>
      <c r="EM29" t="s">
        <v>286</v>
      </c>
      <c r="EN29" t="s">
        <v>287</v>
      </c>
      <c r="EO29" t="s">
        <v>287</v>
      </c>
      <c r="EP29" t="s">
        <v>287</v>
      </c>
      <c r="EQ29" t="s">
        <v>287</v>
      </c>
      <c r="ER29">
        <v>0</v>
      </c>
      <c r="ES29">
        <v>100</v>
      </c>
      <c r="ET29">
        <v>100</v>
      </c>
      <c r="EU29">
        <v>1.4019999999999999</v>
      </c>
      <c r="EV29">
        <v>6.3E-2</v>
      </c>
      <c r="EW29">
        <v>2</v>
      </c>
      <c r="EX29">
        <v>508.17200000000003</v>
      </c>
      <c r="EY29">
        <v>485.86099999999999</v>
      </c>
      <c r="EZ29">
        <v>18.410799999999998</v>
      </c>
      <c r="FA29">
        <v>35.414299999999997</v>
      </c>
      <c r="FB29">
        <v>29.998100000000001</v>
      </c>
      <c r="FC29">
        <v>35.435200000000002</v>
      </c>
      <c r="FD29">
        <v>35.412399999999998</v>
      </c>
      <c r="FE29">
        <v>52.682200000000002</v>
      </c>
      <c r="FF29">
        <v>68.762100000000004</v>
      </c>
      <c r="FG29">
        <v>0</v>
      </c>
      <c r="FH29">
        <v>18.428599999999999</v>
      </c>
      <c r="FI29">
        <v>1200</v>
      </c>
      <c r="FJ29">
        <v>12.037800000000001</v>
      </c>
      <c r="FK29">
        <v>100.461</v>
      </c>
      <c r="FL29">
        <v>100.733</v>
      </c>
    </row>
    <row r="30" spans="1:168" x14ac:dyDescent="0.25">
      <c r="A30">
        <v>15</v>
      </c>
      <c r="B30">
        <v>1561653021.7</v>
      </c>
      <c r="C30">
        <v>2685.7999999523199</v>
      </c>
      <c r="D30" t="s">
        <v>349</v>
      </c>
      <c r="E30" t="s">
        <v>350</v>
      </c>
      <c r="F30" t="s">
        <v>277</v>
      </c>
      <c r="G30" t="s">
        <v>278</v>
      </c>
      <c r="H30" t="s">
        <v>277</v>
      </c>
      <c r="J30" t="s">
        <v>277</v>
      </c>
      <c r="K30">
        <v>1561653013.7</v>
      </c>
      <c r="L30">
        <f t="shared" si="0"/>
        <v>3.7470950092704969E-3</v>
      </c>
      <c r="M30">
        <f t="shared" si="1"/>
        <v>39.056166473337264</v>
      </c>
      <c r="N30">
        <f t="shared" si="2"/>
        <v>1546.1290322580601</v>
      </c>
      <c r="O30">
        <f t="shared" si="3"/>
        <v>1197.1102915221538</v>
      </c>
      <c r="P30">
        <f t="shared" si="4"/>
        <v>119.52847858710993</v>
      </c>
      <c r="Q30">
        <f t="shared" si="5"/>
        <v>154.37712985507858</v>
      </c>
      <c r="R30">
        <f t="shared" si="6"/>
        <v>0.21160860002566645</v>
      </c>
      <c r="S30">
        <f t="shared" si="7"/>
        <v>2.2575403188160665</v>
      </c>
      <c r="T30">
        <f t="shared" si="8"/>
        <v>0.20117443490298012</v>
      </c>
      <c r="U30">
        <f t="shared" si="9"/>
        <v>0.12662860329458586</v>
      </c>
      <c r="V30">
        <f t="shared" si="10"/>
        <v>353.34044172296746</v>
      </c>
      <c r="W30">
        <f t="shared" si="11"/>
        <v>26.379843696126123</v>
      </c>
      <c r="X30">
        <f t="shared" si="12"/>
        <v>26.911964516129</v>
      </c>
      <c r="Y30">
        <f t="shared" si="13"/>
        <v>3.5606952084417349</v>
      </c>
      <c r="Z30">
        <f t="shared" si="14"/>
        <v>55.158450444796749</v>
      </c>
      <c r="AA30">
        <f t="shared" si="15"/>
        <v>1.7503880000545131</v>
      </c>
      <c r="AB30">
        <f t="shared" si="16"/>
        <v>3.1733813875107368</v>
      </c>
      <c r="AC30">
        <f t="shared" si="17"/>
        <v>1.8103072083872218</v>
      </c>
      <c r="AD30">
        <f t="shared" si="18"/>
        <v>-165.2468899088289</v>
      </c>
      <c r="AE30">
        <f t="shared" si="19"/>
        <v>-236.74818600323346</v>
      </c>
      <c r="AF30">
        <f t="shared" si="20"/>
        <v>-22.393205028955112</v>
      </c>
      <c r="AG30">
        <f t="shared" si="21"/>
        <v>-71.047839218050001</v>
      </c>
      <c r="AH30">
        <v>-4.1387052072333001E-2</v>
      </c>
      <c r="AI30">
        <v>4.6460591656089102E-2</v>
      </c>
      <c r="AJ30">
        <v>3.46871064348352</v>
      </c>
      <c r="AK30">
        <v>0</v>
      </c>
      <c r="AL30">
        <v>0</v>
      </c>
      <c r="AM30">
        <f t="shared" si="22"/>
        <v>1</v>
      </c>
      <c r="AN30">
        <f t="shared" si="23"/>
        <v>0</v>
      </c>
      <c r="AO30">
        <f t="shared" si="24"/>
        <v>53133.885960202693</v>
      </c>
      <c r="AP30" t="s">
        <v>279</v>
      </c>
      <c r="AQ30">
        <v>585.08461538461495</v>
      </c>
      <c r="AR30">
        <v>3491.65</v>
      </c>
      <c r="AS30">
        <f t="shared" si="25"/>
        <v>2906.565384615385</v>
      </c>
      <c r="AT30">
        <f t="shared" si="26"/>
        <v>0.83243320052564973</v>
      </c>
      <c r="AU30">
        <v>-24.085636743186001</v>
      </c>
      <c r="AV30" t="s">
        <v>351</v>
      </c>
      <c r="AW30">
        <v>742.06653846153904</v>
      </c>
      <c r="AX30">
        <v>946.72900000000004</v>
      </c>
      <c r="AY30">
        <f t="shared" si="27"/>
        <v>0.2161785067727523</v>
      </c>
      <c r="AZ30">
        <v>0.5</v>
      </c>
      <c r="BA30">
        <f t="shared" si="28"/>
        <v>1849.1859869497257</v>
      </c>
      <c r="BB30">
        <f t="shared" si="29"/>
        <v>39.056166473337264</v>
      </c>
      <c r="BC30">
        <f t="shared" si="30"/>
        <v>199.87713270194496</v>
      </c>
      <c r="BD30">
        <f t="shared" si="31"/>
        <v>0.45496546530210863</v>
      </c>
      <c r="BE30">
        <f t="shared" si="32"/>
        <v>3.4145728802908087E-2</v>
      </c>
      <c r="BF30">
        <f t="shared" si="33"/>
        <v>2.6881198315463033</v>
      </c>
      <c r="BG30" t="s">
        <v>352</v>
      </c>
      <c r="BH30">
        <v>516</v>
      </c>
      <c r="BI30">
        <f t="shared" si="34"/>
        <v>430.72900000000004</v>
      </c>
      <c r="BJ30">
        <f t="shared" si="35"/>
        <v>0.47515366167232992</v>
      </c>
      <c r="BK30">
        <f t="shared" si="36"/>
        <v>0.85524876917648252</v>
      </c>
      <c r="BL30">
        <f t="shared" si="37"/>
        <v>0.56592185651139859</v>
      </c>
      <c r="BM30">
        <f t="shared" si="38"/>
        <v>0.87557672484177063</v>
      </c>
      <c r="BN30">
        <f t="shared" si="39"/>
        <v>2199.9990322580602</v>
      </c>
      <c r="BO30">
        <f t="shared" si="40"/>
        <v>1849.1859869497257</v>
      </c>
      <c r="BP30">
        <f t="shared" si="41"/>
        <v>0.84053945471591274</v>
      </c>
      <c r="BQ30">
        <f t="shared" si="42"/>
        <v>0.19107890943182548</v>
      </c>
      <c r="BR30">
        <v>1561653013.7</v>
      </c>
      <c r="BS30">
        <v>1546.1290322580601</v>
      </c>
      <c r="BT30">
        <v>1599.9451612903199</v>
      </c>
      <c r="BU30">
        <v>17.530612903225801</v>
      </c>
      <c r="BV30">
        <v>13.1132096774194</v>
      </c>
      <c r="BW30">
        <v>500.03216129032302</v>
      </c>
      <c r="BX30">
        <v>99.747464516129</v>
      </c>
      <c r="BY30">
        <v>0.100042796774194</v>
      </c>
      <c r="BZ30">
        <v>24.9667580645161</v>
      </c>
      <c r="CA30">
        <v>26.911964516129</v>
      </c>
      <c r="CB30">
        <v>999.9</v>
      </c>
      <c r="CC30">
        <v>10005.9574193548</v>
      </c>
      <c r="CD30">
        <v>0</v>
      </c>
      <c r="CE30">
        <v>1989.9770967741899</v>
      </c>
      <c r="CF30">
        <v>2199.9990322580602</v>
      </c>
      <c r="CG30">
        <v>0.98200367741935501</v>
      </c>
      <c r="CH30">
        <v>1.79963032258064E-2</v>
      </c>
      <c r="CI30">
        <v>0</v>
      </c>
      <c r="CJ30">
        <v>742.09625806451595</v>
      </c>
      <c r="CK30">
        <v>1.9999499999999999</v>
      </c>
      <c r="CL30">
        <v>16897.141935483902</v>
      </c>
      <c r="CM30">
        <v>17938.267741935499</v>
      </c>
      <c r="CN30">
        <v>46.917000000000002</v>
      </c>
      <c r="CO30">
        <v>47.203258064516099</v>
      </c>
      <c r="CP30">
        <v>47.061999999999998</v>
      </c>
      <c r="CQ30">
        <v>46.390935483870997</v>
      </c>
      <c r="CR30">
        <v>47.899064516129002</v>
      </c>
      <c r="CS30">
        <v>2158.4393548387102</v>
      </c>
      <c r="CT30">
        <v>39.56</v>
      </c>
      <c r="CU30">
        <v>0</v>
      </c>
      <c r="CV30">
        <v>173</v>
      </c>
      <c r="CW30">
        <v>742.06653846153904</v>
      </c>
      <c r="CX30">
        <v>-7.1580171041515799</v>
      </c>
      <c r="CY30">
        <v>-131.90427350444301</v>
      </c>
      <c r="CZ30">
        <v>16895.5846153846</v>
      </c>
      <c r="DA30">
        <v>15</v>
      </c>
      <c r="DB30">
        <v>1561653055.7</v>
      </c>
      <c r="DC30" t="s">
        <v>353</v>
      </c>
      <c r="DD30">
        <v>49</v>
      </c>
      <c r="DE30">
        <v>1.522</v>
      </c>
      <c r="DF30">
        <v>7.6999999999999999E-2</v>
      </c>
      <c r="DG30">
        <v>1600</v>
      </c>
      <c r="DH30">
        <v>13</v>
      </c>
      <c r="DI30">
        <v>0.06</v>
      </c>
      <c r="DJ30">
        <v>0.02</v>
      </c>
      <c r="DK30">
        <v>39.4083188677617</v>
      </c>
      <c r="DL30">
        <v>-1.21619911186659</v>
      </c>
      <c r="DM30">
        <v>0.26080853636093099</v>
      </c>
      <c r="DN30">
        <v>0</v>
      </c>
      <c r="DO30">
        <v>1545.72630136986</v>
      </c>
      <c r="DP30">
        <v>1.64727878563496</v>
      </c>
      <c r="DQ30">
        <v>0.30258025924667797</v>
      </c>
      <c r="DR30">
        <v>1</v>
      </c>
      <c r="DS30">
        <v>0.21358497182264</v>
      </c>
      <c r="DT30">
        <v>-1.28368216286088E-2</v>
      </c>
      <c r="DU30">
        <v>2.6127843596289299E-3</v>
      </c>
      <c r="DV30">
        <v>1</v>
      </c>
      <c r="DW30">
        <v>2</v>
      </c>
      <c r="DX30">
        <v>3</v>
      </c>
      <c r="DY30" t="s">
        <v>323</v>
      </c>
      <c r="DZ30">
        <v>1.8672800000000001</v>
      </c>
      <c r="EA30">
        <v>1.8637699999999999</v>
      </c>
      <c r="EB30">
        <v>1.8693900000000001</v>
      </c>
      <c r="EC30">
        <v>1.86737</v>
      </c>
      <c r="ED30">
        <v>1.8720399999999999</v>
      </c>
      <c r="EE30">
        <v>1.8644700000000001</v>
      </c>
      <c r="EF30">
        <v>1.86599</v>
      </c>
      <c r="EG30">
        <v>1.8659300000000001</v>
      </c>
      <c r="EH30" t="s">
        <v>284</v>
      </c>
      <c r="EI30" t="s">
        <v>19</v>
      </c>
      <c r="EJ30" t="s">
        <v>19</v>
      </c>
      <c r="EK30" t="s">
        <v>19</v>
      </c>
      <c r="EL30" t="s">
        <v>285</v>
      </c>
      <c r="EM30" t="s">
        <v>286</v>
      </c>
      <c r="EN30" t="s">
        <v>287</v>
      </c>
      <c r="EO30" t="s">
        <v>287</v>
      </c>
      <c r="EP30" t="s">
        <v>287</v>
      </c>
      <c r="EQ30" t="s">
        <v>287</v>
      </c>
      <c r="ER30">
        <v>0</v>
      </c>
      <c r="ES30">
        <v>100</v>
      </c>
      <c r="ET30">
        <v>100</v>
      </c>
      <c r="EU30">
        <v>1.522</v>
      </c>
      <c r="EV30">
        <v>7.6999999999999999E-2</v>
      </c>
      <c r="EW30">
        <v>2</v>
      </c>
      <c r="EX30">
        <v>507.928</v>
      </c>
      <c r="EY30">
        <v>485.00799999999998</v>
      </c>
      <c r="EZ30">
        <v>17.612300000000001</v>
      </c>
      <c r="FA30">
        <v>35.078899999999997</v>
      </c>
      <c r="FB30">
        <v>29.9983</v>
      </c>
      <c r="FC30">
        <v>35.135800000000003</v>
      </c>
      <c r="FD30">
        <v>35.1218</v>
      </c>
      <c r="FE30">
        <v>66.425600000000003</v>
      </c>
      <c r="FF30">
        <v>67.4529</v>
      </c>
      <c r="FG30">
        <v>0</v>
      </c>
      <c r="FH30">
        <v>17.701599999999999</v>
      </c>
      <c r="FI30">
        <v>1600</v>
      </c>
      <c r="FJ30">
        <v>13.0679</v>
      </c>
      <c r="FK30">
        <v>100.518</v>
      </c>
      <c r="FL30">
        <v>100.801</v>
      </c>
    </row>
  </sheetData>
  <sortState ref="M36:O48">
    <sortCondition ref="M36"/>
  </sortState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/>
  </sheetViews>
  <sheetFormatPr defaultRowHeight="14.4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  <row r="6" spans="1:2" x14ac:dyDescent="0.25">
      <c r="A6" t="s">
        <v>10</v>
      </c>
      <c r="B6" t="s">
        <v>11</v>
      </c>
    </row>
    <row r="7" spans="1:2" x14ac:dyDescent="0.25">
      <c r="A7" t="s">
        <v>12</v>
      </c>
      <c r="B7" t="s">
        <v>13</v>
      </c>
    </row>
    <row r="8" spans="1:2" x14ac:dyDescent="0.25">
      <c r="A8" t="s">
        <v>14</v>
      </c>
      <c r="B8" t="s">
        <v>15</v>
      </c>
    </row>
    <row r="9" spans="1:2" x14ac:dyDescent="0.25">
      <c r="A9" t="s">
        <v>16</v>
      </c>
      <c r="B9" t="s">
        <v>17</v>
      </c>
    </row>
    <row r="10" spans="1:2" x14ac:dyDescent="0.25">
      <c r="A10" t="s">
        <v>18</v>
      </c>
      <c r="B10" t="s">
        <v>19</v>
      </c>
    </row>
    <row r="11" spans="1:2" x14ac:dyDescent="0.25">
      <c r="A11" t="s">
        <v>20</v>
      </c>
      <c r="B11" t="s">
        <v>19</v>
      </c>
    </row>
    <row r="12" spans="1:2" x14ac:dyDescent="0.25">
      <c r="A12" t="s">
        <v>21</v>
      </c>
      <c r="B12" t="s">
        <v>17</v>
      </c>
    </row>
    <row r="13" spans="1:2" x14ac:dyDescent="0.25">
      <c r="A13" t="s">
        <v>22</v>
      </c>
      <c r="B13" t="s">
        <v>11</v>
      </c>
    </row>
    <row r="14" spans="1:2" x14ac:dyDescent="0.25">
      <c r="A14" t="s">
        <v>23</v>
      </c>
      <c r="B14" t="s">
        <v>24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Measurements</vt:lpstr>
      <vt:lpstr>Remarks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DELL</cp:lastModifiedBy>
  <dcterms:created xsi:type="dcterms:W3CDTF">2019-06-27T11:35:09Z</dcterms:created>
  <dcterms:modified xsi:type="dcterms:W3CDTF">2025-03-03T02:06:58Z</dcterms:modified>
</cp:coreProperties>
</file>