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20190803_De Kauwe\A-Ci\raw\"/>
    </mc:Choice>
  </mc:AlternateContent>
  <xr:revisionPtr revIDLastSave="0" documentId="13_ncr:1_{5FB88E9B-C608-4A10-9271-C7A960CC31B2}" xr6:coauthVersionLast="41" xr6:coauthVersionMax="41" xr10:uidLastSave="{00000000-0000-0000-0000-000000000000}"/>
  <bookViews>
    <workbookView xWindow="-110" yWindow="-110" windowWidth="19420" windowHeight="1042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Q29" i="1" l="1"/>
  <c r="BP29" i="1"/>
  <c r="BN29" i="1"/>
  <c r="BM29" i="1"/>
  <c r="BL29" i="1"/>
  <c r="BK29" i="1"/>
  <c r="BJ29" i="1"/>
  <c r="BI29" i="1"/>
  <c r="BD29" i="1" s="1"/>
  <c r="BF29" i="1"/>
  <c r="AY29" i="1"/>
  <c r="AS29" i="1"/>
  <c r="AT29" i="1" s="1"/>
  <c r="AO29" i="1"/>
  <c r="AM29" i="1" s="1"/>
  <c r="L29" i="1" s="1"/>
  <c r="AD29" i="1" s="1"/>
  <c r="AB29" i="1"/>
  <c r="AA29" i="1"/>
  <c r="S29" i="1"/>
  <c r="BQ28" i="1"/>
  <c r="BP28" i="1"/>
  <c r="BN28" i="1"/>
  <c r="BM28" i="1"/>
  <c r="BL28" i="1"/>
  <c r="BK28" i="1"/>
  <c r="BJ28" i="1"/>
  <c r="BI28" i="1"/>
  <c r="BD28" i="1" s="1"/>
  <c r="BF28" i="1"/>
  <c r="AY28" i="1"/>
  <c r="AS28" i="1"/>
  <c r="AT28" i="1" s="1"/>
  <c r="AO28" i="1"/>
  <c r="AM28" i="1" s="1"/>
  <c r="N28" i="1" s="1"/>
  <c r="AB28" i="1"/>
  <c r="AA28" i="1"/>
  <c r="S28" i="1"/>
  <c r="BQ27" i="1"/>
  <c r="BP27" i="1"/>
  <c r="BN27" i="1"/>
  <c r="BM27" i="1"/>
  <c r="BL27" i="1"/>
  <c r="BK27" i="1"/>
  <c r="BJ27" i="1"/>
  <c r="BI27" i="1"/>
  <c r="BD27" i="1" s="1"/>
  <c r="BF27" i="1"/>
  <c r="AY27" i="1"/>
  <c r="AS27" i="1"/>
  <c r="AT27" i="1" s="1"/>
  <c r="AO27" i="1"/>
  <c r="AM27" i="1" s="1"/>
  <c r="AB27" i="1"/>
  <c r="AA27" i="1"/>
  <c r="S27" i="1"/>
  <c r="BQ26" i="1"/>
  <c r="BP26" i="1"/>
  <c r="BN26" i="1"/>
  <c r="BM26" i="1"/>
  <c r="BL26" i="1"/>
  <c r="BK26" i="1"/>
  <c r="BJ26" i="1"/>
  <c r="BI26" i="1"/>
  <c r="BD26" i="1" s="1"/>
  <c r="BF26" i="1"/>
  <c r="AY26" i="1"/>
  <c r="AS26" i="1"/>
  <c r="AT26" i="1" s="1"/>
  <c r="AO26" i="1"/>
  <c r="AM26" i="1" s="1"/>
  <c r="M26" i="1" s="1"/>
  <c r="BB26" i="1" s="1"/>
  <c r="AB26" i="1"/>
  <c r="AA26" i="1"/>
  <c r="S26" i="1"/>
  <c r="BQ25" i="1"/>
  <c r="BP25" i="1"/>
  <c r="BN25" i="1"/>
  <c r="BM25" i="1"/>
  <c r="BL25" i="1"/>
  <c r="BK25" i="1"/>
  <c r="BJ25" i="1"/>
  <c r="BI25" i="1"/>
  <c r="BD25" i="1" s="1"/>
  <c r="BF25" i="1"/>
  <c r="AY25" i="1"/>
  <c r="AS25" i="1"/>
  <c r="AT25" i="1" s="1"/>
  <c r="AO25" i="1"/>
  <c r="AM25" i="1" s="1"/>
  <c r="AB25" i="1"/>
  <c r="AA25" i="1"/>
  <c r="S25" i="1"/>
  <c r="L25" i="1"/>
  <c r="AD25" i="1" s="1"/>
  <c r="BQ24" i="1"/>
  <c r="BP24" i="1"/>
  <c r="BN24" i="1"/>
  <c r="BM24" i="1"/>
  <c r="BL24" i="1"/>
  <c r="BK24" i="1"/>
  <c r="BJ24" i="1"/>
  <c r="BI24" i="1"/>
  <c r="BD24" i="1" s="1"/>
  <c r="BF24" i="1"/>
  <c r="AY24" i="1"/>
  <c r="AS24" i="1"/>
  <c r="AT24" i="1" s="1"/>
  <c r="AO24" i="1"/>
  <c r="AM24" i="1" s="1"/>
  <c r="AB24" i="1"/>
  <c r="AA24" i="1"/>
  <c r="S24" i="1"/>
  <c r="BQ23" i="1"/>
  <c r="BP23" i="1"/>
  <c r="BN23" i="1"/>
  <c r="BM23" i="1"/>
  <c r="BL23" i="1"/>
  <c r="BK23" i="1"/>
  <c r="BJ23" i="1"/>
  <c r="BI23" i="1"/>
  <c r="BD23" i="1" s="1"/>
  <c r="BF23" i="1"/>
  <c r="AY23" i="1"/>
  <c r="AS23" i="1"/>
  <c r="AT23" i="1" s="1"/>
  <c r="AO23" i="1"/>
  <c r="AM23" i="1" s="1"/>
  <c r="Q23" i="1" s="1"/>
  <c r="AB23" i="1"/>
  <c r="AA23" i="1"/>
  <c r="Z23" i="1" s="1"/>
  <c r="S23" i="1"/>
  <c r="BQ22" i="1"/>
  <c r="BP22" i="1"/>
  <c r="BN22" i="1"/>
  <c r="BM22" i="1"/>
  <c r="BL22" i="1"/>
  <c r="BK22" i="1"/>
  <c r="BJ22" i="1"/>
  <c r="BI22" i="1"/>
  <c r="BD22" i="1" s="1"/>
  <c r="BF22" i="1"/>
  <c r="AY22" i="1"/>
  <c r="AS22" i="1"/>
  <c r="AT22" i="1" s="1"/>
  <c r="AO22" i="1"/>
  <c r="AM22" i="1" s="1"/>
  <c r="L22" i="1" s="1"/>
  <c r="AD22" i="1" s="1"/>
  <c r="AB22" i="1"/>
  <c r="AA22" i="1"/>
  <c r="S22" i="1"/>
  <c r="BQ21" i="1"/>
  <c r="BP21" i="1"/>
  <c r="BN21" i="1"/>
  <c r="BM21" i="1"/>
  <c r="BL21" i="1"/>
  <c r="BK21" i="1"/>
  <c r="BJ21" i="1"/>
  <c r="BI21" i="1"/>
  <c r="BD21" i="1" s="1"/>
  <c r="BF21" i="1"/>
  <c r="AY21" i="1"/>
  <c r="AS21" i="1"/>
  <c r="AT21" i="1" s="1"/>
  <c r="AO21" i="1"/>
  <c r="AM21" i="1" s="1"/>
  <c r="AB21" i="1"/>
  <c r="AA21" i="1"/>
  <c r="Z21" i="1" s="1"/>
  <c r="S21" i="1"/>
  <c r="BQ20" i="1"/>
  <c r="BP20" i="1"/>
  <c r="BN20" i="1"/>
  <c r="BM20" i="1"/>
  <c r="BL20" i="1"/>
  <c r="BK20" i="1"/>
  <c r="BJ20" i="1"/>
  <c r="BI20" i="1"/>
  <c r="BD20" i="1" s="1"/>
  <c r="BF20" i="1"/>
  <c r="AY20" i="1"/>
  <c r="AS20" i="1"/>
  <c r="AT20" i="1" s="1"/>
  <c r="AO20" i="1"/>
  <c r="AM20" i="1" s="1"/>
  <c r="Q20" i="1" s="1"/>
  <c r="AB20" i="1"/>
  <c r="Z20" i="1" s="1"/>
  <c r="AA20" i="1"/>
  <c r="S20" i="1"/>
  <c r="BQ19" i="1"/>
  <c r="BP19" i="1"/>
  <c r="BN19" i="1"/>
  <c r="BM19" i="1"/>
  <c r="BL19" i="1"/>
  <c r="BK19" i="1"/>
  <c r="BJ19" i="1"/>
  <c r="BI19" i="1"/>
  <c r="BD19" i="1" s="1"/>
  <c r="BF19" i="1"/>
  <c r="AY19" i="1"/>
  <c r="AS19" i="1"/>
  <c r="AT19" i="1" s="1"/>
  <c r="AO19" i="1"/>
  <c r="AM19" i="1" s="1"/>
  <c r="M19" i="1" s="1"/>
  <c r="BB19" i="1" s="1"/>
  <c r="AB19" i="1"/>
  <c r="AA19" i="1"/>
  <c r="S19" i="1"/>
  <c r="Q19" i="1"/>
  <c r="L19" i="1"/>
  <c r="AD19" i="1" s="1"/>
  <c r="BQ18" i="1"/>
  <c r="BP18" i="1"/>
  <c r="BN18" i="1"/>
  <c r="BM18" i="1"/>
  <c r="BL18" i="1"/>
  <c r="BK18" i="1"/>
  <c r="BJ18" i="1"/>
  <c r="BI18" i="1"/>
  <c r="BD18" i="1" s="1"/>
  <c r="BF18" i="1"/>
  <c r="AY18" i="1"/>
  <c r="AS18" i="1"/>
  <c r="AT18" i="1" s="1"/>
  <c r="AO18" i="1"/>
  <c r="AM18" i="1" s="1"/>
  <c r="AB18" i="1"/>
  <c r="AA18" i="1"/>
  <c r="Z18" i="1" s="1"/>
  <c r="S18" i="1"/>
  <c r="BQ17" i="1"/>
  <c r="BP17" i="1"/>
  <c r="BN17" i="1"/>
  <c r="BM17" i="1"/>
  <c r="BL17" i="1"/>
  <c r="BK17" i="1"/>
  <c r="BJ17" i="1"/>
  <c r="BI17" i="1"/>
  <c r="BD17" i="1" s="1"/>
  <c r="BF17" i="1"/>
  <c r="AY17" i="1"/>
  <c r="AS17" i="1"/>
  <c r="AT17" i="1" s="1"/>
  <c r="AO17" i="1"/>
  <c r="AM17" i="1" s="1"/>
  <c r="AB17" i="1"/>
  <c r="AA17" i="1"/>
  <c r="Z17" i="1" s="1"/>
  <c r="S17" i="1"/>
  <c r="BO18" i="1" l="1"/>
  <c r="BA18" i="1" s="1"/>
  <c r="Z24" i="1"/>
  <c r="BO28" i="1"/>
  <c r="BA28" i="1" s="1"/>
  <c r="Z27" i="1"/>
  <c r="BO27" i="1"/>
  <c r="BA27" i="1" s="1"/>
  <c r="BC27" i="1" s="1"/>
  <c r="BO26" i="1"/>
  <c r="Z19" i="1"/>
  <c r="Z26" i="1"/>
  <c r="BO19" i="1"/>
  <c r="V19" i="1" s="1"/>
  <c r="W19" i="1" s="1"/>
  <c r="X19" i="1" s="1"/>
  <c r="BO22" i="1"/>
  <c r="BA22" i="1" s="1"/>
  <c r="BC22" i="1" s="1"/>
  <c r="AN21" i="1"/>
  <c r="N21" i="1"/>
  <c r="Q17" i="1"/>
  <c r="M17" i="1"/>
  <c r="BB17" i="1" s="1"/>
  <c r="BE17" i="1" s="1"/>
  <c r="N17" i="1"/>
  <c r="AN24" i="1"/>
  <c r="N24" i="1"/>
  <c r="BC17" i="1"/>
  <c r="BO17" i="1"/>
  <c r="BA17" i="1" s="1"/>
  <c r="V27" i="1"/>
  <c r="V28" i="1"/>
  <c r="AN28" i="1"/>
  <c r="BC28" i="1"/>
  <c r="BO29" i="1"/>
  <c r="Q26" i="1"/>
  <c r="BO20" i="1"/>
  <c r="BO23" i="1"/>
  <c r="BO24" i="1"/>
  <c r="L26" i="1"/>
  <c r="AD26" i="1" s="1"/>
  <c r="Z28" i="1"/>
  <c r="BO21" i="1"/>
  <c r="BO25" i="1"/>
  <c r="V25" i="1" s="1"/>
  <c r="V26" i="1"/>
  <c r="BA26" i="1"/>
  <c r="BC26" i="1" s="1"/>
  <c r="L27" i="1"/>
  <c r="AN27" i="1"/>
  <c r="N27" i="1"/>
  <c r="M27" i="1"/>
  <c r="BB27" i="1" s="1"/>
  <c r="BE27" i="1" s="1"/>
  <c r="Q18" i="1"/>
  <c r="M18" i="1"/>
  <c r="BB18" i="1" s="1"/>
  <c r="BE18" i="1" s="1"/>
  <c r="L18" i="1"/>
  <c r="V22" i="1"/>
  <c r="N25" i="1"/>
  <c r="Q25" i="1"/>
  <c r="M25" i="1"/>
  <c r="BB25" i="1" s="1"/>
  <c r="AN25" i="1"/>
  <c r="V17" i="1"/>
  <c r="V18" i="1"/>
  <c r="AN18" i="1"/>
  <c r="N22" i="1"/>
  <c r="Q22" i="1"/>
  <c r="M22" i="1"/>
  <c r="BB22" i="1" s="1"/>
  <c r="AN22" i="1"/>
  <c r="L23" i="1"/>
  <c r="AN23" i="1"/>
  <c r="N23" i="1"/>
  <c r="M23" i="1"/>
  <c r="BB23" i="1" s="1"/>
  <c r="Q27" i="1"/>
  <c r="V29" i="1"/>
  <c r="BA29" i="1"/>
  <c r="BC29" i="1" s="1"/>
  <c r="L17" i="1"/>
  <c r="AN17" i="1"/>
  <c r="N18" i="1"/>
  <c r="BC18" i="1"/>
  <c r="L20" i="1"/>
  <c r="AN20" i="1"/>
  <c r="N20" i="1"/>
  <c r="M20" i="1"/>
  <c r="BB20" i="1" s="1"/>
  <c r="N29" i="1"/>
  <c r="Q29" i="1"/>
  <c r="M29" i="1"/>
  <c r="BB29" i="1" s="1"/>
  <c r="BE29" i="1" s="1"/>
  <c r="AN29" i="1"/>
  <c r="AN19" i="1"/>
  <c r="N19" i="1"/>
  <c r="AN26" i="1"/>
  <c r="N26" i="1"/>
  <c r="Q21" i="1"/>
  <c r="M21" i="1"/>
  <c r="BB21" i="1" s="1"/>
  <c r="L21" i="1"/>
  <c r="Z22" i="1"/>
  <c r="Q24" i="1"/>
  <c r="M24" i="1"/>
  <c r="BB24" i="1" s="1"/>
  <c r="L24" i="1"/>
  <c r="Z25" i="1"/>
  <c r="Q28" i="1"/>
  <c r="M28" i="1"/>
  <c r="BB28" i="1" s="1"/>
  <c r="BE28" i="1" s="1"/>
  <c r="L28" i="1"/>
  <c r="W28" i="1" s="1"/>
  <c r="X28" i="1" s="1"/>
  <c r="Z29" i="1"/>
  <c r="AF19" i="1" l="1"/>
  <c r="T19" i="1"/>
  <c r="R19" i="1" s="1"/>
  <c r="U19" i="1" s="1"/>
  <c r="O19" i="1" s="1"/>
  <c r="P19" i="1" s="1"/>
  <c r="BE26" i="1"/>
  <c r="BA19" i="1"/>
  <c r="AE19" i="1"/>
  <c r="AG19" i="1" s="1"/>
  <c r="BA25" i="1"/>
  <c r="BC25" i="1" s="1"/>
  <c r="Y19" i="1"/>
  <c r="AC19" i="1" s="1"/>
  <c r="BA21" i="1"/>
  <c r="BC21" i="1" s="1"/>
  <c r="V21" i="1"/>
  <c r="BA24" i="1"/>
  <c r="BC24" i="1" s="1"/>
  <c r="V24" i="1"/>
  <c r="W24" i="1" s="1"/>
  <c r="X24" i="1" s="1"/>
  <c r="BA20" i="1"/>
  <c r="BC20" i="1" s="1"/>
  <c r="V20" i="1"/>
  <c r="W20" i="1" s="1"/>
  <c r="X20" i="1" s="1"/>
  <c r="BA23" i="1"/>
  <c r="BC23" i="1" s="1"/>
  <c r="V23" i="1"/>
  <c r="W23" i="1" s="1"/>
  <c r="X23" i="1" s="1"/>
  <c r="AE23" i="1" s="1"/>
  <c r="Y28" i="1"/>
  <c r="AC28" i="1" s="1"/>
  <c r="AF28" i="1"/>
  <c r="AE28" i="1"/>
  <c r="AF23" i="1"/>
  <c r="Y23" i="1"/>
  <c r="AC23" i="1" s="1"/>
  <c r="W18" i="1"/>
  <c r="X18" i="1" s="1"/>
  <c r="T18" i="1" s="1"/>
  <c r="R18" i="1" s="1"/>
  <c r="U18" i="1" s="1"/>
  <c r="O18" i="1" s="1"/>
  <c r="P18" i="1" s="1"/>
  <c r="AD18" i="1"/>
  <c r="W26" i="1"/>
  <c r="X26" i="1" s="1"/>
  <c r="AD20" i="1"/>
  <c r="AD27" i="1"/>
  <c r="T28" i="1"/>
  <c r="R28" i="1" s="1"/>
  <c r="U28" i="1" s="1"/>
  <c r="O28" i="1" s="1"/>
  <c r="P28" i="1" s="1"/>
  <c r="AD28" i="1"/>
  <c r="AD24" i="1"/>
  <c r="AD21" i="1"/>
  <c r="AD17" i="1"/>
  <c r="W27" i="1"/>
  <c r="X27" i="1" s="1"/>
  <c r="BE22" i="1"/>
  <c r="W22" i="1"/>
  <c r="X22" i="1" s="1"/>
  <c r="W25" i="1"/>
  <c r="X25" i="1" s="1"/>
  <c r="W29" i="1"/>
  <c r="X29" i="1" s="1"/>
  <c r="T23" i="1"/>
  <c r="R23" i="1" s="1"/>
  <c r="U23" i="1" s="1"/>
  <c r="O23" i="1" s="1"/>
  <c r="P23" i="1" s="1"/>
  <c r="AD23" i="1"/>
  <c r="W17" i="1"/>
  <c r="X17" i="1" s="1"/>
  <c r="W21" i="1"/>
  <c r="X21" i="1" s="1"/>
  <c r="T21" i="1" s="1"/>
  <c r="R21" i="1" s="1"/>
  <c r="U21" i="1" s="1"/>
  <c r="O21" i="1" s="1"/>
  <c r="P21" i="1" s="1"/>
  <c r="BE20" i="1" l="1"/>
  <c r="BE24" i="1"/>
  <c r="BC19" i="1"/>
  <c r="BE19" i="1"/>
  <c r="Y24" i="1"/>
  <c r="AC24" i="1" s="1"/>
  <c r="AF24" i="1"/>
  <c r="T24" i="1"/>
  <c r="R24" i="1" s="1"/>
  <c r="U24" i="1" s="1"/>
  <c r="O24" i="1" s="1"/>
  <c r="P24" i="1" s="1"/>
  <c r="AE24" i="1"/>
  <c r="BE25" i="1"/>
  <c r="BE21" i="1"/>
  <c r="BE23" i="1"/>
  <c r="AG23" i="1"/>
  <c r="Y21" i="1"/>
  <c r="AC21" i="1" s="1"/>
  <c r="AF21" i="1"/>
  <c r="AE21" i="1"/>
  <c r="Y18" i="1"/>
  <c r="AC18" i="1" s="1"/>
  <c r="AF18" i="1"/>
  <c r="AE18" i="1"/>
  <c r="AG28" i="1"/>
  <c r="AF17" i="1"/>
  <c r="Y17" i="1"/>
  <c r="AC17" i="1" s="1"/>
  <c r="AE17" i="1"/>
  <c r="AF27" i="1"/>
  <c r="Y27" i="1"/>
  <c r="AC27" i="1" s="1"/>
  <c r="AE27" i="1"/>
  <c r="Y29" i="1"/>
  <c r="AC29" i="1" s="1"/>
  <c r="AF29" i="1"/>
  <c r="AE29" i="1"/>
  <c r="T29" i="1"/>
  <c r="R29" i="1" s="1"/>
  <c r="U29" i="1" s="1"/>
  <c r="O29" i="1" s="1"/>
  <c r="P29" i="1" s="1"/>
  <c r="Y22" i="1"/>
  <c r="AC22" i="1" s="1"/>
  <c r="AF22" i="1"/>
  <c r="AE22" i="1"/>
  <c r="T22" i="1"/>
  <c r="R22" i="1" s="1"/>
  <c r="U22" i="1" s="1"/>
  <c r="O22" i="1" s="1"/>
  <c r="P22" i="1" s="1"/>
  <c r="AF20" i="1"/>
  <c r="Y20" i="1"/>
  <c r="AC20" i="1" s="1"/>
  <c r="AE20" i="1"/>
  <c r="T20" i="1"/>
  <c r="R20" i="1" s="1"/>
  <c r="U20" i="1" s="1"/>
  <c r="O20" i="1" s="1"/>
  <c r="P20" i="1" s="1"/>
  <c r="Y25" i="1"/>
  <c r="AC25" i="1" s="1"/>
  <c r="AE25" i="1"/>
  <c r="AF25" i="1"/>
  <c r="T25" i="1"/>
  <c r="R25" i="1" s="1"/>
  <c r="U25" i="1" s="1"/>
  <c r="O25" i="1" s="1"/>
  <c r="P25" i="1" s="1"/>
  <c r="T17" i="1"/>
  <c r="R17" i="1" s="1"/>
  <c r="U17" i="1" s="1"/>
  <c r="O17" i="1" s="1"/>
  <c r="P17" i="1" s="1"/>
  <c r="T27" i="1"/>
  <c r="R27" i="1" s="1"/>
  <c r="U27" i="1" s="1"/>
  <c r="O27" i="1" s="1"/>
  <c r="P27" i="1" s="1"/>
  <c r="Y26" i="1"/>
  <c r="AC26" i="1" s="1"/>
  <c r="AF26" i="1"/>
  <c r="T26" i="1"/>
  <c r="R26" i="1" s="1"/>
  <c r="U26" i="1" s="1"/>
  <c r="O26" i="1" s="1"/>
  <c r="P26" i="1" s="1"/>
  <c r="AE26" i="1"/>
  <c r="AG24" i="1" l="1"/>
  <c r="AG27" i="1"/>
  <c r="AG22" i="1"/>
  <c r="AG29" i="1"/>
  <c r="AG20" i="1"/>
  <c r="AG21" i="1"/>
  <c r="AG26" i="1"/>
  <c r="AG18" i="1"/>
  <c r="AG25" i="1"/>
  <c r="AG17" i="1"/>
</calcChain>
</file>

<file path=xl/sharedStrings.xml><?xml version="1.0" encoding="utf-8"?>
<sst xmlns="http://schemas.openxmlformats.org/spreadsheetml/2006/main" count="803" uniqueCount="350">
  <si>
    <t>File opened</t>
  </si>
  <si>
    <t>2019-06-27 11:35:33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</si>
  <si>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</si>
  <si>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</si>
  <si>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</si>
  <si>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</si>
  <si>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</si>
  <si>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</si>
  <si>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</si>
  <si>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</si>
  <si>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</si>
  <si>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1.3.0</t>
  </si>
  <si>
    <t>Head cal</t>
  </si>
  <si>
    <t>{"h2oaspanconc2": "0", "h2obspan2": "0", "co2bzero": "0.880288", "ssa_ref": "36614.9", "h2obspanconc1": "20", "h2oazero": "1.00263", "h2oaspan2": "0", "flowazero": "0.4286", "tbzero": "0.197721", "co2azero": "0.869071", "co2aspan2": "0", "co2aspan2b": "0.163711", "ssb_ref": "36526.8", "h2oaspan2a": "0.0661155", "co2bspanconc2": "0", "co2aspanconc1": "1002", "flowmeterzero": "0.991801", "co2bspanconc1": "1002", "co2aspan1": "0.992625", "tazero": "0.00774765", "h2obspanconc2": "0", "chamberpressurezero": "2.57337", "co2bspan2a": "0.163389", "flowbzero": "0.20796", "oxygen": "21", "h2obspan2a": "0.0975941", "co2aspan2a": "0.164928", "h2oaspan1": "1.00223", "co2bspan2": "0", "co2aspanconc2": "0", "h2oaspan2b": "0.0662632", "h2obspan2b": "0.0963575", "co2bspan1": "0.992131", "h2obzero": "1.01783", "h2obspan1": "0.998578", "co2bspan2b": "0.162103", "h2oaspanconc1": "12.19"}</t>
  </si>
  <si>
    <t>Chamber type</t>
  </si>
  <si>
    <t>6800-01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</si>
  <si>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</si>
  <si>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</si>
  <si>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</si>
  <si>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</si>
  <si>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</si>
  <si>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</si>
  <si>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</si>
  <si>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11:35:33</t>
  </si>
  <si>
    <t>Stability Definition:	gsw (GasEx): Slp&lt;1 Std&lt;1	A (GasEx): Slp&lt;0.3 Std&lt;0.5	CO2_s (Meas): Slp&lt;2.5</t>
  </si>
  <si>
    <t>SysConst</t>
  </si>
  <si>
    <t>AvgTime</t>
  </si>
  <si>
    <t>4</t>
  </si>
  <si>
    <t>Oxygen</t>
  </si>
  <si>
    <t>21</t>
  </si>
  <si>
    <t>Chamber</t>
  </si>
  <si>
    <t>Const</t>
  </si>
  <si>
    <t>S</t>
  </si>
  <si>
    <t>K</t>
  </si>
  <si>
    <t>Geometry</t>
  </si>
  <si>
    <t>0: Broadleaf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</si>
  <si>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</si>
  <si>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</si>
  <si>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</si>
  <si>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</si>
  <si>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</si>
  <si>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</si>
  <si>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</si>
  <si>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</si>
  <si>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</si>
  <si>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</si>
  <si>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</si>
  <si>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</si>
  <si>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</si>
  <si>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</si>
  <si>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</si>
  <si>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</si>
  <si>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</si>
  <si>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</si>
  <si>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</si>
  <si>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</si>
  <si>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</si>
  <si>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</si>
  <si>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</si>
  <si>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</si>
  <si>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</si>
  <si>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</si>
  <si>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</si>
  <si>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</si>
  <si>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</si>
  <si>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</si>
  <si>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</si>
  <si>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</si>
  <si>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</si>
  <si>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</si>
  <si>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</si>
  <si>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</si>
  <si>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</si>
  <si>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-0.378671 73.8098 378.659 612.87 841.829 1051.51 1231 1404.54</t>
  </si>
  <si>
    <t>Fs_true</t>
  </si>
  <si>
    <t>0.0960846 99.8642 402.057 601.362 799.956 1000.81 1200.93 1400.54</t>
  </si>
  <si>
    <t>leak_wt</t>
  </si>
  <si>
    <t>Sys</t>
  </si>
  <si>
    <t>UserDefVar</t>
  </si>
  <si>
    <t>GasEx</t>
  </si>
  <si>
    <t>Leak</t>
  </si>
  <si>
    <t>FLR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</si>
  <si>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</si>
  <si>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</si>
  <si>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</si>
  <si>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</si>
  <si>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</si>
  <si>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</si>
  <si>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</si>
  <si>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</si>
  <si>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</si>
  <si>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</si>
  <si>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</si>
  <si>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</si>
  <si>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</si>
  <si>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Treatment</t>
  </si>
  <si>
    <t>Genotype</t>
  </si>
  <si>
    <t>Plant</t>
  </si>
  <si>
    <t>species</t>
  </si>
  <si>
    <t>leaf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</si>
  <si>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</si>
  <si>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</si>
  <si>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</si>
  <si>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</si>
  <si>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</si>
  <si>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</si>
  <si>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</si>
  <si>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</si>
  <si>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</si>
  <si>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</si>
  <si>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</si>
  <si>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</si>
  <si>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</si>
  <si>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</si>
  <si>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</si>
  <si>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</si>
  <si>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</si>
  <si>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</si>
  <si>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</si>
  <si>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</si>
  <si>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</si>
  <si>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</si>
  <si>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</si>
  <si>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</si>
  <si>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</si>
  <si>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</si>
  <si>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</si>
  <si>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</si>
  <si>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</si>
  <si>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</si>
  <si>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</si>
  <si>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</si>
  <si>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</si>
  <si>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</si>
  <si>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</si>
  <si>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</si>
  <si>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</si>
  <si>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</si>
  <si>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</si>
  <si>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</si>
  <si>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</si>
  <si>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</si>
  <si>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</si>
  <si>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</si>
  <si>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</si>
  <si>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</si>
  <si>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</si>
  <si>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</si>
  <si>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</si>
  <si>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</si>
  <si>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</si>
  <si>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</si>
  <si>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</si>
  <si>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</si>
  <si>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Qin</t>
  </si>
  <si>
    <t>Qabs</t>
  </si>
  <si>
    <t>alpha</t>
  </si>
  <si>
    <t>convert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</si>
  <si>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</si>
  <si>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</si>
  <si>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</si>
  <si>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</si>
  <si>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</si>
  <si>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</si>
  <si>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</si>
  <si>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</si>
  <si>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</si>
  <si>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</si>
  <si>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</si>
  <si>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</si>
  <si>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</si>
  <si>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</si>
  <si>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</si>
  <si>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</si>
  <si>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</si>
  <si>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</si>
  <si>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</si>
  <si>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</si>
  <si>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</si>
  <si>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</si>
  <si>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</si>
  <si>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</si>
  <si>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</si>
  <si>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</si>
  <si>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</si>
  <si>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</si>
  <si>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</si>
  <si>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</si>
  <si>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</si>
  <si>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</si>
  <si>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</si>
  <si>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</si>
  <si>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</si>
  <si>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</si>
  <si>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</si>
  <si>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</si>
  <si>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</si>
  <si>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</si>
  <si>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</si>
  <si>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</si>
  <si>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A:MN</t>
  </si>
  <si>
    <t>A:SLP</t>
  </si>
  <si>
    <t>A:SD</t>
  </si>
  <si>
    <t>A:OK</t>
  </si>
  <si>
    <t>CO2_s:MN</t>
  </si>
  <si>
    <t>CO2_s:SLP</t>
  </si>
  <si>
    <t>CO2_s:SD</t>
  </si>
  <si>
    <t>CO2_s:OK</t>
  </si>
  <si>
    <t>gsw:MN</t>
  </si>
  <si>
    <t>gsw:SLP</t>
  </si>
  <si>
    <t>gsw:SD</t>
  </si>
  <si>
    <t>gsw:OK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</si>
  <si>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</si>
  <si>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</si>
  <si>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</si>
  <si>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</si>
  <si>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</si>
  <si>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</si>
  <si>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</si>
  <si>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</si>
  <si>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</si>
  <si>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</si>
  <si>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</si>
  <si>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</si>
  <si>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</si>
  <si>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</si>
  <si>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</si>
  <si>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</si>
  <si>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</si>
  <si>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</si>
  <si>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</si>
  <si>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</si>
  <si>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</si>
  <si>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</si>
  <si>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</si>
  <si>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</si>
  <si>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</si>
  <si>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</si>
  <si>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</si>
  <si>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</si>
  <si>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</si>
  <si>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</si>
  <si>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</si>
  <si>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</si>
  <si>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</si>
  <si>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</si>
  <si>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</si>
  <si>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</si>
  <si>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</si>
  <si>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</si>
  <si>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</si>
  <si>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</si>
  <si>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</si>
  <si>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</si>
  <si>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</si>
  <si>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</si>
  <si>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</si>
  <si>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</si>
  <si>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</si>
  <si>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</si>
  <si>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</si>
  <si>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</si>
  <si>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</si>
  <si>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</si>
  <si>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J/µmol</t>
  </si>
  <si>
    <t>mmol mol⁻¹</t>
  </si>
  <si>
    <t>rpm</t>
  </si>
  <si>
    <t>min⁻¹</t>
  </si>
  <si>
    <t>secs</t>
  </si>
  <si>
    <t>µmol/mol</t>
  </si>
  <si>
    <t>mmol/mol</t>
  </si>
  <si>
    <t>µmol m⁻² s⁻¹ min⁻¹</t>
  </si>
  <si>
    <t>µmol mol⁻¹ min⁻¹</t>
  </si>
  <si>
    <t>mol m⁻² s⁻¹ min⁻¹</t>
  </si>
  <si>
    <t>V</t>
  </si>
  <si>
    <t>20190627 12:02:29</t>
  </si>
  <si>
    <t>12:02:29</t>
  </si>
  <si>
    <t>1</t>
  </si>
  <si>
    <t>G2</t>
  </si>
  <si>
    <t>RECT-3890-20190627-05_07_53</t>
  </si>
  <si>
    <t>MPF-3987-20190627-12_02_31</t>
  </si>
  <si>
    <t>DARK-3988-20190627-12_02_38</t>
  </si>
  <si>
    <t>12:01:43</t>
  </si>
  <si>
    <t>3/3</t>
  </si>
  <si>
    <t>5</t>
  </si>
  <si>
    <t>11111111</t>
  </si>
  <si>
    <t>oooooooo</t>
  </si>
  <si>
    <t>off</t>
  </si>
  <si>
    <t>20190627 12:04:49</t>
  </si>
  <si>
    <t>12:04:49</t>
  </si>
  <si>
    <t>MPF-3989-20190627-12_04_51</t>
  </si>
  <si>
    <t>DARK-3990-20190627-12_04_59</t>
  </si>
  <si>
    <t>12:03:49</t>
  </si>
  <si>
    <t>2/3</t>
  </si>
  <si>
    <t>20190627 12:07:08</t>
  </si>
  <si>
    <t>12:07:08</t>
  </si>
  <si>
    <t>MPF-3991-20190627-12_07_10</t>
  </si>
  <si>
    <t>DARK-3992-20190627-12_07_18</t>
  </si>
  <si>
    <t>12:07:49</t>
  </si>
  <si>
    <t>20190627 12:10:10</t>
  </si>
  <si>
    <t>12:10:10</t>
  </si>
  <si>
    <t>MPF-3993-20190627-12_10_12</t>
  </si>
  <si>
    <t>DARK-3994-20190627-12_10_20</t>
  </si>
  <si>
    <t>12:09:31</t>
  </si>
  <si>
    <t>1/3</t>
  </si>
  <si>
    <t>20190627 12:12:14</t>
  </si>
  <si>
    <t>12:12:14</t>
  </si>
  <si>
    <t>MPF-3995-20190627-12_12_16</t>
  </si>
  <si>
    <t>DARK-3996-20190627-12_12_24</t>
  </si>
  <si>
    <t>12:11:31</t>
  </si>
  <si>
    <t>20190627 12:14:25</t>
  </si>
  <si>
    <t>12:14:25</t>
  </si>
  <si>
    <t>MPF-3997-20190627-12_14_27</t>
  </si>
  <si>
    <t>DARK-3998-20190627-12_14_34</t>
  </si>
  <si>
    <t>12:13:40</t>
  </si>
  <si>
    <t>20190627 12:18:54</t>
  </si>
  <si>
    <t>12:18:54</t>
  </si>
  <si>
    <t>MPF-4001-20190627-12_18_56</t>
  </si>
  <si>
    <t>DARK-4002-20190627-12_19_04</t>
  </si>
  <si>
    <t>12:18:05</t>
  </si>
  <si>
    <t>20190627 12:21:03</t>
  </si>
  <si>
    <t>12:21:03</t>
  </si>
  <si>
    <t>MPF-4003-20190627-12_21_05</t>
  </si>
  <si>
    <t>DARK-4004-20190627-12_21_12</t>
  </si>
  <si>
    <t>12:20:17</t>
  </si>
  <si>
    <t>20190627 12:23:23</t>
  </si>
  <si>
    <t>12:23:23</t>
  </si>
  <si>
    <t>MPF-4005-20190627-12_23_25</t>
  </si>
  <si>
    <t>DARK-4006-20190627-12_23_33</t>
  </si>
  <si>
    <t>12:22:21</t>
  </si>
  <si>
    <t>20190627 12:25:44</t>
  </si>
  <si>
    <t>12:25:44</t>
  </si>
  <si>
    <t>MPF-4007-20190627-12_25_46</t>
  </si>
  <si>
    <t>DARK-4008-20190627-12_25_53</t>
  </si>
  <si>
    <t>12:26:24</t>
  </si>
  <si>
    <t>20190627 12:28:46</t>
  </si>
  <si>
    <t>12:28:46</t>
  </si>
  <si>
    <t>MPF-4009-20190627-12_28_48</t>
  </si>
  <si>
    <t>DARK-4010-20190627-12_28_55</t>
  </si>
  <si>
    <t>12:29:21</t>
  </si>
  <si>
    <t>20190627 12:31:42</t>
  </si>
  <si>
    <t>12:31:42</t>
  </si>
  <si>
    <t>MPF-4011-20190627-12_31_44</t>
  </si>
  <si>
    <t>DARK-4012-20190627-12_31_51</t>
  </si>
  <si>
    <t>12:30:30</t>
  </si>
  <si>
    <t>20190627 12:34:03</t>
  </si>
  <si>
    <t>12:34:03</t>
  </si>
  <si>
    <t>MPF-4013-20190627-12_34_04</t>
  </si>
  <si>
    <t>DARK-4014-20190627-12_34_12</t>
  </si>
  <si>
    <t>12:33:23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</si>
</sst>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L29"/>
  <sheetViews>
    <sheetView tabSelected="1" topLeftCell="A10" workbookViewId="0">
      <selection activeCell="A23" sqref="A23:XFD23"/>
    </sheetView>
  </sheetViews>
  <sheetFormatPr defaultRowHeight="14.5" x14ac:dyDescent="0.35"/>
  <sheetData>
    <row r="2" spans="1:168" x14ac:dyDescent="0.35">
      <c r="A2" t="s">
        <v>25</v>
      </c>
      <c r="B2" t="s">
        <v>26</v>
      </c>
      <c r="C2" t="s">
        <v>28</v>
      </c>
      <c r="D2" t="s">
        <v>30</v>
      </c>
    </row>
    <row r="3" spans="1:168" x14ac:dyDescent="0.35">
      <c r="B3" t="s">
        <v>27</v>
      </c>
      <c r="C3" t="s">
        <v>29</v>
      </c>
      <c r="D3" t="s">
        <v>15</v>
      </c>
    </row>
    <row r="4" spans="1:168" x14ac:dyDescent="0.35">
      <c r="A4" t="s">
        <v>31</v>
      </c>
      <c r="B4" t="s">
        <v>32</v>
      </c>
      <c r="C4" t="s">
        <v>33</v>
      </c>
      <c r="D4" t="s">
        <v>34</v>
      </c>
      <c r="E4" t="s">
        <v>36</v>
      </c>
    </row>
    <row r="5" spans="1:168" x14ac:dyDescent="0.35">
      <c r="B5">
        <v>6</v>
      </c>
      <c r="C5">
        <v>0.5</v>
      </c>
      <c r="D5" t="s">
        <v>35</v>
      </c>
      <c r="E5">
        <v>2</v>
      </c>
    </row>
    <row r="6" spans="1:168" x14ac:dyDescent="0.35">
      <c r="A6" t="s">
        <v>37</v>
      </c>
      <c r="B6" t="s">
        <v>38</v>
      </c>
      <c r="C6" t="s">
        <v>39</v>
      </c>
      <c r="D6" t="s">
        <v>40</v>
      </c>
      <c r="E6" t="s">
        <v>41</v>
      </c>
    </row>
    <row r="7" spans="1:168" x14ac:dyDescent="0.35">
      <c r="B7">
        <v>0</v>
      </c>
      <c r="C7">
        <v>1</v>
      </c>
      <c r="D7">
        <v>0</v>
      </c>
      <c r="E7">
        <v>0</v>
      </c>
    </row>
    <row r="8" spans="1:168" x14ac:dyDescent="0.35">
      <c r="A8" t="s">
        <v>42</v>
      </c>
      <c r="B8" t="s">
        <v>43</v>
      </c>
      <c r="C8" t="s">
        <v>45</v>
      </c>
      <c r="D8" t="s">
        <v>47</v>
      </c>
      <c r="E8" t="s">
        <v>48</v>
      </c>
      <c r="F8" t="s">
        <v>49</v>
      </c>
      <c r="G8" t="s">
        <v>50</v>
      </c>
      <c r="H8" t="s">
        <v>51</v>
      </c>
      <c r="I8" t="s">
        <v>52</v>
      </c>
      <c r="J8" t="s">
        <v>53</v>
      </c>
      <c r="K8" t="s">
        <v>54</v>
      </c>
      <c r="L8" t="s">
        <v>55</v>
      </c>
      <c r="M8" t="s">
        <v>56</v>
      </c>
      <c r="N8" t="s">
        <v>57</v>
      </c>
      <c r="O8" t="s">
        <v>58</v>
      </c>
      <c r="P8" t="s">
        <v>59</v>
      </c>
      <c r="Q8" t="s">
        <v>60</v>
      </c>
    </row>
    <row r="9" spans="1:168" x14ac:dyDescent="0.35">
      <c r="B9" t="s">
        <v>44</v>
      </c>
      <c r="C9" t="s">
        <v>46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68" x14ac:dyDescent="0.35">
      <c r="A10" t="s">
        <v>61</v>
      </c>
      <c r="B10" t="s">
        <v>62</v>
      </c>
      <c r="C10" t="s">
        <v>63</v>
      </c>
      <c r="D10" t="s">
        <v>64</v>
      </c>
      <c r="E10" t="s">
        <v>65</v>
      </c>
      <c r="F10" t="s">
        <v>66</v>
      </c>
    </row>
    <row r="11" spans="1:168" x14ac:dyDescent="0.35">
      <c r="B11">
        <v>0</v>
      </c>
      <c r="C11">
        <v>0</v>
      </c>
      <c r="D11">
        <v>0</v>
      </c>
      <c r="E11">
        <v>0</v>
      </c>
      <c r="F11">
        <v>1</v>
      </c>
    </row>
    <row r="12" spans="1:168" x14ac:dyDescent="0.35">
      <c r="A12" t="s">
        <v>67</v>
      </c>
      <c r="B12" t="s">
        <v>68</v>
      </c>
      <c r="C12" t="s">
        <v>69</v>
      </c>
      <c r="D12" t="s">
        <v>70</v>
      </c>
      <c r="E12" t="s">
        <v>71</v>
      </c>
      <c r="F12" t="s">
        <v>72</v>
      </c>
      <c r="G12" t="s">
        <v>74</v>
      </c>
      <c r="H12" t="s">
        <v>76</v>
      </c>
    </row>
    <row r="13" spans="1:168" x14ac:dyDescent="0.35">
      <c r="B13">
        <v>-6276</v>
      </c>
      <c r="C13">
        <v>6.6</v>
      </c>
      <c r="D13">
        <v>1.7090000000000001E-5</v>
      </c>
      <c r="E13">
        <v>3.11</v>
      </c>
      <c r="F13" t="s">
        <v>73</v>
      </c>
      <c r="G13" t="s">
        <v>75</v>
      </c>
      <c r="H13">
        <v>2</v>
      </c>
    </row>
    <row r="14" spans="1:168" x14ac:dyDescent="0.35">
      <c r="A14" t="s">
        <v>77</v>
      </c>
      <c r="B14" t="s">
        <v>77</v>
      </c>
      <c r="C14" t="s">
        <v>77</v>
      </c>
      <c r="D14" t="s">
        <v>77</v>
      </c>
      <c r="E14" t="s">
        <v>77</v>
      </c>
      <c r="F14" t="s">
        <v>78</v>
      </c>
      <c r="G14" t="s">
        <v>78</v>
      </c>
      <c r="H14" t="s">
        <v>78</v>
      </c>
      <c r="I14" t="s">
        <v>78</v>
      </c>
      <c r="J14" t="s">
        <v>78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79</v>
      </c>
      <c r="AH14" t="s">
        <v>79</v>
      </c>
      <c r="AI14" t="s">
        <v>79</v>
      </c>
      <c r="AJ14" t="s">
        <v>79</v>
      </c>
      <c r="AK14" t="s">
        <v>80</v>
      </c>
      <c r="AL14" t="s">
        <v>80</v>
      </c>
      <c r="AM14" t="s">
        <v>80</v>
      </c>
      <c r="AN14" t="s">
        <v>80</v>
      </c>
      <c r="AO14" t="s">
        <v>80</v>
      </c>
      <c r="AP14" t="s">
        <v>81</v>
      </c>
      <c r="AQ14" t="s">
        <v>81</v>
      </c>
      <c r="AR14" t="s">
        <v>81</v>
      </c>
      <c r="AS14" t="s">
        <v>81</v>
      </c>
      <c r="AT14" t="s">
        <v>81</v>
      </c>
      <c r="AU14" t="s">
        <v>81</v>
      </c>
      <c r="AV14" t="s">
        <v>81</v>
      </c>
      <c r="AW14" t="s">
        <v>81</v>
      </c>
      <c r="AX14" t="s">
        <v>81</v>
      </c>
      <c r="AY14" t="s">
        <v>81</v>
      </c>
      <c r="AZ14" t="s">
        <v>81</v>
      </c>
      <c r="BA14" t="s">
        <v>81</v>
      </c>
      <c r="BB14" t="s">
        <v>81</v>
      </c>
      <c r="BC14" t="s">
        <v>81</v>
      </c>
      <c r="BD14" t="s">
        <v>81</v>
      </c>
      <c r="BE14" t="s">
        <v>81</v>
      </c>
      <c r="BF14" t="s">
        <v>81</v>
      </c>
      <c r="BG14" t="s">
        <v>81</v>
      </c>
      <c r="BH14" t="s">
        <v>81</v>
      </c>
      <c r="BI14" t="s">
        <v>81</v>
      </c>
      <c r="BJ14" t="s">
        <v>81</v>
      </c>
      <c r="BK14" t="s">
        <v>81</v>
      </c>
      <c r="BL14" t="s">
        <v>81</v>
      </c>
      <c r="BM14" t="s">
        <v>81</v>
      </c>
      <c r="BN14" t="s">
        <v>82</v>
      </c>
      <c r="BO14" t="s">
        <v>82</v>
      </c>
      <c r="BP14" t="s">
        <v>82</v>
      </c>
      <c r="BQ14" t="s">
        <v>82</v>
      </c>
      <c r="BR14" t="s">
        <v>83</v>
      </c>
      <c r="BS14" t="s">
        <v>83</v>
      </c>
      <c r="BT14" t="s">
        <v>83</v>
      </c>
      <c r="BU14" t="s">
        <v>83</v>
      </c>
      <c r="BV14" t="s">
        <v>83</v>
      </c>
      <c r="BW14" t="s">
        <v>83</v>
      </c>
      <c r="BX14" t="s">
        <v>83</v>
      </c>
      <c r="BY14" t="s">
        <v>83</v>
      </c>
      <c r="BZ14" t="s">
        <v>83</v>
      </c>
      <c r="CA14" t="s">
        <v>83</v>
      </c>
      <c r="CB14" t="s">
        <v>83</v>
      </c>
      <c r="CC14" t="s">
        <v>83</v>
      </c>
      <c r="CD14" t="s">
        <v>83</v>
      </c>
      <c r="CE14" t="s">
        <v>83</v>
      </c>
      <c r="CF14" t="s">
        <v>84</v>
      </c>
      <c r="CG14" t="s">
        <v>84</v>
      </c>
      <c r="CH14" t="s">
        <v>84</v>
      </c>
      <c r="CI14" t="s">
        <v>84</v>
      </c>
      <c r="CJ14" t="s">
        <v>84</v>
      </c>
      <c r="CK14" t="s">
        <v>84</v>
      </c>
      <c r="CL14" t="s">
        <v>84</v>
      </c>
      <c r="CM14" t="s">
        <v>84</v>
      </c>
      <c r="CN14" t="s">
        <v>84</v>
      </c>
      <c r="CO14" t="s">
        <v>84</v>
      </c>
      <c r="CP14" t="s">
        <v>84</v>
      </c>
      <c r="CQ14" t="s">
        <v>84</v>
      </c>
      <c r="CR14" t="s">
        <v>84</v>
      </c>
      <c r="CS14" t="s">
        <v>84</v>
      </c>
      <c r="CT14" t="s">
        <v>84</v>
      </c>
      <c r="CU14" t="s">
        <v>84</v>
      </c>
      <c r="CV14" t="s">
        <v>84</v>
      </c>
      <c r="CW14" t="s">
        <v>85</v>
      </c>
      <c r="CX14" t="s">
        <v>85</v>
      </c>
      <c r="CY14" t="s">
        <v>85</v>
      </c>
      <c r="CZ14" t="s">
        <v>85</v>
      </c>
      <c r="DA14" t="s">
        <v>85</v>
      </c>
      <c r="DB14" t="s">
        <v>86</v>
      </c>
      <c r="DC14" t="s">
        <v>86</v>
      </c>
      <c r="DD14" t="s">
        <v>86</v>
      </c>
      <c r="DE14" t="s">
        <v>86</v>
      </c>
      <c r="DF14" t="s">
        <v>86</v>
      </c>
      <c r="DG14" t="s">
        <v>86</v>
      </c>
      <c r="DH14" t="s">
        <v>86</v>
      </c>
      <c r="DI14" t="s">
        <v>86</v>
      </c>
      <c r="DJ14" t="s">
        <v>86</v>
      </c>
      <c r="DK14" t="s">
        <v>87</v>
      </c>
      <c r="DL14" t="s">
        <v>87</v>
      </c>
      <c r="DM14" t="s">
        <v>87</v>
      </c>
      <c r="DN14" t="s">
        <v>87</v>
      </c>
      <c r="DO14" t="s">
        <v>87</v>
      </c>
      <c r="DP14" t="s">
        <v>87</v>
      </c>
      <c r="DQ14" t="s">
        <v>87</v>
      </c>
      <c r="DR14" t="s">
        <v>87</v>
      </c>
      <c r="DS14" t="s">
        <v>87</v>
      </c>
      <c r="DT14" t="s">
        <v>87</v>
      </c>
      <c r="DU14" t="s">
        <v>87</v>
      </c>
      <c r="DV14" t="s">
        <v>87</v>
      </c>
      <c r="DW14" t="s">
        <v>87</v>
      </c>
      <c r="DX14" t="s">
        <v>87</v>
      </c>
      <c r="DY14" t="s">
        <v>87</v>
      </c>
      <c r="DZ14" t="s">
        <v>88</v>
      </c>
      <c r="EA14" t="s">
        <v>88</v>
      </c>
      <c r="EB14" t="s">
        <v>88</v>
      </c>
      <c r="EC14" t="s">
        <v>88</v>
      </c>
      <c r="ED14" t="s">
        <v>88</v>
      </c>
      <c r="EE14" t="s">
        <v>88</v>
      </c>
      <c r="EF14" t="s">
        <v>88</v>
      </c>
      <c r="EG14" t="s">
        <v>88</v>
      </c>
      <c r="EH14" t="s">
        <v>88</v>
      </c>
      <c r="EI14" t="s">
        <v>88</v>
      </c>
      <c r="EJ14" t="s">
        <v>88</v>
      </c>
      <c r="EK14" t="s">
        <v>88</v>
      </c>
      <c r="EL14" t="s">
        <v>88</v>
      </c>
      <c r="EM14" t="s">
        <v>88</v>
      </c>
      <c r="EN14" t="s">
        <v>88</v>
      </c>
      <c r="EO14" t="s">
        <v>88</v>
      </c>
      <c r="EP14" t="s">
        <v>88</v>
      </c>
      <c r="EQ14" t="s">
        <v>88</v>
      </c>
      <c r="ER14" t="s">
        <v>88</v>
      </c>
      <c r="ES14" t="s">
        <v>89</v>
      </c>
      <c r="ET14" t="s">
        <v>89</v>
      </c>
      <c r="EU14" t="s">
        <v>89</v>
      </c>
      <c r="EV14" t="s">
        <v>89</v>
      </c>
      <c r="EW14" t="s">
        <v>89</v>
      </c>
      <c r="EX14" t="s">
        <v>89</v>
      </c>
      <c r="EY14" t="s">
        <v>89</v>
      </c>
      <c r="EZ14" t="s">
        <v>89</v>
      </c>
      <c r="FA14" t="s">
        <v>89</v>
      </c>
      <c r="FB14" t="s">
        <v>89</v>
      </c>
      <c r="FC14" t="s">
        <v>89</v>
      </c>
      <c r="FD14" t="s">
        <v>89</v>
      </c>
      <c r="FE14" t="s">
        <v>89</v>
      </c>
      <c r="FF14" t="s">
        <v>89</v>
      </c>
      <c r="FG14" t="s">
        <v>89</v>
      </c>
      <c r="FH14" t="s">
        <v>89</v>
      </c>
      <c r="FI14" t="s">
        <v>89</v>
      </c>
      <c r="FJ14" t="s">
        <v>89</v>
      </c>
      <c r="FK14" t="s">
        <v>89</v>
      </c>
      <c r="FL14" t="s">
        <v>89</v>
      </c>
    </row>
    <row r="15" spans="1:168" x14ac:dyDescent="0.35">
      <c r="A15" t="s">
        <v>90</v>
      </c>
      <c r="B15" t="s">
        <v>91</v>
      </c>
      <c r="C15" t="s">
        <v>92</v>
      </c>
      <c r="D15" t="s">
        <v>93</v>
      </c>
      <c r="E15" t="s">
        <v>94</v>
      </c>
      <c r="F15" t="s">
        <v>95</v>
      </c>
      <c r="G15" t="s">
        <v>96</v>
      </c>
      <c r="H15" t="s">
        <v>97</v>
      </c>
      <c r="I15" t="s">
        <v>98</v>
      </c>
      <c r="J15" t="s">
        <v>99</v>
      </c>
      <c r="K15" t="s">
        <v>100</v>
      </c>
      <c r="L15" t="s">
        <v>101</v>
      </c>
      <c r="M15" t="s">
        <v>102</v>
      </c>
      <c r="N15" t="s">
        <v>103</v>
      </c>
      <c r="O15" t="s">
        <v>104</v>
      </c>
      <c r="P15" t="s">
        <v>105</v>
      </c>
      <c r="Q15" t="s">
        <v>106</v>
      </c>
      <c r="R15" t="s">
        <v>107</v>
      </c>
      <c r="S15" t="s">
        <v>108</v>
      </c>
      <c r="T15" t="s">
        <v>109</v>
      </c>
      <c r="U15" t="s">
        <v>110</v>
      </c>
      <c r="V15" t="s">
        <v>111</v>
      </c>
      <c r="W15" t="s">
        <v>112</v>
      </c>
      <c r="X15" t="s">
        <v>113</v>
      </c>
      <c r="Y15" t="s">
        <v>114</v>
      </c>
      <c r="Z15" t="s">
        <v>115</v>
      </c>
      <c r="AA15" t="s">
        <v>116</v>
      </c>
      <c r="AB15" t="s">
        <v>117</v>
      </c>
      <c r="AC15" t="s">
        <v>118</v>
      </c>
      <c r="AD15" t="s">
        <v>119</v>
      </c>
      <c r="AE15" t="s">
        <v>120</v>
      </c>
      <c r="AF15" t="s">
        <v>121</v>
      </c>
      <c r="AG15" t="s">
        <v>122</v>
      </c>
      <c r="AH15" t="s">
        <v>123</v>
      </c>
      <c r="AI15" t="s">
        <v>124</v>
      </c>
      <c r="AJ15" t="s">
        <v>125</v>
      </c>
      <c r="AK15" t="s">
        <v>80</v>
      </c>
      <c r="AL15" t="s">
        <v>126</v>
      </c>
      <c r="AM15" t="s">
        <v>127</v>
      </c>
      <c r="AN15" t="s">
        <v>128</v>
      </c>
      <c r="AO15" t="s">
        <v>129</v>
      </c>
      <c r="AP15" t="s">
        <v>130</v>
      </c>
      <c r="AQ15" t="s">
        <v>131</v>
      </c>
      <c r="AR15" t="s">
        <v>132</v>
      </c>
      <c r="AS15" t="s">
        <v>133</v>
      </c>
      <c r="AT15" t="s">
        <v>134</v>
      </c>
      <c r="AU15" t="s">
        <v>135</v>
      </c>
      <c r="AV15" t="s">
        <v>136</v>
      </c>
      <c r="AW15" t="s">
        <v>137</v>
      </c>
      <c r="AX15" t="s">
        <v>138</v>
      </c>
      <c r="AY15" t="s">
        <v>139</v>
      </c>
      <c r="AZ15" t="s">
        <v>140</v>
      </c>
      <c r="BA15" t="s">
        <v>141</v>
      </c>
      <c r="BB15" t="s">
        <v>142</v>
      </c>
      <c r="BC15" t="s">
        <v>143</v>
      </c>
      <c r="BD15" t="s">
        <v>144</v>
      </c>
      <c r="BE15" t="s">
        <v>145</v>
      </c>
      <c r="BF15" t="s">
        <v>146</v>
      </c>
      <c r="BG15" t="s">
        <v>147</v>
      </c>
      <c r="BH15" t="s">
        <v>148</v>
      </c>
      <c r="BI15" t="s">
        <v>149</v>
      </c>
      <c r="BJ15" t="s">
        <v>150</v>
      </c>
      <c r="BK15" t="s">
        <v>151</v>
      </c>
      <c r="BL15" t="s">
        <v>152</v>
      </c>
      <c r="BM15" t="s">
        <v>153</v>
      </c>
      <c r="BN15" t="s">
        <v>154</v>
      </c>
      <c r="BO15" t="s">
        <v>155</v>
      </c>
      <c r="BP15" t="s">
        <v>156</v>
      </c>
      <c r="BQ15" t="s">
        <v>157</v>
      </c>
      <c r="BR15" t="s">
        <v>100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163</v>
      </c>
      <c r="BY15" t="s">
        <v>164</v>
      </c>
      <c r="BZ15" t="s">
        <v>165</v>
      </c>
      <c r="CA15" t="s">
        <v>166</v>
      </c>
      <c r="CB15" t="s">
        <v>167</v>
      </c>
      <c r="CC15" t="s">
        <v>168</v>
      </c>
      <c r="CD15" t="s">
        <v>169</v>
      </c>
      <c r="CE15" t="s">
        <v>170</v>
      </c>
      <c r="CF15" t="s">
        <v>171</v>
      </c>
      <c r="CG15" t="s">
        <v>172</v>
      </c>
      <c r="CH15" t="s">
        <v>173</v>
      </c>
      <c r="CI15" t="s">
        <v>174</v>
      </c>
      <c r="CJ15" t="s">
        <v>175</v>
      </c>
      <c r="CK15" t="s">
        <v>176</v>
      </c>
      <c r="CL15" t="s">
        <v>177</v>
      </c>
      <c r="CM15" t="s">
        <v>178</v>
      </c>
      <c r="CN15" t="s">
        <v>179</v>
      </c>
      <c r="CO15" t="s">
        <v>180</v>
      </c>
      <c r="CP15" t="s">
        <v>181</v>
      </c>
      <c r="CQ15" t="s">
        <v>182</v>
      </c>
      <c r="CR15" t="s">
        <v>183</v>
      </c>
      <c r="CS15" t="s">
        <v>184</v>
      </c>
      <c r="CT15" t="s">
        <v>185</v>
      </c>
      <c r="CU15" t="s">
        <v>186</v>
      </c>
      <c r="CV15" t="s">
        <v>187</v>
      </c>
      <c r="CW15" t="s">
        <v>188</v>
      </c>
      <c r="CX15" t="s">
        <v>189</v>
      </c>
      <c r="CY15" t="s">
        <v>190</v>
      </c>
      <c r="CZ15" t="s">
        <v>191</v>
      </c>
      <c r="DA15" t="s">
        <v>192</v>
      </c>
      <c r="DB15" t="s">
        <v>91</v>
      </c>
      <c r="DC15" t="s">
        <v>94</v>
      </c>
      <c r="DD15" t="s">
        <v>193</v>
      </c>
      <c r="DE15" t="s">
        <v>194</v>
      </c>
      <c r="DF15" t="s">
        <v>195</v>
      </c>
      <c r="DG15" t="s">
        <v>196</v>
      </c>
      <c r="DH15" t="s">
        <v>197</v>
      </c>
      <c r="DI15" t="s">
        <v>198</v>
      </c>
      <c r="DJ15" t="s">
        <v>199</v>
      </c>
      <c r="DK15" t="s">
        <v>200</v>
      </c>
      <c r="DL15" t="s">
        <v>201</v>
      </c>
      <c r="DM15" t="s">
        <v>202</v>
      </c>
      <c r="DN15" t="s">
        <v>203</v>
      </c>
      <c r="DO15" t="s">
        <v>204</v>
      </c>
      <c r="DP15" t="s">
        <v>205</v>
      </c>
      <c r="DQ15" t="s">
        <v>206</v>
      </c>
      <c r="DR15" t="s">
        <v>207</v>
      </c>
      <c r="DS15" t="s">
        <v>208</v>
      </c>
      <c r="DT15" t="s">
        <v>209</v>
      </c>
      <c r="DU15" t="s">
        <v>210</v>
      </c>
      <c r="DV15" t="s">
        <v>211</v>
      </c>
      <c r="DW15" t="s">
        <v>212</v>
      </c>
      <c r="DX15" t="s">
        <v>213</v>
      </c>
      <c r="DY15" t="s">
        <v>214</v>
      </c>
      <c r="DZ15" t="s">
        <v>215</v>
      </c>
      <c r="EA15" t="s">
        <v>216</v>
      </c>
      <c r="EB15" t="s">
        <v>217</v>
      </c>
      <c r="EC15" t="s">
        <v>218</v>
      </c>
      <c r="ED15" t="s">
        <v>219</v>
      </c>
      <c r="EE15" t="s">
        <v>220</v>
      </c>
      <c r="EF15" t="s">
        <v>221</v>
      </c>
      <c r="EG15" t="s">
        <v>222</v>
      </c>
      <c r="EH15" t="s">
        <v>223</v>
      </c>
      <c r="EI15" t="s">
        <v>224</v>
      </c>
      <c r="EJ15" t="s">
        <v>225</v>
      </c>
      <c r="EK15" t="s">
        <v>226</v>
      </c>
      <c r="EL15" t="s">
        <v>227</v>
      </c>
      <c r="EM15" t="s">
        <v>228</v>
      </c>
      <c r="EN15" t="s">
        <v>229</v>
      </c>
      <c r="EO15" t="s">
        <v>230</v>
      </c>
      <c r="EP15" t="s">
        <v>231</v>
      </c>
      <c r="EQ15" t="s">
        <v>232</v>
      </c>
      <c r="ER15" t="s">
        <v>233</v>
      </c>
      <c r="ES15" t="s">
        <v>234</v>
      </c>
      <c r="ET15" t="s">
        <v>235</v>
      </c>
      <c r="EU15" t="s">
        <v>236</v>
      </c>
      <c r="EV15" t="s">
        <v>237</v>
      </c>
      <c r="EW15" t="s">
        <v>238</v>
      </c>
      <c r="EX15" t="s">
        <v>239</v>
      </c>
      <c r="EY15" t="s">
        <v>240</v>
      </c>
      <c r="EZ15" t="s">
        <v>241</v>
      </c>
      <c r="FA15" t="s">
        <v>242</v>
      </c>
      <c r="FB15" t="s">
        <v>243</v>
      </c>
      <c r="FC15" t="s">
        <v>244</v>
      </c>
      <c r="FD15" t="s">
        <v>245</v>
      </c>
      <c r="FE15" t="s">
        <v>246</v>
      </c>
      <c r="FF15" t="s">
        <v>247</v>
      </c>
      <c r="FG15" t="s">
        <v>248</v>
      </c>
      <c r="FH15" t="s">
        <v>249</v>
      </c>
      <c r="FI15" t="s">
        <v>250</v>
      </c>
      <c r="FJ15" t="s">
        <v>251</v>
      </c>
      <c r="FK15" t="s">
        <v>252</v>
      </c>
      <c r="FL15" t="s">
        <v>253</v>
      </c>
    </row>
    <row r="16" spans="1:168" x14ac:dyDescent="0.35">
      <c r="B16" t="s">
        <v>254</v>
      </c>
      <c r="C16" t="s">
        <v>254</v>
      </c>
      <c r="K16" t="s">
        <v>254</v>
      </c>
      <c r="L16" t="s">
        <v>255</v>
      </c>
      <c r="M16" t="s">
        <v>256</v>
      </c>
      <c r="N16" t="s">
        <v>257</v>
      </c>
      <c r="O16" t="s">
        <v>257</v>
      </c>
      <c r="P16" t="s">
        <v>163</v>
      </c>
      <c r="Q16" t="s">
        <v>163</v>
      </c>
      <c r="R16" t="s">
        <v>255</v>
      </c>
      <c r="S16" t="s">
        <v>255</v>
      </c>
      <c r="T16" t="s">
        <v>255</v>
      </c>
      <c r="U16" t="s">
        <v>255</v>
      </c>
      <c r="V16" t="s">
        <v>258</v>
      </c>
      <c r="W16" t="s">
        <v>259</v>
      </c>
      <c r="X16" t="s">
        <v>259</v>
      </c>
      <c r="Y16" t="s">
        <v>260</v>
      </c>
      <c r="Z16" t="s">
        <v>261</v>
      </c>
      <c r="AA16" t="s">
        <v>260</v>
      </c>
      <c r="AB16" t="s">
        <v>260</v>
      </c>
      <c r="AC16" t="s">
        <v>260</v>
      </c>
      <c r="AD16" t="s">
        <v>258</v>
      </c>
      <c r="AE16" t="s">
        <v>258</v>
      </c>
      <c r="AF16" t="s">
        <v>258</v>
      </c>
      <c r="AG16" t="s">
        <v>258</v>
      </c>
      <c r="AK16" t="s">
        <v>262</v>
      </c>
      <c r="AL16" t="s">
        <v>261</v>
      </c>
      <c r="AN16" t="s">
        <v>261</v>
      </c>
      <c r="AO16" t="s">
        <v>262</v>
      </c>
      <c r="AU16" t="s">
        <v>256</v>
      </c>
      <c r="BA16" t="s">
        <v>256</v>
      </c>
      <c r="BB16" t="s">
        <v>256</v>
      </c>
      <c r="BC16" t="s">
        <v>256</v>
      </c>
      <c r="BE16" t="s">
        <v>263</v>
      </c>
      <c r="BN16" t="s">
        <v>256</v>
      </c>
      <c r="BO16" t="s">
        <v>256</v>
      </c>
      <c r="BQ16" t="s">
        <v>264</v>
      </c>
      <c r="BR16" t="s">
        <v>254</v>
      </c>
      <c r="BS16" t="s">
        <v>257</v>
      </c>
      <c r="BT16" t="s">
        <v>257</v>
      </c>
      <c r="BU16" t="s">
        <v>265</v>
      </c>
      <c r="BV16" t="s">
        <v>265</v>
      </c>
      <c r="BW16" t="s">
        <v>262</v>
      </c>
      <c r="BX16" t="s">
        <v>260</v>
      </c>
      <c r="BY16" t="s">
        <v>260</v>
      </c>
      <c r="BZ16" t="s">
        <v>259</v>
      </c>
      <c r="CA16" t="s">
        <v>259</v>
      </c>
      <c r="CB16" t="s">
        <v>259</v>
      </c>
      <c r="CC16" t="s">
        <v>266</v>
      </c>
      <c r="CD16" t="s">
        <v>256</v>
      </c>
      <c r="CE16" t="s">
        <v>256</v>
      </c>
      <c r="CF16" t="s">
        <v>256</v>
      </c>
      <c r="CK16" t="s">
        <v>256</v>
      </c>
      <c r="CN16" t="s">
        <v>259</v>
      </c>
      <c r="CO16" t="s">
        <v>259</v>
      </c>
      <c r="CP16" t="s">
        <v>259</v>
      </c>
      <c r="CQ16" t="s">
        <v>259</v>
      </c>
      <c r="CR16" t="s">
        <v>259</v>
      </c>
      <c r="CS16" t="s">
        <v>256</v>
      </c>
      <c r="CT16" t="s">
        <v>256</v>
      </c>
      <c r="CU16" t="s">
        <v>256</v>
      </c>
      <c r="CV16" t="s">
        <v>254</v>
      </c>
      <c r="CX16" t="s">
        <v>267</v>
      </c>
      <c r="CY16" t="s">
        <v>267</v>
      </c>
      <c r="DA16" t="s">
        <v>254</v>
      </c>
      <c r="DB16" t="s">
        <v>268</v>
      </c>
      <c r="DE16" t="s">
        <v>269</v>
      </c>
      <c r="DF16" t="s">
        <v>270</v>
      </c>
      <c r="DG16" t="s">
        <v>269</v>
      </c>
      <c r="DH16" t="s">
        <v>270</v>
      </c>
      <c r="DI16" t="s">
        <v>261</v>
      </c>
      <c r="DJ16" t="s">
        <v>261</v>
      </c>
      <c r="DK16" t="s">
        <v>256</v>
      </c>
      <c r="DL16" t="s">
        <v>271</v>
      </c>
      <c r="DM16" t="s">
        <v>256</v>
      </c>
      <c r="DO16" t="s">
        <v>257</v>
      </c>
      <c r="DP16" t="s">
        <v>272</v>
      </c>
      <c r="DQ16" t="s">
        <v>257</v>
      </c>
      <c r="DS16" t="s">
        <v>255</v>
      </c>
      <c r="DT16" t="s">
        <v>273</v>
      </c>
      <c r="DU16" t="s">
        <v>255</v>
      </c>
      <c r="DZ16" t="s">
        <v>274</v>
      </c>
      <c r="EA16" t="s">
        <v>274</v>
      </c>
      <c r="EB16" t="s">
        <v>274</v>
      </c>
      <c r="EC16" t="s">
        <v>274</v>
      </c>
      <c r="ED16" t="s">
        <v>274</v>
      </c>
      <c r="EE16" t="s">
        <v>274</v>
      </c>
      <c r="EF16" t="s">
        <v>274</v>
      </c>
      <c r="EG16" t="s">
        <v>274</v>
      </c>
      <c r="EH16" t="s">
        <v>274</v>
      </c>
      <c r="EI16" t="s">
        <v>274</v>
      </c>
      <c r="EJ16" t="s">
        <v>274</v>
      </c>
      <c r="EK16" t="s">
        <v>274</v>
      </c>
      <c r="ER16" t="s">
        <v>274</v>
      </c>
      <c r="ES16" t="s">
        <v>261</v>
      </c>
      <c r="ET16" t="s">
        <v>261</v>
      </c>
      <c r="EU16" t="s">
        <v>269</v>
      </c>
      <c r="EV16" t="s">
        <v>270</v>
      </c>
      <c r="EX16" t="s">
        <v>262</v>
      </c>
      <c r="EY16" t="s">
        <v>262</v>
      </c>
      <c r="EZ16" t="s">
        <v>259</v>
      </c>
      <c r="FA16" t="s">
        <v>259</v>
      </c>
      <c r="FB16" t="s">
        <v>259</v>
      </c>
      <c r="FC16" t="s">
        <v>259</v>
      </c>
      <c r="FD16" t="s">
        <v>259</v>
      </c>
      <c r="FE16" t="s">
        <v>261</v>
      </c>
      <c r="FF16" t="s">
        <v>261</v>
      </c>
      <c r="FG16" t="s">
        <v>261</v>
      </c>
      <c r="FH16" t="s">
        <v>259</v>
      </c>
      <c r="FI16" t="s">
        <v>257</v>
      </c>
      <c r="FJ16" t="s">
        <v>265</v>
      </c>
      <c r="FK16" t="s">
        <v>261</v>
      </c>
      <c r="FL16" t="s">
        <v>261</v>
      </c>
    </row>
    <row r="17" spans="1:168" x14ac:dyDescent="0.35">
      <c r="A17">
        <v>1</v>
      </c>
      <c r="B17">
        <v>1561654949.4000001</v>
      </c>
      <c r="C17">
        <v>0</v>
      </c>
      <c r="D17" t="s">
        <v>275</v>
      </c>
      <c r="E17" t="s">
        <v>276</v>
      </c>
      <c r="F17" t="s">
        <v>277</v>
      </c>
      <c r="G17" t="s">
        <v>278</v>
      </c>
      <c r="H17" t="s">
        <v>277</v>
      </c>
      <c r="J17" t="s">
        <v>277</v>
      </c>
      <c r="K17">
        <v>1561654941.4000001</v>
      </c>
      <c r="L17">
        <f t="shared" ref="L17:L29" si="0">BW17*AM17*(BU17-BV17)/(100*$B$5*(1000-AM17*BU17))</f>
        <v>9.6335929447981979E-3</v>
      </c>
      <c r="M17">
        <f t="shared" ref="M17:M29" si="1">BW17*AM17*(BT17-BS17*(1000-AM17*BV17)/(1000-AM17*BU17))/(100*$B$5)</f>
        <v>34.630127051891577</v>
      </c>
      <c r="N17">
        <f t="shared" ref="N17:N29" si="2">BS17 - IF(AM17&gt;1, M17*$B$5*100/(AO17*CC17), 0)</f>
        <v>354.32670967741899</v>
      </c>
      <c r="O17">
        <f t="shared" ref="O17:O29" si="3">((U17-L17/2)*N17-M17)/(U17+L17/2)</f>
        <v>247.1109946337117</v>
      </c>
      <c r="P17">
        <f t="shared" ref="P17:P29" si="4">O17*(BX17+BY17)/1000</f>
        <v>24.670268033533471</v>
      </c>
      <c r="Q17">
        <f t="shared" ref="Q17:Q29" si="5">(BS17 - IF(AM17&gt;1, M17*$B$5*100/(AO17*CC17), 0))*(BX17+BY17)/1000</f>
        <v>35.374123729860955</v>
      </c>
      <c r="R17">
        <f t="shared" ref="R17:R29" si="6">2/((1/T17-1/S17)+SIGN(T17)*SQRT((1/T17-1/S17)*(1/T17-1/S17) + 4*$C$5/(($C$5+1)*($C$5+1))*(2*1/T17*1/S17-1/S17*1/S17)))</f>
        <v>0.63415882699443848</v>
      </c>
      <c r="S17">
        <f t="shared" ref="S17:S29" si="7">AJ17+AI17*$B$5+AH17*$B$5*$B$5</f>
        <v>2.2568190581712981</v>
      </c>
      <c r="T17">
        <f t="shared" ref="T17:T29" si="8">L17*(1000-(1000*0.61365*EXP(17.502*X17/(240.97+X17))/(BX17+BY17)+BU17)/2)/(1000*0.61365*EXP(17.502*X17/(240.97+X17))/(BX17+BY17)-BU17)</f>
        <v>0.54935198397709328</v>
      </c>
      <c r="U17">
        <f t="shared" ref="U17:U29" si="9">1/(($C$5+1)/(R17/1.6)+1/(S17/1.37)) + $C$5/(($C$5+1)/(R17/1.6) + $C$5/(S17/1.37))</f>
        <v>0.35001520112128159</v>
      </c>
      <c r="V17">
        <f t="shared" ref="V17:V29" si="10">(BO17*BQ17)</f>
        <v>353.33997869560807</v>
      </c>
      <c r="W17">
        <f t="shared" ref="W17:W29" si="11">(BZ17+(V17+2*0.95*0.0000000567*(((BZ17+$B$7)+273)^4-(BZ17+273)^4)-44100*L17)/(1.84*29.3*S17+8*0.95*0.0000000567*(BZ17+273)^3))</f>
        <v>25.674334886728985</v>
      </c>
      <c r="X17">
        <f t="shared" ref="X17:X29" si="12">($C$7*CA17+$D$7*CB17+$E$7*W17)</f>
        <v>27.053061290322599</v>
      </c>
      <c r="Y17">
        <f t="shared" ref="Y17:Y29" si="13">0.61365*EXP(17.502*X17/(240.97+X17))</f>
        <v>3.5903290444257698</v>
      </c>
      <c r="Z17">
        <f t="shared" ref="Z17:Z29" si="14">(AA17/AB17*100)</f>
        <v>55.248215611405904</v>
      </c>
      <c r="AA17">
        <f t="shared" ref="AA17:AA29" si="15">BU17*(BX17+BY17)/1000</f>
        <v>1.8876296803934915</v>
      </c>
      <c r="AB17">
        <f t="shared" ref="AB17:AB29" si="16">0.61365*EXP(17.502*BZ17/(240.97+BZ17))</f>
        <v>3.4166346541765837</v>
      </c>
      <c r="AC17">
        <f t="shared" ref="AC17:AC29" si="17">(Y17-BU17*(BX17+BY17)/1000)</f>
        <v>1.7026993640322783</v>
      </c>
      <c r="AD17">
        <f t="shared" ref="AD17:AD29" si="18">(-L17*44100)</f>
        <v>-424.84144886560051</v>
      </c>
      <c r="AE17">
        <f t="shared" ref="AE17:AE29" si="19">2*29.3*S17*0.92*(BZ17-X17)</f>
        <v>-102.44347277595308</v>
      </c>
      <c r="AF17">
        <f t="shared" ref="AF17:AF29" si="20">2*0.95*0.0000000567*(((BZ17+$B$7)+273)^4-(X17+273)^4)</f>
        <v>-9.7603300751253332</v>
      </c>
      <c r="AG17">
        <f t="shared" ref="AG17:AG29" si="21">V17+AF17+AD17+AE17</f>
        <v>-183.70527302107087</v>
      </c>
      <c r="AH17">
        <v>-4.1367578427613301E-2</v>
      </c>
      <c r="AI17">
        <v>4.6438730783906201E-2</v>
      </c>
      <c r="AJ17">
        <v>3.4674194968619401</v>
      </c>
      <c r="AK17">
        <v>0</v>
      </c>
      <c r="AL17">
        <v>0</v>
      </c>
      <c r="AM17">
        <f t="shared" ref="AM17:AM29" si="22">IF(AK17*$H$13&gt;=AO17,1,(AO17/(AO17-AK17*$H$13)))</f>
        <v>1</v>
      </c>
      <c r="AN17">
        <f t="shared" ref="AN17:AN29" si="23">(AM17-1)*100</f>
        <v>0</v>
      </c>
      <c r="AO17">
        <f t="shared" ref="AO17:AO29" si="24">MAX(0,($B$13+$C$13*CC17)/(1+$D$13*CC17)*BX17/(BZ17+273)*$E$13)</f>
        <v>52888.76628162156</v>
      </c>
      <c r="AP17" t="s">
        <v>279</v>
      </c>
      <c r="AQ17">
        <v>585.08461538461495</v>
      </c>
      <c r="AR17">
        <v>3491.65</v>
      </c>
      <c r="AS17">
        <f t="shared" ref="AS17:AS29" si="25">AR17-AQ17</f>
        <v>2906.565384615385</v>
      </c>
      <c r="AT17">
        <f t="shared" ref="AT17:AT29" si="26">AS17/AR17</f>
        <v>0.83243320052564973</v>
      </c>
      <c r="AU17">
        <v>-24.085636743186001</v>
      </c>
      <c r="AV17" t="s">
        <v>280</v>
      </c>
      <c r="AW17">
        <v>848.60526923076895</v>
      </c>
      <c r="AX17">
        <v>1240.53</v>
      </c>
      <c r="AY17">
        <f t="shared" ref="AY17:AY29" si="27">1-AW17/AX17</f>
        <v>0.31593329526027669</v>
      </c>
      <c r="AZ17">
        <v>0.5</v>
      </c>
      <c r="BA17">
        <f t="shared" ref="BA17:BA29" si="28">BO17</f>
        <v>1849.1835484140711</v>
      </c>
      <c r="BB17">
        <f t="shared" ref="BB17:BB29" si="29">M17</f>
        <v>34.630127051891577</v>
      </c>
      <c r="BC17">
        <f t="shared" ref="BC17:BC29" si="30">AY17*AZ17*BA17</f>
        <v>292.10932599577444</v>
      </c>
      <c r="BD17">
        <f t="shared" ref="BD17:BD29" si="31">BI17/AX17</f>
        <v>0.52778248006900275</v>
      </c>
      <c r="BE17">
        <f t="shared" ref="BE17:BE29" si="32">(BB17-AU17)/BA17</f>
        <v>3.1752263773617506E-2</v>
      </c>
      <c r="BF17">
        <f t="shared" ref="BF17:BF29" si="33">(AR17-AX17)/AX17</f>
        <v>1.8146437409816771</v>
      </c>
      <c r="BG17" t="s">
        <v>281</v>
      </c>
      <c r="BH17">
        <v>585.79999999999995</v>
      </c>
      <c r="BI17">
        <f t="shared" ref="BI17:BI29" si="34">AX17-BH17</f>
        <v>654.73</v>
      </c>
      <c r="BJ17">
        <f t="shared" ref="BJ17:BJ29" si="35">(AX17-AW17)/(AX17-BH17)</f>
        <v>0.59860512084253203</v>
      </c>
      <c r="BK17">
        <f t="shared" ref="BK17:BK29" si="36">(AR17-AX17)/(AR17-BH17)</f>
        <v>0.77468554811845058</v>
      </c>
      <c r="BL17">
        <f t="shared" ref="BL17:BL29" si="37">(AX17-AW17)/(AX17-AQ17)</f>
        <v>0.59795177442467184</v>
      </c>
      <c r="BM17">
        <f t="shared" ref="BM17:BM29" si="38">(AR17-AX17)/(AR17-AQ17)</f>
        <v>0.77449487698274577</v>
      </c>
      <c r="BN17">
        <f t="shared" ref="BN17:BN29" si="39">$B$11*CD17+$C$11*CE17+$F$11*CF17</f>
        <v>2199.9961290322599</v>
      </c>
      <c r="BO17">
        <f t="shared" ref="BO17:BO29" si="40">BN17*BP17</f>
        <v>1849.1835484140711</v>
      </c>
      <c r="BP17">
        <f t="shared" ref="BP17:BP29" si="41">($B$11*$D$9+$C$11*$D$9+$F$11*((CS17+CK17)/MAX(CS17+CK17+CT17, 0.1)*$I$9+CT17/MAX(CS17+CK17+CT17, 0.1)*$J$9))/($B$11+$C$11+$F$11)</f>
        <v>0.84053945550690345</v>
      </c>
      <c r="BQ17">
        <f t="shared" ref="BQ17:BQ29" si="42">($B$11*$K$9+$C$11*$K$9+$F$11*((CS17+CK17)/MAX(CS17+CK17+CT17, 0.1)*$P$9+CT17/MAX(CS17+CK17+CT17, 0.1)*$Q$9))/($B$11+$C$11+$F$11)</f>
        <v>0.19107891101380695</v>
      </c>
      <c r="BR17">
        <v>1561654941.4000001</v>
      </c>
      <c r="BS17">
        <v>354.32670967741899</v>
      </c>
      <c r="BT17">
        <v>399.97738709677401</v>
      </c>
      <c r="BU17">
        <v>18.9075387096774</v>
      </c>
      <c r="BV17">
        <v>7.5662022580645196</v>
      </c>
      <c r="BW17">
        <v>500.01754838709701</v>
      </c>
      <c r="BX17">
        <v>99.734761290322595</v>
      </c>
      <c r="BY17">
        <v>0.100003529032258</v>
      </c>
      <c r="BZ17">
        <v>26.211080645161299</v>
      </c>
      <c r="CA17">
        <v>27.053061290322599</v>
      </c>
      <c r="CB17">
        <v>999.9</v>
      </c>
      <c r="CC17">
        <v>10002.523225806501</v>
      </c>
      <c r="CD17">
        <v>0</v>
      </c>
      <c r="CE17">
        <v>1734.0025806451599</v>
      </c>
      <c r="CF17">
        <v>2199.9961290322599</v>
      </c>
      <c r="CG17">
        <v>0.98200200000000004</v>
      </c>
      <c r="CH17">
        <v>1.7998199999999999E-2</v>
      </c>
      <c r="CI17">
        <v>0</v>
      </c>
      <c r="CJ17">
        <v>848.56745161290303</v>
      </c>
      <c r="CK17">
        <v>1.9999499999999999</v>
      </c>
      <c r="CL17">
        <v>19340.151612903199</v>
      </c>
      <c r="CM17">
        <v>17938.216129032298</v>
      </c>
      <c r="CN17">
        <v>48.110709677419401</v>
      </c>
      <c r="CO17">
        <v>49.227645161290297</v>
      </c>
      <c r="CP17">
        <v>48.183</v>
      </c>
      <c r="CQ17">
        <v>48.4898387096774</v>
      </c>
      <c r="CR17">
        <v>49.2458064516129</v>
      </c>
      <c r="CS17">
        <v>2158.4361290322599</v>
      </c>
      <c r="CT17">
        <v>39.56</v>
      </c>
      <c r="CU17">
        <v>0</v>
      </c>
      <c r="CV17">
        <v>1926.9000000953699</v>
      </c>
      <c r="CW17">
        <v>848.60526923076895</v>
      </c>
      <c r="CX17">
        <v>2.1804102741091298</v>
      </c>
      <c r="CY17">
        <v>49.935042730957903</v>
      </c>
      <c r="CZ17">
        <v>19340.376923076899</v>
      </c>
      <c r="DA17">
        <v>15</v>
      </c>
      <c r="DB17">
        <v>1561654903.4000001</v>
      </c>
      <c r="DC17" t="s">
        <v>282</v>
      </c>
      <c r="DD17">
        <v>50</v>
      </c>
      <c r="DE17">
        <v>0.47399999999999998</v>
      </c>
      <c r="DF17">
        <v>1.0999999999999999E-2</v>
      </c>
      <c r="DG17">
        <v>400</v>
      </c>
      <c r="DH17">
        <v>8</v>
      </c>
      <c r="DI17">
        <v>0.03</v>
      </c>
      <c r="DJ17">
        <v>0.01</v>
      </c>
      <c r="DK17">
        <v>34.614695495023099</v>
      </c>
      <c r="DL17">
        <v>0.119815905532804</v>
      </c>
      <c r="DM17">
        <v>0.26246155444855901</v>
      </c>
      <c r="DN17">
        <v>1</v>
      </c>
      <c r="DO17">
        <v>354.36402739725997</v>
      </c>
      <c r="DP17">
        <v>-0.12629026286561701</v>
      </c>
      <c r="DQ17">
        <v>6.8879480333653001E-2</v>
      </c>
      <c r="DR17">
        <v>1</v>
      </c>
      <c r="DS17">
        <v>0.62461829282889703</v>
      </c>
      <c r="DT17">
        <v>6.4974619151795102E-2</v>
      </c>
      <c r="DU17">
        <v>1.6264942599502601E-2</v>
      </c>
      <c r="DV17">
        <v>1</v>
      </c>
      <c r="DW17">
        <v>3</v>
      </c>
      <c r="DX17">
        <v>3</v>
      </c>
      <c r="DY17" t="s">
        <v>283</v>
      </c>
      <c r="DZ17">
        <v>1.8672200000000001</v>
      </c>
      <c r="EA17">
        <v>1.86371</v>
      </c>
      <c r="EB17">
        <v>1.8693500000000001</v>
      </c>
      <c r="EC17">
        <v>1.8672500000000001</v>
      </c>
      <c r="ED17">
        <v>1.87195</v>
      </c>
      <c r="EE17">
        <v>1.8644400000000001</v>
      </c>
      <c r="EF17">
        <v>1.8658399999999999</v>
      </c>
      <c r="EG17">
        <v>1.86582</v>
      </c>
      <c r="EH17" t="s">
        <v>284</v>
      </c>
      <c r="EI17" t="s">
        <v>19</v>
      </c>
      <c r="EJ17" t="s">
        <v>19</v>
      </c>
      <c r="EK17" t="s">
        <v>19</v>
      </c>
      <c r="EL17" t="s">
        <v>285</v>
      </c>
      <c r="EM17" t="s">
        <v>286</v>
      </c>
      <c r="EN17" t="s">
        <v>287</v>
      </c>
      <c r="EO17" t="s">
        <v>287</v>
      </c>
      <c r="EP17" t="s">
        <v>287</v>
      </c>
      <c r="EQ17" t="s">
        <v>287</v>
      </c>
      <c r="ER17">
        <v>0</v>
      </c>
      <c r="ES17">
        <v>100</v>
      </c>
      <c r="ET17">
        <v>100</v>
      </c>
      <c r="EU17">
        <v>0.47399999999999998</v>
      </c>
      <c r="EV17">
        <v>1.0999999999999999E-2</v>
      </c>
      <c r="EW17">
        <v>2</v>
      </c>
      <c r="EX17">
        <v>510.959</v>
      </c>
      <c r="EY17">
        <v>458.51400000000001</v>
      </c>
      <c r="EZ17">
        <v>19.044</v>
      </c>
      <c r="FA17">
        <v>36.4985</v>
      </c>
      <c r="FB17">
        <v>30.001300000000001</v>
      </c>
      <c r="FC17">
        <v>36.273000000000003</v>
      </c>
      <c r="FD17">
        <v>36.239199999999997</v>
      </c>
      <c r="FE17">
        <v>21.480499999999999</v>
      </c>
      <c r="FF17">
        <v>82.843999999999994</v>
      </c>
      <c r="FG17">
        <v>0</v>
      </c>
      <c r="FH17">
        <v>18.446899999999999</v>
      </c>
      <c r="FI17">
        <v>400</v>
      </c>
      <c r="FJ17">
        <v>7.47844</v>
      </c>
      <c r="FK17">
        <v>100.264</v>
      </c>
      <c r="FL17">
        <v>100.523</v>
      </c>
    </row>
    <row r="18" spans="1:168" x14ac:dyDescent="0.35">
      <c r="A18">
        <v>2</v>
      </c>
      <c r="B18">
        <v>1561655089.9000001</v>
      </c>
      <c r="C18">
        <v>140.5</v>
      </c>
      <c r="D18" t="s">
        <v>288</v>
      </c>
      <c r="E18" t="s">
        <v>289</v>
      </c>
      <c r="F18" t="s">
        <v>277</v>
      </c>
      <c r="G18" t="s">
        <v>278</v>
      </c>
      <c r="H18" t="s">
        <v>277</v>
      </c>
      <c r="J18" t="s">
        <v>277</v>
      </c>
      <c r="K18">
        <v>1561655081.9000001</v>
      </c>
      <c r="L18">
        <f t="shared" si="0"/>
        <v>9.1026942765275645E-3</v>
      </c>
      <c r="M18">
        <f t="shared" si="1"/>
        <v>25.577290275697592</v>
      </c>
      <c r="N18">
        <f t="shared" si="2"/>
        <v>266.39883870967702</v>
      </c>
      <c r="O18">
        <f t="shared" si="3"/>
        <v>180.3584594408506</v>
      </c>
      <c r="P18">
        <f t="shared" si="4"/>
        <v>18.004012826680331</v>
      </c>
      <c r="Q18">
        <f t="shared" si="5"/>
        <v>26.592864698507373</v>
      </c>
      <c r="R18">
        <f t="shared" si="6"/>
        <v>0.57514914597361866</v>
      </c>
      <c r="S18">
        <f t="shared" si="7"/>
        <v>2.2564857628269364</v>
      </c>
      <c r="T18">
        <f t="shared" si="8"/>
        <v>0.50444464648848286</v>
      </c>
      <c r="U18">
        <f t="shared" si="9"/>
        <v>0.32090325566634448</v>
      </c>
      <c r="V18">
        <f t="shared" si="10"/>
        <v>353.3353767263801</v>
      </c>
      <c r="W18">
        <f t="shared" si="11"/>
        <v>26.001784974981391</v>
      </c>
      <c r="X18">
        <f t="shared" si="12"/>
        <v>27.2549322580645</v>
      </c>
      <c r="Y18">
        <f t="shared" si="13"/>
        <v>3.6331012483989262</v>
      </c>
      <c r="Z18">
        <f t="shared" si="14"/>
        <v>54.578910548347395</v>
      </c>
      <c r="AA18">
        <f t="shared" si="15"/>
        <v>1.8815438642203703</v>
      </c>
      <c r="AB18">
        <f t="shared" si="16"/>
        <v>3.4473825976310954</v>
      </c>
      <c r="AC18">
        <f t="shared" si="17"/>
        <v>1.7515573841785559</v>
      </c>
      <c r="AD18">
        <f t="shared" si="18"/>
        <v>-401.42881759486562</v>
      </c>
      <c r="AE18">
        <f t="shared" si="19"/>
        <v>-108.52780083171885</v>
      </c>
      <c r="AF18">
        <f t="shared" si="20"/>
        <v>-10.359863135384654</v>
      </c>
      <c r="AG18">
        <f t="shared" si="21"/>
        <v>-166.98110483558904</v>
      </c>
      <c r="AH18">
        <v>-4.1358581552104499E-2</v>
      </c>
      <c r="AI18">
        <v>4.6428631002977998E-2</v>
      </c>
      <c r="AJ18">
        <v>3.46682291268483</v>
      </c>
      <c r="AK18">
        <v>0</v>
      </c>
      <c r="AL18">
        <v>0</v>
      </c>
      <c r="AM18">
        <f t="shared" si="22"/>
        <v>1</v>
      </c>
      <c r="AN18">
        <f t="shared" si="23"/>
        <v>0</v>
      </c>
      <c r="AO18">
        <f t="shared" si="24"/>
        <v>52850.689725494369</v>
      </c>
      <c r="AP18" t="s">
        <v>279</v>
      </c>
      <c r="AQ18">
        <v>585.08461538461495</v>
      </c>
      <c r="AR18">
        <v>3491.65</v>
      </c>
      <c r="AS18">
        <f t="shared" si="25"/>
        <v>2906.565384615385</v>
      </c>
      <c r="AT18">
        <f t="shared" si="26"/>
        <v>0.83243320052564973</v>
      </c>
      <c r="AU18">
        <v>-24.085636743186001</v>
      </c>
      <c r="AV18" t="s">
        <v>290</v>
      </c>
      <c r="AW18">
        <v>801.96003846153906</v>
      </c>
      <c r="AX18">
        <v>1126.03</v>
      </c>
      <c r="AY18">
        <f t="shared" si="27"/>
        <v>0.28779869234253164</v>
      </c>
      <c r="AZ18">
        <v>0.5</v>
      </c>
      <c r="BA18">
        <f t="shared" si="28"/>
        <v>1849.1565000269832</v>
      </c>
      <c r="BB18">
        <f t="shared" si="29"/>
        <v>25.577290275697592</v>
      </c>
      <c r="BC18">
        <f t="shared" si="30"/>
        <v>266.09241132222917</v>
      </c>
      <c r="BD18">
        <f t="shared" si="31"/>
        <v>0.49521771178387786</v>
      </c>
      <c r="BE18">
        <f t="shared" si="32"/>
        <v>2.6857070787766696E-2</v>
      </c>
      <c r="BF18">
        <f t="shared" si="33"/>
        <v>2.1008498885464864</v>
      </c>
      <c r="BG18" t="s">
        <v>291</v>
      </c>
      <c r="BH18">
        <v>568.4</v>
      </c>
      <c r="BI18">
        <f t="shared" si="34"/>
        <v>557.63</v>
      </c>
      <c r="BJ18">
        <f t="shared" si="35"/>
        <v>0.58115589465857453</v>
      </c>
      <c r="BK18">
        <f t="shared" si="36"/>
        <v>0.80924313691952443</v>
      </c>
      <c r="BL18">
        <f t="shared" si="37"/>
        <v>0.59908074041314974</v>
      </c>
      <c r="BM18">
        <f t="shared" si="38"/>
        <v>0.81388845147656419</v>
      </c>
      <c r="BN18">
        <f t="shared" si="39"/>
        <v>2199.9635483871002</v>
      </c>
      <c r="BO18">
        <f t="shared" si="40"/>
        <v>1849.1565000269832</v>
      </c>
      <c r="BP18">
        <f t="shared" si="41"/>
        <v>0.84053960865973865</v>
      </c>
      <c r="BQ18">
        <f t="shared" si="42"/>
        <v>0.19107921731947738</v>
      </c>
      <c r="BR18">
        <v>1561655081.9000001</v>
      </c>
      <c r="BS18">
        <v>266.39883870967702</v>
      </c>
      <c r="BT18">
        <v>300.00058064516099</v>
      </c>
      <c r="BU18">
        <v>18.848706451612902</v>
      </c>
      <c r="BV18">
        <v>8.1316629032258092</v>
      </c>
      <c r="BW18">
        <v>500.01403225806501</v>
      </c>
      <c r="BX18">
        <v>99.723532258064495</v>
      </c>
      <c r="BY18">
        <v>9.9968577419354804E-2</v>
      </c>
      <c r="BZ18">
        <v>26.362812903225802</v>
      </c>
      <c r="CA18">
        <v>27.2549322580645</v>
      </c>
      <c r="CB18">
        <v>999.9</v>
      </c>
      <c r="CC18">
        <v>10001.4738709677</v>
      </c>
      <c r="CD18">
        <v>0</v>
      </c>
      <c r="CE18">
        <v>157.25677419354801</v>
      </c>
      <c r="CF18">
        <v>2199.9635483871002</v>
      </c>
      <c r="CG18">
        <v>0.98199632258064495</v>
      </c>
      <c r="CH18">
        <v>1.8003664516129E-2</v>
      </c>
      <c r="CI18">
        <v>0</v>
      </c>
      <c r="CJ18">
        <v>801.96387096774197</v>
      </c>
      <c r="CK18">
        <v>1.9999499999999999</v>
      </c>
      <c r="CL18">
        <v>18289.545161290302</v>
      </c>
      <c r="CM18">
        <v>17937.938709677401</v>
      </c>
      <c r="CN18">
        <v>48.586322580645103</v>
      </c>
      <c r="CO18">
        <v>49.441064516129003</v>
      </c>
      <c r="CP18">
        <v>47.939290322580597</v>
      </c>
      <c r="CQ18">
        <v>48.997806451612902</v>
      </c>
      <c r="CR18">
        <v>49.755935483870999</v>
      </c>
      <c r="CS18">
        <v>2158.3929032258102</v>
      </c>
      <c r="CT18">
        <v>39.570645161290301</v>
      </c>
      <c r="CU18">
        <v>0</v>
      </c>
      <c r="CV18">
        <v>139.59999990463299</v>
      </c>
      <c r="CW18">
        <v>801.96003846153906</v>
      </c>
      <c r="CX18">
        <v>-2.0878974412889701</v>
      </c>
      <c r="CY18">
        <v>-9.0905982682651594</v>
      </c>
      <c r="CZ18">
        <v>18289.480769230799</v>
      </c>
      <c r="DA18">
        <v>15</v>
      </c>
      <c r="DB18">
        <v>1561655029.4000001</v>
      </c>
      <c r="DC18" t="s">
        <v>292</v>
      </c>
      <c r="DD18">
        <v>51</v>
      </c>
      <c r="DE18">
        <v>0.38600000000000001</v>
      </c>
      <c r="DF18">
        <v>1.4E-2</v>
      </c>
      <c r="DG18">
        <v>300</v>
      </c>
      <c r="DH18">
        <v>8</v>
      </c>
      <c r="DI18">
        <v>0.04</v>
      </c>
      <c r="DJ18">
        <v>0.02</v>
      </c>
      <c r="DK18">
        <v>25.638351987947399</v>
      </c>
      <c r="DL18">
        <v>-0.34770418187589403</v>
      </c>
      <c r="DM18">
        <v>7.4078912460085702E-2</v>
      </c>
      <c r="DN18">
        <v>0</v>
      </c>
      <c r="DO18">
        <v>266.30232876712302</v>
      </c>
      <c r="DP18">
        <v>0.58296186597539801</v>
      </c>
      <c r="DQ18">
        <v>0.10531505958405001</v>
      </c>
      <c r="DR18">
        <v>1</v>
      </c>
      <c r="DS18">
        <v>0.585918311963882</v>
      </c>
      <c r="DT18">
        <v>-5.47068098369849E-2</v>
      </c>
      <c r="DU18">
        <v>1.1100651971248101E-2</v>
      </c>
      <c r="DV18">
        <v>1</v>
      </c>
      <c r="DW18">
        <v>2</v>
      </c>
      <c r="DX18">
        <v>3</v>
      </c>
      <c r="DY18" t="s">
        <v>293</v>
      </c>
      <c r="DZ18">
        <v>1.8672200000000001</v>
      </c>
      <c r="EA18">
        <v>1.86371</v>
      </c>
      <c r="EB18">
        <v>1.8693500000000001</v>
      </c>
      <c r="EC18">
        <v>1.86724</v>
      </c>
      <c r="ED18">
        <v>1.87195</v>
      </c>
      <c r="EE18">
        <v>1.8644400000000001</v>
      </c>
      <c r="EF18">
        <v>1.8658399999999999</v>
      </c>
      <c r="EG18">
        <v>1.86582</v>
      </c>
      <c r="EH18" t="s">
        <v>284</v>
      </c>
      <c r="EI18" t="s">
        <v>19</v>
      </c>
      <c r="EJ18" t="s">
        <v>19</v>
      </c>
      <c r="EK18" t="s">
        <v>19</v>
      </c>
      <c r="EL18" t="s">
        <v>285</v>
      </c>
      <c r="EM18" t="s">
        <v>286</v>
      </c>
      <c r="EN18" t="s">
        <v>287</v>
      </c>
      <c r="EO18" t="s">
        <v>287</v>
      </c>
      <c r="EP18" t="s">
        <v>287</v>
      </c>
      <c r="EQ18" t="s">
        <v>287</v>
      </c>
      <c r="ER18">
        <v>0</v>
      </c>
      <c r="ES18">
        <v>100</v>
      </c>
      <c r="ET18">
        <v>100</v>
      </c>
      <c r="EU18">
        <v>0.38600000000000001</v>
      </c>
      <c r="EV18">
        <v>1.4E-2</v>
      </c>
      <c r="EW18">
        <v>2</v>
      </c>
      <c r="EX18">
        <v>510.45800000000003</v>
      </c>
      <c r="EY18">
        <v>456.88499999999999</v>
      </c>
      <c r="EZ18">
        <v>19.328900000000001</v>
      </c>
      <c r="FA18">
        <v>36.945</v>
      </c>
      <c r="FB18">
        <v>30.001100000000001</v>
      </c>
      <c r="FC18">
        <v>36.642000000000003</v>
      </c>
      <c r="FD18">
        <v>36.594799999999999</v>
      </c>
      <c r="FE18">
        <v>17.008199999999999</v>
      </c>
      <c r="FF18">
        <v>81.952299999999994</v>
      </c>
      <c r="FG18">
        <v>0</v>
      </c>
      <c r="FH18">
        <v>16.986000000000001</v>
      </c>
      <c r="FI18">
        <v>300</v>
      </c>
      <c r="FJ18">
        <v>8.17164</v>
      </c>
      <c r="FK18">
        <v>100.18</v>
      </c>
      <c r="FL18">
        <v>100.429</v>
      </c>
    </row>
    <row r="19" spans="1:168" x14ac:dyDescent="0.35">
      <c r="A19">
        <v>3</v>
      </c>
      <c r="B19">
        <v>1561655228.9000001</v>
      </c>
      <c r="C19">
        <v>279.5</v>
      </c>
      <c r="D19" t="s">
        <v>294</v>
      </c>
      <c r="E19" t="s">
        <v>295</v>
      </c>
      <c r="F19" t="s">
        <v>277</v>
      </c>
      <c r="G19" t="s">
        <v>278</v>
      </c>
      <c r="H19" t="s">
        <v>277</v>
      </c>
      <c r="J19" t="s">
        <v>277</v>
      </c>
      <c r="K19">
        <v>1561655220.9000001</v>
      </c>
      <c r="L19">
        <f t="shared" si="0"/>
        <v>8.2322370898613769E-3</v>
      </c>
      <c r="M19">
        <f t="shared" si="1"/>
        <v>15.490677949865796</v>
      </c>
      <c r="N19">
        <f t="shared" si="2"/>
        <v>179.63116129032301</v>
      </c>
      <c r="O19">
        <f t="shared" si="3"/>
        <v>121.68438565431497</v>
      </c>
      <c r="P19">
        <f t="shared" si="4"/>
        <v>12.1462591979918</v>
      </c>
      <c r="Q19">
        <f t="shared" si="5"/>
        <v>17.93037482448074</v>
      </c>
      <c r="R19">
        <f t="shared" si="6"/>
        <v>0.51135480331969585</v>
      </c>
      <c r="S19">
        <f t="shared" si="7"/>
        <v>2.257245918475336</v>
      </c>
      <c r="T19">
        <f t="shared" si="8"/>
        <v>0.45465727218155516</v>
      </c>
      <c r="U19">
        <f t="shared" si="9"/>
        <v>0.28872923949411233</v>
      </c>
      <c r="V19">
        <f t="shared" si="10"/>
        <v>353.33939826829783</v>
      </c>
      <c r="W19">
        <f t="shared" si="11"/>
        <v>26.107239202902512</v>
      </c>
      <c r="X19">
        <f t="shared" si="12"/>
        <v>27.234283870967701</v>
      </c>
      <c r="Y19">
        <f t="shared" si="13"/>
        <v>3.6287059678363001</v>
      </c>
      <c r="Z19">
        <f t="shared" si="14"/>
        <v>54.866376199872469</v>
      </c>
      <c r="AA19">
        <f t="shared" si="15"/>
        <v>1.871150974326766</v>
      </c>
      <c r="AB19">
        <f t="shared" si="16"/>
        <v>3.410378275230642</v>
      </c>
      <c r="AC19">
        <f t="shared" si="17"/>
        <v>1.757554993509534</v>
      </c>
      <c r="AD19">
        <f t="shared" si="18"/>
        <v>-363.04165566288674</v>
      </c>
      <c r="AE19">
        <f t="shared" si="19"/>
        <v>-128.29113104926239</v>
      </c>
      <c r="AF19">
        <f t="shared" si="20"/>
        <v>-12.229866561795518</v>
      </c>
      <c r="AG19">
        <f t="shared" si="21"/>
        <v>-150.22325500564682</v>
      </c>
      <c r="AH19">
        <v>-4.1379102737686503E-2</v>
      </c>
      <c r="AI19">
        <v>4.6451667831548402E-2</v>
      </c>
      <c r="AJ19">
        <v>3.4681836100427601</v>
      </c>
      <c r="AK19">
        <v>0</v>
      </c>
      <c r="AL19">
        <v>0</v>
      </c>
      <c r="AM19">
        <f t="shared" si="22"/>
        <v>1</v>
      </c>
      <c r="AN19">
        <f t="shared" si="23"/>
        <v>0</v>
      </c>
      <c r="AO19">
        <f t="shared" si="24"/>
        <v>52908.011158842652</v>
      </c>
      <c r="AP19" t="s">
        <v>279</v>
      </c>
      <c r="AQ19">
        <v>585.08461538461495</v>
      </c>
      <c r="AR19">
        <v>3491.65</v>
      </c>
      <c r="AS19">
        <f t="shared" si="25"/>
        <v>2906.565384615385</v>
      </c>
      <c r="AT19">
        <f t="shared" si="26"/>
        <v>0.83243320052564973</v>
      </c>
      <c r="AU19">
        <v>-24.085636743186001</v>
      </c>
      <c r="AV19" t="s">
        <v>296</v>
      </c>
      <c r="AW19">
        <v>766.52949999999998</v>
      </c>
      <c r="AX19">
        <v>1018.39</v>
      </c>
      <c r="AY19">
        <f t="shared" si="27"/>
        <v>0.24731242451320223</v>
      </c>
      <c r="AZ19">
        <v>0.5</v>
      </c>
      <c r="BA19">
        <f t="shared" si="28"/>
        <v>1849.1756908718623</v>
      </c>
      <c r="BB19">
        <f t="shared" si="29"/>
        <v>15.490677949865796</v>
      </c>
      <c r="BC19">
        <f t="shared" si="30"/>
        <v>228.66206173019802</v>
      </c>
      <c r="BD19">
        <f t="shared" si="31"/>
        <v>0.43577607792692385</v>
      </c>
      <c r="BE19">
        <f t="shared" si="32"/>
        <v>2.1402138741285357E-2</v>
      </c>
      <c r="BF19">
        <f t="shared" si="33"/>
        <v>2.4285980812851662</v>
      </c>
      <c r="BG19" t="s">
        <v>297</v>
      </c>
      <c r="BH19">
        <v>574.6</v>
      </c>
      <c r="BI19">
        <f t="shared" si="34"/>
        <v>443.78999999999996</v>
      </c>
      <c r="BJ19">
        <f t="shared" si="35"/>
        <v>0.5675218008517543</v>
      </c>
      <c r="BK19">
        <f t="shared" si="36"/>
        <v>0.84786342366431844</v>
      </c>
      <c r="BL19">
        <f t="shared" si="37"/>
        <v>0.58125402762663336</v>
      </c>
      <c r="BM19">
        <f t="shared" si="38"/>
        <v>0.85092185198760895</v>
      </c>
      <c r="BN19">
        <f t="shared" si="39"/>
        <v>2199.9861290322601</v>
      </c>
      <c r="BO19">
        <f t="shared" si="40"/>
        <v>1849.1756908718623</v>
      </c>
      <c r="BP19">
        <f t="shared" si="41"/>
        <v>0.84053970453226723</v>
      </c>
      <c r="BQ19">
        <f t="shared" si="42"/>
        <v>0.19107940906453452</v>
      </c>
      <c r="BR19">
        <v>1561655220.9000001</v>
      </c>
      <c r="BS19">
        <v>179.63116129032301</v>
      </c>
      <c r="BT19">
        <v>199.99361290322599</v>
      </c>
      <c r="BU19">
        <v>18.745677419354799</v>
      </c>
      <c r="BV19">
        <v>9.0525951612903199</v>
      </c>
      <c r="BW19">
        <v>500.02164516129</v>
      </c>
      <c r="BX19">
        <v>99.7177419354839</v>
      </c>
      <c r="BY19">
        <v>9.9988438709677399E-2</v>
      </c>
      <c r="BZ19">
        <v>26.180061290322602</v>
      </c>
      <c r="CA19">
        <v>27.234283870967701</v>
      </c>
      <c r="CB19">
        <v>999.9</v>
      </c>
      <c r="CC19">
        <v>10007.017419354799</v>
      </c>
      <c r="CD19">
        <v>0</v>
      </c>
      <c r="CE19">
        <v>836.25480645161304</v>
      </c>
      <c r="CF19">
        <v>2199.9861290322601</v>
      </c>
      <c r="CG19">
        <v>0.98199409677419303</v>
      </c>
      <c r="CH19">
        <v>1.80056032258064E-2</v>
      </c>
      <c r="CI19">
        <v>0</v>
      </c>
      <c r="CJ19">
        <v>766.54287096774203</v>
      </c>
      <c r="CK19">
        <v>1.9999499999999999</v>
      </c>
      <c r="CL19">
        <v>17509.474193548402</v>
      </c>
      <c r="CM19">
        <v>17938.0935483871</v>
      </c>
      <c r="CN19">
        <v>48.624935483870999</v>
      </c>
      <c r="CO19">
        <v>49.116870967741903</v>
      </c>
      <c r="CP19">
        <v>48.3223870967742</v>
      </c>
      <c r="CQ19">
        <v>48.806064516128998</v>
      </c>
      <c r="CR19">
        <v>49.733741935483899</v>
      </c>
      <c r="CS19">
        <v>2158.40709677419</v>
      </c>
      <c r="CT19">
        <v>39.578064516128997</v>
      </c>
      <c r="CU19">
        <v>0</v>
      </c>
      <c r="CV19">
        <v>138.5</v>
      </c>
      <c r="CW19">
        <v>766.52949999999998</v>
      </c>
      <c r="CX19">
        <v>-1.97234184901083</v>
      </c>
      <c r="CY19">
        <v>33.890598330354202</v>
      </c>
      <c r="CZ19">
        <v>17509.257692307699</v>
      </c>
      <c r="DA19">
        <v>15</v>
      </c>
      <c r="DB19">
        <v>1561655269.4000001</v>
      </c>
      <c r="DC19" t="s">
        <v>298</v>
      </c>
      <c r="DD19">
        <v>52</v>
      </c>
      <c r="DE19">
        <v>0.249</v>
      </c>
      <c r="DF19">
        <v>0.03</v>
      </c>
      <c r="DG19">
        <v>200</v>
      </c>
      <c r="DH19">
        <v>9</v>
      </c>
      <c r="DI19">
        <v>0.06</v>
      </c>
      <c r="DJ19">
        <v>0.02</v>
      </c>
      <c r="DK19">
        <v>15.434176968578299</v>
      </c>
      <c r="DL19">
        <v>-0.29298200792718498</v>
      </c>
      <c r="DM19">
        <v>6.3245740114782595E-2</v>
      </c>
      <c r="DN19">
        <v>1</v>
      </c>
      <c r="DO19">
        <v>179.71493150684901</v>
      </c>
      <c r="DP19">
        <v>0.31494261384676497</v>
      </c>
      <c r="DQ19">
        <v>5.8350224792590499E-2</v>
      </c>
      <c r="DR19">
        <v>1</v>
      </c>
      <c r="DS19">
        <v>0.51398181013930899</v>
      </c>
      <c r="DT19">
        <v>-1.7940301572193802E-2</v>
      </c>
      <c r="DU19">
        <v>3.5193092909531899E-3</v>
      </c>
      <c r="DV19">
        <v>1</v>
      </c>
      <c r="DW19">
        <v>3</v>
      </c>
      <c r="DX19">
        <v>3</v>
      </c>
      <c r="DY19" t="s">
        <v>283</v>
      </c>
      <c r="DZ19">
        <v>1.8672200000000001</v>
      </c>
      <c r="EA19">
        <v>1.86371</v>
      </c>
      <c r="EB19">
        <v>1.8693500000000001</v>
      </c>
      <c r="EC19">
        <v>1.8672599999999999</v>
      </c>
      <c r="ED19">
        <v>1.87195</v>
      </c>
      <c r="EE19">
        <v>1.86446</v>
      </c>
      <c r="EF19">
        <v>1.8658399999999999</v>
      </c>
      <c r="EG19">
        <v>1.8658300000000001</v>
      </c>
      <c r="EH19" t="s">
        <v>284</v>
      </c>
      <c r="EI19" t="s">
        <v>19</v>
      </c>
      <c r="EJ19" t="s">
        <v>19</v>
      </c>
      <c r="EK19" t="s">
        <v>19</v>
      </c>
      <c r="EL19" t="s">
        <v>285</v>
      </c>
      <c r="EM19" t="s">
        <v>286</v>
      </c>
      <c r="EN19" t="s">
        <v>287</v>
      </c>
      <c r="EO19" t="s">
        <v>287</v>
      </c>
      <c r="EP19" t="s">
        <v>287</v>
      </c>
      <c r="EQ19" t="s">
        <v>287</v>
      </c>
      <c r="ER19">
        <v>0</v>
      </c>
      <c r="ES19">
        <v>100</v>
      </c>
      <c r="ET19">
        <v>100</v>
      </c>
      <c r="EU19">
        <v>0.249</v>
      </c>
      <c r="EV19">
        <v>0.03</v>
      </c>
      <c r="EW19">
        <v>2</v>
      </c>
      <c r="EX19">
        <v>510.5</v>
      </c>
      <c r="EY19">
        <v>457.16</v>
      </c>
      <c r="EZ19">
        <v>19.0063</v>
      </c>
      <c r="FA19">
        <v>37.0565</v>
      </c>
      <c r="FB19">
        <v>30.0001</v>
      </c>
      <c r="FC19">
        <v>36.796100000000003</v>
      </c>
      <c r="FD19">
        <v>36.741500000000002</v>
      </c>
      <c r="FE19">
        <v>12.3323</v>
      </c>
      <c r="FF19">
        <v>80.268699999999995</v>
      </c>
      <c r="FG19">
        <v>0</v>
      </c>
      <c r="FH19">
        <v>16.872599999999998</v>
      </c>
      <c r="FI19">
        <v>200</v>
      </c>
      <c r="FJ19">
        <v>9.1768099999999997</v>
      </c>
      <c r="FK19">
        <v>100.158</v>
      </c>
      <c r="FL19">
        <v>100.411</v>
      </c>
    </row>
    <row r="20" spans="1:168" x14ac:dyDescent="0.35">
      <c r="A20">
        <v>4</v>
      </c>
      <c r="B20">
        <v>1561655410.9000001</v>
      </c>
      <c r="C20">
        <v>461.5</v>
      </c>
      <c r="D20" t="s">
        <v>299</v>
      </c>
      <c r="E20" t="s">
        <v>300</v>
      </c>
      <c r="F20" t="s">
        <v>277</v>
      </c>
      <c r="G20" t="s">
        <v>278</v>
      </c>
      <c r="H20" t="s">
        <v>277</v>
      </c>
      <c r="J20" t="s">
        <v>277</v>
      </c>
      <c r="K20">
        <v>1561655402.9000001</v>
      </c>
      <c r="L20">
        <f t="shared" si="0"/>
        <v>8.6689946488016246E-3</v>
      </c>
      <c r="M20">
        <f t="shared" si="1"/>
        <v>5.8736514734547809</v>
      </c>
      <c r="N20">
        <f t="shared" si="2"/>
        <v>91.978122580645106</v>
      </c>
      <c r="O20">
        <f t="shared" si="3"/>
        <v>70.725050967720506</v>
      </c>
      <c r="P20">
        <f t="shared" si="4"/>
        <v>7.058961672265025</v>
      </c>
      <c r="Q20">
        <f t="shared" si="5"/>
        <v>9.1801989973821332</v>
      </c>
      <c r="R20">
        <f t="shared" si="6"/>
        <v>0.55244140513501028</v>
      </c>
      <c r="S20">
        <f t="shared" si="7"/>
        <v>2.2575966472221829</v>
      </c>
      <c r="T20">
        <f t="shared" si="8"/>
        <v>0.48689861624386283</v>
      </c>
      <c r="U20">
        <f t="shared" si="9"/>
        <v>0.30954998240682002</v>
      </c>
      <c r="V20">
        <f t="shared" si="10"/>
        <v>353.34926117064362</v>
      </c>
      <c r="W20">
        <f t="shared" si="11"/>
        <v>25.888421047061108</v>
      </c>
      <c r="X20">
        <f t="shared" si="12"/>
        <v>27.145064516129001</v>
      </c>
      <c r="Y20">
        <f t="shared" si="13"/>
        <v>3.6097677623261313</v>
      </c>
      <c r="Z20">
        <f t="shared" si="14"/>
        <v>55.416077263635465</v>
      </c>
      <c r="AA20">
        <f t="shared" si="15"/>
        <v>1.8816112042391957</v>
      </c>
      <c r="AB20">
        <f t="shared" si="16"/>
        <v>3.3954247524371883</v>
      </c>
      <c r="AC20">
        <f t="shared" si="17"/>
        <v>1.7281565580869356</v>
      </c>
      <c r="AD20">
        <f t="shared" si="18"/>
        <v>-382.30266401215164</v>
      </c>
      <c r="AE20">
        <f t="shared" si="19"/>
        <v>-126.50031102819493</v>
      </c>
      <c r="AF20">
        <f t="shared" si="20"/>
        <v>-12.047407529374796</v>
      </c>
      <c r="AG20">
        <f t="shared" si="21"/>
        <v>-167.50112139907776</v>
      </c>
      <c r="AH20">
        <v>-4.1388573147669902E-2</v>
      </c>
      <c r="AI20">
        <v>4.6462299196408201E-2</v>
      </c>
      <c r="AJ20">
        <v>3.4688114853598502</v>
      </c>
      <c r="AK20">
        <v>0</v>
      </c>
      <c r="AL20">
        <v>0</v>
      </c>
      <c r="AM20">
        <f t="shared" si="22"/>
        <v>1</v>
      </c>
      <c r="AN20">
        <f t="shared" si="23"/>
        <v>0</v>
      </c>
      <c r="AO20">
        <f t="shared" si="24"/>
        <v>52932.573822924758</v>
      </c>
      <c r="AP20" t="s">
        <v>279</v>
      </c>
      <c r="AQ20">
        <v>585.08461538461495</v>
      </c>
      <c r="AR20">
        <v>3491.65</v>
      </c>
      <c r="AS20">
        <f t="shared" si="25"/>
        <v>2906.565384615385</v>
      </c>
      <c r="AT20">
        <f t="shared" si="26"/>
        <v>0.83243320052564973</v>
      </c>
      <c r="AU20">
        <v>-24.085636743186001</v>
      </c>
      <c r="AV20" t="s">
        <v>301</v>
      </c>
      <c r="AW20">
        <v>757.03757692307704</v>
      </c>
      <c r="AX20">
        <v>955.61599999999999</v>
      </c>
      <c r="AY20">
        <f t="shared" si="27"/>
        <v>0.20780148414941035</v>
      </c>
      <c r="AZ20">
        <v>0.5</v>
      </c>
      <c r="BA20">
        <f t="shared" si="28"/>
        <v>1849.227948414077</v>
      </c>
      <c r="BB20">
        <f t="shared" si="29"/>
        <v>5.8736514734547809</v>
      </c>
      <c r="BC20">
        <f t="shared" si="30"/>
        <v>192.13615610550721</v>
      </c>
      <c r="BD20">
        <f t="shared" si="31"/>
        <v>0.38741084284901051</v>
      </c>
      <c r="BE20">
        <f t="shared" si="32"/>
        <v>1.6200970919963802E-2</v>
      </c>
      <c r="BF20">
        <f t="shared" si="33"/>
        <v>2.6538212001473398</v>
      </c>
      <c r="BG20" t="s">
        <v>302</v>
      </c>
      <c r="BH20">
        <v>585.4</v>
      </c>
      <c r="BI20">
        <f t="shared" si="34"/>
        <v>370.21600000000001</v>
      </c>
      <c r="BJ20">
        <f t="shared" si="35"/>
        <v>0.53638530770394299</v>
      </c>
      <c r="BK20">
        <f t="shared" si="36"/>
        <v>0.87261384946236564</v>
      </c>
      <c r="BL20">
        <f t="shared" si="37"/>
        <v>0.5359287534659154</v>
      </c>
      <c r="BM20">
        <f t="shared" si="38"/>
        <v>0.87251916417341635</v>
      </c>
      <c r="BN20">
        <f t="shared" si="39"/>
        <v>2200.0483870967701</v>
      </c>
      <c r="BO20">
        <f t="shared" si="40"/>
        <v>1849.227948414077</v>
      </c>
      <c r="BP20">
        <f t="shared" si="41"/>
        <v>0.84053967142711661</v>
      </c>
      <c r="BQ20">
        <f t="shared" si="42"/>
        <v>0.19107934285423317</v>
      </c>
      <c r="BR20">
        <v>1561655402.9000001</v>
      </c>
      <c r="BS20">
        <v>91.978122580645106</v>
      </c>
      <c r="BT20">
        <v>99.982964516129101</v>
      </c>
      <c r="BU20">
        <v>18.852212903225801</v>
      </c>
      <c r="BV20">
        <v>8.6460058064516101</v>
      </c>
      <c r="BW20">
        <v>500.02306451612901</v>
      </c>
      <c r="BX20">
        <v>99.708483870967797</v>
      </c>
      <c r="BY20">
        <v>0.100022106451613</v>
      </c>
      <c r="BZ20">
        <v>26.105719354838701</v>
      </c>
      <c r="CA20">
        <v>27.145064516129001</v>
      </c>
      <c r="CB20">
        <v>999.9</v>
      </c>
      <c r="CC20">
        <v>10010.237096774201</v>
      </c>
      <c r="CD20">
        <v>0</v>
      </c>
      <c r="CE20">
        <v>1289.3451935483899</v>
      </c>
      <c r="CF20">
        <v>2200.0483870967701</v>
      </c>
      <c r="CG20">
        <v>0.98199477419354797</v>
      </c>
      <c r="CH20">
        <v>1.8005129032258101E-2</v>
      </c>
      <c r="CI20">
        <v>0</v>
      </c>
      <c r="CJ20">
        <v>757.02564516129098</v>
      </c>
      <c r="CK20">
        <v>1.9999499999999999</v>
      </c>
      <c r="CL20">
        <v>17292.5709677419</v>
      </c>
      <c r="CM20">
        <v>17938.635483870999</v>
      </c>
      <c r="CN20">
        <v>48.632935483871002</v>
      </c>
      <c r="CO20">
        <v>49.070129032258002</v>
      </c>
      <c r="CP20">
        <v>48.259741935483802</v>
      </c>
      <c r="CQ20">
        <v>48.804193548387097</v>
      </c>
      <c r="CR20">
        <v>49.749870967741899</v>
      </c>
      <c r="CS20">
        <v>2158.4716129032299</v>
      </c>
      <c r="CT20">
        <v>39.576774193548403</v>
      </c>
      <c r="CU20">
        <v>0</v>
      </c>
      <c r="CV20">
        <v>181.30000019073501</v>
      </c>
      <c r="CW20">
        <v>757.03757692307704</v>
      </c>
      <c r="CX20">
        <v>-0.54902562307800595</v>
      </c>
      <c r="CY20">
        <v>9.6752136448993191</v>
      </c>
      <c r="CZ20">
        <v>17292.738461538502</v>
      </c>
      <c r="DA20">
        <v>15</v>
      </c>
      <c r="DB20">
        <v>1561655371.9000001</v>
      </c>
      <c r="DC20" t="s">
        <v>303</v>
      </c>
      <c r="DD20">
        <v>53</v>
      </c>
      <c r="DE20">
        <v>0.312</v>
      </c>
      <c r="DF20">
        <v>2.5000000000000001E-2</v>
      </c>
      <c r="DG20">
        <v>100</v>
      </c>
      <c r="DH20">
        <v>9</v>
      </c>
      <c r="DI20">
        <v>0.17</v>
      </c>
      <c r="DJ20">
        <v>0.01</v>
      </c>
      <c r="DK20">
        <v>5.1248312751475096</v>
      </c>
      <c r="DL20">
        <v>5.8847907933231198</v>
      </c>
      <c r="DM20">
        <v>1.8201867370714699</v>
      </c>
      <c r="DN20">
        <v>0</v>
      </c>
      <c r="DO20">
        <v>92.259291780821897</v>
      </c>
      <c r="DP20">
        <v>-2.50928582006041</v>
      </c>
      <c r="DQ20">
        <v>1.0313509916016199</v>
      </c>
      <c r="DR20">
        <v>0</v>
      </c>
      <c r="DS20">
        <v>0.47175567344771402</v>
      </c>
      <c r="DT20">
        <v>0.60430182235566798</v>
      </c>
      <c r="DU20">
        <v>0.173089739767957</v>
      </c>
      <c r="DV20">
        <v>1</v>
      </c>
      <c r="DW20">
        <v>1</v>
      </c>
      <c r="DX20">
        <v>3</v>
      </c>
      <c r="DY20" t="s">
        <v>304</v>
      </c>
      <c r="DZ20">
        <v>1.8672200000000001</v>
      </c>
      <c r="EA20">
        <v>1.86371</v>
      </c>
      <c r="EB20">
        <v>1.8693500000000001</v>
      </c>
      <c r="EC20">
        <v>1.8672599999999999</v>
      </c>
      <c r="ED20">
        <v>1.87195</v>
      </c>
      <c r="EE20">
        <v>1.8644499999999999</v>
      </c>
      <c r="EF20">
        <v>1.8658399999999999</v>
      </c>
      <c r="EG20">
        <v>1.86581</v>
      </c>
      <c r="EH20" t="s">
        <v>284</v>
      </c>
      <c r="EI20" t="s">
        <v>19</v>
      </c>
      <c r="EJ20" t="s">
        <v>19</v>
      </c>
      <c r="EK20" t="s">
        <v>19</v>
      </c>
      <c r="EL20" t="s">
        <v>285</v>
      </c>
      <c r="EM20" t="s">
        <v>286</v>
      </c>
      <c r="EN20" t="s">
        <v>287</v>
      </c>
      <c r="EO20" t="s">
        <v>287</v>
      </c>
      <c r="EP20" t="s">
        <v>287</v>
      </c>
      <c r="EQ20" t="s">
        <v>287</v>
      </c>
      <c r="ER20">
        <v>0</v>
      </c>
      <c r="ES20">
        <v>100</v>
      </c>
      <c r="ET20">
        <v>100</v>
      </c>
      <c r="EU20">
        <v>0.312</v>
      </c>
      <c r="EV20">
        <v>2.5000000000000001E-2</v>
      </c>
      <c r="EW20">
        <v>2</v>
      </c>
      <c r="EX20">
        <v>510.87299999999999</v>
      </c>
      <c r="EY20">
        <v>456.42399999999998</v>
      </c>
      <c r="EZ20">
        <v>18.867999999999999</v>
      </c>
      <c r="FA20">
        <v>37.070500000000003</v>
      </c>
      <c r="FB20">
        <v>29.999600000000001</v>
      </c>
      <c r="FC20">
        <v>36.882100000000001</v>
      </c>
      <c r="FD20">
        <v>36.826099999999997</v>
      </c>
      <c r="FE20">
        <v>7.4668599999999996</v>
      </c>
      <c r="FF20">
        <v>82.855599999999995</v>
      </c>
      <c r="FG20">
        <v>0</v>
      </c>
      <c r="FH20">
        <v>17.040199999999999</v>
      </c>
      <c r="FI20">
        <v>100</v>
      </c>
      <c r="FJ20">
        <v>8.6253299999999999</v>
      </c>
      <c r="FK20">
        <v>100.157</v>
      </c>
      <c r="FL20">
        <v>100.41500000000001</v>
      </c>
    </row>
    <row r="21" spans="1:168" x14ac:dyDescent="0.35">
      <c r="A21">
        <v>5</v>
      </c>
      <c r="B21">
        <v>1561655534.9000001</v>
      </c>
      <c r="C21">
        <v>585.5</v>
      </c>
      <c r="D21" t="s">
        <v>305</v>
      </c>
      <c r="E21" t="s">
        <v>306</v>
      </c>
      <c r="F21" t="s">
        <v>277</v>
      </c>
      <c r="G21" t="s">
        <v>278</v>
      </c>
      <c r="H21" t="s">
        <v>277</v>
      </c>
      <c r="J21" t="s">
        <v>277</v>
      </c>
      <c r="K21">
        <v>1561655526.9000001</v>
      </c>
      <c r="L21">
        <f t="shared" si="0"/>
        <v>9.6386431436918524E-3</v>
      </c>
      <c r="M21">
        <f t="shared" si="1"/>
        <v>0.79154743116018633</v>
      </c>
      <c r="N21">
        <f t="shared" si="2"/>
        <v>48.493477419354797</v>
      </c>
      <c r="O21">
        <f t="shared" si="3"/>
        <v>44.934012689618065</v>
      </c>
      <c r="P21">
        <f t="shared" si="4"/>
        <v>4.4845731042163033</v>
      </c>
      <c r="Q21">
        <f t="shared" si="5"/>
        <v>4.839820250796472</v>
      </c>
      <c r="R21">
        <f t="shared" si="6"/>
        <v>0.63188323383029987</v>
      </c>
      <c r="S21">
        <f t="shared" si="7"/>
        <v>2.2551214419422512</v>
      </c>
      <c r="T21">
        <f t="shared" si="8"/>
        <v>0.54758648537722276</v>
      </c>
      <c r="U21">
        <f t="shared" si="9"/>
        <v>0.34887395828687684</v>
      </c>
      <c r="V21">
        <f t="shared" si="10"/>
        <v>353.3446543647816</v>
      </c>
      <c r="W21">
        <f t="shared" si="11"/>
        <v>25.741044028891</v>
      </c>
      <c r="X21">
        <f t="shared" si="12"/>
        <v>27.188087096774201</v>
      </c>
      <c r="Y21">
        <f t="shared" si="13"/>
        <v>3.6188891809442545</v>
      </c>
      <c r="Z21">
        <f t="shared" si="14"/>
        <v>55.70023969703135</v>
      </c>
      <c r="AA21">
        <f t="shared" si="15"/>
        <v>1.9108097409402158</v>
      </c>
      <c r="AB21">
        <f t="shared" si="16"/>
        <v>3.4305233717729511</v>
      </c>
      <c r="AC21">
        <f t="shared" si="17"/>
        <v>1.7080794400040387</v>
      </c>
      <c r="AD21">
        <f t="shared" si="18"/>
        <v>-425.06416263681069</v>
      </c>
      <c r="AE21">
        <f t="shared" si="19"/>
        <v>-110.43214006187135</v>
      </c>
      <c r="AF21">
        <f t="shared" si="20"/>
        <v>-10.540117804186716</v>
      </c>
      <c r="AG21">
        <f t="shared" si="21"/>
        <v>-192.69176613808713</v>
      </c>
      <c r="AH21">
        <v>-4.1321766101484698E-2</v>
      </c>
      <c r="AI21">
        <v>4.6387302434446699E-2</v>
      </c>
      <c r="AJ21">
        <v>3.4643812069890201</v>
      </c>
      <c r="AK21">
        <v>0</v>
      </c>
      <c r="AL21">
        <v>0</v>
      </c>
      <c r="AM21">
        <f t="shared" si="22"/>
        <v>1</v>
      </c>
      <c r="AN21">
        <f t="shared" si="23"/>
        <v>0</v>
      </c>
      <c r="AO21">
        <f t="shared" si="24"/>
        <v>52819.785557536008</v>
      </c>
      <c r="AP21" t="s">
        <v>279</v>
      </c>
      <c r="AQ21">
        <v>585.08461538461495</v>
      </c>
      <c r="AR21">
        <v>3491.65</v>
      </c>
      <c r="AS21">
        <f t="shared" si="25"/>
        <v>2906.565384615385</v>
      </c>
      <c r="AT21">
        <f t="shared" si="26"/>
        <v>0.83243320052564973</v>
      </c>
      <c r="AU21">
        <v>-24.085636743186001</v>
      </c>
      <c r="AV21" t="s">
        <v>307</v>
      </c>
      <c r="AW21">
        <v>757.51407692307703</v>
      </c>
      <c r="AX21">
        <v>924.76800000000003</v>
      </c>
      <c r="AY21">
        <f t="shared" si="27"/>
        <v>0.18086041372206108</v>
      </c>
      <c r="AZ21">
        <v>0.5</v>
      </c>
      <c r="BA21">
        <f t="shared" si="28"/>
        <v>1849.2028451882727</v>
      </c>
      <c r="BB21">
        <f t="shared" si="29"/>
        <v>0.79154743116018633</v>
      </c>
      <c r="BC21">
        <f t="shared" si="30"/>
        <v>167.22379581838172</v>
      </c>
      <c r="BD21">
        <f t="shared" si="31"/>
        <v>0.35421640887227929</v>
      </c>
      <c r="BE21">
        <f t="shared" si="32"/>
        <v>1.3452923371320775E-2</v>
      </c>
      <c r="BF21">
        <f t="shared" si="33"/>
        <v>2.7757037440741894</v>
      </c>
      <c r="BG21" t="s">
        <v>308</v>
      </c>
      <c r="BH21">
        <v>597.20000000000005</v>
      </c>
      <c r="BI21">
        <f t="shared" si="34"/>
        <v>327.56799999999998</v>
      </c>
      <c r="BJ21">
        <f t="shared" si="35"/>
        <v>0.51059298550811738</v>
      </c>
      <c r="BK21">
        <f t="shared" si="36"/>
        <v>0.88682893123045836</v>
      </c>
      <c r="BL21">
        <f t="shared" si="37"/>
        <v>0.4923818198122949</v>
      </c>
      <c r="BM21">
        <f t="shared" si="38"/>
        <v>0.88313237802481637</v>
      </c>
      <c r="BN21">
        <f t="shared" si="39"/>
        <v>2200.0183870967699</v>
      </c>
      <c r="BO21">
        <f t="shared" si="40"/>
        <v>1849.2028451882727</v>
      </c>
      <c r="BP21">
        <f t="shared" si="41"/>
        <v>0.84053972277411415</v>
      </c>
      <c r="BQ21">
        <f t="shared" si="42"/>
        <v>0.19107944554822842</v>
      </c>
      <c r="BR21">
        <v>1561655526.9000001</v>
      </c>
      <c r="BS21">
        <v>48.493477419354797</v>
      </c>
      <c r="BT21">
        <v>50.0041838709678</v>
      </c>
      <c r="BU21">
        <v>19.1457129032258</v>
      </c>
      <c r="BV21">
        <v>7.8011183870967704</v>
      </c>
      <c r="BW21">
        <v>500.014580645161</v>
      </c>
      <c r="BX21">
        <v>99.703554838709707</v>
      </c>
      <c r="BY21">
        <v>9.9975622580645199E-2</v>
      </c>
      <c r="BZ21">
        <v>26.279764516128999</v>
      </c>
      <c r="CA21">
        <v>27.188087096774201</v>
      </c>
      <c r="CB21">
        <v>999.9</v>
      </c>
      <c r="CC21">
        <v>9994.5732258064509</v>
      </c>
      <c r="CD21">
        <v>0</v>
      </c>
      <c r="CE21">
        <v>1826.6087096774199</v>
      </c>
      <c r="CF21">
        <v>2200.0183870967699</v>
      </c>
      <c r="CG21">
        <v>0.98199322580645199</v>
      </c>
      <c r="CH21">
        <v>1.80065677419355E-2</v>
      </c>
      <c r="CI21">
        <v>0</v>
      </c>
      <c r="CJ21">
        <v>757.571483870968</v>
      </c>
      <c r="CK21">
        <v>1.9999499999999999</v>
      </c>
      <c r="CL21">
        <v>17313.512903225801</v>
      </c>
      <c r="CM21">
        <v>17938.364516129001</v>
      </c>
      <c r="CN21">
        <v>48.763838709677401</v>
      </c>
      <c r="CO21">
        <v>49.390967741935498</v>
      </c>
      <c r="CP21">
        <v>48.674999999999997</v>
      </c>
      <c r="CQ21">
        <v>48.868870967741898</v>
      </c>
      <c r="CR21">
        <v>49.793999999999997</v>
      </c>
      <c r="CS21">
        <v>2158.4383870967699</v>
      </c>
      <c r="CT21">
        <v>39.58</v>
      </c>
      <c r="CU21">
        <v>0</v>
      </c>
      <c r="CV21">
        <v>123.09999990463299</v>
      </c>
      <c r="CW21">
        <v>757.51407692307703</v>
      </c>
      <c r="CX21">
        <v>-0.71576066199644295</v>
      </c>
      <c r="CY21">
        <v>14.6393162263526</v>
      </c>
      <c r="CZ21">
        <v>17313.6538461538</v>
      </c>
      <c r="DA21">
        <v>15</v>
      </c>
      <c r="DB21">
        <v>1561655491.4000001</v>
      </c>
      <c r="DC21" t="s">
        <v>309</v>
      </c>
      <c r="DD21">
        <v>54</v>
      </c>
      <c r="DE21">
        <v>0.28699999999999998</v>
      </c>
      <c r="DF21">
        <v>2.5000000000000001E-2</v>
      </c>
      <c r="DG21">
        <v>50</v>
      </c>
      <c r="DH21">
        <v>9</v>
      </c>
      <c r="DI21">
        <v>0.36</v>
      </c>
      <c r="DJ21">
        <v>0.01</v>
      </c>
      <c r="DK21">
        <v>0.76487260574460103</v>
      </c>
      <c r="DL21">
        <v>0.19805609183487699</v>
      </c>
      <c r="DM21">
        <v>0.16761076707859701</v>
      </c>
      <c r="DN21">
        <v>1</v>
      </c>
      <c r="DO21">
        <v>48.511984931506802</v>
      </c>
      <c r="DP21">
        <v>-3.9533876342095001E-2</v>
      </c>
      <c r="DQ21">
        <v>4.6321916086522398E-2</v>
      </c>
      <c r="DR21">
        <v>1</v>
      </c>
      <c r="DS21">
        <v>0.59954776715755997</v>
      </c>
      <c r="DT21">
        <v>0.23497422098392801</v>
      </c>
      <c r="DU21">
        <v>8.1561085468813896E-2</v>
      </c>
      <c r="DV21">
        <v>1</v>
      </c>
      <c r="DW21">
        <v>3</v>
      </c>
      <c r="DX21">
        <v>3</v>
      </c>
      <c r="DY21" t="s">
        <v>283</v>
      </c>
      <c r="DZ21">
        <v>1.8672200000000001</v>
      </c>
      <c r="EA21">
        <v>1.86371</v>
      </c>
      <c r="EB21">
        <v>1.86934</v>
      </c>
      <c r="EC21">
        <v>1.8672800000000001</v>
      </c>
      <c r="ED21">
        <v>1.87195</v>
      </c>
      <c r="EE21">
        <v>1.86443</v>
      </c>
      <c r="EF21">
        <v>1.8658399999999999</v>
      </c>
      <c r="EG21">
        <v>1.8658300000000001</v>
      </c>
      <c r="EH21" t="s">
        <v>284</v>
      </c>
      <c r="EI21" t="s">
        <v>19</v>
      </c>
      <c r="EJ21" t="s">
        <v>19</v>
      </c>
      <c r="EK21" t="s">
        <v>19</v>
      </c>
      <c r="EL21" t="s">
        <v>285</v>
      </c>
      <c r="EM21" t="s">
        <v>286</v>
      </c>
      <c r="EN21" t="s">
        <v>287</v>
      </c>
      <c r="EO21" t="s">
        <v>287</v>
      </c>
      <c r="EP21" t="s">
        <v>287</v>
      </c>
      <c r="EQ21" t="s">
        <v>287</v>
      </c>
      <c r="ER21">
        <v>0</v>
      </c>
      <c r="ES21">
        <v>100</v>
      </c>
      <c r="ET21">
        <v>100</v>
      </c>
      <c r="EU21">
        <v>0.28699999999999998</v>
      </c>
      <c r="EV21">
        <v>2.5000000000000001E-2</v>
      </c>
      <c r="EW21">
        <v>2</v>
      </c>
      <c r="EX21">
        <v>511.40600000000001</v>
      </c>
      <c r="EY21">
        <v>455.10399999999998</v>
      </c>
      <c r="EZ21">
        <v>19.153099999999998</v>
      </c>
      <c r="FA21">
        <v>37.154200000000003</v>
      </c>
      <c r="FB21">
        <v>30.000800000000002</v>
      </c>
      <c r="FC21">
        <v>36.9559</v>
      </c>
      <c r="FD21">
        <v>36.915799999999997</v>
      </c>
      <c r="FE21">
        <v>5.0045799999999998</v>
      </c>
      <c r="FF21">
        <v>86.802400000000006</v>
      </c>
      <c r="FG21">
        <v>0</v>
      </c>
      <c r="FH21">
        <v>17.2515</v>
      </c>
      <c r="FI21">
        <v>50</v>
      </c>
      <c r="FJ21">
        <v>7.5261800000000001</v>
      </c>
      <c r="FK21">
        <v>100.143</v>
      </c>
      <c r="FL21">
        <v>100.398</v>
      </c>
    </row>
    <row r="22" spans="1:168" x14ac:dyDescent="0.35">
      <c r="A22">
        <v>6</v>
      </c>
      <c r="B22">
        <v>1561655665.4000001</v>
      </c>
      <c r="C22">
        <v>716</v>
      </c>
      <c r="D22" t="s">
        <v>310</v>
      </c>
      <c r="E22" t="s">
        <v>311</v>
      </c>
      <c r="F22" t="s">
        <v>277</v>
      </c>
      <c r="G22" t="s">
        <v>278</v>
      </c>
      <c r="H22" t="s">
        <v>277</v>
      </c>
      <c r="J22" t="s">
        <v>277</v>
      </c>
      <c r="K22">
        <v>1561655657.4000001</v>
      </c>
      <c r="L22">
        <f t="shared" si="0"/>
        <v>9.8672858117021065E-3</v>
      </c>
      <c r="M22">
        <f t="shared" si="1"/>
        <v>-3.4325041709353497</v>
      </c>
      <c r="N22">
        <f t="shared" si="2"/>
        <v>16.403341935483901</v>
      </c>
      <c r="O22">
        <f t="shared" si="3"/>
        <v>25.504483826236292</v>
      </c>
      <c r="P22">
        <f t="shared" si="4"/>
        <v>2.5453907660624391</v>
      </c>
      <c r="Q22">
        <f t="shared" si="5"/>
        <v>1.6370813610505048</v>
      </c>
      <c r="R22">
        <f t="shared" si="6"/>
        <v>0.64329123862597992</v>
      </c>
      <c r="S22">
        <f t="shared" si="7"/>
        <v>2.25512685826325</v>
      </c>
      <c r="T22">
        <f t="shared" si="8"/>
        <v>0.556146850317078</v>
      </c>
      <c r="U22">
        <f t="shared" si="9"/>
        <v>0.35443309887785129</v>
      </c>
      <c r="V22">
        <f t="shared" si="10"/>
        <v>353.33769642503819</v>
      </c>
      <c r="W22">
        <f t="shared" si="11"/>
        <v>25.83445055046564</v>
      </c>
      <c r="X22">
        <f t="shared" si="12"/>
        <v>27.234638709677402</v>
      </c>
      <c r="Y22">
        <f t="shared" si="13"/>
        <v>3.6287814607086779</v>
      </c>
      <c r="Z22">
        <f t="shared" si="14"/>
        <v>55.042596200213332</v>
      </c>
      <c r="AA22">
        <f t="shared" si="15"/>
        <v>1.907186927301971</v>
      </c>
      <c r="AB22">
        <f t="shared" si="16"/>
        <v>3.4649290893996367</v>
      </c>
      <c r="AC22">
        <f t="shared" si="17"/>
        <v>1.7215945334067069</v>
      </c>
      <c r="AD22">
        <f t="shared" si="18"/>
        <v>-435.14730429606288</v>
      </c>
      <c r="AE22">
        <f t="shared" si="19"/>
        <v>-95.532384193914041</v>
      </c>
      <c r="AF22">
        <f t="shared" si="20"/>
        <v>-9.1278380371675816</v>
      </c>
      <c r="AG22">
        <f t="shared" si="21"/>
        <v>-186.4698301021063</v>
      </c>
      <c r="AH22">
        <v>-4.1321912217851801E-2</v>
      </c>
      <c r="AI22">
        <v>4.6387466462869197E-2</v>
      </c>
      <c r="AJ22">
        <v>3.4643908993286998</v>
      </c>
      <c r="AK22">
        <v>0</v>
      </c>
      <c r="AL22">
        <v>0</v>
      </c>
      <c r="AM22">
        <f t="shared" si="22"/>
        <v>1</v>
      </c>
      <c r="AN22">
        <f t="shared" si="23"/>
        <v>0</v>
      </c>
      <c r="AO22">
        <f t="shared" si="24"/>
        <v>52790.095014055107</v>
      </c>
      <c r="AP22" t="s">
        <v>279</v>
      </c>
      <c r="AQ22">
        <v>585.08461538461495</v>
      </c>
      <c r="AR22">
        <v>3491.65</v>
      </c>
      <c r="AS22">
        <f t="shared" si="25"/>
        <v>2906.565384615385</v>
      </c>
      <c r="AT22">
        <f t="shared" si="26"/>
        <v>0.83243320052564973</v>
      </c>
      <c r="AU22">
        <v>-24.085636743186001</v>
      </c>
      <c r="AV22" t="s">
        <v>312</v>
      </c>
      <c r="AW22">
        <v>762.63396153846202</v>
      </c>
      <c r="AX22">
        <v>901.9</v>
      </c>
      <c r="AY22">
        <f t="shared" si="27"/>
        <v>0.15441405750253678</v>
      </c>
      <c r="AZ22">
        <v>0.5</v>
      </c>
      <c r="BA22">
        <f t="shared" si="28"/>
        <v>1849.1686951419654</v>
      </c>
      <c r="BB22">
        <f t="shared" si="29"/>
        <v>-3.4325041709353497</v>
      </c>
      <c r="BC22">
        <f t="shared" si="30"/>
        <v>142.76882061177119</v>
      </c>
      <c r="BD22">
        <f t="shared" si="31"/>
        <v>0.34161215212329532</v>
      </c>
      <c r="BE22">
        <f t="shared" si="32"/>
        <v>1.1168874222513841E-2</v>
      </c>
      <c r="BF22">
        <f t="shared" si="33"/>
        <v>2.8714380751746313</v>
      </c>
      <c r="BG22" t="s">
        <v>313</v>
      </c>
      <c r="BH22">
        <v>593.79999999999995</v>
      </c>
      <c r="BI22">
        <f t="shared" si="34"/>
        <v>308.10000000000002</v>
      </c>
      <c r="BJ22">
        <f t="shared" si="35"/>
        <v>0.45201570419194403</v>
      </c>
      <c r="BK22">
        <f t="shared" si="36"/>
        <v>0.89367979709094658</v>
      </c>
      <c r="BL22">
        <f t="shared" si="37"/>
        <v>0.43958104695770189</v>
      </c>
      <c r="BM22">
        <f t="shared" si="38"/>
        <v>0.89100008336564296</v>
      </c>
      <c r="BN22">
        <f t="shared" si="39"/>
        <v>2199.97806451613</v>
      </c>
      <c r="BO22">
        <f t="shared" si="40"/>
        <v>1849.1686951419654</v>
      </c>
      <c r="BP22">
        <f t="shared" si="41"/>
        <v>0.84053960581133214</v>
      </c>
      <c r="BQ22">
        <f t="shared" si="42"/>
        <v>0.19107921162266461</v>
      </c>
      <c r="BR22">
        <v>1561655657.4000001</v>
      </c>
      <c r="BS22">
        <v>16.403341935483901</v>
      </c>
      <c r="BT22">
        <v>12.478754838709699</v>
      </c>
      <c r="BU22">
        <v>19.109764516129001</v>
      </c>
      <c r="BV22">
        <v>7.4958580645161303</v>
      </c>
      <c r="BW22">
        <v>500.02422580645202</v>
      </c>
      <c r="BX22">
        <v>99.701658064516195</v>
      </c>
      <c r="BY22">
        <v>0.1000389</v>
      </c>
      <c r="BZ22">
        <v>26.4488709677419</v>
      </c>
      <c r="CA22">
        <v>27.234638709677402</v>
      </c>
      <c r="CB22">
        <v>999.9</v>
      </c>
      <c r="CC22">
        <v>9994.7987096774195</v>
      </c>
      <c r="CD22">
        <v>0</v>
      </c>
      <c r="CE22">
        <v>657.68290322580594</v>
      </c>
      <c r="CF22">
        <v>2199.97806451613</v>
      </c>
      <c r="CG22">
        <v>0.98199487096774196</v>
      </c>
      <c r="CH22">
        <v>1.80048741935484E-2</v>
      </c>
      <c r="CI22">
        <v>0</v>
      </c>
      <c r="CJ22">
        <v>762.62532258064505</v>
      </c>
      <c r="CK22">
        <v>1.9999499999999999</v>
      </c>
      <c r="CL22">
        <v>17418.664516129</v>
      </c>
      <c r="CM22">
        <v>17938.045161290302</v>
      </c>
      <c r="CN22">
        <v>48.985774193548401</v>
      </c>
      <c r="CO22">
        <v>49.8343548387097</v>
      </c>
      <c r="CP22">
        <v>49.054000000000002</v>
      </c>
      <c r="CQ22">
        <v>49.2093548387097</v>
      </c>
      <c r="CR22">
        <v>50.056064516128998</v>
      </c>
      <c r="CS22">
        <v>2158.4045161290301</v>
      </c>
      <c r="CT22">
        <v>39.570645161290301</v>
      </c>
      <c r="CU22">
        <v>0</v>
      </c>
      <c r="CV22">
        <v>129.700000047684</v>
      </c>
      <c r="CW22">
        <v>762.63396153846202</v>
      </c>
      <c r="CX22">
        <v>1.7972307885694701</v>
      </c>
      <c r="CY22">
        <v>-19.223931641728399</v>
      </c>
      <c r="CZ22">
        <v>17418.188461538499</v>
      </c>
      <c r="DA22">
        <v>15</v>
      </c>
      <c r="DB22">
        <v>1561655620.9000001</v>
      </c>
      <c r="DC22" t="s">
        <v>314</v>
      </c>
      <c r="DD22">
        <v>55</v>
      </c>
      <c r="DE22">
        <v>0.22700000000000001</v>
      </c>
      <c r="DF22">
        <v>1.6E-2</v>
      </c>
      <c r="DG22">
        <v>12</v>
      </c>
      <c r="DH22">
        <v>8</v>
      </c>
      <c r="DI22">
        <v>0.2</v>
      </c>
      <c r="DJ22">
        <v>0.02</v>
      </c>
      <c r="DK22">
        <v>-3.4193948264834799</v>
      </c>
      <c r="DL22">
        <v>-0.22464314410428399</v>
      </c>
      <c r="DM22">
        <v>0.18741133998465301</v>
      </c>
      <c r="DN22">
        <v>1</v>
      </c>
      <c r="DO22">
        <v>16.443258904109602</v>
      </c>
      <c r="DP22">
        <v>-0.161600888559813</v>
      </c>
      <c r="DQ22">
        <v>5.2587489620179097E-2</v>
      </c>
      <c r="DR22">
        <v>1</v>
      </c>
      <c r="DS22">
        <v>0.63571216786165696</v>
      </c>
      <c r="DT22">
        <v>0.101922005652716</v>
      </c>
      <c r="DU22">
        <v>5.83383840337586E-2</v>
      </c>
      <c r="DV22">
        <v>1</v>
      </c>
      <c r="DW22">
        <v>3</v>
      </c>
      <c r="DX22">
        <v>3</v>
      </c>
      <c r="DY22" t="s">
        <v>283</v>
      </c>
      <c r="DZ22">
        <v>1.8672200000000001</v>
      </c>
      <c r="EA22">
        <v>1.86371</v>
      </c>
      <c r="EB22">
        <v>1.86934</v>
      </c>
      <c r="EC22">
        <v>1.8672299999999999</v>
      </c>
      <c r="ED22">
        <v>1.87195</v>
      </c>
      <c r="EE22">
        <v>1.8644099999999999</v>
      </c>
      <c r="EF22">
        <v>1.86582</v>
      </c>
      <c r="EG22">
        <v>1.8657999999999999</v>
      </c>
      <c r="EH22" t="s">
        <v>284</v>
      </c>
      <c r="EI22" t="s">
        <v>19</v>
      </c>
      <c r="EJ22" t="s">
        <v>19</v>
      </c>
      <c r="EK22" t="s">
        <v>19</v>
      </c>
      <c r="EL22" t="s">
        <v>285</v>
      </c>
      <c r="EM22" t="s">
        <v>286</v>
      </c>
      <c r="EN22" t="s">
        <v>287</v>
      </c>
      <c r="EO22" t="s">
        <v>287</v>
      </c>
      <c r="EP22" t="s">
        <v>287</v>
      </c>
      <c r="EQ22" t="s">
        <v>287</v>
      </c>
      <c r="ER22">
        <v>0</v>
      </c>
      <c r="ES22">
        <v>100</v>
      </c>
      <c r="ET22">
        <v>100</v>
      </c>
      <c r="EU22">
        <v>0.22700000000000001</v>
      </c>
      <c r="EV22">
        <v>1.6E-2</v>
      </c>
      <c r="EW22">
        <v>2</v>
      </c>
      <c r="EX22">
        <v>511.48200000000003</v>
      </c>
      <c r="EY22">
        <v>453.69099999999997</v>
      </c>
      <c r="EZ22">
        <v>19.3919</v>
      </c>
      <c r="FA22">
        <v>37.411200000000001</v>
      </c>
      <c r="FB22">
        <v>30.000699999999998</v>
      </c>
      <c r="FC22">
        <v>37.173000000000002</v>
      </c>
      <c r="FD22">
        <v>37.128999999999998</v>
      </c>
      <c r="FE22">
        <v>3.1809400000000001</v>
      </c>
      <c r="FF22">
        <v>88.741500000000002</v>
      </c>
      <c r="FG22">
        <v>0</v>
      </c>
      <c r="FH22">
        <v>17.204599999999999</v>
      </c>
      <c r="FI22">
        <v>12.5</v>
      </c>
      <c r="FJ22">
        <v>7.4110300000000002</v>
      </c>
      <c r="FK22">
        <v>100.098</v>
      </c>
      <c r="FL22">
        <v>100.34699999999999</v>
      </c>
    </row>
    <row r="23" spans="1:168" x14ac:dyDescent="0.35">
      <c r="A23">
        <v>8</v>
      </c>
      <c r="B23">
        <v>1561655934.9000001</v>
      </c>
      <c r="C23">
        <v>985.5</v>
      </c>
      <c r="D23" t="s">
        <v>315</v>
      </c>
      <c r="E23" t="s">
        <v>316</v>
      </c>
      <c r="F23" t="s">
        <v>277</v>
      </c>
      <c r="G23" t="s">
        <v>278</v>
      </c>
      <c r="H23" t="s">
        <v>277</v>
      </c>
      <c r="J23" t="s">
        <v>277</v>
      </c>
      <c r="K23">
        <v>1561655926.9000001</v>
      </c>
      <c r="L23">
        <f t="shared" si="0"/>
        <v>9.5625202000922636E-3</v>
      </c>
      <c r="M23">
        <f t="shared" si="1"/>
        <v>33.583137986271915</v>
      </c>
      <c r="N23">
        <f t="shared" si="2"/>
        <v>355.60993548387103</v>
      </c>
      <c r="O23">
        <f t="shared" si="3"/>
        <v>251.49375950844862</v>
      </c>
      <c r="P23">
        <f t="shared" si="4"/>
        <v>25.104767014851337</v>
      </c>
      <c r="Q23">
        <f t="shared" si="5"/>
        <v>35.497916910296098</v>
      </c>
      <c r="R23">
        <f t="shared" si="6"/>
        <v>0.63505255297827978</v>
      </c>
      <c r="S23">
        <f t="shared" si="7"/>
        <v>2.255867397566842</v>
      </c>
      <c r="T23">
        <f t="shared" si="8"/>
        <v>0.54999280924028593</v>
      </c>
      <c r="U23">
        <f t="shared" si="9"/>
        <v>0.35043410226996907</v>
      </c>
      <c r="V23">
        <f t="shared" si="10"/>
        <v>353.34331578902385</v>
      </c>
      <c r="W23">
        <f t="shared" si="11"/>
        <v>25.829439871787699</v>
      </c>
      <c r="X23">
        <f t="shared" si="12"/>
        <v>27.0152838709677</v>
      </c>
      <c r="Y23">
        <f t="shared" si="13"/>
        <v>3.5823738188013827</v>
      </c>
      <c r="Z23">
        <f t="shared" si="14"/>
        <v>55.01705718095522</v>
      </c>
      <c r="AA23">
        <f t="shared" si="15"/>
        <v>1.8944063891441965</v>
      </c>
      <c r="AB23">
        <f t="shared" si="16"/>
        <v>3.4433073781342975</v>
      </c>
      <c r="AC23">
        <f t="shared" si="17"/>
        <v>1.6879674296571863</v>
      </c>
      <c r="AD23">
        <f t="shared" si="18"/>
        <v>-421.7071408240688</v>
      </c>
      <c r="AE23">
        <f t="shared" si="19"/>
        <v>-81.789891578736857</v>
      </c>
      <c r="AF23">
        <f t="shared" si="20"/>
        <v>-7.7995019510661256</v>
      </c>
      <c r="AG23">
        <f t="shared" si="21"/>
        <v>-157.95321856484793</v>
      </c>
      <c r="AH23">
        <v>-4.13418927919545E-2</v>
      </c>
      <c r="AI23">
        <v>4.6409896407694003E-2</v>
      </c>
      <c r="AJ23">
        <v>3.46571615963104</v>
      </c>
      <c r="AK23">
        <v>0</v>
      </c>
      <c r="AL23">
        <v>0</v>
      </c>
      <c r="AM23">
        <f t="shared" si="22"/>
        <v>1</v>
      </c>
      <c r="AN23">
        <f t="shared" si="23"/>
        <v>0</v>
      </c>
      <c r="AO23">
        <f t="shared" si="24"/>
        <v>52833.750749576211</v>
      </c>
      <c r="AP23" t="s">
        <v>279</v>
      </c>
      <c r="AQ23">
        <v>585.08461538461495</v>
      </c>
      <c r="AR23">
        <v>3491.65</v>
      </c>
      <c r="AS23">
        <f t="shared" si="25"/>
        <v>2906.565384615385</v>
      </c>
      <c r="AT23">
        <f t="shared" si="26"/>
        <v>0.83243320052564973</v>
      </c>
      <c r="AU23">
        <v>-24.085636743186001</v>
      </c>
      <c r="AV23" t="s">
        <v>317</v>
      </c>
      <c r="AW23">
        <v>784.70192307692298</v>
      </c>
      <c r="AX23">
        <v>1098.46</v>
      </c>
      <c r="AY23">
        <f t="shared" si="27"/>
        <v>0.28563450368978116</v>
      </c>
      <c r="AZ23">
        <v>0.5</v>
      </c>
      <c r="BA23">
        <f t="shared" si="28"/>
        <v>1849.1958000269867</v>
      </c>
      <c r="BB23">
        <f t="shared" si="29"/>
        <v>33.583137986271915</v>
      </c>
      <c r="BC23">
        <f t="shared" si="30"/>
        <v>264.09706228296807</v>
      </c>
      <c r="BD23">
        <f t="shared" si="31"/>
        <v>0.49802450703712475</v>
      </c>
      <c r="BE23">
        <f t="shared" si="32"/>
        <v>3.1185867244894409E-2</v>
      </c>
      <c r="BF23">
        <f t="shared" si="33"/>
        <v>2.1786774211168365</v>
      </c>
      <c r="BG23" t="s">
        <v>318</v>
      </c>
      <c r="BH23">
        <v>551.4</v>
      </c>
      <c r="BI23">
        <f t="shared" si="34"/>
        <v>547.06000000000006</v>
      </c>
      <c r="BJ23">
        <f t="shared" si="35"/>
        <v>0.57353503623565427</v>
      </c>
      <c r="BK23">
        <f t="shared" si="36"/>
        <v>0.81394099141229492</v>
      </c>
      <c r="BL23">
        <f t="shared" si="37"/>
        <v>0.61116696734133635</v>
      </c>
      <c r="BM23">
        <f t="shared" si="38"/>
        <v>0.82337387373677884</v>
      </c>
      <c r="BN23">
        <f t="shared" si="39"/>
        <v>2200.0100000000002</v>
      </c>
      <c r="BO23">
        <f t="shared" si="40"/>
        <v>1849.1958000269867</v>
      </c>
      <c r="BP23">
        <f t="shared" si="41"/>
        <v>0.84053972483169914</v>
      </c>
      <c r="BQ23">
        <f t="shared" si="42"/>
        <v>0.19107944966339813</v>
      </c>
      <c r="BR23">
        <v>1561655926.9000001</v>
      </c>
      <c r="BS23">
        <v>355.60993548387103</v>
      </c>
      <c r="BT23">
        <v>399.98680645161301</v>
      </c>
      <c r="BU23">
        <v>18.977725806451598</v>
      </c>
      <c r="BV23">
        <v>7.7213661290322602</v>
      </c>
      <c r="BW23">
        <v>500.03974193548402</v>
      </c>
      <c r="BX23">
        <v>99.722545161290398</v>
      </c>
      <c r="BY23">
        <v>0.10007892258064501</v>
      </c>
      <c r="BZ23">
        <v>26.342770967741899</v>
      </c>
      <c r="CA23">
        <v>27.0152838709677</v>
      </c>
      <c r="CB23">
        <v>999.9</v>
      </c>
      <c r="CC23">
        <v>9997.5370967741892</v>
      </c>
      <c r="CD23">
        <v>0</v>
      </c>
      <c r="CE23">
        <v>215.56151612903199</v>
      </c>
      <c r="CF23">
        <v>2200.0100000000002</v>
      </c>
      <c r="CG23">
        <v>0.98199361290322595</v>
      </c>
      <c r="CH23">
        <v>1.80060838709677E-2</v>
      </c>
      <c r="CI23">
        <v>0</v>
      </c>
      <c r="CJ23">
        <v>784.55129032258003</v>
      </c>
      <c r="CK23">
        <v>1.9999499999999999</v>
      </c>
      <c r="CL23">
        <v>17956.880645161302</v>
      </c>
      <c r="CM23">
        <v>17938.296774193499</v>
      </c>
      <c r="CN23">
        <v>48.991870967741903</v>
      </c>
      <c r="CO23">
        <v>49.308064516129001</v>
      </c>
      <c r="CP23">
        <v>48.9796774193548</v>
      </c>
      <c r="CQ23">
        <v>48.862677419354803</v>
      </c>
      <c r="CR23">
        <v>49.983612903225797</v>
      </c>
      <c r="CS23">
        <v>2158.4299999999998</v>
      </c>
      <c r="CT23">
        <v>39.58</v>
      </c>
      <c r="CU23">
        <v>0</v>
      </c>
      <c r="CV23">
        <v>128.5</v>
      </c>
      <c r="CW23">
        <v>784.70192307692298</v>
      </c>
      <c r="CX23">
        <v>15.1837948714861</v>
      </c>
      <c r="CY23">
        <v>306.84444442646702</v>
      </c>
      <c r="CZ23">
        <v>17959.692307692301</v>
      </c>
      <c r="DA23">
        <v>15</v>
      </c>
      <c r="DB23">
        <v>1561655885.9000001</v>
      </c>
      <c r="DC23" t="s">
        <v>319</v>
      </c>
      <c r="DD23">
        <v>57</v>
      </c>
      <c r="DE23">
        <v>0.45100000000000001</v>
      </c>
      <c r="DF23">
        <v>1.4E-2</v>
      </c>
      <c r="DG23">
        <v>400</v>
      </c>
      <c r="DH23">
        <v>7</v>
      </c>
      <c r="DI23">
        <v>0.04</v>
      </c>
      <c r="DJ23">
        <v>0.02</v>
      </c>
      <c r="DK23">
        <v>33.4766899580939</v>
      </c>
      <c r="DL23">
        <v>0.26018310180573301</v>
      </c>
      <c r="DM23">
        <v>0.122842879778758</v>
      </c>
      <c r="DN23">
        <v>1</v>
      </c>
      <c r="DO23">
        <v>355.76157534246602</v>
      </c>
      <c r="DP23">
        <v>-0.79533135875607397</v>
      </c>
      <c r="DQ23">
        <v>0.14506861086313699</v>
      </c>
      <c r="DR23">
        <v>1</v>
      </c>
      <c r="DS23">
        <v>0.63534915235538003</v>
      </c>
      <c r="DT23">
        <v>1.0059967200228399E-2</v>
      </c>
      <c r="DU23">
        <v>5.7587874590527E-3</v>
      </c>
      <c r="DV23">
        <v>1</v>
      </c>
      <c r="DW23">
        <v>3</v>
      </c>
      <c r="DX23">
        <v>3</v>
      </c>
      <c r="DY23" t="s">
        <v>283</v>
      </c>
      <c r="DZ23">
        <v>1.8672200000000001</v>
      </c>
      <c r="EA23">
        <v>1.86371</v>
      </c>
      <c r="EB23">
        <v>1.8693500000000001</v>
      </c>
      <c r="EC23">
        <v>1.8672500000000001</v>
      </c>
      <c r="ED23">
        <v>1.8719699999999999</v>
      </c>
      <c r="EE23">
        <v>1.8644000000000001</v>
      </c>
      <c r="EF23">
        <v>1.8658399999999999</v>
      </c>
      <c r="EG23">
        <v>1.8657999999999999</v>
      </c>
      <c r="EH23" t="s">
        <v>284</v>
      </c>
      <c r="EI23" t="s">
        <v>19</v>
      </c>
      <c r="EJ23" t="s">
        <v>19</v>
      </c>
      <c r="EK23" t="s">
        <v>19</v>
      </c>
      <c r="EL23" t="s">
        <v>285</v>
      </c>
      <c r="EM23" t="s">
        <v>286</v>
      </c>
      <c r="EN23" t="s">
        <v>287</v>
      </c>
      <c r="EO23" t="s">
        <v>287</v>
      </c>
      <c r="EP23" t="s">
        <v>287</v>
      </c>
      <c r="EQ23" t="s">
        <v>287</v>
      </c>
      <c r="ER23">
        <v>0</v>
      </c>
      <c r="ES23">
        <v>100</v>
      </c>
      <c r="ET23">
        <v>100</v>
      </c>
      <c r="EU23">
        <v>0.45100000000000001</v>
      </c>
      <c r="EV23">
        <v>1.4E-2</v>
      </c>
      <c r="EW23">
        <v>2</v>
      </c>
      <c r="EX23">
        <v>512.76499999999999</v>
      </c>
      <c r="EY23">
        <v>456.3</v>
      </c>
      <c r="EZ23">
        <v>19.608499999999999</v>
      </c>
      <c r="FA23">
        <v>37.073599999999999</v>
      </c>
      <c r="FB23">
        <v>29.998999999999999</v>
      </c>
      <c r="FC23">
        <v>37.035699999999999</v>
      </c>
      <c r="FD23">
        <v>36.997199999999999</v>
      </c>
      <c r="FE23">
        <v>21.540800000000001</v>
      </c>
      <c r="FF23">
        <v>91.356899999999996</v>
      </c>
      <c r="FG23">
        <v>0</v>
      </c>
      <c r="FH23">
        <v>19.602599999999999</v>
      </c>
      <c r="FI23">
        <v>400</v>
      </c>
      <c r="FJ23">
        <v>7.6430999999999996</v>
      </c>
      <c r="FK23">
        <v>100.155</v>
      </c>
      <c r="FL23">
        <v>100.422</v>
      </c>
    </row>
    <row r="24" spans="1:168" x14ac:dyDescent="0.35">
      <c r="A24">
        <v>9</v>
      </c>
      <c r="B24">
        <v>1561656063.4000001</v>
      </c>
      <c r="C24">
        <v>1114</v>
      </c>
      <c r="D24" t="s">
        <v>320</v>
      </c>
      <c r="E24" t="s">
        <v>321</v>
      </c>
      <c r="F24" t="s">
        <v>277</v>
      </c>
      <c r="G24" t="s">
        <v>278</v>
      </c>
      <c r="H24" t="s">
        <v>277</v>
      </c>
      <c r="J24" t="s">
        <v>277</v>
      </c>
      <c r="K24">
        <v>1561656055.40323</v>
      </c>
      <c r="L24">
        <f t="shared" si="0"/>
        <v>9.8959724387704465E-3</v>
      </c>
      <c r="M24">
        <f t="shared" si="1"/>
        <v>41.183771652218475</v>
      </c>
      <c r="N24">
        <f t="shared" si="2"/>
        <v>445.25916129032299</v>
      </c>
      <c r="O24">
        <f t="shared" si="3"/>
        <v>321.45836463198992</v>
      </c>
      <c r="P24">
        <f t="shared" si="4"/>
        <v>32.090491168398351</v>
      </c>
      <c r="Q24">
        <f t="shared" si="5"/>
        <v>44.449256124952115</v>
      </c>
      <c r="R24">
        <f t="shared" si="6"/>
        <v>0.66152949791910387</v>
      </c>
      <c r="S24">
        <f t="shared" si="7"/>
        <v>2.256792551349323</v>
      </c>
      <c r="T24">
        <f t="shared" si="8"/>
        <v>0.56980661765760154</v>
      </c>
      <c r="U24">
        <f t="shared" si="9"/>
        <v>0.36330525019780452</v>
      </c>
      <c r="V24">
        <f t="shared" si="10"/>
        <v>353.33677252443653</v>
      </c>
      <c r="W24">
        <f t="shared" si="11"/>
        <v>25.886838179023897</v>
      </c>
      <c r="X24">
        <f t="shared" si="12"/>
        <v>27.1904677419355</v>
      </c>
      <c r="Y24">
        <f t="shared" si="13"/>
        <v>3.6193944995337515</v>
      </c>
      <c r="Z24">
        <f t="shared" si="14"/>
        <v>55.611217605993382</v>
      </c>
      <c r="AA24">
        <f t="shared" si="15"/>
        <v>1.9338824457100048</v>
      </c>
      <c r="AB24">
        <f t="shared" si="16"/>
        <v>3.4775042319907499</v>
      </c>
      <c r="AC24">
        <f t="shared" si="17"/>
        <v>1.6855120538237467</v>
      </c>
      <c r="AD24">
        <f t="shared" si="18"/>
        <v>-436.41238454977668</v>
      </c>
      <c r="AE24">
        <f t="shared" si="19"/>
        <v>-82.753214966378408</v>
      </c>
      <c r="AF24">
        <f t="shared" si="20"/>
        <v>-7.9016694399669403</v>
      </c>
      <c r="AG24">
        <f t="shared" si="21"/>
        <v>-173.73049643168551</v>
      </c>
      <c r="AH24">
        <v>-4.1366862865988702E-2</v>
      </c>
      <c r="AI24">
        <v>4.6437927503295999E-2</v>
      </c>
      <c r="AJ24">
        <v>3.4673720495051401</v>
      </c>
      <c r="AK24">
        <v>0</v>
      </c>
      <c r="AL24">
        <v>0</v>
      </c>
      <c r="AM24">
        <f t="shared" si="22"/>
        <v>1</v>
      </c>
      <c r="AN24">
        <f t="shared" si="23"/>
        <v>0</v>
      </c>
      <c r="AO24">
        <f t="shared" si="24"/>
        <v>52834.899952106047</v>
      </c>
      <c r="AP24" t="s">
        <v>279</v>
      </c>
      <c r="AQ24">
        <v>585.08461538461495</v>
      </c>
      <c r="AR24">
        <v>3491.65</v>
      </c>
      <c r="AS24">
        <f t="shared" si="25"/>
        <v>2906.565384615385</v>
      </c>
      <c r="AT24">
        <f t="shared" si="26"/>
        <v>0.83243320052564973</v>
      </c>
      <c r="AU24">
        <v>-24.085636743186001</v>
      </c>
      <c r="AV24" t="s">
        <v>322</v>
      </c>
      <c r="AW24">
        <v>814.48419230769196</v>
      </c>
      <c r="AX24">
        <v>1168.05</v>
      </c>
      <c r="AY24">
        <f t="shared" si="27"/>
        <v>0.30269749385069822</v>
      </c>
      <c r="AZ24">
        <v>0.5</v>
      </c>
      <c r="BA24">
        <f t="shared" si="28"/>
        <v>1849.1633322850494</v>
      </c>
      <c r="BB24">
        <f t="shared" si="29"/>
        <v>41.183771652218475</v>
      </c>
      <c r="BC24">
        <f t="shared" si="30"/>
        <v>279.86855320164517</v>
      </c>
      <c r="BD24">
        <f t="shared" si="31"/>
        <v>0.51406189803518676</v>
      </c>
      <c r="BE24">
        <f t="shared" si="32"/>
        <v>3.5296724337892701E-2</v>
      </c>
      <c r="BF24">
        <f t="shared" si="33"/>
        <v>1.989298403321776</v>
      </c>
      <c r="BG24" t="s">
        <v>323</v>
      </c>
      <c r="BH24">
        <v>567.6</v>
      </c>
      <c r="BI24">
        <f t="shared" si="34"/>
        <v>600.44999999999993</v>
      </c>
      <c r="BJ24">
        <f t="shared" si="35"/>
        <v>0.58883472011376137</v>
      </c>
      <c r="BK24">
        <f t="shared" si="36"/>
        <v>0.79465125425351835</v>
      </c>
      <c r="BL24">
        <f t="shared" si="37"/>
        <v>0.60649537180595248</v>
      </c>
      <c r="BM24">
        <f t="shared" si="38"/>
        <v>0.79943152571036136</v>
      </c>
      <c r="BN24">
        <f t="shared" si="39"/>
        <v>2199.9716129032299</v>
      </c>
      <c r="BO24">
        <f t="shared" si="40"/>
        <v>1849.1633322850494</v>
      </c>
      <c r="BP24">
        <f t="shared" si="41"/>
        <v>0.84053963307497848</v>
      </c>
      <c r="BQ24">
        <f t="shared" si="42"/>
        <v>0.1910792661499571</v>
      </c>
      <c r="BR24">
        <v>1561656055.40323</v>
      </c>
      <c r="BS24">
        <v>445.25916129032299</v>
      </c>
      <c r="BT24">
        <v>499.96600000000001</v>
      </c>
      <c r="BU24">
        <v>19.372177419354799</v>
      </c>
      <c r="BV24">
        <v>7.7273167741935502</v>
      </c>
      <c r="BW24">
        <v>500.01109677419402</v>
      </c>
      <c r="BX24">
        <v>99.7278387096774</v>
      </c>
      <c r="BY24">
        <v>9.9991887096774201E-2</v>
      </c>
      <c r="BZ24">
        <v>26.510312903225799</v>
      </c>
      <c r="CA24">
        <v>27.1904677419355</v>
      </c>
      <c r="CB24">
        <v>999.9</v>
      </c>
      <c r="CC24">
        <v>10003.044516129001</v>
      </c>
      <c r="CD24">
        <v>0</v>
      </c>
      <c r="CE24">
        <v>1816.5048387096799</v>
      </c>
      <c r="CF24">
        <v>2199.9716129032299</v>
      </c>
      <c r="CG24">
        <v>0.98199619354838696</v>
      </c>
      <c r="CH24">
        <v>1.8003832258064501E-2</v>
      </c>
      <c r="CI24">
        <v>0</v>
      </c>
      <c r="CJ24">
        <v>814.42945161290299</v>
      </c>
      <c r="CK24">
        <v>1.9999499999999999</v>
      </c>
      <c r="CL24">
        <v>18655.2580645161</v>
      </c>
      <c r="CM24">
        <v>17937.993548387101</v>
      </c>
      <c r="CN24">
        <v>48.844516129032201</v>
      </c>
      <c r="CO24">
        <v>49.507935483871002</v>
      </c>
      <c r="CP24">
        <v>48.931032258064498</v>
      </c>
      <c r="CQ24">
        <v>48.933129032258002</v>
      </c>
      <c r="CR24">
        <v>49.878935483870997</v>
      </c>
      <c r="CS24">
        <v>2158.3990322580598</v>
      </c>
      <c r="CT24">
        <v>39.572580645161302</v>
      </c>
      <c r="CU24">
        <v>0</v>
      </c>
      <c r="CV24">
        <v>127.80000019073501</v>
      </c>
      <c r="CW24">
        <v>814.48419230769196</v>
      </c>
      <c r="CX24">
        <v>4.3928547268745701</v>
      </c>
      <c r="CY24">
        <v>102.864957328062</v>
      </c>
      <c r="CZ24">
        <v>18656.238461538502</v>
      </c>
      <c r="DA24">
        <v>15</v>
      </c>
      <c r="DB24">
        <v>1561656017.4000001</v>
      </c>
      <c r="DC24" t="s">
        <v>324</v>
      </c>
      <c r="DD24">
        <v>58</v>
      </c>
      <c r="DE24">
        <v>0.53100000000000003</v>
      </c>
      <c r="DF24">
        <v>1.9E-2</v>
      </c>
      <c r="DG24">
        <v>500</v>
      </c>
      <c r="DH24">
        <v>8</v>
      </c>
      <c r="DI24">
        <v>0.03</v>
      </c>
      <c r="DJ24">
        <v>0.01</v>
      </c>
      <c r="DK24">
        <v>41.218701323082797</v>
      </c>
      <c r="DL24">
        <v>-7.6290430439645104E-2</v>
      </c>
      <c r="DM24">
        <v>0.36022954225676501</v>
      </c>
      <c r="DN24">
        <v>1</v>
      </c>
      <c r="DO24">
        <v>445.27253424657499</v>
      </c>
      <c r="DP24">
        <v>2.41430551881033E-2</v>
      </c>
      <c r="DQ24">
        <v>7.1300076311084398E-2</v>
      </c>
      <c r="DR24">
        <v>1</v>
      </c>
      <c r="DS24">
        <v>0.652751045398828</v>
      </c>
      <c r="DT24">
        <v>5.8237965504911601E-2</v>
      </c>
      <c r="DU24">
        <v>1.5118487779849E-2</v>
      </c>
      <c r="DV24">
        <v>1</v>
      </c>
      <c r="DW24">
        <v>3</v>
      </c>
      <c r="DX24">
        <v>3</v>
      </c>
      <c r="DY24" t="s">
        <v>283</v>
      </c>
      <c r="DZ24">
        <v>1.8672200000000001</v>
      </c>
      <c r="EA24">
        <v>1.86371</v>
      </c>
      <c r="EB24">
        <v>1.8693500000000001</v>
      </c>
      <c r="EC24">
        <v>1.8672299999999999</v>
      </c>
      <c r="ED24">
        <v>1.87195</v>
      </c>
      <c r="EE24">
        <v>1.8643799999999999</v>
      </c>
      <c r="EF24">
        <v>1.8658399999999999</v>
      </c>
      <c r="EG24">
        <v>1.8657699999999999</v>
      </c>
      <c r="EH24" t="s">
        <v>284</v>
      </c>
      <c r="EI24" t="s">
        <v>19</v>
      </c>
      <c r="EJ24" t="s">
        <v>19</v>
      </c>
      <c r="EK24" t="s">
        <v>19</v>
      </c>
      <c r="EL24" t="s">
        <v>285</v>
      </c>
      <c r="EM24" t="s">
        <v>286</v>
      </c>
      <c r="EN24" t="s">
        <v>287</v>
      </c>
      <c r="EO24" t="s">
        <v>287</v>
      </c>
      <c r="EP24" t="s">
        <v>287</v>
      </c>
      <c r="EQ24" t="s">
        <v>287</v>
      </c>
      <c r="ER24">
        <v>0</v>
      </c>
      <c r="ES24">
        <v>100</v>
      </c>
      <c r="ET24">
        <v>100</v>
      </c>
      <c r="EU24">
        <v>0.53100000000000003</v>
      </c>
      <c r="EV24">
        <v>1.9E-2</v>
      </c>
      <c r="EW24">
        <v>2</v>
      </c>
      <c r="EX24">
        <v>512.86699999999996</v>
      </c>
      <c r="EY24">
        <v>457.44799999999998</v>
      </c>
      <c r="EZ24">
        <v>18.985800000000001</v>
      </c>
      <c r="FA24">
        <v>36.8489</v>
      </c>
      <c r="FB24">
        <v>29.9998</v>
      </c>
      <c r="FC24">
        <v>36.861199999999997</v>
      </c>
      <c r="FD24">
        <v>36.8431</v>
      </c>
      <c r="FE24">
        <v>25.892199999999999</v>
      </c>
      <c r="FF24">
        <v>93.868300000000005</v>
      </c>
      <c r="FG24">
        <v>0</v>
      </c>
      <c r="FH24">
        <v>17.4299</v>
      </c>
      <c r="FI24">
        <v>500</v>
      </c>
      <c r="FJ24">
        <v>7.5404499999999999</v>
      </c>
      <c r="FK24">
        <v>100.197</v>
      </c>
      <c r="FL24">
        <v>100.467</v>
      </c>
    </row>
    <row r="25" spans="1:168" x14ac:dyDescent="0.35">
      <c r="A25">
        <v>10</v>
      </c>
      <c r="B25">
        <v>1561656203.9000001</v>
      </c>
      <c r="C25">
        <v>1254.5</v>
      </c>
      <c r="D25" t="s">
        <v>325</v>
      </c>
      <c r="E25" t="s">
        <v>326</v>
      </c>
      <c r="F25" t="s">
        <v>277</v>
      </c>
      <c r="G25" t="s">
        <v>278</v>
      </c>
      <c r="H25" t="s">
        <v>277</v>
      </c>
      <c r="J25" t="s">
        <v>277</v>
      </c>
      <c r="K25">
        <v>1561656195.93226</v>
      </c>
      <c r="L25">
        <f t="shared" si="0"/>
        <v>9.3695224461051926E-3</v>
      </c>
      <c r="M25">
        <f t="shared" si="1"/>
        <v>44.756336559171757</v>
      </c>
      <c r="N25">
        <f t="shared" si="2"/>
        <v>540.22529032258103</v>
      </c>
      <c r="O25">
        <f t="shared" si="3"/>
        <v>397.10134022236383</v>
      </c>
      <c r="P25">
        <f t="shared" si="4"/>
        <v>39.643298089090351</v>
      </c>
      <c r="Q25">
        <f t="shared" si="5"/>
        <v>53.931603976785915</v>
      </c>
      <c r="R25">
        <f t="shared" si="6"/>
        <v>0.62061197692544734</v>
      </c>
      <c r="S25">
        <f t="shared" si="7"/>
        <v>2.2569785831430562</v>
      </c>
      <c r="T25">
        <f t="shared" si="8"/>
        <v>0.53914684187671391</v>
      </c>
      <c r="U25">
        <f t="shared" si="9"/>
        <v>0.34339108148475206</v>
      </c>
      <c r="V25">
        <f t="shared" si="10"/>
        <v>353.34380480205118</v>
      </c>
      <c r="W25">
        <f t="shared" si="11"/>
        <v>25.799969703559832</v>
      </c>
      <c r="X25">
        <f t="shared" si="12"/>
        <v>26.970887096774199</v>
      </c>
      <c r="Y25">
        <f t="shared" si="13"/>
        <v>3.57304435005687</v>
      </c>
      <c r="Z25">
        <f t="shared" si="14"/>
        <v>55.063373103756355</v>
      </c>
      <c r="AA25">
        <f t="shared" si="15"/>
        <v>1.885557850528881</v>
      </c>
      <c r="AB25">
        <f t="shared" si="16"/>
        <v>3.4243413438837274</v>
      </c>
      <c r="AC25">
        <f t="shared" si="17"/>
        <v>1.687486499527989</v>
      </c>
      <c r="AD25">
        <f t="shared" si="18"/>
        <v>-413.19593987323901</v>
      </c>
      <c r="AE25">
        <f t="shared" si="19"/>
        <v>-87.810860524915896</v>
      </c>
      <c r="AF25">
        <f t="shared" si="20"/>
        <v>-8.3637642944137518</v>
      </c>
      <c r="AG25">
        <f t="shared" si="21"/>
        <v>-156.02675989051744</v>
      </c>
      <c r="AH25">
        <v>-4.1371885026069997E-2</v>
      </c>
      <c r="AI25">
        <v>4.6443565317952698E-2</v>
      </c>
      <c r="AJ25">
        <v>3.4677050521738599</v>
      </c>
      <c r="AK25">
        <v>0</v>
      </c>
      <c r="AL25">
        <v>0</v>
      </c>
      <c r="AM25">
        <f t="shared" si="22"/>
        <v>1</v>
      </c>
      <c r="AN25">
        <f t="shared" si="23"/>
        <v>0</v>
      </c>
      <c r="AO25">
        <f t="shared" si="24"/>
        <v>52887.238113311076</v>
      </c>
      <c r="AP25" t="s">
        <v>279</v>
      </c>
      <c r="AQ25">
        <v>585.08461538461495</v>
      </c>
      <c r="AR25">
        <v>3491.65</v>
      </c>
      <c r="AS25">
        <f t="shared" si="25"/>
        <v>2906.565384615385</v>
      </c>
      <c r="AT25">
        <f t="shared" si="26"/>
        <v>0.83243320052564973</v>
      </c>
      <c r="AU25">
        <v>-24.085636743186001</v>
      </c>
      <c r="AV25" t="s">
        <v>327</v>
      </c>
      <c r="AW25">
        <v>813.29926923076903</v>
      </c>
      <c r="AX25">
        <v>1168.7</v>
      </c>
      <c r="AY25">
        <f t="shared" si="27"/>
        <v>0.30409919634570981</v>
      </c>
      <c r="AZ25">
        <v>0.5</v>
      </c>
      <c r="BA25">
        <f t="shared" si="28"/>
        <v>1849.2006871237559</v>
      </c>
      <c r="BB25">
        <f t="shared" si="29"/>
        <v>44.756336559171757</v>
      </c>
      <c r="BC25">
        <f t="shared" si="30"/>
        <v>281.17022141813425</v>
      </c>
      <c r="BD25">
        <f t="shared" si="31"/>
        <v>0.52032172499358265</v>
      </c>
      <c r="BE25">
        <f t="shared" si="32"/>
        <v>3.7227962211843248E-2</v>
      </c>
      <c r="BF25">
        <f t="shared" si="33"/>
        <v>1.9876358346881147</v>
      </c>
      <c r="BG25" t="s">
        <v>328</v>
      </c>
      <c r="BH25">
        <v>560.6</v>
      </c>
      <c r="BI25">
        <f t="shared" si="34"/>
        <v>608.1</v>
      </c>
      <c r="BJ25">
        <f t="shared" si="35"/>
        <v>0.58444454985895578</v>
      </c>
      <c r="BK25">
        <f t="shared" si="36"/>
        <v>0.79253168659695317</v>
      </c>
      <c r="BL25">
        <f t="shared" si="37"/>
        <v>0.60896395149597993</v>
      </c>
      <c r="BM25">
        <f t="shared" si="38"/>
        <v>0.799207894064763</v>
      </c>
      <c r="BN25">
        <f t="shared" si="39"/>
        <v>2200.0161290322599</v>
      </c>
      <c r="BO25">
        <f t="shared" si="40"/>
        <v>1849.2006871237559</v>
      </c>
      <c r="BP25">
        <f t="shared" si="41"/>
        <v>0.84053960456061738</v>
      </c>
      <c r="BQ25">
        <f t="shared" si="42"/>
        <v>0.19107920912123477</v>
      </c>
      <c r="BR25">
        <v>1561656195.93226</v>
      </c>
      <c r="BS25">
        <v>540.22529032258103</v>
      </c>
      <c r="BT25">
        <v>600.00383870967801</v>
      </c>
      <c r="BU25">
        <v>18.887367741935499</v>
      </c>
      <c r="BV25">
        <v>7.8568603225806504</v>
      </c>
      <c r="BW25">
        <v>500.02541935483902</v>
      </c>
      <c r="BX25">
        <v>99.731680645161305</v>
      </c>
      <c r="BY25">
        <v>0.100009841935484</v>
      </c>
      <c r="BZ25">
        <v>26.249222580645199</v>
      </c>
      <c r="CA25">
        <v>26.970887096774199</v>
      </c>
      <c r="CB25">
        <v>999.9</v>
      </c>
      <c r="CC25">
        <v>10003.873548387101</v>
      </c>
      <c r="CD25">
        <v>0</v>
      </c>
      <c r="CE25">
        <v>230.91816129032301</v>
      </c>
      <c r="CF25">
        <v>2200.0161290322599</v>
      </c>
      <c r="CG25">
        <v>0.98199703225806401</v>
      </c>
      <c r="CH25">
        <v>1.80030580645161E-2</v>
      </c>
      <c r="CI25">
        <v>0</v>
      </c>
      <c r="CJ25">
        <v>813.332516129032</v>
      </c>
      <c r="CK25">
        <v>1.9999499999999999</v>
      </c>
      <c r="CL25">
        <v>18624.4064516129</v>
      </c>
      <c r="CM25">
        <v>17938.370967741899</v>
      </c>
      <c r="CN25">
        <v>48.792000000000002</v>
      </c>
      <c r="CO25">
        <v>49.628999999999998</v>
      </c>
      <c r="CP25">
        <v>48.977645161290297</v>
      </c>
      <c r="CQ25">
        <v>49.012</v>
      </c>
      <c r="CR25">
        <v>49.838419354838699</v>
      </c>
      <c r="CS25">
        <v>2158.44483870968</v>
      </c>
      <c r="CT25">
        <v>39.571290322580602</v>
      </c>
      <c r="CU25">
        <v>0</v>
      </c>
      <c r="CV25">
        <v>139.700000047684</v>
      </c>
      <c r="CW25">
        <v>813.29926923076903</v>
      </c>
      <c r="CX25">
        <v>-0.868888877666114</v>
      </c>
      <c r="CY25">
        <v>-51.552136798392198</v>
      </c>
      <c r="CZ25">
        <v>18624.080769230801</v>
      </c>
      <c r="DA25">
        <v>15</v>
      </c>
      <c r="DB25">
        <v>1561656141.4000001</v>
      </c>
      <c r="DC25" t="s">
        <v>329</v>
      </c>
      <c r="DD25">
        <v>59</v>
      </c>
      <c r="DE25">
        <v>0.751</v>
      </c>
      <c r="DF25">
        <v>1.7999999999999999E-2</v>
      </c>
      <c r="DG25">
        <v>600</v>
      </c>
      <c r="DH25">
        <v>8</v>
      </c>
      <c r="DI25">
        <v>0.02</v>
      </c>
      <c r="DJ25">
        <v>0.01</v>
      </c>
      <c r="DK25">
        <v>44.899546286870297</v>
      </c>
      <c r="DL25">
        <v>-0.58424065697220895</v>
      </c>
      <c r="DM25">
        <v>0.116603133251928</v>
      </c>
      <c r="DN25">
        <v>0</v>
      </c>
      <c r="DO25">
        <v>540.05024657534204</v>
      </c>
      <c r="DP25">
        <v>0.87773837715583103</v>
      </c>
      <c r="DQ25">
        <v>0.15607574388975101</v>
      </c>
      <c r="DR25">
        <v>1</v>
      </c>
      <c r="DS25">
        <v>0.62423209820196701</v>
      </c>
      <c r="DT25">
        <v>-1.4086201886369699E-2</v>
      </c>
      <c r="DU25">
        <v>2.8587431610346699E-3</v>
      </c>
      <c r="DV25">
        <v>1</v>
      </c>
      <c r="DW25">
        <v>2</v>
      </c>
      <c r="DX25">
        <v>3</v>
      </c>
      <c r="DY25" t="s">
        <v>293</v>
      </c>
      <c r="DZ25">
        <v>1.8672200000000001</v>
      </c>
      <c r="EA25">
        <v>1.86371</v>
      </c>
      <c r="EB25">
        <v>1.8693500000000001</v>
      </c>
      <c r="EC25">
        <v>1.8672200000000001</v>
      </c>
      <c r="ED25">
        <v>1.87195</v>
      </c>
      <c r="EE25">
        <v>1.86439</v>
      </c>
      <c r="EF25">
        <v>1.86578</v>
      </c>
      <c r="EG25">
        <v>1.8657999999999999</v>
      </c>
      <c r="EH25" t="s">
        <v>284</v>
      </c>
      <c r="EI25" t="s">
        <v>19</v>
      </c>
      <c r="EJ25" t="s">
        <v>19</v>
      </c>
      <c r="EK25" t="s">
        <v>19</v>
      </c>
      <c r="EL25" t="s">
        <v>285</v>
      </c>
      <c r="EM25" t="s">
        <v>286</v>
      </c>
      <c r="EN25" t="s">
        <v>287</v>
      </c>
      <c r="EO25" t="s">
        <v>287</v>
      </c>
      <c r="EP25" t="s">
        <v>287</v>
      </c>
      <c r="EQ25" t="s">
        <v>287</v>
      </c>
      <c r="ER25">
        <v>0</v>
      </c>
      <c r="ES25">
        <v>100</v>
      </c>
      <c r="ET25">
        <v>100</v>
      </c>
      <c r="EU25">
        <v>0.751</v>
      </c>
      <c r="EV25">
        <v>1.7999999999999999E-2</v>
      </c>
      <c r="EW25">
        <v>2</v>
      </c>
      <c r="EX25">
        <v>512.68200000000002</v>
      </c>
      <c r="EY25">
        <v>456.83</v>
      </c>
      <c r="EZ25">
        <v>18.921800000000001</v>
      </c>
      <c r="FA25">
        <v>36.841200000000001</v>
      </c>
      <c r="FB25">
        <v>29.999600000000001</v>
      </c>
      <c r="FC25">
        <v>36.811</v>
      </c>
      <c r="FD25">
        <v>36.790399999999998</v>
      </c>
      <c r="FE25">
        <v>30.096699999999998</v>
      </c>
      <c r="FF25">
        <v>97.416499999999999</v>
      </c>
      <c r="FG25">
        <v>0</v>
      </c>
      <c r="FH25">
        <v>19.0016</v>
      </c>
      <c r="FI25">
        <v>600</v>
      </c>
      <c r="FJ25">
        <v>7.7849000000000004</v>
      </c>
      <c r="FK25">
        <v>100.199</v>
      </c>
      <c r="FL25">
        <v>100.47</v>
      </c>
    </row>
    <row r="26" spans="1:168" x14ac:dyDescent="0.35">
      <c r="A26">
        <v>11</v>
      </c>
      <c r="B26">
        <v>1561656344.4000001</v>
      </c>
      <c r="C26">
        <v>1395</v>
      </c>
      <c r="D26" t="s">
        <v>330</v>
      </c>
      <c r="E26" t="s">
        <v>331</v>
      </c>
      <c r="F26" t="s">
        <v>277</v>
      </c>
      <c r="G26" t="s">
        <v>278</v>
      </c>
      <c r="H26" t="s">
        <v>277</v>
      </c>
      <c r="J26" t="s">
        <v>277</v>
      </c>
      <c r="K26">
        <v>1561656336.43226</v>
      </c>
      <c r="L26">
        <f t="shared" si="0"/>
        <v>8.5459143712865535E-3</v>
      </c>
      <c r="M26">
        <f t="shared" si="1"/>
        <v>47.763749824864973</v>
      </c>
      <c r="N26">
        <f t="shared" si="2"/>
        <v>735.12596774193503</v>
      </c>
      <c r="O26">
        <f t="shared" si="3"/>
        <v>563.35970746215276</v>
      </c>
      <c r="P26">
        <f t="shared" si="4"/>
        <v>56.241819642188318</v>
      </c>
      <c r="Q26">
        <f t="shared" si="5"/>
        <v>73.389739351937322</v>
      </c>
      <c r="R26">
        <f t="shared" si="6"/>
        <v>0.55415965524728128</v>
      </c>
      <c r="S26">
        <f t="shared" si="7"/>
        <v>2.2549381341182864</v>
      </c>
      <c r="T26">
        <f t="shared" si="8"/>
        <v>0.48816660583082977</v>
      </c>
      <c r="U26">
        <f t="shared" si="9"/>
        <v>0.3103759925514214</v>
      </c>
      <c r="V26">
        <f t="shared" si="10"/>
        <v>353.34331291970688</v>
      </c>
      <c r="W26">
        <f t="shared" si="11"/>
        <v>26.132718571685949</v>
      </c>
      <c r="X26">
        <f t="shared" si="12"/>
        <v>27.085677419354798</v>
      </c>
      <c r="Y26">
        <f t="shared" si="13"/>
        <v>3.5972097975618431</v>
      </c>
      <c r="Z26">
        <f t="shared" si="14"/>
        <v>55.218716170813934</v>
      </c>
      <c r="AA26">
        <f t="shared" si="15"/>
        <v>1.8976178263542478</v>
      </c>
      <c r="AB26">
        <f t="shared" si="16"/>
        <v>3.4365482538278229</v>
      </c>
      <c r="AC26">
        <f t="shared" si="17"/>
        <v>1.6995919712075953</v>
      </c>
      <c r="AD26">
        <f t="shared" si="18"/>
        <v>-376.87482377373703</v>
      </c>
      <c r="AE26">
        <f t="shared" si="19"/>
        <v>-94.360471690600534</v>
      </c>
      <c r="AF26">
        <f t="shared" si="20"/>
        <v>-9.0036192125827306</v>
      </c>
      <c r="AG26">
        <f t="shared" si="21"/>
        <v>-126.89560175721344</v>
      </c>
      <c r="AH26">
        <v>-4.1316821185282203E-2</v>
      </c>
      <c r="AI26">
        <v>4.6381751332810903E-2</v>
      </c>
      <c r="AJ26">
        <v>3.46405318879158</v>
      </c>
      <c r="AK26">
        <v>0</v>
      </c>
      <c r="AL26">
        <v>0</v>
      </c>
      <c r="AM26">
        <f t="shared" si="22"/>
        <v>1</v>
      </c>
      <c r="AN26">
        <f t="shared" si="23"/>
        <v>0</v>
      </c>
      <c r="AO26">
        <f t="shared" si="24"/>
        <v>52809.108841731533</v>
      </c>
      <c r="AP26" t="s">
        <v>279</v>
      </c>
      <c r="AQ26">
        <v>585.08461538461495</v>
      </c>
      <c r="AR26">
        <v>3491.65</v>
      </c>
      <c r="AS26">
        <f t="shared" si="25"/>
        <v>2906.565384615385</v>
      </c>
      <c r="AT26">
        <f t="shared" si="26"/>
        <v>0.83243320052564973</v>
      </c>
      <c r="AU26">
        <v>-24.085636743186001</v>
      </c>
      <c r="AV26" t="s">
        <v>332</v>
      </c>
      <c r="AW26">
        <v>793.67153846153803</v>
      </c>
      <c r="AX26">
        <v>1116.77</v>
      </c>
      <c r="AY26">
        <f t="shared" si="27"/>
        <v>0.2893151334101578</v>
      </c>
      <c r="AZ26">
        <v>0.5</v>
      </c>
      <c r="BA26">
        <f t="shared" si="28"/>
        <v>1849.1960419624738</v>
      </c>
      <c r="BB26">
        <f t="shared" si="29"/>
        <v>47.763749824864973</v>
      </c>
      <c r="BC26">
        <f t="shared" si="30"/>
        <v>267.50019979095441</v>
      </c>
      <c r="BD26">
        <f t="shared" si="31"/>
        <v>0.50822461205082514</v>
      </c>
      <c r="BE26">
        <f t="shared" si="32"/>
        <v>3.8854391280115572E-2</v>
      </c>
      <c r="BF26">
        <f t="shared" si="33"/>
        <v>2.1265614226743197</v>
      </c>
      <c r="BG26" t="s">
        <v>333</v>
      </c>
      <c r="BH26">
        <v>549.20000000000005</v>
      </c>
      <c r="BI26">
        <f t="shared" si="34"/>
        <v>567.56999999999994</v>
      </c>
      <c r="BJ26">
        <f t="shared" si="35"/>
        <v>0.56926627823609777</v>
      </c>
      <c r="BK26">
        <f t="shared" si="36"/>
        <v>0.80710972149059468</v>
      </c>
      <c r="BL26">
        <f t="shared" si="37"/>
        <v>0.60768731074334037</v>
      </c>
      <c r="BM26">
        <f t="shared" si="38"/>
        <v>0.81707434230462328</v>
      </c>
      <c r="BN26">
        <f t="shared" si="39"/>
        <v>2200.0103225806502</v>
      </c>
      <c r="BO26">
        <f t="shared" si="40"/>
        <v>1849.1960419624738</v>
      </c>
      <c r="BP26">
        <f t="shared" si="41"/>
        <v>0.8405397115561416</v>
      </c>
      <c r="BQ26">
        <f t="shared" si="42"/>
        <v>0.19107942311228315</v>
      </c>
      <c r="BR26">
        <v>1561656336.43226</v>
      </c>
      <c r="BS26">
        <v>735.12596774193503</v>
      </c>
      <c r="BT26">
        <v>799.97787096774198</v>
      </c>
      <c r="BU26">
        <v>19.007945161290301</v>
      </c>
      <c r="BV26">
        <v>8.9483012903225791</v>
      </c>
      <c r="BW26">
        <v>500.026096774194</v>
      </c>
      <c r="BX26">
        <v>99.732835483871</v>
      </c>
      <c r="BY26">
        <v>0.10004020322580599</v>
      </c>
      <c r="BZ26">
        <v>26.3094838709677</v>
      </c>
      <c r="CA26">
        <v>27.085677419354798</v>
      </c>
      <c r="CB26">
        <v>999.9</v>
      </c>
      <c r="CC26">
        <v>9990.4432258064498</v>
      </c>
      <c r="CD26">
        <v>0</v>
      </c>
      <c r="CE26">
        <v>227.16903225806499</v>
      </c>
      <c r="CF26">
        <v>2200.0103225806502</v>
      </c>
      <c r="CG26">
        <v>0.98199348387096796</v>
      </c>
      <c r="CH26">
        <v>1.8006374193548402E-2</v>
      </c>
      <c r="CI26">
        <v>0</v>
      </c>
      <c r="CJ26">
        <v>793.71041935483902</v>
      </c>
      <c r="CK26">
        <v>1.9999499999999999</v>
      </c>
      <c r="CL26">
        <v>18188.5419354839</v>
      </c>
      <c r="CM26">
        <v>17938.3</v>
      </c>
      <c r="CN26">
        <v>48.808064516129001</v>
      </c>
      <c r="CO26">
        <v>49.411000000000001</v>
      </c>
      <c r="CP26">
        <v>48.677096774193501</v>
      </c>
      <c r="CQ26">
        <v>48.939129032258002</v>
      </c>
      <c r="CR26">
        <v>49.811999999999998</v>
      </c>
      <c r="CS26">
        <v>2158.43129032258</v>
      </c>
      <c r="CT26">
        <v>39.579032258064501</v>
      </c>
      <c r="CU26">
        <v>0</v>
      </c>
      <c r="CV26">
        <v>139.60000014305101</v>
      </c>
      <c r="CW26">
        <v>793.67153846153803</v>
      </c>
      <c r="CX26">
        <v>-7.9114529882233002</v>
      </c>
      <c r="CY26">
        <v>-211.22735047824699</v>
      </c>
      <c r="CZ26">
        <v>18187.723076923099</v>
      </c>
      <c r="DA26">
        <v>15</v>
      </c>
      <c r="DB26">
        <v>1561656384.9000001</v>
      </c>
      <c r="DC26" t="s">
        <v>334</v>
      </c>
      <c r="DD26">
        <v>60</v>
      </c>
      <c r="DE26">
        <v>0.92100000000000004</v>
      </c>
      <c r="DF26">
        <v>3.1E-2</v>
      </c>
      <c r="DG26">
        <v>800</v>
      </c>
      <c r="DH26">
        <v>9</v>
      </c>
      <c r="DI26">
        <v>0.03</v>
      </c>
      <c r="DJ26">
        <v>0.01</v>
      </c>
      <c r="DK26">
        <v>48.215356162210703</v>
      </c>
      <c r="DL26">
        <v>-1.22801907951125</v>
      </c>
      <c r="DM26">
        <v>0.240088550994012</v>
      </c>
      <c r="DN26">
        <v>0</v>
      </c>
      <c r="DO26">
        <v>734.63468493150697</v>
      </c>
      <c r="DP26">
        <v>1.5986218334428499</v>
      </c>
      <c r="DQ26">
        <v>0.28307130989429302</v>
      </c>
      <c r="DR26">
        <v>1</v>
      </c>
      <c r="DS26">
        <v>0.55328929025519902</v>
      </c>
      <c r="DT26">
        <v>-1.6989240704824301E-3</v>
      </c>
      <c r="DU26">
        <v>6.93510654351366E-4</v>
      </c>
      <c r="DV26">
        <v>1</v>
      </c>
      <c r="DW26">
        <v>2</v>
      </c>
      <c r="DX26">
        <v>3</v>
      </c>
      <c r="DY26" t="s">
        <v>293</v>
      </c>
      <c r="DZ26">
        <v>1.8672</v>
      </c>
      <c r="EA26">
        <v>1.86371</v>
      </c>
      <c r="EB26">
        <v>1.86934</v>
      </c>
      <c r="EC26">
        <v>1.8672299999999999</v>
      </c>
      <c r="ED26">
        <v>1.87195</v>
      </c>
      <c r="EE26">
        <v>1.86439</v>
      </c>
      <c r="EF26">
        <v>1.8658399999999999</v>
      </c>
      <c r="EG26">
        <v>1.8658300000000001</v>
      </c>
      <c r="EH26" t="s">
        <v>284</v>
      </c>
      <c r="EI26" t="s">
        <v>19</v>
      </c>
      <c r="EJ26" t="s">
        <v>19</v>
      </c>
      <c r="EK26" t="s">
        <v>19</v>
      </c>
      <c r="EL26" t="s">
        <v>285</v>
      </c>
      <c r="EM26" t="s">
        <v>286</v>
      </c>
      <c r="EN26" t="s">
        <v>287</v>
      </c>
      <c r="EO26" t="s">
        <v>287</v>
      </c>
      <c r="EP26" t="s">
        <v>287</v>
      </c>
      <c r="EQ26" t="s">
        <v>287</v>
      </c>
      <c r="ER26">
        <v>0</v>
      </c>
      <c r="ES26">
        <v>100</v>
      </c>
      <c r="ET26">
        <v>100</v>
      </c>
      <c r="EU26">
        <v>0.92100000000000004</v>
      </c>
      <c r="EV26">
        <v>3.1E-2</v>
      </c>
      <c r="EW26">
        <v>2</v>
      </c>
      <c r="EX26">
        <v>512.37300000000005</v>
      </c>
      <c r="EY26">
        <v>457.71300000000002</v>
      </c>
      <c r="EZ26">
        <v>18.8384</v>
      </c>
      <c r="FA26">
        <v>36.695599999999999</v>
      </c>
      <c r="FB26">
        <v>29.999500000000001</v>
      </c>
      <c r="FC26">
        <v>36.682200000000002</v>
      </c>
      <c r="FD26">
        <v>36.661499999999997</v>
      </c>
      <c r="FE26">
        <v>38.192100000000003</v>
      </c>
      <c r="FF26">
        <v>94.563000000000002</v>
      </c>
      <c r="FG26">
        <v>0</v>
      </c>
      <c r="FH26">
        <v>18.0136</v>
      </c>
      <c r="FI26">
        <v>800</v>
      </c>
      <c r="FJ26">
        <v>8.8583700000000007</v>
      </c>
      <c r="FK26">
        <v>100.224</v>
      </c>
      <c r="FL26">
        <v>100.502</v>
      </c>
    </row>
    <row r="27" spans="1:168" x14ac:dyDescent="0.35">
      <c r="A27">
        <v>12</v>
      </c>
      <c r="B27">
        <v>1561656526.5</v>
      </c>
      <c r="C27">
        <v>1577.0999999046301</v>
      </c>
      <c r="D27" t="s">
        <v>335</v>
      </c>
      <c r="E27" t="s">
        <v>336</v>
      </c>
      <c r="F27" t="s">
        <v>277</v>
      </c>
      <c r="G27" t="s">
        <v>278</v>
      </c>
      <c r="H27" t="s">
        <v>277</v>
      </c>
      <c r="J27" t="s">
        <v>277</v>
      </c>
      <c r="K27">
        <v>1561656518.49032</v>
      </c>
      <c r="L27">
        <f t="shared" si="0"/>
        <v>5.8360504387479908E-3</v>
      </c>
      <c r="M27">
        <f t="shared" si="1"/>
        <v>48.388776745154473</v>
      </c>
      <c r="N27">
        <f t="shared" si="2"/>
        <v>935.36329032258095</v>
      </c>
      <c r="O27">
        <f t="shared" si="3"/>
        <v>669.54387383710116</v>
      </c>
      <c r="P27">
        <f t="shared" si="4"/>
        <v>66.838067379640691</v>
      </c>
      <c r="Q27">
        <f t="shared" si="5"/>
        <v>93.373828162653865</v>
      </c>
      <c r="R27">
        <f t="shared" si="6"/>
        <v>0.34237975585417735</v>
      </c>
      <c r="S27">
        <f t="shared" si="7"/>
        <v>2.2562762274760937</v>
      </c>
      <c r="T27">
        <f t="shared" si="8"/>
        <v>0.31591539218714493</v>
      </c>
      <c r="U27">
        <f t="shared" si="9"/>
        <v>0.19965409986454249</v>
      </c>
      <c r="V27">
        <f t="shared" si="10"/>
        <v>353.34028619582909</v>
      </c>
      <c r="W27">
        <f t="shared" si="11"/>
        <v>26.713730317506368</v>
      </c>
      <c r="X27">
        <f t="shared" si="12"/>
        <v>27.264480645161299</v>
      </c>
      <c r="Y27">
        <f t="shared" si="13"/>
        <v>3.6351353187673738</v>
      </c>
      <c r="Z27">
        <f t="shared" si="14"/>
        <v>54.60008482447688</v>
      </c>
      <c r="AA27">
        <f t="shared" si="15"/>
        <v>1.8415856863268134</v>
      </c>
      <c r="AB27">
        <f t="shared" si="16"/>
        <v>3.3728623174249028</v>
      </c>
      <c r="AC27">
        <f t="shared" si="17"/>
        <v>1.7935496324405604</v>
      </c>
      <c r="AD27">
        <f t="shared" si="18"/>
        <v>-257.36982434878638</v>
      </c>
      <c r="AE27">
        <f t="shared" si="19"/>
        <v>-154.66258368892576</v>
      </c>
      <c r="AF27">
        <f t="shared" si="20"/>
        <v>-14.738611647303287</v>
      </c>
      <c r="AG27">
        <f t="shared" si="21"/>
        <v>-73.430733489186338</v>
      </c>
      <c r="AH27">
        <v>-4.1352926037244102E-2</v>
      </c>
      <c r="AI27">
        <v>4.6422282192096903E-2</v>
      </c>
      <c r="AJ27">
        <v>3.4664478716642999</v>
      </c>
      <c r="AK27">
        <v>0</v>
      </c>
      <c r="AL27">
        <v>0</v>
      </c>
      <c r="AM27">
        <f t="shared" si="22"/>
        <v>1</v>
      </c>
      <c r="AN27">
        <f t="shared" si="23"/>
        <v>0</v>
      </c>
      <c r="AO27">
        <f t="shared" si="24"/>
        <v>52909.176616649056</v>
      </c>
      <c r="AP27" t="s">
        <v>279</v>
      </c>
      <c r="AQ27">
        <v>585.08461538461495</v>
      </c>
      <c r="AR27">
        <v>3491.65</v>
      </c>
      <c r="AS27">
        <f t="shared" si="25"/>
        <v>2906.565384615385</v>
      </c>
      <c r="AT27">
        <f t="shared" si="26"/>
        <v>0.83243320052564973</v>
      </c>
      <c r="AU27">
        <v>-24.085636743186001</v>
      </c>
      <c r="AV27" t="s">
        <v>337</v>
      </c>
      <c r="AW27">
        <v>777.49507692307702</v>
      </c>
      <c r="AX27">
        <v>1084.78</v>
      </c>
      <c r="AY27">
        <f t="shared" si="27"/>
        <v>0.28326934777274926</v>
      </c>
      <c r="AZ27">
        <v>0.5</v>
      </c>
      <c r="BA27">
        <f t="shared" si="28"/>
        <v>1849.1807910459302</v>
      </c>
      <c r="BB27">
        <f t="shared" si="29"/>
        <v>48.388776745154473</v>
      </c>
      <c r="BC27">
        <f t="shared" si="30"/>
        <v>261.90811829673856</v>
      </c>
      <c r="BD27">
        <f t="shared" si="31"/>
        <v>0.50441564188130306</v>
      </c>
      <c r="BE27">
        <f t="shared" si="32"/>
        <v>3.9192713789411381E-2</v>
      </c>
      <c r="BF27">
        <f t="shared" si="33"/>
        <v>2.2187632515348734</v>
      </c>
      <c r="BG27" t="s">
        <v>338</v>
      </c>
      <c r="BH27">
        <v>537.6</v>
      </c>
      <c r="BI27">
        <f t="shared" si="34"/>
        <v>547.17999999999995</v>
      </c>
      <c r="BJ27">
        <f t="shared" si="35"/>
        <v>0.56157923001009358</v>
      </c>
      <c r="BK27">
        <f t="shared" si="36"/>
        <v>0.81476955366361425</v>
      </c>
      <c r="BL27">
        <f t="shared" si="37"/>
        <v>0.61494448925807033</v>
      </c>
      <c r="BM27">
        <f t="shared" si="38"/>
        <v>0.82808045975490485</v>
      </c>
      <c r="BN27">
        <f t="shared" si="39"/>
        <v>2199.9922580645198</v>
      </c>
      <c r="BO27">
        <f t="shared" si="40"/>
        <v>1849.1807910459302</v>
      </c>
      <c r="BP27">
        <f t="shared" si="41"/>
        <v>0.84053968111359545</v>
      </c>
      <c r="BQ27">
        <f t="shared" si="42"/>
        <v>0.1910793622271911</v>
      </c>
      <c r="BR27">
        <v>1561656518.49032</v>
      </c>
      <c r="BS27">
        <v>935.36329032258095</v>
      </c>
      <c r="BT27">
        <v>999.97622580645202</v>
      </c>
      <c r="BU27">
        <v>18.447906451612901</v>
      </c>
      <c r="BV27">
        <v>11.574287096774199</v>
      </c>
      <c r="BW27">
        <v>500.03241935483902</v>
      </c>
      <c r="BX27">
        <v>99.726258064516102</v>
      </c>
      <c r="BY27">
        <v>0.10001171612903199</v>
      </c>
      <c r="BZ27">
        <v>25.993006451612899</v>
      </c>
      <c r="CA27">
        <v>27.264480645161299</v>
      </c>
      <c r="CB27">
        <v>999.9</v>
      </c>
      <c r="CC27">
        <v>9999.8329032258098</v>
      </c>
      <c r="CD27">
        <v>0</v>
      </c>
      <c r="CE27">
        <v>220.439032258065</v>
      </c>
      <c r="CF27">
        <v>2199.9922580645198</v>
      </c>
      <c r="CG27">
        <v>0.98199474193548397</v>
      </c>
      <c r="CH27">
        <v>1.80049903225806E-2</v>
      </c>
      <c r="CI27">
        <v>0</v>
      </c>
      <c r="CJ27">
        <v>777.53319354838698</v>
      </c>
      <c r="CK27">
        <v>1.9999499999999999</v>
      </c>
      <c r="CL27">
        <v>17813.6677419355</v>
      </c>
      <c r="CM27">
        <v>17938.158064516101</v>
      </c>
      <c r="CN27">
        <v>48.628967741935497</v>
      </c>
      <c r="CO27">
        <v>49.179000000000002</v>
      </c>
      <c r="CP27">
        <v>48.655129032258102</v>
      </c>
      <c r="CQ27">
        <v>48.576290322580597</v>
      </c>
      <c r="CR27">
        <v>49.639000000000003</v>
      </c>
      <c r="CS27">
        <v>2158.4145161290298</v>
      </c>
      <c r="CT27">
        <v>39.576451612903199</v>
      </c>
      <c r="CU27">
        <v>0</v>
      </c>
      <c r="CV27">
        <v>181.40000009536701</v>
      </c>
      <c r="CW27">
        <v>777.49507692307702</v>
      </c>
      <c r="CX27">
        <v>-3.6229743401253902</v>
      </c>
      <c r="CY27">
        <v>-64.998290594475506</v>
      </c>
      <c r="CZ27">
        <v>17812.946153846198</v>
      </c>
      <c r="DA27">
        <v>15</v>
      </c>
      <c r="DB27">
        <v>1561656561</v>
      </c>
      <c r="DC27" t="s">
        <v>339</v>
      </c>
      <c r="DD27">
        <v>61</v>
      </c>
      <c r="DE27">
        <v>1.101</v>
      </c>
      <c r="DF27">
        <v>5.8999999999999997E-2</v>
      </c>
      <c r="DG27">
        <v>1000</v>
      </c>
      <c r="DH27">
        <v>12</v>
      </c>
      <c r="DI27">
        <v>0.05</v>
      </c>
      <c r="DJ27">
        <v>0.01</v>
      </c>
      <c r="DK27">
        <v>48.690149444795502</v>
      </c>
      <c r="DL27">
        <v>-0.64726926682349295</v>
      </c>
      <c r="DM27">
        <v>0.16444977065521299</v>
      </c>
      <c r="DN27">
        <v>0</v>
      </c>
      <c r="DO27">
        <v>934.92268493150698</v>
      </c>
      <c r="DP27">
        <v>1.4777243838952701</v>
      </c>
      <c r="DQ27">
        <v>0.26980357526355098</v>
      </c>
      <c r="DR27">
        <v>1</v>
      </c>
      <c r="DS27">
        <v>0.34998606107268698</v>
      </c>
      <c r="DT27">
        <v>-4.7543737781847402E-2</v>
      </c>
      <c r="DU27">
        <v>9.3254704861877296E-3</v>
      </c>
      <c r="DV27">
        <v>1</v>
      </c>
      <c r="DW27">
        <v>2</v>
      </c>
      <c r="DX27">
        <v>3</v>
      </c>
      <c r="DY27" t="s">
        <v>293</v>
      </c>
      <c r="DZ27">
        <v>1.86721</v>
      </c>
      <c r="EA27">
        <v>1.86371</v>
      </c>
      <c r="EB27">
        <v>1.8693500000000001</v>
      </c>
      <c r="EC27">
        <v>1.8672200000000001</v>
      </c>
      <c r="ED27">
        <v>1.87195</v>
      </c>
      <c r="EE27">
        <v>1.8643400000000001</v>
      </c>
      <c r="EF27">
        <v>1.86581</v>
      </c>
      <c r="EG27">
        <v>1.8657600000000001</v>
      </c>
      <c r="EH27" t="s">
        <v>284</v>
      </c>
      <c r="EI27" t="s">
        <v>19</v>
      </c>
      <c r="EJ27" t="s">
        <v>19</v>
      </c>
      <c r="EK27" t="s">
        <v>19</v>
      </c>
      <c r="EL27" t="s">
        <v>285</v>
      </c>
      <c r="EM27" t="s">
        <v>286</v>
      </c>
      <c r="EN27" t="s">
        <v>287</v>
      </c>
      <c r="EO27" t="s">
        <v>287</v>
      </c>
      <c r="EP27" t="s">
        <v>287</v>
      </c>
      <c r="EQ27" t="s">
        <v>287</v>
      </c>
      <c r="ER27">
        <v>0</v>
      </c>
      <c r="ES27">
        <v>100</v>
      </c>
      <c r="ET27">
        <v>100</v>
      </c>
      <c r="EU27">
        <v>1.101</v>
      </c>
      <c r="EV27">
        <v>5.8999999999999997E-2</v>
      </c>
      <c r="EW27">
        <v>2</v>
      </c>
      <c r="EX27">
        <v>510.97199999999998</v>
      </c>
      <c r="EY27">
        <v>458.82799999999997</v>
      </c>
      <c r="EZ27">
        <v>18.5412</v>
      </c>
      <c r="FA27">
        <v>36.490499999999997</v>
      </c>
      <c r="FB27">
        <v>29.999700000000001</v>
      </c>
      <c r="FC27">
        <v>36.480499999999999</v>
      </c>
      <c r="FD27">
        <v>36.4649</v>
      </c>
      <c r="FE27">
        <v>45.949300000000001</v>
      </c>
      <c r="FF27">
        <v>85.538200000000003</v>
      </c>
      <c r="FG27">
        <v>0</v>
      </c>
      <c r="FH27">
        <v>16.624099999999999</v>
      </c>
      <c r="FI27">
        <v>1000</v>
      </c>
      <c r="FJ27">
        <v>11.728999999999999</v>
      </c>
      <c r="FK27">
        <v>100.262</v>
      </c>
      <c r="FL27">
        <v>100.54600000000001</v>
      </c>
    </row>
    <row r="28" spans="1:168" x14ac:dyDescent="0.35">
      <c r="A28">
        <v>13</v>
      </c>
      <c r="B28">
        <v>1561656702.5</v>
      </c>
      <c r="C28">
        <v>1753.0999999046301</v>
      </c>
      <c r="D28" t="s">
        <v>340</v>
      </c>
      <c r="E28" t="s">
        <v>341</v>
      </c>
      <c r="F28" t="s">
        <v>277</v>
      </c>
      <c r="G28" t="s">
        <v>278</v>
      </c>
      <c r="H28" t="s">
        <v>277</v>
      </c>
      <c r="J28" t="s">
        <v>277</v>
      </c>
      <c r="K28">
        <v>1561656694.5</v>
      </c>
      <c r="L28">
        <f t="shared" si="0"/>
        <v>4.4948238245165464E-3</v>
      </c>
      <c r="M28">
        <f t="shared" si="1"/>
        <v>49.635890493696586</v>
      </c>
      <c r="N28">
        <f t="shared" si="2"/>
        <v>1134.29225806452</v>
      </c>
      <c r="O28">
        <f t="shared" si="3"/>
        <v>773.08221710700639</v>
      </c>
      <c r="P28">
        <f t="shared" si="4"/>
        <v>77.17881028127151</v>
      </c>
      <c r="Q28">
        <f t="shared" si="5"/>
        <v>113.23934900000334</v>
      </c>
      <c r="R28">
        <f t="shared" si="6"/>
        <v>0.25146336775189826</v>
      </c>
      <c r="S28">
        <f t="shared" si="7"/>
        <v>2.2564854135417525</v>
      </c>
      <c r="T28">
        <f t="shared" si="8"/>
        <v>0.23686778840503744</v>
      </c>
      <c r="U28">
        <f t="shared" si="9"/>
        <v>0.14928307770014884</v>
      </c>
      <c r="V28">
        <f t="shared" si="10"/>
        <v>353.34244056641194</v>
      </c>
      <c r="W28">
        <f t="shared" si="11"/>
        <v>26.944199216814148</v>
      </c>
      <c r="X28">
        <f t="shared" si="12"/>
        <v>27.400938709677401</v>
      </c>
      <c r="Y28">
        <f t="shared" si="13"/>
        <v>3.6643134538805096</v>
      </c>
      <c r="Z28">
        <f t="shared" si="14"/>
        <v>54.705983024447221</v>
      </c>
      <c r="AA28">
        <f t="shared" si="15"/>
        <v>1.8219350265525747</v>
      </c>
      <c r="AB28">
        <f t="shared" si="16"/>
        <v>3.3304127370097367</v>
      </c>
      <c r="AC28">
        <f t="shared" si="17"/>
        <v>1.8423784273279349</v>
      </c>
      <c r="AD28">
        <f t="shared" si="18"/>
        <v>-198.22173066117969</v>
      </c>
      <c r="AE28">
        <f t="shared" si="19"/>
        <v>-197.29345509702827</v>
      </c>
      <c r="AF28">
        <f t="shared" si="20"/>
        <v>-18.792158456283659</v>
      </c>
      <c r="AG28">
        <f t="shared" si="21"/>
        <v>-60.964903648079712</v>
      </c>
      <c r="AH28">
        <v>-4.13585721242394E-2</v>
      </c>
      <c r="AI28">
        <v>4.6428620419373498E-2</v>
      </c>
      <c r="AJ28">
        <v>3.4668222874981298</v>
      </c>
      <c r="AK28">
        <v>0</v>
      </c>
      <c r="AL28">
        <v>0</v>
      </c>
      <c r="AM28">
        <f t="shared" si="22"/>
        <v>1</v>
      </c>
      <c r="AN28">
        <f t="shared" si="23"/>
        <v>0</v>
      </c>
      <c r="AO28">
        <f t="shared" si="24"/>
        <v>52954.118296023102</v>
      </c>
      <c r="AP28" t="s">
        <v>279</v>
      </c>
      <c r="AQ28">
        <v>585.08461538461495</v>
      </c>
      <c r="AR28">
        <v>3491.65</v>
      </c>
      <c r="AS28">
        <f t="shared" si="25"/>
        <v>2906.565384615385</v>
      </c>
      <c r="AT28">
        <f t="shared" si="26"/>
        <v>0.83243320052564973</v>
      </c>
      <c r="AU28">
        <v>-24.085636743186001</v>
      </c>
      <c r="AV28" t="s">
        <v>342</v>
      </c>
      <c r="AW28">
        <v>773.72007692307704</v>
      </c>
      <c r="AX28">
        <v>1088.3599999999999</v>
      </c>
      <c r="AY28">
        <f t="shared" si="27"/>
        <v>0.2890954491867791</v>
      </c>
      <c r="AZ28">
        <v>0.5</v>
      </c>
      <c r="BA28">
        <f t="shared" si="28"/>
        <v>1849.1911935753712</v>
      </c>
      <c r="BB28">
        <f t="shared" si="29"/>
        <v>49.635890493696586</v>
      </c>
      <c r="BC28">
        <f t="shared" si="30"/>
        <v>267.29637936945409</v>
      </c>
      <c r="BD28">
        <f t="shared" si="31"/>
        <v>0.49226358925355573</v>
      </c>
      <c r="BE28">
        <f t="shared" si="32"/>
        <v>3.9866903699851401E-2</v>
      </c>
      <c r="BF28">
        <f t="shared" si="33"/>
        <v>2.2081756036605538</v>
      </c>
      <c r="BG28" t="s">
        <v>343</v>
      </c>
      <c r="BH28">
        <v>552.6</v>
      </c>
      <c r="BI28">
        <f t="shared" si="34"/>
        <v>535.75999999999988</v>
      </c>
      <c r="BJ28">
        <f t="shared" si="35"/>
        <v>0.58727774204293515</v>
      </c>
      <c r="BK28">
        <f t="shared" si="36"/>
        <v>0.8177098041884282</v>
      </c>
      <c r="BL28">
        <f t="shared" si="37"/>
        <v>0.62518440737446002</v>
      </c>
      <c r="BM28">
        <f t="shared" si="38"/>
        <v>0.82684876546068764</v>
      </c>
      <c r="BN28">
        <f t="shared" si="39"/>
        <v>2200.00451612903</v>
      </c>
      <c r="BO28">
        <f t="shared" si="40"/>
        <v>1849.1911935753712</v>
      </c>
      <c r="BP28">
        <f t="shared" si="41"/>
        <v>0.84053972617705142</v>
      </c>
      <c r="BQ28">
        <f t="shared" si="42"/>
        <v>0.19107945235410295</v>
      </c>
      <c r="BR28">
        <v>1561656694.5</v>
      </c>
      <c r="BS28">
        <v>1134.29225806452</v>
      </c>
      <c r="BT28">
        <v>1199.9709677419401</v>
      </c>
      <c r="BU28">
        <v>18.2499</v>
      </c>
      <c r="BV28">
        <v>12.954748387096799</v>
      </c>
      <c r="BW28">
        <v>500.018967741935</v>
      </c>
      <c r="BX28">
        <v>99.732577419354797</v>
      </c>
      <c r="BY28">
        <v>0.100025858064516</v>
      </c>
      <c r="BZ28">
        <v>25.7791483870968</v>
      </c>
      <c r="CA28">
        <v>27.400938709677401</v>
      </c>
      <c r="CB28">
        <v>999.9</v>
      </c>
      <c r="CC28">
        <v>10000.564516128999</v>
      </c>
      <c r="CD28">
        <v>0</v>
      </c>
      <c r="CE28">
        <v>645.75164516128996</v>
      </c>
      <c r="CF28">
        <v>2200.00451612903</v>
      </c>
      <c r="CG28">
        <v>0.981993096774194</v>
      </c>
      <c r="CH28">
        <v>1.8006729032258102E-2</v>
      </c>
      <c r="CI28">
        <v>0</v>
      </c>
      <c r="CJ28">
        <v>773.69016129032298</v>
      </c>
      <c r="CK28">
        <v>1.9999499999999999</v>
      </c>
      <c r="CL28">
        <v>17736.987096774199</v>
      </c>
      <c r="CM28">
        <v>17938.248387096799</v>
      </c>
      <c r="CN28">
        <v>48.648935483871</v>
      </c>
      <c r="CO28">
        <v>49.086387096774203</v>
      </c>
      <c r="CP28">
        <v>48.793999999999997</v>
      </c>
      <c r="CQ28">
        <v>48.293999999999997</v>
      </c>
      <c r="CR28">
        <v>49.622870967741903</v>
      </c>
      <c r="CS28">
        <v>2158.4245161290301</v>
      </c>
      <c r="CT28">
        <v>39.58</v>
      </c>
      <c r="CU28">
        <v>0</v>
      </c>
      <c r="CV28">
        <v>175.30000019073501</v>
      </c>
      <c r="CW28">
        <v>773.72007692307704</v>
      </c>
      <c r="CX28">
        <v>-0.850051275434209</v>
      </c>
      <c r="CY28">
        <v>2.87863277535615</v>
      </c>
      <c r="CZ28">
        <v>17736.746153846201</v>
      </c>
      <c r="DA28">
        <v>15</v>
      </c>
      <c r="DB28">
        <v>1561656630</v>
      </c>
      <c r="DC28" t="s">
        <v>344</v>
      </c>
      <c r="DD28">
        <v>62</v>
      </c>
      <c r="DE28">
        <v>1.24</v>
      </c>
      <c r="DF28">
        <v>6.5000000000000002E-2</v>
      </c>
      <c r="DG28">
        <v>1200</v>
      </c>
      <c r="DH28">
        <v>12</v>
      </c>
      <c r="DI28">
        <v>0.03</v>
      </c>
      <c r="DJ28">
        <v>0.01</v>
      </c>
      <c r="DK28">
        <v>49.922717911816001</v>
      </c>
      <c r="DL28">
        <v>-1.5182673365227</v>
      </c>
      <c r="DM28">
        <v>0.31409245178482298</v>
      </c>
      <c r="DN28">
        <v>0</v>
      </c>
      <c r="DO28">
        <v>1133.90726027397</v>
      </c>
      <c r="DP28">
        <v>2.3117734172528102</v>
      </c>
      <c r="DQ28">
        <v>0.425799040238935</v>
      </c>
      <c r="DR28">
        <v>1</v>
      </c>
      <c r="DS28">
        <v>0.256407436571711</v>
      </c>
      <c r="DT28">
        <v>-2.9143846481317799E-2</v>
      </c>
      <c r="DU28">
        <v>6.2101731594199098E-3</v>
      </c>
      <c r="DV28">
        <v>1</v>
      </c>
      <c r="DW28">
        <v>2</v>
      </c>
      <c r="DX28">
        <v>3</v>
      </c>
      <c r="DY28" t="s">
        <v>293</v>
      </c>
      <c r="DZ28">
        <v>1.86707</v>
      </c>
      <c r="EA28">
        <v>1.8635699999999999</v>
      </c>
      <c r="EB28">
        <v>1.8692</v>
      </c>
      <c r="EC28">
        <v>1.86717</v>
      </c>
      <c r="ED28">
        <v>1.87181</v>
      </c>
      <c r="EE28">
        <v>1.86425</v>
      </c>
      <c r="EF28">
        <v>1.8656900000000001</v>
      </c>
      <c r="EG28">
        <v>1.86568</v>
      </c>
      <c r="EH28" t="s">
        <v>284</v>
      </c>
      <c r="EI28" t="s">
        <v>19</v>
      </c>
      <c r="EJ28" t="s">
        <v>19</v>
      </c>
      <c r="EK28" t="s">
        <v>19</v>
      </c>
      <c r="EL28" t="s">
        <v>285</v>
      </c>
      <c r="EM28" t="s">
        <v>286</v>
      </c>
      <c r="EN28" t="s">
        <v>287</v>
      </c>
      <c r="EO28" t="s">
        <v>287</v>
      </c>
      <c r="EP28" t="s">
        <v>287</v>
      </c>
      <c r="EQ28" t="s">
        <v>287</v>
      </c>
      <c r="ER28">
        <v>0</v>
      </c>
      <c r="ES28">
        <v>100</v>
      </c>
      <c r="ET28">
        <v>100</v>
      </c>
      <c r="EU28">
        <v>1.24</v>
      </c>
      <c r="EV28">
        <v>6.5000000000000002E-2</v>
      </c>
      <c r="EW28">
        <v>2</v>
      </c>
      <c r="EX28">
        <v>510.25700000000001</v>
      </c>
      <c r="EY28">
        <v>459.78500000000003</v>
      </c>
      <c r="EZ28">
        <v>18.268000000000001</v>
      </c>
      <c r="FA28">
        <v>36.304099999999998</v>
      </c>
      <c r="FB28">
        <v>29.9999</v>
      </c>
      <c r="FC28">
        <v>36.291899999999998</v>
      </c>
      <c r="FD28">
        <v>36.272599999999997</v>
      </c>
      <c r="FE28">
        <v>53.399500000000003</v>
      </c>
      <c r="FF28">
        <v>82.899000000000001</v>
      </c>
      <c r="FG28">
        <v>0</v>
      </c>
      <c r="FH28">
        <v>16.4712</v>
      </c>
      <c r="FI28">
        <v>1200</v>
      </c>
      <c r="FJ28">
        <v>12.999700000000001</v>
      </c>
      <c r="FK28">
        <v>100.3</v>
      </c>
      <c r="FL28">
        <v>100.587</v>
      </c>
    </row>
    <row r="29" spans="1:168" x14ac:dyDescent="0.35">
      <c r="A29">
        <v>14</v>
      </c>
      <c r="B29">
        <v>1561656843</v>
      </c>
      <c r="C29">
        <v>1893.5999999046301</v>
      </c>
      <c r="D29" t="s">
        <v>345</v>
      </c>
      <c r="E29" t="s">
        <v>346</v>
      </c>
      <c r="F29" t="s">
        <v>277</v>
      </c>
      <c r="G29" t="s">
        <v>278</v>
      </c>
      <c r="H29" t="s">
        <v>277</v>
      </c>
      <c r="J29" t="s">
        <v>277</v>
      </c>
      <c r="K29">
        <v>1561656835</v>
      </c>
      <c r="L29">
        <f t="shared" si="0"/>
        <v>3.9171925271284718E-3</v>
      </c>
      <c r="M29">
        <f t="shared" si="1"/>
        <v>49.958669363318521</v>
      </c>
      <c r="N29">
        <f t="shared" si="2"/>
        <v>1532.76870967742</v>
      </c>
      <c r="O29">
        <f t="shared" si="3"/>
        <v>1093.3482777214879</v>
      </c>
      <c r="P29">
        <f t="shared" si="4"/>
        <v>109.1458495268275</v>
      </c>
      <c r="Q29">
        <f t="shared" si="5"/>
        <v>153.0119417158829</v>
      </c>
      <c r="R29">
        <f t="shared" si="6"/>
        <v>0.20946739445287105</v>
      </c>
      <c r="S29">
        <f t="shared" si="7"/>
        <v>2.2559514655521271</v>
      </c>
      <c r="T29">
        <f t="shared" si="8"/>
        <v>0.19923101175413152</v>
      </c>
      <c r="U29">
        <f t="shared" si="9"/>
        <v>0.12539738317868337</v>
      </c>
      <c r="V29">
        <f t="shared" si="10"/>
        <v>353.33447895095367</v>
      </c>
      <c r="W29">
        <f t="shared" si="11"/>
        <v>27.210846702832889</v>
      </c>
      <c r="X29">
        <f t="shared" si="12"/>
        <v>27.6784161290323</v>
      </c>
      <c r="Y29">
        <f t="shared" si="13"/>
        <v>3.7242760659655834</v>
      </c>
      <c r="Z29">
        <f t="shared" si="14"/>
        <v>54.284912644508822</v>
      </c>
      <c r="AA29">
        <f t="shared" si="15"/>
        <v>1.815983496175084</v>
      </c>
      <c r="AB29">
        <f t="shared" si="16"/>
        <v>3.345282156143949</v>
      </c>
      <c r="AC29">
        <f t="shared" si="17"/>
        <v>1.9082925697904993</v>
      </c>
      <c r="AD29">
        <f t="shared" si="18"/>
        <v>-172.74819044636561</v>
      </c>
      <c r="AE29">
        <f t="shared" si="19"/>
        <v>-221.85068122775888</v>
      </c>
      <c r="AF29">
        <f t="shared" si="20"/>
        <v>-21.17361346269756</v>
      </c>
      <c r="AG29">
        <f t="shared" si="21"/>
        <v>-62.438006185868403</v>
      </c>
      <c r="AH29">
        <v>-4.1344161417269702E-2</v>
      </c>
      <c r="AI29">
        <v>4.6412443138352702E-2</v>
      </c>
      <c r="AJ29">
        <v>3.4658666177437198</v>
      </c>
      <c r="AK29">
        <v>0</v>
      </c>
      <c r="AL29">
        <v>0</v>
      </c>
      <c r="AM29">
        <f t="shared" si="22"/>
        <v>1</v>
      </c>
      <c r="AN29">
        <f t="shared" si="23"/>
        <v>0</v>
      </c>
      <c r="AO29">
        <f t="shared" si="24"/>
        <v>52922.988285897809</v>
      </c>
      <c r="AP29" t="s">
        <v>279</v>
      </c>
      <c r="AQ29">
        <v>585.08461538461495</v>
      </c>
      <c r="AR29">
        <v>3491.65</v>
      </c>
      <c r="AS29">
        <f t="shared" si="25"/>
        <v>2906.565384615385</v>
      </c>
      <c r="AT29">
        <f t="shared" si="26"/>
        <v>0.83243320052564973</v>
      </c>
      <c r="AU29">
        <v>-24.085636743186001</v>
      </c>
      <c r="AV29" t="s">
        <v>347</v>
      </c>
      <c r="AW29">
        <v>760.29011538461498</v>
      </c>
      <c r="AX29">
        <v>1041.32</v>
      </c>
      <c r="AY29">
        <f t="shared" si="27"/>
        <v>0.26987850479716602</v>
      </c>
      <c r="AZ29">
        <v>0.5</v>
      </c>
      <c r="BA29">
        <f t="shared" si="28"/>
        <v>1849.1523684651461</v>
      </c>
      <c r="BB29">
        <f t="shared" si="29"/>
        <v>49.958669363318521</v>
      </c>
      <c r="BC29">
        <f t="shared" si="30"/>
        <v>249.52323817175591</v>
      </c>
      <c r="BD29">
        <f t="shared" si="31"/>
        <v>0.48430837782814118</v>
      </c>
      <c r="BE29">
        <f t="shared" si="32"/>
        <v>4.0042295794133827E-2</v>
      </c>
      <c r="BF29">
        <f t="shared" si="33"/>
        <v>2.3530999116505975</v>
      </c>
      <c r="BG29" t="s">
        <v>348</v>
      </c>
      <c r="BH29">
        <v>537</v>
      </c>
      <c r="BI29">
        <f t="shared" si="34"/>
        <v>504.31999999999994</v>
      </c>
      <c r="BJ29">
        <f t="shared" si="35"/>
        <v>0.55724517095372972</v>
      </c>
      <c r="BK29">
        <f t="shared" si="36"/>
        <v>0.82931311661279672</v>
      </c>
      <c r="BL29">
        <f t="shared" si="37"/>
        <v>0.61597564347688294</v>
      </c>
      <c r="BM29">
        <f t="shared" si="38"/>
        <v>0.84303281562827903</v>
      </c>
      <c r="BN29">
        <f t="shared" si="39"/>
        <v>2199.9587096774198</v>
      </c>
      <c r="BO29">
        <f t="shared" si="40"/>
        <v>1849.1523684651461</v>
      </c>
      <c r="BP29">
        <f t="shared" si="41"/>
        <v>0.84053957937069079</v>
      </c>
      <c r="BQ29">
        <f t="shared" si="42"/>
        <v>0.19107915874138173</v>
      </c>
      <c r="BR29">
        <v>1561656835</v>
      </c>
      <c r="BS29">
        <v>1532.76870967742</v>
      </c>
      <c r="BT29">
        <v>1599.9254838709701</v>
      </c>
      <c r="BU29">
        <v>18.191277419354801</v>
      </c>
      <c r="BV29">
        <v>13.576061290322601</v>
      </c>
      <c r="BW29">
        <v>499.98964516129001</v>
      </c>
      <c r="BX29">
        <v>99.727235483870999</v>
      </c>
      <c r="BY29">
        <v>9.9920922580645194E-2</v>
      </c>
      <c r="BZ29">
        <v>25.8543290322581</v>
      </c>
      <c r="CA29">
        <v>27.6784161290323</v>
      </c>
      <c r="CB29">
        <v>999.9</v>
      </c>
      <c r="CC29">
        <v>9997.6154838709699</v>
      </c>
      <c r="CD29">
        <v>0</v>
      </c>
      <c r="CE29">
        <v>198.74054838709699</v>
      </c>
      <c r="CF29">
        <v>2199.9587096774198</v>
      </c>
      <c r="CG29">
        <v>0.98199683870967702</v>
      </c>
      <c r="CH29">
        <v>1.8003045161290299E-2</v>
      </c>
      <c r="CI29">
        <v>0</v>
      </c>
      <c r="CJ29">
        <v>760.34248387096795</v>
      </c>
      <c r="CK29">
        <v>1.9999499999999999</v>
      </c>
      <c r="CL29">
        <v>17429.222580645201</v>
      </c>
      <c r="CM29">
        <v>17937.916129032299</v>
      </c>
      <c r="CN29">
        <v>48.8</v>
      </c>
      <c r="CO29">
        <v>49.205290322580602</v>
      </c>
      <c r="CP29">
        <v>48.521967741935498</v>
      </c>
      <c r="CQ29">
        <v>48.424999999999997</v>
      </c>
      <c r="CR29">
        <v>49.832387096774198</v>
      </c>
      <c r="CS29">
        <v>2158.3890322580601</v>
      </c>
      <c r="CT29">
        <v>39.568387096774202</v>
      </c>
      <c r="CU29">
        <v>0</v>
      </c>
      <c r="CV29">
        <v>140.10000014305101</v>
      </c>
      <c r="CW29">
        <v>760.29011538461498</v>
      </c>
      <c r="CX29">
        <v>-7.0947350525201998</v>
      </c>
      <c r="CY29">
        <v>-164.304273602075</v>
      </c>
      <c r="CZ29">
        <v>17427.0884615385</v>
      </c>
      <c r="DA29">
        <v>15</v>
      </c>
      <c r="DB29">
        <v>1561656803.5</v>
      </c>
      <c r="DC29" t="s">
        <v>349</v>
      </c>
      <c r="DD29">
        <v>63</v>
      </c>
      <c r="DE29">
        <v>1.24</v>
      </c>
      <c r="DF29">
        <v>7.6999999999999999E-2</v>
      </c>
      <c r="DG29">
        <v>1200</v>
      </c>
      <c r="DH29">
        <v>13</v>
      </c>
      <c r="DI29">
        <v>0.03</v>
      </c>
      <c r="DJ29">
        <v>0.02</v>
      </c>
      <c r="DK29">
        <v>44.525009813368399</v>
      </c>
      <c r="DL29">
        <v>44.244785860408001</v>
      </c>
      <c r="DM29">
        <v>14.554151735186901</v>
      </c>
      <c r="DN29">
        <v>0</v>
      </c>
      <c r="DO29">
        <v>1533.81452054795</v>
      </c>
      <c r="DP29">
        <v>-11.735764531657701</v>
      </c>
      <c r="DQ29">
        <v>6.3653675637924199</v>
      </c>
      <c r="DR29">
        <v>0</v>
      </c>
      <c r="DS29">
        <v>0.18792493987740699</v>
      </c>
      <c r="DT29">
        <v>0.18691917380107601</v>
      </c>
      <c r="DU29">
        <v>6.3146708624437997E-2</v>
      </c>
      <c r="DV29">
        <v>1</v>
      </c>
      <c r="DW29">
        <v>1</v>
      </c>
      <c r="DX29">
        <v>3</v>
      </c>
      <c r="DY29" t="s">
        <v>304</v>
      </c>
      <c r="DZ29">
        <v>1.86707</v>
      </c>
      <c r="EA29">
        <v>1.8635699999999999</v>
      </c>
      <c r="EB29">
        <v>1.8692</v>
      </c>
      <c r="EC29">
        <v>1.8671599999999999</v>
      </c>
      <c r="ED29">
        <v>1.8718300000000001</v>
      </c>
      <c r="EE29">
        <v>1.8642700000000001</v>
      </c>
      <c r="EF29">
        <v>1.8656900000000001</v>
      </c>
      <c r="EG29">
        <v>1.8656900000000001</v>
      </c>
      <c r="EH29" t="s">
        <v>284</v>
      </c>
      <c r="EI29" t="s">
        <v>19</v>
      </c>
      <c r="EJ29" t="s">
        <v>19</v>
      </c>
      <c r="EK29" t="s">
        <v>19</v>
      </c>
      <c r="EL29" t="s">
        <v>285</v>
      </c>
      <c r="EM29" t="s">
        <v>286</v>
      </c>
      <c r="EN29" t="s">
        <v>287</v>
      </c>
      <c r="EO29" t="s">
        <v>287</v>
      </c>
      <c r="EP29" t="s">
        <v>287</v>
      </c>
      <c r="EQ29" t="s">
        <v>287</v>
      </c>
      <c r="ER29">
        <v>0</v>
      </c>
      <c r="ES29">
        <v>100</v>
      </c>
      <c r="ET29">
        <v>100</v>
      </c>
      <c r="EU29">
        <v>1.24</v>
      </c>
      <c r="EV29">
        <v>7.6999999999999999E-2</v>
      </c>
      <c r="EW29">
        <v>2</v>
      </c>
      <c r="EX29">
        <v>509.23700000000002</v>
      </c>
      <c r="EY29">
        <v>459.92099999999999</v>
      </c>
      <c r="EZ29">
        <v>18.360800000000001</v>
      </c>
      <c r="FA29">
        <v>36.293500000000002</v>
      </c>
      <c r="FB29">
        <v>30</v>
      </c>
      <c r="FC29">
        <v>36.238300000000002</v>
      </c>
      <c r="FD29">
        <v>36.214500000000001</v>
      </c>
      <c r="FE29">
        <v>67.374099999999999</v>
      </c>
      <c r="FF29">
        <v>81.916399999999996</v>
      </c>
      <c r="FG29">
        <v>0</v>
      </c>
      <c r="FH29">
        <v>16.440799999999999</v>
      </c>
      <c r="FI29">
        <v>1600</v>
      </c>
      <c r="FJ29">
        <v>13.843</v>
      </c>
      <c r="FK29">
        <v>100.295</v>
      </c>
      <c r="FL29">
        <v>100.581</v>
      </c>
    </row>
  </sheetData>
  <sortState xmlns:xlrd2="http://schemas.microsoft.com/office/spreadsheetml/2017/richdata2" ref="L34:N45">
    <sortCondition ref="L3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  <row r="7" spans="1:2" x14ac:dyDescent="0.35">
      <c r="A7" t="s">
        <v>12</v>
      </c>
      <c r="B7" t="s">
        <v>13</v>
      </c>
    </row>
    <row r="8" spans="1:2" x14ac:dyDescent="0.35">
      <c r="A8" t="s">
        <v>14</v>
      </c>
      <c r="B8" t="s">
        <v>15</v>
      </c>
    </row>
    <row r="9" spans="1:2" x14ac:dyDescent="0.35">
      <c r="A9" t="s">
        <v>16</v>
      </c>
      <c r="B9" t="s">
        <v>17</v>
      </c>
    </row>
    <row r="10" spans="1:2" x14ac:dyDescent="0.35">
      <c r="A10" t="s">
        <v>18</v>
      </c>
      <c r="B10" t="s">
        <v>19</v>
      </c>
    </row>
    <row r="11" spans="1:2" x14ac:dyDescent="0.35">
      <c r="A11" t="s">
        <v>20</v>
      </c>
      <c r="B11" t="s">
        <v>19</v>
      </c>
    </row>
    <row r="12" spans="1:2" x14ac:dyDescent="0.35">
      <c r="A12" t="s">
        <v>21</v>
      </c>
      <c r="B12" t="s">
        <v>17</v>
      </c>
    </row>
    <row r="13" spans="1:2" x14ac:dyDescent="0.35">
      <c r="A13" t="s">
        <v>22</v>
      </c>
      <c r="B13" t="s">
        <v>11</v>
      </c>
    </row>
    <row r="14" spans="1:2" x14ac:dyDescent="0.35">
      <c r="A14" t="s">
        <v>23</v>
      </c>
      <c r="B1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Wu, Genghong</cp:lastModifiedBy>
  <dcterms:created xsi:type="dcterms:W3CDTF">2019-06-27T12:34:38Z</dcterms:created>
  <dcterms:modified xsi:type="dcterms:W3CDTF">2019-08-28T02:59:59Z</dcterms:modified>
</cp:coreProperties>
</file>