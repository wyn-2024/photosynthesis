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F20B42A0-3E04-41E8-A7D4-3481A732CFA0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Q34" i="1" l="1"/>
  <c r="BP34" i="1"/>
  <c r="BN34" i="1"/>
  <c r="BM34" i="1"/>
  <c r="BL34" i="1"/>
  <c r="BK34" i="1"/>
  <c r="BJ34" i="1"/>
  <c r="BI34" i="1"/>
  <c r="BD34" i="1" s="1"/>
  <c r="BF34" i="1"/>
  <c r="AY34" i="1"/>
  <c r="AS34" i="1"/>
  <c r="AT34" i="1" s="1"/>
  <c r="AO34" i="1"/>
  <c r="AM34" i="1" s="1"/>
  <c r="L34" i="1" s="1"/>
  <c r="AD34" i="1" s="1"/>
  <c r="AB34" i="1"/>
  <c r="AA34" i="1"/>
  <c r="S34" i="1"/>
  <c r="BQ33" i="1"/>
  <c r="BP33" i="1"/>
  <c r="BN33" i="1"/>
  <c r="BM33" i="1"/>
  <c r="BL33" i="1"/>
  <c r="BK33" i="1"/>
  <c r="BJ33" i="1"/>
  <c r="BI33" i="1"/>
  <c r="BD33" i="1" s="1"/>
  <c r="BF33" i="1"/>
  <c r="AY33" i="1"/>
  <c r="AS33" i="1"/>
  <c r="AT33" i="1" s="1"/>
  <c r="AO33" i="1"/>
  <c r="AM33" i="1" s="1"/>
  <c r="N33" i="1" s="1"/>
  <c r="AB33" i="1"/>
  <c r="AA33" i="1"/>
  <c r="Z33" i="1" s="1"/>
  <c r="S33" i="1"/>
  <c r="BQ32" i="1"/>
  <c r="BP32" i="1"/>
  <c r="BN32" i="1"/>
  <c r="BO32" i="1" s="1"/>
  <c r="BA32" i="1" s="1"/>
  <c r="BC32" i="1" s="1"/>
  <c r="BM32" i="1"/>
  <c r="BL32" i="1"/>
  <c r="BK32" i="1"/>
  <c r="BJ32" i="1"/>
  <c r="BI32" i="1"/>
  <c r="BD32" i="1" s="1"/>
  <c r="BF32" i="1"/>
  <c r="AY32" i="1"/>
  <c r="AT32" i="1"/>
  <c r="AS32" i="1"/>
  <c r="AO32" i="1"/>
  <c r="AM32" i="1" s="1"/>
  <c r="Q32" i="1" s="1"/>
  <c r="AB32" i="1"/>
  <c r="Z32" i="1" s="1"/>
  <c r="AA32" i="1"/>
  <c r="S32" i="1"/>
  <c r="BQ31" i="1"/>
  <c r="BP31" i="1"/>
  <c r="BN31" i="1"/>
  <c r="BM31" i="1"/>
  <c r="BL31" i="1"/>
  <c r="BK31" i="1"/>
  <c r="BJ31" i="1"/>
  <c r="BI31" i="1"/>
  <c r="BD31" i="1" s="1"/>
  <c r="BF31" i="1"/>
  <c r="AY31" i="1"/>
  <c r="AS31" i="1"/>
  <c r="AT31" i="1" s="1"/>
  <c r="AO31" i="1"/>
  <c r="AM31" i="1" s="1"/>
  <c r="M31" i="1" s="1"/>
  <c r="BB31" i="1" s="1"/>
  <c r="AB31" i="1"/>
  <c r="AA31" i="1"/>
  <c r="S31" i="1"/>
  <c r="Q31" i="1"/>
  <c r="L31" i="1"/>
  <c r="AD31" i="1" s="1"/>
  <c r="BQ30" i="1"/>
  <c r="BP30" i="1"/>
  <c r="BN30" i="1"/>
  <c r="BM30" i="1"/>
  <c r="BL30" i="1"/>
  <c r="BK30" i="1"/>
  <c r="BJ30" i="1"/>
  <c r="BI30" i="1"/>
  <c r="BD30" i="1" s="1"/>
  <c r="BF30" i="1"/>
  <c r="AY30" i="1"/>
  <c r="AS30" i="1"/>
  <c r="AT30" i="1" s="1"/>
  <c r="AO30" i="1"/>
  <c r="AM30" i="1" s="1"/>
  <c r="L30" i="1" s="1"/>
  <c r="AD30" i="1" s="1"/>
  <c r="AB30" i="1"/>
  <c r="AA30" i="1"/>
  <c r="S30" i="1"/>
  <c r="BQ29" i="1"/>
  <c r="BP29" i="1"/>
  <c r="BN29" i="1"/>
  <c r="BM29" i="1"/>
  <c r="BL29" i="1"/>
  <c r="BK29" i="1"/>
  <c r="BJ29" i="1"/>
  <c r="BI29" i="1"/>
  <c r="BD29" i="1" s="1"/>
  <c r="BF29" i="1"/>
  <c r="AY29" i="1"/>
  <c r="AS29" i="1"/>
  <c r="AT29" i="1" s="1"/>
  <c r="AO29" i="1"/>
  <c r="AM29" i="1"/>
  <c r="AN29" i="1" s="1"/>
  <c r="AB29" i="1"/>
  <c r="AA29" i="1"/>
  <c r="Z29" i="1" s="1"/>
  <c r="S29" i="1"/>
  <c r="BQ28" i="1"/>
  <c r="BP28" i="1"/>
  <c r="BN28" i="1"/>
  <c r="BO28" i="1" s="1"/>
  <c r="BA28" i="1" s="1"/>
  <c r="BC28" i="1" s="1"/>
  <c r="BM28" i="1"/>
  <c r="BL28" i="1"/>
  <c r="BK28" i="1"/>
  <c r="BJ28" i="1"/>
  <c r="BI28" i="1"/>
  <c r="BD28" i="1" s="1"/>
  <c r="BF28" i="1"/>
  <c r="AY28" i="1"/>
  <c r="AS28" i="1"/>
  <c r="AT28" i="1" s="1"/>
  <c r="AO28" i="1"/>
  <c r="AM28" i="1"/>
  <c r="AB28" i="1"/>
  <c r="AA28" i="1"/>
  <c r="Z28" i="1" s="1"/>
  <c r="S28" i="1"/>
  <c r="BQ27" i="1"/>
  <c r="BP27" i="1"/>
  <c r="BN27" i="1"/>
  <c r="BO27" i="1" s="1"/>
  <c r="BM27" i="1"/>
  <c r="BL27" i="1"/>
  <c r="BK27" i="1"/>
  <c r="BJ27" i="1"/>
  <c r="BI27" i="1"/>
  <c r="BD27" i="1" s="1"/>
  <c r="BF27" i="1"/>
  <c r="AY27" i="1"/>
  <c r="AS27" i="1"/>
  <c r="AT27" i="1" s="1"/>
  <c r="AO27" i="1"/>
  <c r="AM27" i="1" s="1"/>
  <c r="L27" i="1" s="1"/>
  <c r="AB27" i="1"/>
  <c r="AA27" i="1"/>
  <c r="S27" i="1"/>
  <c r="BQ26" i="1"/>
  <c r="BP26" i="1"/>
  <c r="BN26" i="1"/>
  <c r="BM26" i="1"/>
  <c r="BL26" i="1"/>
  <c r="BK26" i="1"/>
  <c r="BJ26" i="1"/>
  <c r="BI26" i="1"/>
  <c r="BD26" i="1" s="1"/>
  <c r="BF26" i="1"/>
  <c r="AY26" i="1"/>
  <c r="AS26" i="1"/>
  <c r="AT26" i="1" s="1"/>
  <c r="AO26" i="1"/>
  <c r="AM26" i="1"/>
  <c r="N26" i="1" s="1"/>
  <c r="AB26" i="1"/>
  <c r="AA26" i="1"/>
  <c r="S26" i="1"/>
  <c r="BQ25" i="1"/>
  <c r="BP25" i="1"/>
  <c r="BN25" i="1"/>
  <c r="BM25" i="1"/>
  <c r="BL25" i="1"/>
  <c r="BK25" i="1"/>
  <c r="BJ25" i="1"/>
  <c r="BI25" i="1"/>
  <c r="BD25" i="1" s="1"/>
  <c r="BF25" i="1"/>
  <c r="AY25" i="1"/>
  <c r="AS25" i="1"/>
  <c r="AT25" i="1" s="1"/>
  <c r="AO25" i="1"/>
  <c r="AM25" i="1"/>
  <c r="Q25" i="1" s="1"/>
  <c r="AB25" i="1"/>
  <c r="AA25" i="1"/>
  <c r="S25" i="1"/>
  <c r="BQ24" i="1"/>
  <c r="BP24" i="1"/>
  <c r="BN24" i="1"/>
  <c r="BM24" i="1"/>
  <c r="BL24" i="1"/>
  <c r="BK24" i="1"/>
  <c r="BJ24" i="1"/>
  <c r="BI24" i="1"/>
  <c r="BD24" i="1" s="1"/>
  <c r="BF24" i="1"/>
  <c r="AY24" i="1"/>
  <c r="AS24" i="1"/>
  <c r="AT24" i="1" s="1"/>
  <c r="AO24" i="1"/>
  <c r="AM24" i="1" s="1"/>
  <c r="L24" i="1" s="1"/>
  <c r="AD24" i="1" s="1"/>
  <c r="AB24" i="1"/>
  <c r="AA24" i="1"/>
  <c r="S24" i="1"/>
  <c r="Q24" i="1"/>
  <c r="M24" i="1"/>
  <c r="BB24" i="1" s="1"/>
  <c r="BQ23" i="1"/>
  <c r="BP23" i="1"/>
  <c r="BN23" i="1"/>
  <c r="BO23" i="1" s="1"/>
  <c r="BM23" i="1"/>
  <c r="BL23" i="1"/>
  <c r="BK23" i="1"/>
  <c r="BJ23" i="1"/>
  <c r="BI23" i="1"/>
  <c r="BD23" i="1" s="1"/>
  <c r="BF23" i="1"/>
  <c r="AY23" i="1"/>
  <c r="AS23" i="1"/>
  <c r="AT23" i="1" s="1"/>
  <c r="AO23" i="1"/>
  <c r="AM23" i="1" s="1"/>
  <c r="N23" i="1" s="1"/>
  <c r="AB23" i="1"/>
  <c r="AA23" i="1"/>
  <c r="Z23" i="1" s="1"/>
  <c r="S23" i="1"/>
  <c r="BQ22" i="1"/>
  <c r="BP22" i="1"/>
  <c r="BN22" i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Q22" i="1" s="1"/>
  <c r="AB22" i="1"/>
  <c r="Z22" i="1" s="1"/>
  <c r="AA22" i="1"/>
  <c r="S22" i="1"/>
  <c r="BQ21" i="1"/>
  <c r="BP21" i="1"/>
  <c r="BN21" i="1"/>
  <c r="BO21" i="1" s="1"/>
  <c r="BM21" i="1"/>
  <c r="BL21" i="1"/>
  <c r="BK21" i="1"/>
  <c r="BJ21" i="1"/>
  <c r="BI21" i="1"/>
  <c r="BD21" i="1" s="1"/>
  <c r="BF21" i="1"/>
  <c r="AY21" i="1"/>
  <c r="AS21" i="1"/>
  <c r="AT21" i="1" s="1"/>
  <c r="AO21" i="1"/>
  <c r="AM21" i="1" s="1"/>
  <c r="M21" i="1" s="1"/>
  <c r="BB21" i="1" s="1"/>
  <c r="AB21" i="1"/>
  <c r="AA21" i="1"/>
  <c r="S21" i="1"/>
  <c r="BQ20" i="1"/>
  <c r="BP20" i="1"/>
  <c r="BN20" i="1"/>
  <c r="BM20" i="1"/>
  <c r="BL20" i="1"/>
  <c r="BK20" i="1"/>
  <c r="BJ20" i="1"/>
  <c r="BI20" i="1"/>
  <c r="BF20" i="1"/>
  <c r="BD20" i="1"/>
  <c r="AY20" i="1"/>
  <c r="AS20" i="1"/>
  <c r="AT20" i="1" s="1"/>
  <c r="AO20" i="1"/>
  <c r="AM20" i="1" s="1"/>
  <c r="AN20" i="1" s="1"/>
  <c r="AB20" i="1"/>
  <c r="AA20" i="1"/>
  <c r="S20" i="1"/>
  <c r="BQ19" i="1"/>
  <c r="BP19" i="1"/>
  <c r="BN19" i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 s="1"/>
  <c r="AB19" i="1"/>
  <c r="AA19" i="1"/>
  <c r="Z19" i="1" s="1"/>
  <c r="S19" i="1"/>
  <c r="BQ18" i="1"/>
  <c r="BP18" i="1"/>
  <c r="BO18" i="1" s="1"/>
  <c r="BA18" i="1" s="1"/>
  <c r="BC18" i="1" s="1"/>
  <c r="BN18" i="1"/>
  <c r="BM18" i="1"/>
  <c r="BL18" i="1"/>
  <c r="BK18" i="1"/>
  <c r="BJ18" i="1"/>
  <c r="BI18" i="1"/>
  <c r="BD18" i="1" s="1"/>
  <c r="BF18" i="1"/>
  <c r="AY18" i="1"/>
  <c r="AS18" i="1"/>
  <c r="AT18" i="1" s="1"/>
  <c r="AO18" i="1"/>
  <c r="AM18" i="1" s="1"/>
  <c r="AN18" i="1" s="1"/>
  <c r="AB18" i="1"/>
  <c r="Z18" i="1" s="1"/>
  <c r="AA18" i="1"/>
  <c r="S18" i="1"/>
  <c r="BQ17" i="1"/>
  <c r="BP17" i="1"/>
  <c r="BN17" i="1"/>
  <c r="BO17" i="1" s="1"/>
  <c r="BM17" i="1"/>
  <c r="BL17" i="1"/>
  <c r="BK17" i="1"/>
  <c r="BJ17" i="1"/>
  <c r="BI17" i="1"/>
  <c r="BD17" i="1" s="1"/>
  <c r="BF17" i="1"/>
  <c r="AY17" i="1"/>
  <c r="AS17" i="1"/>
  <c r="AT17" i="1" s="1"/>
  <c r="AO17" i="1"/>
  <c r="AM17" i="1" s="1"/>
  <c r="AB17" i="1"/>
  <c r="AA17" i="1"/>
  <c r="S17" i="1"/>
  <c r="BA23" i="1" l="1"/>
  <c r="V23" i="1"/>
  <c r="BO26" i="1"/>
  <c r="BO29" i="1"/>
  <c r="BA29" i="1" s="1"/>
  <c r="BC29" i="1" s="1"/>
  <c r="BO30" i="1"/>
  <c r="BO33" i="1"/>
  <c r="BA33" i="1" s="1"/>
  <c r="BO34" i="1"/>
  <c r="V21" i="1"/>
  <c r="Z17" i="1"/>
  <c r="BO19" i="1"/>
  <c r="BA19" i="1" s="1"/>
  <c r="BC19" i="1" s="1"/>
  <c r="Z21" i="1"/>
  <c r="Z25" i="1"/>
  <c r="BO25" i="1"/>
  <c r="BA25" i="1" s="1"/>
  <c r="BC25" i="1" s="1"/>
  <c r="N19" i="1"/>
  <c r="AN19" i="1"/>
  <c r="L20" i="1"/>
  <c r="AD20" i="1" s="1"/>
  <c r="Q21" i="1"/>
  <c r="L18" i="1"/>
  <c r="BO24" i="1"/>
  <c r="V25" i="1"/>
  <c r="AN26" i="1"/>
  <c r="BO31" i="1"/>
  <c r="V32" i="1"/>
  <c r="M18" i="1"/>
  <c r="BB18" i="1" s="1"/>
  <c r="BE18" i="1" s="1"/>
  <c r="L21" i="1"/>
  <c r="AD21" i="1" s="1"/>
  <c r="N22" i="1"/>
  <c r="Z26" i="1"/>
  <c r="N29" i="1"/>
  <c r="BO22" i="1"/>
  <c r="BA22" i="1" s="1"/>
  <c r="BC22" i="1" s="1"/>
  <c r="Z24" i="1"/>
  <c r="Z31" i="1"/>
  <c r="V33" i="1"/>
  <c r="AN33" i="1"/>
  <c r="BC33" i="1"/>
  <c r="Q18" i="1"/>
  <c r="BO20" i="1"/>
  <c r="V20" i="1" s="1"/>
  <c r="BC23" i="1"/>
  <c r="V34" i="1"/>
  <c r="BA34" i="1"/>
  <c r="BC34" i="1" s="1"/>
  <c r="V17" i="1"/>
  <c r="BA17" i="1"/>
  <c r="BC17" i="1" s="1"/>
  <c r="V27" i="1"/>
  <c r="BA27" i="1"/>
  <c r="BC27" i="1" s="1"/>
  <c r="V30" i="1"/>
  <c r="BA30" i="1"/>
  <c r="BC30" i="1" s="1"/>
  <c r="N17" i="1"/>
  <c r="Q17" i="1"/>
  <c r="M17" i="1"/>
  <c r="BB17" i="1" s="1"/>
  <c r="BE17" i="1" s="1"/>
  <c r="L17" i="1"/>
  <c r="AN17" i="1"/>
  <c r="BA20" i="1"/>
  <c r="BC20" i="1" s="1"/>
  <c r="AD27" i="1"/>
  <c r="AD18" i="1"/>
  <c r="BC21" i="1"/>
  <c r="V18" i="1"/>
  <c r="BA21" i="1"/>
  <c r="BE21" i="1" s="1"/>
  <c r="L22" i="1"/>
  <c r="AN22" i="1"/>
  <c r="N34" i="1"/>
  <c r="Q34" i="1"/>
  <c r="M34" i="1"/>
  <c r="BB34" i="1" s="1"/>
  <c r="AN34" i="1"/>
  <c r="N18" i="1"/>
  <c r="Q19" i="1"/>
  <c r="M19" i="1"/>
  <c r="BB19" i="1" s="1"/>
  <c r="L19" i="1"/>
  <c r="Z20" i="1"/>
  <c r="AN21" i="1"/>
  <c r="N21" i="1"/>
  <c r="L25" i="1"/>
  <c r="W25" i="1" s="1"/>
  <c r="X25" i="1" s="1"/>
  <c r="AE25" i="1" s="1"/>
  <c r="AN25" i="1"/>
  <c r="N25" i="1"/>
  <c r="M25" i="1"/>
  <c r="BB25" i="1" s="1"/>
  <c r="BE25" i="1" s="1"/>
  <c r="V28" i="1"/>
  <c r="L32" i="1"/>
  <c r="AN32" i="1"/>
  <c r="N32" i="1"/>
  <c r="M32" i="1"/>
  <c r="BB32" i="1" s="1"/>
  <c r="BE32" i="1" s="1"/>
  <c r="Q23" i="1"/>
  <c r="M23" i="1"/>
  <c r="BB23" i="1" s="1"/>
  <c r="BE23" i="1" s="1"/>
  <c r="L23" i="1"/>
  <c r="L28" i="1"/>
  <c r="AN28" i="1"/>
  <c r="N28" i="1"/>
  <c r="M28" i="1"/>
  <c r="BB28" i="1" s="1"/>
  <c r="BE28" i="1" s="1"/>
  <c r="AN23" i="1"/>
  <c r="N27" i="1"/>
  <c r="Q27" i="1"/>
  <c r="M27" i="1"/>
  <c r="BB27" i="1" s="1"/>
  <c r="BE27" i="1" s="1"/>
  <c r="AN27" i="1"/>
  <c r="N20" i="1"/>
  <c r="Q20" i="1"/>
  <c r="M20" i="1"/>
  <c r="BB20" i="1" s="1"/>
  <c r="M22" i="1"/>
  <c r="BB22" i="1" s="1"/>
  <c r="Q28" i="1"/>
  <c r="N30" i="1"/>
  <c r="Q30" i="1"/>
  <c r="M30" i="1"/>
  <c r="BB30" i="1" s="1"/>
  <c r="AN30" i="1"/>
  <c r="AN24" i="1"/>
  <c r="N24" i="1"/>
  <c r="AN31" i="1"/>
  <c r="N31" i="1"/>
  <c r="Q26" i="1"/>
  <c r="M26" i="1"/>
  <c r="BB26" i="1" s="1"/>
  <c r="L26" i="1"/>
  <c r="Z27" i="1"/>
  <c r="Q29" i="1"/>
  <c r="M29" i="1"/>
  <c r="BB29" i="1" s="1"/>
  <c r="L29" i="1"/>
  <c r="Z30" i="1"/>
  <c r="Q33" i="1"/>
  <c r="M33" i="1"/>
  <c r="BB33" i="1" s="1"/>
  <c r="BE33" i="1" s="1"/>
  <c r="L33" i="1"/>
  <c r="Z34" i="1"/>
  <c r="BA26" i="1" l="1"/>
  <c r="BC26" i="1" s="1"/>
  <c r="V26" i="1"/>
  <c r="BE22" i="1"/>
  <c r="V19" i="1"/>
  <c r="W19" i="1" s="1"/>
  <c r="X19" i="1" s="1"/>
  <c r="T19" i="1" s="1"/>
  <c r="R19" i="1" s="1"/>
  <c r="U19" i="1" s="1"/>
  <c r="O19" i="1" s="1"/>
  <c r="P19" i="1" s="1"/>
  <c r="BE19" i="1"/>
  <c r="BE34" i="1"/>
  <c r="BE29" i="1"/>
  <c r="BE26" i="1"/>
  <c r="V29" i="1"/>
  <c r="V31" i="1"/>
  <c r="W31" i="1" s="1"/>
  <c r="X31" i="1" s="1"/>
  <c r="T31" i="1" s="1"/>
  <c r="R31" i="1" s="1"/>
  <c r="U31" i="1" s="1"/>
  <c r="O31" i="1" s="1"/>
  <c r="P31" i="1" s="1"/>
  <c r="BA31" i="1"/>
  <c r="W21" i="1"/>
  <c r="X21" i="1" s="1"/>
  <c r="T21" i="1" s="1"/>
  <c r="R21" i="1" s="1"/>
  <c r="U21" i="1" s="1"/>
  <c r="O21" i="1" s="1"/>
  <c r="P21" i="1" s="1"/>
  <c r="V24" i="1"/>
  <c r="W24" i="1" s="1"/>
  <c r="X24" i="1" s="1"/>
  <c r="BA24" i="1"/>
  <c r="BE20" i="1"/>
  <c r="V22" i="1"/>
  <c r="W22" i="1" s="1"/>
  <c r="X22" i="1" s="1"/>
  <c r="AE22" i="1" s="1"/>
  <c r="AF25" i="1"/>
  <c r="Y25" i="1"/>
  <c r="AC25" i="1" s="1"/>
  <c r="W27" i="1"/>
  <c r="X27" i="1" s="1"/>
  <c r="AD32" i="1"/>
  <c r="T25" i="1"/>
  <c r="R25" i="1" s="1"/>
  <c r="U25" i="1" s="1"/>
  <c r="O25" i="1" s="1"/>
  <c r="P25" i="1" s="1"/>
  <c r="AD25" i="1"/>
  <c r="AE31" i="1"/>
  <c r="AD17" i="1"/>
  <c r="BE30" i="1"/>
  <c r="W32" i="1"/>
  <c r="X32" i="1" s="1"/>
  <c r="AD28" i="1"/>
  <c r="AD22" i="1"/>
  <c r="W30" i="1"/>
  <c r="X30" i="1" s="1"/>
  <c r="W34" i="1"/>
  <c r="X34" i="1" s="1"/>
  <c r="AD33" i="1"/>
  <c r="AD29" i="1"/>
  <c r="AD26" i="1"/>
  <c r="Y31" i="1"/>
  <c r="AC31" i="1" s="1"/>
  <c r="AF31" i="1"/>
  <c r="AG31" i="1" s="1"/>
  <c r="W26" i="1"/>
  <c r="X26" i="1" s="1"/>
  <c r="W29" i="1"/>
  <c r="X29" i="1" s="1"/>
  <c r="T29" i="1" s="1"/>
  <c r="R29" i="1" s="1"/>
  <c r="U29" i="1" s="1"/>
  <c r="O29" i="1" s="1"/>
  <c r="P29" i="1" s="1"/>
  <c r="W33" i="1"/>
  <c r="X33" i="1" s="1"/>
  <c r="W18" i="1"/>
  <c r="X18" i="1" s="1"/>
  <c r="AD23" i="1"/>
  <c r="AE21" i="1"/>
  <c r="W28" i="1"/>
  <c r="X28" i="1" s="1"/>
  <c r="T28" i="1" s="1"/>
  <c r="R28" i="1" s="1"/>
  <c r="U28" i="1" s="1"/>
  <c r="O28" i="1" s="1"/>
  <c r="P28" i="1" s="1"/>
  <c r="AD19" i="1"/>
  <c r="W20" i="1"/>
  <c r="X20" i="1" s="1"/>
  <c r="W17" i="1"/>
  <c r="X17" i="1" s="1"/>
  <c r="T17" i="1" s="1"/>
  <c r="R17" i="1" s="1"/>
  <c r="U17" i="1" s="1"/>
  <c r="O17" i="1" s="1"/>
  <c r="P17" i="1" s="1"/>
  <c r="W23" i="1"/>
  <c r="X23" i="1" s="1"/>
  <c r="Y22" i="1" l="1"/>
  <c r="AC22" i="1" s="1"/>
  <c r="Y21" i="1"/>
  <c r="AC21" i="1" s="1"/>
  <c r="AF22" i="1"/>
  <c r="AG22" i="1" s="1"/>
  <c r="T22" i="1"/>
  <c r="R22" i="1" s="1"/>
  <c r="U22" i="1" s="1"/>
  <c r="O22" i="1" s="1"/>
  <c r="P22" i="1" s="1"/>
  <c r="AF24" i="1"/>
  <c r="Y24" i="1"/>
  <c r="AC24" i="1" s="1"/>
  <c r="AE24" i="1"/>
  <c r="T24" i="1"/>
  <c r="R24" i="1" s="1"/>
  <c r="U24" i="1" s="1"/>
  <c r="O24" i="1" s="1"/>
  <c r="P24" i="1" s="1"/>
  <c r="AF21" i="1"/>
  <c r="BC31" i="1"/>
  <c r="BE31" i="1"/>
  <c r="BC24" i="1"/>
  <c r="BE24" i="1"/>
  <c r="Y23" i="1"/>
  <c r="AC23" i="1" s="1"/>
  <c r="AF23" i="1"/>
  <c r="AE23" i="1"/>
  <c r="Y34" i="1"/>
  <c r="AC34" i="1" s="1"/>
  <c r="AF34" i="1"/>
  <c r="T34" i="1"/>
  <c r="R34" i="1" s="1"/>
  <c r="U34" i="1" s="1"/>
  <c r="O34" i="1" s="1"/>
  <c r="P34" i="1" s="1"/>
  <c r="AE34" i="1"/>
  <c r="Y27" i="1"/>
  <c r="AC27" i="1" s="1"/>
  <c r="AF27" i="1"/>
  <c r="AE27" i="1"/>
  <c r="T27" i="1"/>
  <c r="R27" i="1" s="1"/>
  <c r="U27" i="1" s="1"/>
  <c r="O27" i="1" s="1"/>
  <c r="P27" i="1" s="1"/>
  <c r="Y18" i="1"/>
  <c r="AC18" i="1" s="1"/>
  <c r="AF18" i="1"/>
  <c r="AE18" i="1"/>
  <c r="T18" i="1"/>
  <c r="R18" i="1" s="1"/>
  <c r="U18" i="1" s="1"/>
  <c r="O18" i="1" s="1"/>
  <c r="P18" i="1" s="1"/>
  <c r="AF32" i="1"/>
  <c r="Y32" i="1"/>
  <c r="AC32" i="1" s="1"/>
  <c r="AE32" i="1"/>
  <c r="Y33" i="1"/>
  <c r="AC33" i="1" s="1"/>
  <c r="AF33" i="1"/>
  <c r="AE33" i="1"/>
  <c r="AG21" i="1"/>
  <c r="Y30" i="1"/>
  <c r="AC30" i="1" s="1"/>
  <c r="AF30" i="1"/>
  <c r="AE30" i="1"/>
  <c r="T30" i="1"/>
  <c r="R30" i="1" s="1"/>
  <c r="U30" i="1" s="1"/>
  <c r="O30" i="1" s="1"/>
  <c r="P30" i="1" s="1"/>
  <c r="Y19" i="1"/>
  <c r="AC19" i="1" s="1"/>
  <c r="AF19" i="1"/>
  <c r="AE19" i="1"/>
  <c r="AF28" i="1"/>
  <c r="Y28" i="1"/>
  <c r="AC28" i="1" s="1"/>
  <c r="AE28" i="1"/>
  <c r="Y17" i="1"/>
  <c r="AC17" i="1" s="1"/>
  <c r="AF17" i="1"/>
  <c r="AE17" i="1"/>
  <c r="Y20" i="1"/>
  <c r="AC20" i="1" s="1"/>
  <c r="AE20" i="1"/>
  <c r="AF20" i="1"/>
  <c r="AG20" i="1" s="1"/>
  <c r="T20" i="1"/>
  <c r="R20" i="1" s="1"/>
  <c r="U20" i="1" s="1"/>
  <c r="O20" i="1" s="1"/>
  <c r="P20" i="1" s="1"/>
  <c r="T23" i="1"/>
  <c r="R23" i="1" s="1"/>
  <c r="U23" i="1" s="1"/>
  <c r="O23" i="1" s="1"/>
  <c r="P23" i="1" s="1"/>
  <c r="Y29" i="1"/>
  <c r="AC29" i="1" s="1"/>
  <c r="AF29" i="1"/>
  <c r="AE29" i="1"/>
  <c r="Y26" i="1"/>
  <c r="AC26" i="1" s="1"/>
  <c r="AF26" i="1"/>
  <c r="AE26" i="1"/>
  <c r="T26" i="1"/>
  <c r="R26" i="1" s="1"/>
  <c r="U26" i="1" s="1"/>
  <c r="O26" i="1" s="1"/>
  <c r="P26" i="1" s="1"/>
  <c r="T33" i="1"/>
  <c r="R33" i="1" s="1"/>
  <c r="U33" i="1" s="1"/>
  <c r="O33" i="1" s="1"/>
  <c r="P33" i="1" s="1"/>
  <c r="T32" i="1"/>
  <c r="R32" i="1" s="1"/>
  <c r="U32" i="1" s="1"/>
  <c r="O32" i="1" s="1"/>
  <c r="P32" i="1" s="1"/>
  <c r="AG25" i="1"/>
  <c r="AG19" i="1" l="1"/>
  <c r="AG30" i="1"/>
  <c r="AG33" i="1"/>
  <c r="AG32" i="1"/>
  <c r="AG24" i="1"/>
  <c r="AG17" i="1"/>
  <c r="AG28" i="1"/>
  <c r="AG23" i="1"/>
  <c r="AG29" i="1"/>
  <c r="AG26" i="1"/>
  <c r="AG18" i="1"/>
  <c r="AG27" i="1"/>
  <c r="AG34" i="1"/>
</calcChain>
</file>

<file path=xl/sharedStrings.xml><?xml version="1.0" encoding="utf-8"?>
<sst xmlns="http://schemas.openxmlformats.org/spreadsheetml/2006/main" count="908" uniqueCount="375">
  <si>
    <t>File opened</t>
  </si>
  <si>
    <t>2019-06-27 12:34:51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</si>
  <si>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</si>
  <si>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</si>
  <si>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</si>
  <si>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</si>
  <si>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</si>
  <si>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</si>
  <si>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</si>
  <si>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</si>
  <si>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</si>
  <si>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</si>
  <si>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</si>
  <si>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{"h2oaspanconc2": "0", "h2obspan2": "0", "co2bzero": "0.880288", "ssa_ref": "36614.9", "h2obspanconc1": "20", "h2oazero": "1.00263", "h2oaspan2": "0", "flowazero": "0.4286", "tbzero": "0.197721", "co2azero": "0.869071", "co2aspan2": "0", "co2aspan2b": "0.163711", "ssb_ref": "36526.8", "h2oaspan2a": "0.0661155", "co2bspanconc2": "0", "co2aspanconc1": "1002", "flowmeterzero": "0.991801", "co2bspanconc1": "1002", "co2aspan1": "0.992625", "tazero": "0.00774765", "h2obspanconc2": "0", "chamberpressurezero": "2.57337", "co2bspan2a": "0.163389", "flowbzero": "0.20796", "oxygen": "21", "h2obspan2a": "0.0975941", "co2aspan2a": "0.164928", "h2oaspan1": "1.00223", "co2bspan2": "0", "co2aspanconc2": "0", "h2oaspan2b": "0.0662632", "h2obspan2b": "0.0963575", "co2bspan1": "0.992131", "h2obzero": "1.01783", "h2obspan1": "0.998578", "co2bspan2b": "0.162103", "h2oaspanconc1": "12.19"}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</si>
  <si>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</si>
  <si>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</si>
  <si>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</si>
  <si>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</si>
  <si>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</si>
  <si>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</si>
  <si>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</si>
  <si>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</si>
  <si>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</si>
  <si>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12:34:51</t>
  </si>
  <si>
    <t>Stability Definition:	gsw (GasEx): Slp&lt;1 Std&lt;1	A (GasEx): Slp&lt;0.3 Std&lt;0.5	CO2_s (Meas): Slp&lt;2.5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</si>
  <si>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</si>
  <si>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</si>
  <si>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</si>
  <si>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</si>
  <si>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</si>
  <si>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</si>
  <si>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</si>
  <si>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</si>
  <si>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</si>
  <si>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</si>
  <si>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</si>
  <si>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</si>
  <si>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</si>
  <si>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</si>
  <si>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</si>
  <si>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</si>
  <si>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</si>
  <si>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</si>
  <si>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</si>
  <si>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</si>
  <si>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</si>
  <si>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</si>
  <si>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</si>
  <si>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</si>
  <si>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</si>
  <si>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</si>
  <si>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</si>
  <si>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</si>
  <si>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</si>
  <si>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</si>
  <si>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</si>
  <si>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</si>
  <si>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</si>
  <si>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</si>
  <si>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</si>
  <si>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</si>
  <si>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</si>
  <si>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</si>
  <si>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</si>
  <si>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</si>
  <si>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</si>
  <si>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</si>
  <si>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</si>
  <si>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</si>
  <si>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</si>
  <si>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</si>
  <si>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</si>
  <si>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</si>
  <si>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-0.378671 73.8098 378.659 612.87 841.829 1051.51 1231 1404.54</t>
  </si>
  <si>
    <t>Fs_true</t>
  </si>
  <si>
    <t>0.0960846 99.8642 402.057 601.362 799.956 1000.81 1200.93 1400.54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</si>
  <si>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</si>
  <si>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</si>
  <si>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</si>
  <si>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</si>
  <si>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</si>
  <si>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</si>
  <si>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</si>
  <si>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</si>
  <si>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</si>
  <si>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</si>
  <si>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</si>
  <si>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</si>
  <si>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</si>
  <si>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</si>
  <si>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</si>
  <si>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</si>
  <si>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</si>
  <si>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</si>
  <si>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</si>
  <si>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</si>
  <si>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</si>
  <si>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</si>
  <si>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</si>
  <si>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</si>
  <si>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</si>
  <si>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</si>
  <si>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</si>
  <si>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</si>
  <si>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</si>
  <si>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</si>
  <si>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</si>
  <si>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</si>
  <si>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</si>
  <si>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</si>
  <si>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</si>
  <si>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</si>
  <si>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</si>
  <si>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</si>
  <si>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</si>
  <si>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</si>
  <si>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</si>
  <si>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</si>
  <si>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</si>
  <si>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</si>
  <si>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</si>
  <si>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</si>
  <si>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</si>
  <si>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</si>
  <si>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</si>
  <si>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</si>
  <si>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</si>
  <si>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</si>
  <si>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</si>
  <si>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</si>
  <si>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</si>
  <si>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</si>
  <si>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</si>
  <si>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</si>
  <si>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</si>
  <si>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</si>
  <si>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</si>
  <si>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</si>
  <si>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</si>
  <si>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</si>
  <si>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</si>
  <si>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</si>
  <si>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</si>
  <si>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</si>
  <si>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</si>
  <si>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</si>
  <si>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</si>
  <si>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</si>
  <si>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</si>
  <si>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</si>
  <si>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</si>
  <si>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</si>
  <si>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</si>
  <si>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</si>
  <si>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</si>
  <si>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</si>
  <si>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</si>
  <si>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</si>
  <si>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</si>
  <si>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</si>
  <si>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</si>
  <si>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</si>
  <si>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</si>
  <si>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</si>
  <si>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</si>
  <si>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</si>
  <si>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</si>
  <si>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</si>
  <si>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</si>
  <si>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</si>
  <si>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</si>
  <si>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</si>
  <si>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</si>
  <si>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</si>
  <si>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</si>
  <si>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</si>
  <si>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</si>
  <si>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</si>
  <si>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</si>
  <si>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</si>
  <si>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</si>
  <si>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</si>
  <si>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</si>
  <si>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</si>
  <si>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</si>
  <si>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</si>
  <si>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</si>
  <si>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</si>
  <si>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</si>
  <si>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</si>
  <si>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</si>
  <si>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</si>
  <si>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</si>
  <si>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</si>
  <si>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</si>
  <si>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</si>
  <si>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</si>
  <si>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</si>
  <si>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</si>
  <si>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</si>
  <si>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</si>
  <si>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</si>
  <si>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</si>
  <si>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</si>
  <si>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</si>
  <si>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</si>
  <si>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</si>
  <si>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</si>
  <si>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</si>
  <si>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</si>
  <si>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</si>
  <si>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</si>
  <si>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</si>
  <si>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</si>
  <si>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</si>
  <si>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</si>
  <si>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</si>
  <si>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</si>
  <si>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</si>
  <si>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</si>
  <si>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</si>
  <si>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</si>
  <si>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</si>
  <si>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</si>
  <si>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</si>
  <si>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</si>
  <si>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</si>
  <si>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</si>
  <si>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</si>
  <si>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</si>
  <si>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</si>
  <si>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</si>
  <si>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</si>
  <si>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</si>
  <si>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</si>
  <si>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</si>
  <si>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</si>
  <si>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</si>
  <si>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</si>
  <si>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</si>
  <si>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</si>
  <si>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</si>
  <si>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</si>
  <si>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</si>
  <si>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</si>
  <si>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</si>
  <si>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</si>
  <si>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</si>
  <si>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</si>
  <si>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</si>
  <si>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</si>
  <si>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</si>
  <si>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</si>
  <si>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</si>
  <si>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</si>
  <si>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</si>
  <si>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</si>
  <si>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</si>
  <si>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</si>
  <si>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</si>
  <si>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</si>
  <si>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</si>
  <si>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</si>
  <si>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</si>
  <si>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</si>
  <si>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</si>
  <si>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</si>
  <si>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</si>
  <si>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</si>
  <si>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</si>
  <si>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</si>
  <si>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</si>
  <si>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</si>
  <si>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</si>
  <si>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</si>
  <si>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20190627 12:41:04</t>
  </si>
  <si>
    <t>12:41:04</t>
  </si>
  <si>
    <t>1</t>
  </si>
  <si>
    <t>G2</t>
  </si>
  <si>
    <t>RECT-3890-20190627-05_07_53</t>
  </si>
  <si>
    <t>MPF-4015-20190627-12_41_05</t>
  </si>
  <si>
    <t>DARK-4016-20190627-12_41_13</t>
  </si>
  <si>
    <t>12:41:44</t>
  </si>
  <si>
    <t>3/3</t>
  </si>
  <si>
    <t>5</t>
  </si>
  <si>
    <t>11111111</t>
  </si>
  <si>
    <t>oooooooo</t>
  </si>
  <si>
    <t>off</t>
  </si>
  <si>
    <t>20190627 12:43:24</t>
  </si>
  <si>
    <t>12:43:24</t>
  </si>
  <si>
    <t>MPF-4017-20190627-12_43_25</t>
  </si>
  <si>
    <t>DARK-4018-20190627-12_43_33</t>
  </si>
  <si>
    <t>12:44:04</t>
  </si>
  <si>
    <t>20190627 12:45:47</t>
  </si>
  <si>
    <t>12:45:47</t>
  </si>
  <si>
    <t>MPF-4019-20190627-12_45_49</t>
  </si>
  <si>
    <t>DARK-4020-20190627-12_45_56</t>
  </si>
  <si>
    <t>12:46:28</t>
  </si>
  <si>
    <t>20190627 12:48:08</t>
  </si>
  <si>
    <t>12:48:08</t>
  </si>
  <si>
    <t>MPF-4021-20190627-12_48_10</t>
  </si>
  <si>
    <t>DARK-4022-20190627-12_48_17</t>
  </si>
  <si>
    <t>12:48:49</t>
  </si>
  <si>
    <t>20190627 12:50:49</t>
  </si>
  <si>
    <t>12:50:49</t>
  </si>
  <si>
    <t>MPF-4023-20190627-12_50_51</t>
  </si>
  <si>
    <t>DARK-4024-20190627-12_50_58</t>
  </si>
  <si>
    <t>12:51:30</t>
  </si>
  <si>
    <t>20190627 13:02:29</t>
  </si>
  <si>
    <t>13:02:29</t>
  </si>
  <si>
    <t>MPF-4025-20190627-13_02_30</t>
  </si>
  <si>
    <t>DARK-4026-20190627-13_02_38</t>
  </si>
  <si>
    <t>13:01:33</t>
  </si>
  <si>
    <t>20190627 13:04:49</t>
  </si>
  <si>
    <t>13:04:49</t>
  </si>
  <si>
    <t>MPF-4027-20190627-13_04_51</t>
  </si>
  <si>
    <t>DARK-4028-20190627-13_04_58</t>
  </si>
  <si>
    <t>13:03:55</t>
  </si>
  <si>
    <t>2/3</t>
  </si>
  <si>
    <t>20190627 13:06:55</t>
  </si>
  <si>
    <t>13:06:55</t>
  </si>
  <si>
    <t>MPF-4029-20190627-13_06_57</t>
  </si>
  <si>
    <t>DARK-4030-20190627-13_07_04</t>
  </si>
  <si>
    <t>13:06:10</t>
  </si>
  <si>
    <t>20190627 13:09:02</t>
  </si>
  <si>
    <t>13:09:02</t>
  </si>
  <si>
    <t>MPF-4031-20190627-13_09_03</t>
  </si>
  <si>
    <t>DARK-4032-20190627-13_09_11</t>
  </si>
  <si>
    <t>13:08:17</t>
  </si>
  <si>
    <t>20190627 13:11:06</t>
  </si>
  <si>
    <t>13:11:06</t>
  </si>
  <si>
    <t>MPF-4033-20190627-13_11_08</t>
  </si>
  <si>
    <t>DARK-4034-20190627-13_11_15</t>
  </si>
  <si>
    <t>13:10:22</t>
  </si>
  <si>
    <t>20190627 13:13:10</t>
  </si>
  <si>
    <t>13:13:10</t>
  </si>
  <si>
    <t>MPF-4035-20190627-13_13_11</t>
  </si>
  <si>
    <t>DARK-4036-20190627-13_13_19</t>
  </si>
  <si>
    <t>13:12:25</t>
  </si>
  <si>
    <t>20190627 13:17:51</t>
  </si>
  <si>
    <t>13:17:51</t>
  </si>
  <si>
    <t>MPF-4039-20190627-13_17_52</t>
  </si>
  <si>
    <t>DARK-4040-20190627-13_18_00</t>
  </si>
  <si>
    <t>13:16:46</t>
  </si>
  <si>
    <t>20190627 13:19:54</t>
  </si>
  <si>
    <t>13:19:54</t>
  </si>
  <si>
    <t>MPF-4041-20190627-13_19_55</t>
  </si>
  <si>
    <t>DARK-4042-20190627-13_20_03</t>
  </si>
  <si>
    <t>13:19:08</t>
  </si>
  <si>
    <t>20190627 13:22:14</t>
  </si>
  <si>
    <t>13:22:14</t>
  </si>
  <si>
    <t>MPF-4043-20190627-13_22_16</t>
  </si>
  <si>
    <t>DARK-4044-20190627-13_22_23</t>
  </si>
  <si>
    <t>13:21:12</t>
  </si>
  <si>
    <t>20190627 13:24:35</t>
  </si>
  <si>
    <t>13:24:35</t>
  </si>
  <si>
    <t>MPF-4045-20190627-13_24_36</t>
  </si>
  <si>
    <t>DARK-4046-20190627-13_24_44</t>
  </si>
  <si>
    <t>13:25:15</t>
  </si>
  <si>
    <t>1/3</t>
  </si>
  <si>
    <t>20190627 13:27:37</t>
  </si>
  <si>
    <t>13:27:37</t>
  </si>
  <si>
    <t>MPF-4047-20190627-13_27_39</t>
  </si>
  <si>
    <t>DARK-4048-20190627-13_27_46</t>
  </si>
  <si>
    <t>13:28:16</t>
  </si>
  <si>
    <t>20190627 13:30:38</t>
  </si>
  <si>
    <t>13:30:38</t>
  </si>
  <si>
    <t>MPF-4049-20190627-13_30_39</t>
  </si>
  <si>
    <t>DARK-4050-20190627-13_30_47</t>
  </si>
  <si>
    <t>13:29:25</t>
  </si>
  <si>
    <t>20190627 13:32:58</t>
  </si>
  <si>
    <t>13:32:58</t>
  </si>
  <si>
    <t>MPF-4051-20190627-13_33_00</t>
  </si>
  <si>
    <t>DARK-4052-20190627-13_33_08</t>
  </si>
  <si>
    <t>13:32:28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</si>
</sst>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FL34"/>
  <sheetViews>
    <sheetView tabSelected="1" topLeftCell="A15" workbookViewId="0">
      <selection activeCell="A28" sqref="A28:XFD28"/>
    </sheetView>
  </sheetViews>
  <sheetFormatPr defaultRowHeight="14.5" x14ac:dyDescent="0.35"/>
  <sheetData>
    <row r="2" spans="1:168" x14ac:dyDescent="0.35">
      <c r="A2" t="s">
        <v>25</v>
      </c>
      <c r="B2" t="s">
        <v>26</v>
      </c>
      <c r="C2" t="s">
        <v>28</v>
      </c>
      <c r="D2" t="s">
        <v>30</v>
      </c>
    </row>
    <row r="3" spans="1:168" x14ac:dyDescent="0.35">
      <c r="B3" t="s">
        <v>27</v>
      </c>
      <c r="C3" t="s">
        <v>29</v>
      </c>
      <c r="D3" t="s">
        <v>15</v>
      </c>
    </row>
    <row r="4" spans="1:168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68" x14ac:dyDescent="0.35">
      <c r="B5">
        <v>6</v>
      </c>
      <c r="C5">
        <v>0.5</v>
      </c>
      <c r="D5" t="s">
        <v>35</v>
      </c>
      <c r="E5">
        <v>2</v>
      </c>
    </row>
    <row r="6" spans="1:168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68" x14ac:dyDescent="0.35">
      <c r="B7">
        <v>0</v>
      </c>
      <c r="C7">
        <v>1</v>
      </c>
      <c r="D7">
        <v>0</v>
      </c>
      <c r="E7">
        <v>0</v>
      </c>
    </row>
    <row r="8" spans="1:168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68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8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68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8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68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68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83</v>
      </c>
      <c r="BS14" t="s">
        <v>83</v>
      </c>
      <c r="BT14" t="s">
        <v>83</v>
      </c>
      <c r="BU14" t="s">
        <v>83</v>
      </c>
      <c r="BV14" t="s">
        <v>83</v>
      </c>
      <c r="BW14" t="s">
        <v>83</v>
      </c>
      <c r="BX14" t="s">
        <v>83</v>
      </c>
      <c r="BY14" t="s">
        <v>83</v>
      </c>
      <c r="BZ14" t="s">
        <v>83</v>
      </c>
      <c r="CA14" t="s">
        <v>83</v>
      </c>
      <c r="CB14" t="s">
        <v>83</v>
      </c>
      <c r="CC14" t="s">
        <v>83</v>
      </c>
      <c r="CD14" t="s">
        <v>83</v>
      </c>
      <c r="CE14" t="s">
        <v>83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84</v>
      </c>
      <c r="CO14" t="s">
        <v>84</v>
      </c>
      <c r="CP14" t="s">
        <v>84</v>
      </c>
      <c r="CQ14" t="s">
        <v>84</v>
      </c>
      <c r="CR14" t="s">
        <v>84</v>
      </c>
      <c r="CS14" t="s">
        <v>84</v>
      </c>
      <c r="CT14" t="s">
        <v>84</v>
      </c>
      <c r="CU14" t="s">
        <v>84</v>
      </c>
      <c r="CV14" t="s">
        <v>84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86</v>
      </c>
      <c r="DC14" t="s">
        <v>86</v>
      </c>
      <c r="DD14" t="s">
        <v>86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86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87</v>
      </c>
      <c r="DT14" t="s">
        <v>87</v>
      </c>
      <c r="DU14" t="s">
        <v>87</v>
      </c>
      <c r="DV14" t="s">
        <v>87</v>
      </c>
      <c r="DW14" t="s">
        <v>87</v>
      </c>
      <c r="DX14" t="s">
        <v>87</v>
      </c>
      <c r="DY14" t="s">
        <v>87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88</v>
      </c>
      <c r="EI14" t="s">
        <v>88</v>
      </c>
      <c r="EJ14" t="s">
        <v>88</v>
      </c>
      <c r="EK14" t="s">
        <v>88</v>
      </c>
      <c r="EL14" t="s">
        <v>88</v>
      </c>
      <c r="EM14" t="s">
        <v>88</v>
      </c>
      <c r="EN14" t="s">
        <v>88</v>
      </c>
      <c r="EO14" t="s">
        <v>88</v>
      </c>
      <c r="EP14" t="s">
        <v>88</v>
      </c>
      <c r="EQ14" t="s">
        <v>88</v>
      </c>
      <c r="ER14" t="s">
        <v>88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89</v>
      </c>
      <c r="FB14" t="s">
        <v>89</v>
      </c>
      <c r="FC14" t="s">
        <v>89</v>
      </c>
      <c r="FD14" t="s">
        <v>89</v>
      </c>
      <c r="FE14" t="s">
        <v>89</v>
      </c>
      <c r="FF14" t="s">
        <v>89</v>
      </c>
      <c r="FG14" t="s">
        <v>89</v>
      </c>
      <c r="FH14" t="s">
        <v>89</v>
      </c>
      <c r="FI14" t="s">
        <v>89</v>
      </c>
      <c r="FJ14" t="s">
        <v>89</v>
      </c>
      <c r="FK14" t="s">
        <v>89</v>
      </c>
      <c r="FL14" t="s">
        <v>89</v>
      </c>
    </row>
    <row r="15" spans="1:168" x14ac:dyDescent="0.35">
      <c r="A15" t="s">
        <v>90</v>
      </c>
      <c r="B15" t="s">
        <v>91</v>
      </c>
      <c r="C15" t="s">
        <v>92</v>
      </c>
      <c r="D15" t="s">
        <v>93</v>
      </c>
      <c r="E15" t="s">
        <v>94</v>
      </c>
      <c r="F15" t="s">
        <v>95</v>
      </c>
      <c r="G15" t="s">
        <v>96</v>
      </c>
      <c r="H15" t="s">
        <v>97</v>
      </c>
      <c r="I15" t="s">
        <v>98</v>
      </c>
      <c r="J15" t="s">
        <v>99</v>
      </c>
      <c r="K15" t="s">
        <v>100</v>
      </c>
      <c r="L15" t="s">
        <v>101</v>
      </c>
      <c r="M15" t="s">
        <v>102</v>
      </c>
      <c r="N15" t="s">
        <v>103</v>
      </c>
      <c r="O15" t="s">
        <v>104</v>
      </c>
      <c r="P15" t="s">
        <v>105</v>
      </c>
      <c r="Q15" t="s">
        <v>106</v>
      </c>
      <c r="R15" t="s">
        <v>107</v>
      </c>
      <c r="S15" t="s">
        <v>108</v>
      </c>
      <c r="T15" t="s">
        <v>109</v>
      </c>
      <c r="U15" t="s">
        <v>110</v>
      </c>
      <c r="V15" t="s">
        <v>111</v>
      </c>
      <c r="W15" t="s">
        <v>112</v>
      </c>
      <c r="X15" t="s">
        <v>113</v>
      </c>
      <c r="Y15" t="s">
        <v>114</v>
      </c>
      <c r="Z15" t="s">
        <v>115</v>
      </c>
      <c r="AA15" t="s">
        <v>116</v>
      </c>
      <c r="AB15" t="s">
        <v>117</v>
      </c>
      <c r="AC15" t="s">
        <v>118</v>
      </c>
      <c r="AD15" t="s">
        <v>119</v>
      </c>
      <c r="AE15" t="s">
        <v>120</v>
      </c>
      <c r="AF15" t="s">
        <v>121</v>
      </c>
      <c r="AG15" t="s">
        <v>122</v>
      </c>
      <c r="AH15" t="s">
        <v>123</v>
      </c>
      <c r="AI15" t="s">
        <v>124</v>
      </c>
      <c r="AJ15" t="s">
        <v>125</v>
      </c>
      <c r="AK15" t="s">
        <v>80</v>
      </c>
      <c r="AL15" t="s">
        <v>126</v>
      </c>
      <c r="AM15" t="s">
        <v>127</v>
      </c>
      <c r="AN15" t="s">
        <v>128</v>
      </c>
      <c r="AO15" t="s">
        <v>129</v>
      </c>
      <c r="AP15" t="s">
        <v>130</v>
      </c>
      <c r="AQ15" t="s">
        <v>131</v>
      </c>
      <c r="AR15" t="s">
        <v>132</v>
      </c>
      <c r="AS15" t="s">
        <v>133</v>
      </c>
      <c r="AT15" t="s">
        <v>134</v>
      </c>
      <c r="AU15" t="s">
        <v>135</v>
      </c>
      <c r="AV15" t="s">
        <v>136</v>
      </c>
      <c r="AW15" t="s">
        <v>137</v>
      </c>
      <c r="AX15" t="s">
        <v>138</v>
      </c>
      <c r="AY15" t="s">
        <v>139</v>
      </c>
      <c r="AZ15" t="s">
        <v>140</v>
      </c>
      <c r="BA15" t="s">
        <v>141</v>
      </c>
      <c r="BB15" t="s">
        <v>142</v>
      </c>
      <c r="BC15" t="s">
        <v>143</v>
      </c>
      <c r="BD15" t="s">
        <v>144</v>
      </c>
      <c r="BE15" t="s">
        <v>145</v>
      </c>
      <c r="BF15" t="s">
        <v>146</v>
      </c>
      <c r="BG15" t="s">
        <v>147</v>
      </c>
      <c r="BH15" t="s">
        <v>148</v>
      </c>
      <c r="BI15" t="s">
        <v>149</v>
      </c>
      <c r="BJ15" t="s">
        <v>150</v>
      </c>
      <c r="BK15" t="s">
        <v>151</v>
      </c>
      <c r="BL15" t="s">
        <v>152</v>
      </c>
      <c r="BM15" t="s">
        <v>153</v>
      </c>
      <c r="BN15" t="s">
        <v>154</v>
      </c>
      <c r="BO15" t="s">
        <v>155</v>
      </c>
      <c r="BP15" t="s">
        <v>156</v>
      </c>
      <c r="BQ15" t="s">
        <v>157</v>
      </c>
      <c r="BR15" t="s">
        <v>100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163</v>
      </c>
      <c r="BY15" t="s">
        <v>164</v>
      </c>
      <c r="BZ15" t="s">
        <v>165</v>
      </c>
      <c r="CA15" t="s">
        <v>166</v>
      </c>
      <c r="CB15" t="s">
        <v>167</v>
      </c>
      <c r="CC15" t="s">
        <v>168</v>
      </c>
      <c r="CD15" t="s">
        <v>169</v>
      </c>
      <c r="CE15" t="s">
        <v>170</v>
      </c>
      <c r="CF15" t="s">
        <v>171</v>
      </c>
      <c r="CG15" t="s">
        <v>172</v>
      </c>
      <c r="CH15" t="s">
        <v>173</v>
      </c>
      <c r="CI15" t="s">
        <v>174</v>
      </c>
      <c r="CJ15" t="s">
        <v>175</v>
      </c>
      <c r="CK15" t="s">
        <v>176</v>
      </c>
      <c r="CL15" t="s">
        <v>177</v>
      </c>
      <c r="CM15" t="s">
        <v>178</v>
      </c>
      <c r="CN15" t="s">
        <v>179</v>
      </c>
      <c r="CO15" t="s">
        <v>180</v>
      </c>
      <c r="CP15" t="s">
        <v>181</v>
      </c>
      <c r="CQ15" t="s">
        <v>182</v>
      </c>
      <c r="CR15" t="s">
        <v>183</v>
      </c>
      <c r="CS15" t="s">
        <v>184</v>
      </c>
      <c r="CT15" t="s">
        <v>185</v>
      </c>
      <c r="CU15" t="s">
        <v>186</v>
      </c>
      <c r="CV15" t="s">
        <v>187</v>
      </c>
      <c r="CW15" t="s">
        <v>188</v>
      </c>
      <c r="CX15" t="s">
        <v>189</v>
      </c>
      <c r="CY15" t="s">
        <v>190</v>
      </c>
      <c r="CZ15" t="s">
        <v>191</v>
      </c>
      <c r="DA15" t="s">
        <v>192</v>
      </c>
      <c r="DB15" t="s">
        <v>91</v>
      </c>
      <c r="DC15" t="s">
        <v>94</v>
      </c>
      <c r="DD15" t="s">
        <v>193</v>
      </c>
      <c r="DE15" t="s">
        <v>194</v>
      </c>
      <c r="DF15" t="s">
        <v>195</v>
      </c>
      <c r="DG15" t="s">
        <v>196</v>
      </c>
      <c r="DH15" t="s">
        <v>197</v>
      </c>
      <c r="DI15" t="s">
        <v>198</v>
      </c>
      <c r="DJ15" t="s">
        <v>199</v>
      </c>
      <c r="DK15" t="s">
        <v>200</v>
      </c>
      <c r="DL15" t="s">
        <v>201</v>
      </c>
      <c r="DM15" t="s">
        <v>202</v>
      </c>
      <c r="DN15" t="s">
        <v>203</v>
      </c>
      <c r="DO15" t="s">
        <v>204</v>
      </c>
      <c r="DP15" t="s">
        <v>205</v>
      </c>
      <c r="DQ15" t="s">
        <v>206</v>
      </c>
      <c r="DR15" t="s">
        <v>207</v>
      </c>
      <c r="DS15" t="s">
        <v>208</v>
      </c>
      <c r="DT15" t="s">
        <v>209</v>
      </c>
      <c r="DU15" t="s">
        <v>210</v>
      </c>
      <c r="DV15" t="s">
        <v>211</v>
      </c>
      <c r="DW15" t="s">
        <v>212</v>
      </c>
      <c r="DX15" t="s">
        <v>213</v>
      </c>
      <c r="DY15" t="s">
        <v>214</v>
      </c>
      <c r="DZ15" t="s">
        <v>215</v>
      </c>
      <c r="EA15" t="s">
        <v>216</v>
      </c>
      <c r="EB15" t="s">
        <v>217</v>
      </c>
      <c r="EC15" t="s">
        <v>218</v>
      </c>
      <c r="ED15" t="s">
        <v>219</v>
      </c>
      <c r="EE15" t="s">
        <v>220</v>
      </c>
      <c r="EF15" t="s">
        <v>221</v>
      </c>
      <c r="EG15" t="s">
        <v>222</v>
      </c>
      <c r="EH15" t="s">
        <v>223</v>
      </c>
      <c r="EI15" t="s">
        <v>224</v>
      </c>
      <c r="EJ15" t="s">
        <v>225</v>
      </c>
      <c r="EK15" t="s">
        <v>226</v>
      </c>
      <c r="EL15" t="s">
        <v>227</v>
      </c>
      <c r="EM15" t="s">
        <v>228</v>
      </c>
      <c r="EN15" t="s">
        <v>229</v>
      </c>
      <c r="EO15" t="s">
        <v>230</v>
      </c>
      <c r="EP15" t="s">
        <v>231</v>
      </c>
      <c r="EQ15" t="s">
        <v>232</v>
      </c>
      <c r="ER15" t="s">
        <v>233</v>
      </c>
      <c r="ES15" t="s">
        <v>234</v>
      </c>
      <c r="ET15" t="s">
        <v>235</v>
      </c>
      <c r="EU15" t="s">
        <v>236</v>
      </c>
      <c r="EV15" t="s">
        <v>237</v>
      </c>
      <c r="EW15" t="s">
        <v>238</v>
      </c>
      <c r="EX15" t="s">
        <v>239</v>
      </c>
      <c r="EY15" t="s">
        <v>240</v>
      </c>
      <c r="EZ15" t="s">
        <v>241</v>
      </c>
      <c r="FA15" t="s">
        <v>242</v>
      </c>
      <c r="FB15" t="s">
        <v>243</v>
      </c>
      <c r="FC15" t="s">
        <v>244</v>
      </c>
      <c r="FD15" t="s">
        <v>245</v>
      </c>
      <c r="FE15" t="s">
        <v>246</v>
      </c>
      <c r="FF15" t="s">
        <v>247</v>
      </c>
      <c r="FG15" t="s">
        <v>248</v>
      </c>
      <c r="FH15" t="s">
        <v>249</v>
      </c>
      <c r="FI15" t="s">
        <v>250</v>
      </c>
      <c r="FJ15" t="s">
        <v>251</v>
      </c>
      <c r="FK15" t="s">
        <v>252</v>
      </c>
      <c r="FL15" t="s">
        <v>253</v>
      </c>
    </row>
    <row r="16" spans="1:168" x14ac:dyDescent="0.35">
      <c r="B16" t="s">
        <v>254</v>
      </c>
      <c r="C16" t="s">
        <v>254</v>
      </c>
      <c r="K16" t="s">
        <v>254</v>
      </c>
      <c r="L16" t="s">
        <v>255</v>
      </c>
      <c r="M16" t="s">
        <v>256</v>
      </c>
      <c r="N16" t="s">
        <v>257</v>
      </c>
      <c r="O16" t="s">
        <v>257</v>
      </c>
      <c r="P16" t="s">
        <v>163</v>
      </c>
      <c r="Q16" t="s">
        <v>163</v>
      </c>
      <c r="R16" t="s">
        <v>255</v>
      </c>
      <c r="S16" t="s">
        <v>255</v>
      </c>
      <c r="T16" t="s">
        <v>255</v>
      </c>
      <c r="U16" t="s">
        <v>255</v>
      </c>
      <c r="V16" t="s">
        <v>258</v>
      </c>
      <c r="W16" t="s">
        <v>259</v>
      </c>
      <c r="X16" t="s">
        <v>259</v>
      </c>
      <c r="Y16" t="s">
        <v>260</v>
      </c>
      <c r="Z16" t="s">
        <v>261</v>
      </c>
      <c r="AA16" t="s">
        <v>260</v>
      </c>
      <c r="AB16" t="s">
        <v>260</v>
      </c>
      <c r="AC16" t="s">
        <v>260</v>
      </c>
      <c r="AD16" t="s">
        <v>258</v>
      </c>
      <c r="AE16" t="s">
        <v>258</v>
      </c>
      <c r="AF16" t="s">
        <v>258</v>
      </c>
      <c r="AG16" t="s">
        <v>258</v>
      </c>
      <c r="AK16" t="s">
        <v>262</v>
      </c>
      <c r="AL16" t="s">
        <v>261</v>
      </c>
      <c r="AN16" t="s">
        <v>261</v>
      </c>
      <c r="AO16" t="s">
        <v>262</v>
      </c>
      <c r="AU16" t="s">
        <v>256</v>
      </c>
      <c r="BA16" t="s">
        <v>256</v>
      </c>
      <c r="BB16" t="s">
        <v>256</v>
      </c>
      <c r="BC16" t="s">
        <v>256</v>
      </c>
      <c r="BE16" t="s">
        <v>263</v>
      </c>
      <c r="BN16" t="s">
        <v>256</v>
      </c>
      <c r="BO16" t="s">
        <v>256</v>
      </c>
      <c r="BQ16" t="s">
        <v>264</v>
      </c>
      <c r="BR16" t="s">
        <v>254</v>
      </c>
      <c r="BS16" t="s">
        <v>257</v>
      </c>
      <c r="BT16" t="s">
        <v>257</v>
      </c>
      <c r="BU16" t="s">
        <v>265</v>
      </c>
      <c r="BV16" t="s">
        <v>265</v>
      </c>
      <c r="BW16" t="s">
        <v>262</v>
      </c>
      <c r="BX16" t="s">
        <v>260</v>
      </c>
      <c r="BY16" t="s">
        <v>260</v>
      </c>
      <c r="BZ16" t="s">
        <v>259</v>
      </c>
      <c r="CA16" t="s">
        <v>259</v>
      </c>
      <c r="CB16" t="s">
        <v>259</v>
      </c>
      <c r="CC16" t="s">
        <v>266</v>
      </c>
      <c r="CD16" t="s">
        <v>256</v>
      </c>
      <c r="CE16" t="s">
        <v>256</v>
      </c>
      <c r="CF16" t="s">
        <v>256</v>
      </c>
      <c r="CK16" t="s">
        <v>256</v>
      </c>
      <c r="CN16" t="s">
        <v>259</v>
      </c>
      <c r="CO16" t="s">
        <v>259</v>
      </c>
      <c r="CP16" t="s">
        <v>259</v>
      </c>
      <c r="CQ16" t="s">
        <v>259</v>
      </c>
      <c r="CR16" t="s">
        <v>259</v>
      </c>
      <c r="CS16" t="s">
        <v>256</v>
      </c>
      <c r="CT16" t="s">
        <v>256</v>
      </c>
      <c r="CU16" t="s">
        <v>256</v>
      </c>
      <c r="CV16" t="s">
        <v>254</v>
      </c>
      <c r="CX16" t="s">
        <v>267</v>
      </c>
      <c r="CY16" t="s">
        <v>267</v>
      </c>
      <c r="DA16" t="s">
        <v>254</v>
      </c>
      <c r="DB16" t="s">
        <v>268</v>
      </c>
      <c r="DE16" t="s">
        <v>269</v>
      </c>
      <c r="DF16" t="s">
        <v>270</v>
      </c>
      <c r="DG16" t="s">
        <v>269</v>
      </c>
      <c r="DH16" t="s">
        <v>270</v>
      </c>
      <c r="DI16" t="s">
        <v>261</v>
      </c>
      <c r="DJ16" t="s">
        <v>261</v>
      </c>
      <c r="DK16" t="s">
        <v>256</v>
      </c>
      <c r="DL16" t="s">
        <v>271</v>
      </c>
      <c r="DM16" t="s">
        <v>256</v>
      </c>
      <c r="DO16" t="s">
        <v>257</v>
      </c>
      <c r="DP16" t="s">
        <v>272</v>
      </c>
      <c r="DQ16" t="s">
        <v>257</v>
      </c>
      <c r="DS16" t="s">
        <v>255</v>
      </c>
      <c r="DT16" t="s">
        <v>273</v>
      </c>
      <c r="DU16" t="s">
        <v>255</v>
      </c>
      <c r="DZ16" t="s">
        <v>274</v>
      </c>
      <c r="EA16" t="s">
        <v>274</v>
      </c>
      <c r="EB16" t="s">
        <v>274</v>
      </c>
      <c r="EC16" t="s">
        <v>274</v>
      </c>
      <c r="ED16" t="s">
        <v>274</v>
      </c>
      <c r="EE16" t="s">
        <v>274</v>
      </c>
      <c r="EF16" t="s">
        <v>274</v>
      </c>
      <c r="EG16" t="s">
        <v>274</v>
      </c>
      <c r="EH16" t="s">
        <v>274</v>
      </c>
      <c r="EI16" t="s">
        <v>274</v>
      </c>
      <c r="EJ16" t="s">
        <v>274</v>
      </c>
      <c r="EK16" t="s">
        <v>274</v>
      </c>
      <c r="ER16" t="s">
        <v>274</v>
      </c>
      <c r="ES16" t="s">
        <v>261</v>
      </c>
      <c r="ET16" t="s">
        <v>261</v>
      </c>
      <c r="EU16" t="s">
        <v>269</v>
      </c>
      <c r="EV16" t="s">
        <v>270</v>
      </c>
      <c r="EX16" t="s">
        <v>262</v>
      </c>
      <c r="EY16" t="s">
        <v>262</v>
      </c>
      <c r="EZ16" t="s">
        <v>259</v>
      </c>
      <c r="FA16" t="s">
        <v>259</v>
      </c>
      <c r="FB16" t="s">
        <v>259</v>
      </c>
      <c r="FC16" t="s">
        <v>259</v>
      </c>
      <c r="FD16" t="s">
        <v>259</v>
      </c>
      <c r="FE16" t="s">
        <v>261</v>
      </c>
      <c r="FF16" t="s">
        <v>261</v>
      </c>
      <c r="FG16" t="s">
        <v>261</v>
      </c>
      <c r="FH16" t="s">
        <v>259</v>
      </c>
      <c r="FI16" t="s">
        <v>257</v>
      </c>
      <c r="FJ16" t="s">
        <v>265</v>
      </c>
      <c r="FK16" t="s">
        <v>261</v>
      </c>
      <c r="FL16" t="s">
        <v>261</v>
      </c>
    </row>
    <row r="17" spans="1:168" x14ac:dyDescent="0.35">
      <c r="A17">
        <v>1</v>
      </c>
      <c r="B17">
        <v>1561657264</v>
      </c>
      <c r="C17">
        <v>0</v>
      </c>
      <c r="D17" t="s">
        <v>275</v>
      </c>
      <c r="E17" t="s">
        <v>276</v>
      </c>
      <c r="F17" t="s">
        <v>277</v>
      </c>
      <c r="G17" t="s">
        <v>278</v>
      </c>
      <c r="H17" t="s">
        <v>277</v>
      </c>
      <c r="J17" t="s">
        <v>277</v>
      </c>
      <c r="K17">
        <v>1561657256</v>
      </c>
      <c r="L17">
        <f t="shared" ref="L17:L34" si="0">BW17*AM17*(BU17-BV17)/(100*$B$5*(1000-AM17*BU17))</f>
        <v>1.0715333828684656E-2</v>
      </c>
      <c r="M17">
        <f t="shared" ref="M17:M34" si="1">BW17*AM17*(BT17-BS17*(1000-AM17*BV17)/(1000-AM17*BU17))/(100*$B$5)</f>
        <v>41.25899532684199</v>
      </c>
      <c r="N17">
        <f t="shared" ref="N17:N34" si="2">BS17 - IF(AM17&gt;1, M17*$B$5*100/(AO17*CC17), 0)</f>
        <v>346.04116129032201</v>
      </c>
      <c r="O17">
        <f t="shared" ref="O17:O34" si="3">((U17-L17/2)*N17-M17)/(U17+L17/2)</f>
        <v>264.28254933102113</v>
      </c>
      <c r="P17">
        <f t="shared" ref="P17:P34" si="4">O17*(BX17+BY17)/1000</f>
        <v>26.384688862783324</v>
      </c>
      <c r="Q17">
        <f t="shared" ref="Q17:Q34" si="5">(BS17 - IF(AM17&gt;1, M17*$B$5*100/(AO17*CC17), 0))*(BX17+BY17)/1000</f>
        <v>34.547072432412307</v>
      </c>
      <c r="R17">
        <f t="shared" ref="R17:R34" si="6">2/((1/T17-1/S17)+SIGN(T17)*SQRT((1/T17-1/S17)*(1/T17-1/S17) + 4*$C$5/(($C$5+1)*($C$5+1))*(2*1/T17*1/S17-1/S17*1/S17)))</f>
        <v>1.0638573963379323</v>
      </c>
      <c r="S17">
        <f t="shared" ref="S17:S34" si="7">AJ17+AI17*$B$5+AH17*$B$5*$B$5</f>
        <v>2.2568274268788695</v>
      </c>
      <c r="T17">
        <f t="shared" ref="T17:T34" si="8">L17*(1000-(1000*0.61365*EXP(17.502*X17/(240.97+X17))/(BX17+BY17)+BU17)/2)/(1000*0.61365*EXP(17.502*X17/(240.97+X17))/(BX17+BY17)-BU17)</f>
        <v>0.84611090436609859</v>
      </c>
      <c r="U17">
        <f t="shared" ref="U17:U34" si="9">1/(($C$5+1)/(R17/1.6)+1/(S17/1.37)) + $C$5/(($C$5+1)/(R17/1.6) + $C$5/(S17/1.37))</f>
        <v>0.54463872870594887</v>
      </c>
      <c r="V17">
        <f t="shared" ref="V17:V34" si="10">(BO17*BQ17)</f>
        <v>353.34281029818413</v>
      </c>
      <c r="W17">
        <f t="shared" ref="W17:W34" si="11">(BZ17+(V17+2*0.95*0.0000000567*(((BZ17+$B$7)+273)^4-(BZ17+273)^4)-44100*L17)/(1.84*29.3*S17+8*0.95*0.0000000567*(BZ17+273)^3))</f>
        <v>26.778180067603362</v>
      </c>
      <c r="X17">
        <f t="shared" ref="X17:X34" si="12">($C$7*CA17+$D$7*CB17+$E$7*W17)</f>
        <v>27.748899999999999</v>
      </c>
      <c r="Y17">
        <f t="shared" ref="Y17:Y34" si="13">0.61365*EXP(17.502*X17/(240.97+X17))</f>
        <v>3.7396432479290009</v>
      </c>
      <c r="Z17">
        <f t="shared" ref="Z17:Z34" si="14">(AA17/AB17*100)</f>
        <v>67.553414089474728</v>
      </c>
      <c r="AA17">
        <f t="shared" ref="AA17:AA34" si="15">BU17*(BX17+BY17)/1000</f>
        <v>2.5149135350606602</v>
      </c>
      <c r="AB17">
        <f t="shared" ref="AB17:AB34" si="16">0.61365*EXP(17.502*BZ17/(240.97+BZ17))</f>
        <v>3.7228518631636422</v>
      </c>
      <c r="AC17">
        <f t="shared" ref="AC17:AC34" si="17">(Y17-BU17*(BX17+BY17)/1000)</f>
        <v>1.2247297128683408</v>
      </c>
      <c r="AD17">
        <f t="shared" ref="AD17:AD34" si="18">(-L17*44100)</f>
        <v>-472.54622184499334</v>
      </c>
      <c r="AE17">
        <f t="shared" ref="AE17:AE34" si="19">2*29.3*S17*0.92*(BZ17-X17)</f>
        <v>-9.3721285354902939</v>
      </c>
      <c r="AF17">
        <f t="shared" ref="AF17:AF34" si="20">2*0.95*0.0000000567*(((BZ17+$B$7)+273)^4-(X17+273)^4)</f>
        <v>-0.90260218832410111</v>
      </c>
      <c r="AG17">
        <f t="shared" ref="AG17:AG34" si="21">V17+AF17+AD17+AE17</f>
        <v>-129.47814227062364</v>
      </c>
      <c r="AH17">
        <v>-4.13678043456122E-2</v>
      </c>
      <c r="AI17">
        <v>4.6438984396651499E-2</v>
      </c>
      <c r="AJ17">
        <v>3.4674344769409999</v>
      </c>
      <c r="AK17">
        <v>0</v>
      </c>
      <c r="AL17">
        <v>0</v>
      </c>
      <c r="AM17">
        <f t="shared" ref="AM17:AM34" si="22">IF(AK17*$H$13&gt;=AO17,1,(AO17/(AO17-AK17*$H$13)))</f>
        <v>1</v>
      </c>
      <c r="AN17">
        <f t="shared" ref="AN17:AN34" si="23">(AM17-1)*100</f>
        <v>0</v>
      </c>
      <c r="AO17">
        <f t="shared" ref="AO17:AO34" si="24">MAX(0,($B$13+$C$13*CC17)/(1+$D$13*CC17)*BX17/(BZ17+273)*$E$13)</f>
        <v>52632.094247334739</v>
      </c>
      <c r="AP17" t="s">
        <v>279</v>
      </c>
      <c r="AQ17">
        <v>585.08461538461495</v>
      </c>
      <c r="AR17">
        <v>3491.65</v>
      </c>
      <c r="AS17">
        <f t="shared" ref="AS17:AS34" si="25">AR17-AQ17</f>
        <v>2906.565384615385</v>
      </c>
      <c r="AT17">
        <f t="shared" ref="AT17:AT34" si="26">AS17/AR17</f>
        <v>0.83243320052564973</v>
      </c>
      <c r="AU17">
        <v>-24.085636743186001</v>
      </c>
      <c r="AV17" t="s">
        <v>280</v>
      </c>
      <c r="AW17">
        <v>964.34192307692297</v>
      </c>
      <c r="AX17">
        <v>1502.03</v>
      </c>
      <c r="AY17">
        <f t="shared" ref="AY17:AY34" si="27">1-AW17/AX17</f>
        <v>0.35797425945092776</v>
      </c>
      <c r="AZ17">
        <v>0.5</v>
      </c>
      <c r="BA17">
        <f t="shared" ref="BA17:BA34" si="28">BO17</f>
        <v>1849.1984516398738</v>
      </c>
      <c r="BB17">
        <f t="shared" ref="BB17:BB34" si="29">M17</f>
        <v>41.25899532684199</v>
      </c>
      <c r="BC17">
        <f t="shared" ref="BC17:BC34" si="30">AY17*AZ17*BA17</f>
        <v>330.98272315179304</v>
      </c>
      <c r="BD17">
        <f t="shared" ref="BD17:BD34" si="31">BI17/AX17</f>
        <v>0.59574708893963502</v>
      </c>
      <c r="BE17">
        <f t="shared" ref="BE17:BE34" si="32">(BB17-AU17)/BA17</f>
        <v>3.5336733065118135E-2</v>
      </c>
      <c r="BF17">
        <f t="shared" ref="BF17:BF34" si="33">(AR17-AX17)/AX17</f>
        <v>1.3246206800130491</v>
      </c>
      <c r="BG17" t="s">
        <v>281</v>
      </c>
      <c r="BH17">
        <v>607.20000000000005</v>
      </c>
      <c r="BI17">
        <f t="shared" ref="BI17:BI34" si="34">AX17-BH17</f>
        <v>894.82999999999993</v>
      </c>
      <c r="BJ17">
        <f t="shared" ref="BJ17:BJ34" si="35">(AX17-AW17)/(AX17-BH17)</f>
        <v>0.60088293522018377</v>
      </c>
      <c r="BK17">
        <f t="shared" ref="BK17:BK34" si="36">(AR17-AX17)/(AR17-BH17)</f>
        <v>0.68977448040354317</v>
      </c>
      <c r="BL17">
        <f t="shared" ref="BL17:BL34" si="37">(AX17-AW17)/(AX17-AQ17)</f>
        <v>0.58639051566698441</v>
      </c>
      <c r="BM17">
        <f t="shared" ref="BM17:BM34" si="38">(AR17-AX17)/(AR17-AQ17)</f>
        <v>0.68452614571520443</v>
      </c>
      <c r="BN17">
        <f t="shared" ref="BN17:BN34" si="39">$B$11*CD17+$C$11*CE17+$F$11*CF17</f>
        <v>2200.0138709677399</v>
      </c>
      <c r="BO17">
        <f t="shared" ref="BO17:BO34" si="40">BN17*BP17</f>
        <v>1849.1984516398738</v>
      </c>
      <c r="BP17">
        <f t="shared" ref="BP17:BP34" si="41">($B$11*$D$9+$C$11*$D$9+$F$11*((CS17+CK17)/MAX(CS17+CK17+CT17, 0.1)*$I$9+CT17/MAX(CS17+CK17+CT17, 0.1)*$J$9))/($B$11+$C$11+$F$11)</f>
        <v>0.8405394511564831</v>
      </c>
      <c r="BQ17">
        <f t="shared" ref="BQ17:BQ34" si="42">($B$11*$K$9+$C$11*$K$9+$F$11*((CS17+CK17)/MAX(CS17+CK17+CT17, 0.1)*$P$9+CT17/MAX(CS17+CK17+CT17, 0.1)*$Q$9))/($B$11+$C$11+$F$11)</f>
        <v>0.19107890231296637</v>
      </c>
      <c r="BR17">
        <v>1561657256</v>
      </c>
      <c r="BS17">
        <v>346.04116129032201</v>
      </c>
      <c r="BT17">
        <v>399.99848387096802</v>
      </c>
      <c r="BU17">
        <v>25.190661290322598</v>
      </c>
      <c r="BV17">
        <v>12.6568709677419</v>
      </c>
      <c r="BW17">
        <v>500.02787096774199</v>
      </c>
      <c r="BX17">
        <v>99.7351387096774</v>
      </c>
      <c r="BY17">
        <v>0.100014725806452</v>
      </c>
      <c r="BZ17">
        <v>27.671870967741899</v>
      </c>
      <c r="CA17">
        <v>27.748899999999999</v>
      </c>
      <c r="CB17">
        <v>999.9</v>
      </c>
      <c r="CC17">
        <v>10002.540000000001</v>
      </c>
      <c r="CD17">
        <v>0</v>
      </c>
      <c r="CE17">
        <v>202.37961290322599</v>
      </c>
      <c r="CF17">
        <v>2200.0138709677399</v>
      </c>
      <c r="CG17">
        <v>0.98200341935483904</v>
      </c>
      <c r="CH17">
        <v>1.7996525806451599E-2</v>
      </c>
      <c r="CI17">
        <v>0</v>
      </c>
      <c r="CJ17">
        <v>964.67748387096799</v>
      </c>
      <c r="CK17">
        <v>1.9999499999999999</v>
      </c>
      <c r="CL17">
        <v>21917.1</v>
      </c>
      <c r="CM17">
        <v>17938.393548387099</v>
      </c>
      <c r="CN17">
        <v>48.584387096774201</v>
      </c>
      <c r="CO17">
        <v>49.55</v>
      </c>
      <c r="CP17">
        <v>48.846548387096803</v>
      </c>
      <c r="CQ17">
        <v>48.769935483871002</v>
      </c>
      <c r="CR17">
        <v>49.786000000000001</v>
      </c>
      <c r="CS17">
        <v>2158.4538709677399</v>
      </c>
      <c r="CT17">
        <v>39.56</v>
      </c>
      <c r="CU17">
        <v>0</v>
      </c>
      <c r="CV17">
        <v>420.60000014305098</v>
      </c>
      <c r="CW17">
        <v>964.34192307692297</v>
      </c>
      <c r="CX17">
        <v>-27.5231453403965</v>
      </c>
      <c r="CY17">
        <v>-574.06837649313297</v>
      </c>
      <c r="CZ17">
        <v>21909.634615384599</v>
      </c>
      <c r="DA17">
        <v>15</v>
      </c>
      <c r="DB17">
        <v>1561657304.5</v>
      </c>
      <c r="DC17" t="s">
        <v>282</v>
      </c>
      <c r="DD17">
        <v>64</v>
      </c>
      <c r="DE17">
        <v>0.56799999999999995</v>
      </c>
      <c r="DF17">
        <v>6.5000000000000002E-2</v>
      </c>
      <c r="DG17">
        <v>400</v>
      </c>
      <c r="DH17">
        <v>13</v>
      </c>
      <c r="DI17">
        <v>0.02</v>
      </c>
      <c r="DJ17">
        <v>0.01</v>
      </c>
      <c r="DK17">
        <v>40.691636396193502</v>
      </c>
      <c r="DL17">
        <v>4.7709956153820801E-2</v>
      </c>
      <c r="DM17">
        <v>3.0687847579723398E-2</v>
      </c>
      <c r="DN17">
        <v>1</v>
      </c>
      <c r="DO17">
        <v>346.67489041095899</v>
      </c>
      <c r="DP17">
        <v>0.16315068493159701</v>
      </c>
      <c r="DQ17">
        <v>4.3826107701567203E-2</v>
      </c>
      <c r="DR17">
        <v>1</v>
      </c>
      <c r="DS17">
        <v>1.0792198600591201</v>
      </c>
      <c r="DT17">
        <v>-4.8005903637438098E-2</v>
      </c>
      <c r="DU17">
        <v>9.9745492186735403E-3</v>
      </c>
      <c r="DV17">
        <v>1</v>
      </c>
      <c r="DW17">
        <v>3</v>
      </c>
      <c r="DX17">
        <v>3</v>
      </c>
      <c r="DY17" t="s">
        <v>283</v>
      </c>
      <c r="DZ17">
        <v>1.8670800000000001</v>
      </c>
      <c r="EA17">
        <v>1.8635900000000001</v>
      </c>
      <c r="EB17">
        <v>1.8692</v>
      </c>
      <c r="EC17">
        <v>1.8671800000000001</v>
      </c>
      <c r="ED17">
        <v>1.8718399999999999</v>
      </c>
      <c r="EE17">
        <v>1.8643099999999999</v>
      </c>
      <c r="EF17">
        <v>1.8656900000000001</v>
      </c>
      <c r="EG17">
        <v>1.8656900000000001</v>
      </c>
      <c r="EH17" t="s">
        <v>284</v>
      </c>
      <c r="EI17" t="s">
        <v>19</v>
      </c>
      <c r="EJ17" t="s">
        <v>19</v>
      </c>
      <c r="EK17" t="s">
        <v>19</v>
      </c>
      <c r="EL17" t="s">
        <v>285</v>
      </c>
      <c r="EM17" t="s">
        <v>286</v>
      </c>
      <c r="EN17" t="s">
        <v>287</v>
      </c>
      <c r="EO17" t="s">
        <v>287</v>
      </c>
      <c r="EP17" t="s">
        <v>287</v>
      </c>
      <c r="EQ17" t="s">
        <v>287</v>
      </c>
      <c r="ER17">
        <v>0</v>
      </c>
      <c r="ES17">
        <v>100</v>
      </c>
      <c r="ET17">
        <v>100</v>
      </c>
      <c r="EU17">
        <v>0.56799999999999995</v>
      </c>
      <c r="EV17">
        <v>6.5000000000000002E-2</v>
      </c>
      <c r="EW17">
        <v>2</v>
      </c>
      <c r="EX17">
        <v>512.02499999999998</v>
      </c>
      <c r="EY17">
        <v>458.10199999999998</v>
      </c>
      <c r="EZ17">
        <v>21.621400000000001</v>
      </c>
      <c r="FA17">
        <v>36.137</v>
      </c>
      <c r="FB17">
        <v>29.9999</v>
      </c>
      <c r="FC17">
        <v>36.144100000000002</v>
      </c>
      <c r="FD17">
        <v>36.133699999999997</v>
      </c>
      <c r="FE17">
        <v>21.697900000000001</v>
      </c>
      <c r="FF17">
        <v>100</v>
      </c>
      <c r="FG17">
        <v>0</v>
      </c>
      <c r="FH17">
        <v>21.620699999999999</v>
      </c>
      <c r="FI17">
        <v>400</v>
      </c>
      <c r="FJ17">
        <v>7.9360600000000003</v>
      </c>
      <c r="FK17">
        <v>100.318</v>
      </c>
      <c r="FL17">
        <v>100.59699999999999</v>
      </c>
    </row>
    <row r="18" spans="1:168" x14ac:dyDescent="0.35">
      <c r="A18">
        <v>2</v>
      </c>
      <c r="B18">
        <v>1561657404</v>
      </c>
      <c r="C18">
        <v>140</v>
      </c>
      <c r="D18" t="s">
        <v>288</v>
      </c>
      <c r="E18" t="s">
        <v>289</v>
      </c>
      <c r="F18" t="s">
        <v>277</v>
      </c>
      <c r="G18" t="s">
        <v>278</v>
      </c>
      <c r="H18" t="s">
        <v>277</v>
      </c>
      <c r="J18" t="s">
        <v>277</v>
      </c>
      <c r="K18">
        <v>1561657396</v>
      </c>
      <c r="L18">
        <f t="shared" si="0"/>
        <v>1.156589470593177E-2</v>
      </c>
      <c r="M18">
        <f t="shared" si="1"/>
        <v>30.620901862759833</v>
      </c>
      <c r="N18">
        <f t="shared" si="2"/>
        <v>259.65245161290301</v>
      </c>
      <c r="O18">
        <f t="shared" si="3"/>
        <v>202.75190142715996</v>
      </c>
      <c r="P18">
        <f t="shared" si="4"/>
        <v>20.241671381502808</v>
      </c>
      <c r="Q18">
        <f t="shared" si="5"/>
        <v>25.922319652514453</v>
      </c>
      <c r="R18">
        <f t="shared" si="6"/>
        <v>1.1620520802855041</v>
      </c>
      <c r="S18">
        <f t="shared" si="7"/>
        <v>2.254163468122897</v>
      </c>
      <c r="T18">
        <f t="shared" si="8"/>
        <v>0.90710353369500862</v>
      </c>
      <c r="U18">
        <f t="shared" si="9"/>
        <v>0.58514305720219817</v>
      </c>
      <c r="V18">
        <f t="shared" si="10"/>
        <v>353.34072225806477</v>
      </c>
      <c r="W18">
        <f t="shared" si="11"/>
        <v>26.937229375134155</v>
      </c>
      <c r="X18">
        <f t="shared" si="12"/>
        <v>28.447309677419401</v>
      </c>
      <c r="Y18">
        <f t="shared" si="13"/>
        <v>3.8949291460614601</v>
      </c>
      <c r="Z18">
        <f t="shared" si="14"/>
        <v>69.735144937267023</v>
      </c>
      <c r="AA18">
        <f t="shared" si="15"/>
        <v>2.6638143976011359</v>
      </c>
      <c r="AB18">
        <f t="shared" si="16"/>
        <v>3.8199022888637777</v>
      </c>
      <c r="AC18">
        <f t="shared" si="17"/>
        <v>1.2311147484603242</v>
      </c>
      <c r="AD18">
        <f t="shared" si="18"/>
        <v>-510.05595653159105</v>
      </c>
      <c r="AE18">
        <f t="shared" si="19"/>
        <v>-40.631784168469288</v>
      </c>
      <c r="AF18">
        <f t="shared" si="20"/>
        <v>-3.9400644705437826</v>
      </c>
      <c r="AG18">
        <f t="shared" si="21"/>
        <v>-201.28708291253938</v>
      </c>
      <c r="AH18">
        <v>-4.12959278144584E-2</v>
      </c>
      <c r="AI18">
        <v>4.6358296693701499E-2</v>
      </c>
      <c r="AJ18">
        <v>3.4626670892811902</v>
      </c>
      <c r="AK18">
        <v>0</v>
      </c>
      <c r="AL18">
        <v>0</v>
      </c>
      <c r="AM18">
        <f t="shared" si="22"/>
        <v>1</v>
      </c>
      <c r="AN18">
        <f t="shared" si="23"/>
        <v>0</v>
      </c>
      <c r="AO18">
        <f t="shared" si="24"/>
        <v>52467.386695996021</v>
      </c>
      <c r="AP18" t="s">
        <v>279</v>
      </c>
      <c r="AQ18">
        <v>585.08461538461495</v>
      </c>
      <c r="AR18">
        <v>3491.65</v>
      </c>
      <c r="AS18">
        <f t="shared" si="25"/>
        <v>2906.565384615385</v>
      </c>
      <c r="AT18">
        <f t="shared" si="26"/>
        <v>0.83243320052564973</v>
      </c>
      <c r="AU18">
        <v>-24.085636743186001</v>
      </c>
      <c r="AV18" t="s">
        <v>290</v>
      </c>
      <c r="AW18">
        <v>856.87188461538403</v>
      </c>
      <c r="AX18">
        <v>1302.5899999999999</v>
      </c>
      <c r="AY18">
        <f t="shared" si="27"/>
        <v>0.3421783641703191</v>
      </c>
      <c r="AZ18">
        <v>0.5</v>
      </c>
      <c r="BA18">
        <f t="shared" si="28"/>
        <v>1849.1900322850329</v>
      </c>
      <c r="BB18">
        <f t="shared" si="29"/>
        <v>30.620901862759833</v>
      </c>
      <c r="BC18">
        <f t="shared" si="30"/>
        <v>316.37641014367608</v>
      </c>
      <c r="BD18">
        <f t="shared" si="31"/>
        <v>0.54981997405169702</v>
      </c>
      <c r="BE18">
        <f t="shared" si="32"/>
        <v>2.9584054451313097E-2</v>
      </c>
      <c r="BF18">
        <f t="shared" si="33"/>
        <v>1.6805441466616515</v>
      </c>
      <c r="BG18" t="s">
        <v>291</v>
      </c>
      <c r="BH18">
        <v>586.4</v>
      </c>
      <c r="BI18">
        <f t="shared" si="34"/>
        <v>716.18999999999994</v>
      </c>
      <c r="BJ18">
        <f t="shared" si="35"/>
        <v>0.62234618660497343</v>
      </c>
      <c r="BK18">
        <f t="shared" si="36"/>
        <v>0.75348420962051477</v>
      </c>
      <c r="BL18">
        <f t="shared" si="37"/>
        <v>0.62120525495922341</v>
      </c>
      <c r="BM18">
        <f t="shared" si="38"/>
        <v>0.75314321555841091</v>
      </c>
      <c r="BN18">
        <f t="shared" si="39"/>
        <v>2200.00419354839</v>
      </c>
      <c r="BO18">
        <f t="shared" si="40"/>
        <v>1849.1900322850329</v>
      </c>
      <c r="BP18">
        <f t="shared" si="41"/>
        <v>0.8405393215648701</v>
      </c>
      <c r="BQ18">
        <f t="shared" si="42"/>
        <v>0.19107864312974032</v>
      </c>
      <c r="BR18">
        <v>1561657396</v>
      </c>
      <c r="BS18">
        <v>259.65245161290301</v>
      </c>
      <c r="BT18">
        <v>300.00070967741902</v>
      </c>
      <c r="BU18">
        <v>26.682254838709699</v>
      </c>
      <c r="BV18">
        <v>13.173693548387099</v>
      </c>
      <c r="BW18">
        <v>500.00693548387102</v>
      </c>
      <c r="BX18">
        <v>99.734700000000004</v>
      </c>
      <c r="BY18">
        <v>9.9980903225806494E-2</v>
      </c>
      <c r="BZ18">
        <v>28.112964516129001</v>
      </c>
      <c r="CA18">
        <v>28.447309677419401</v>
      </c>
      <c r="CB18">
        <v>999.9</v>
      </c>
      <c r="CC18">
        <v>9985.2045161290298</v>
      </c>
      <c r="CD18">
        <v>0</v>
      </c>
      <c r="CE18">
        <v>197.90051612903201</v>
      </c>
      <c r="CF18">
        <v>2200.00419354839</v>
      </c>
      <c r="CG18">
        <v>0.98200641935483901</v>
      </c>
      <c r="CH18">
        <v>1.79937838709677E-2</v>
      </c>
      <c r="CI18">
        <v>0</v>
      </c>
      <c r="CJ18">
        <v>857.015290322581</v>
      </c>
      <c r="CK18">
        <v>1.9999499999999999</v>
      </c>
      <c r="CL18">
        <v>19492.2</v>
      </c>
      <c r="CM18">
        <v>17938.316129032301</v>
      </c>
      <c r="CN18">
        <v>48.604612903225799</v>
      </c>
      <c r="CO18">
        <v>49.451225806451603</v>
      </c>
      <c r="CP18">
        <v>48.875</v>
      </c>
      <c r="CQ18">
        <v>48.674999999999997</v>
      </c>
      <c r="CR18">
        <v>49.707322580645098</v>
      </c>
      <c r="CS18">
        <v>2158.4538709677399</v>
      </c>
      <c r="CT18">
        <v>39.550322580645201</v>
      </c>
      <c r="CU18">
        <v>0</v>
      </c>
      <c r="CV18">
        <v>139.299999952316</v>
      </c>
      <c r="CW18">
        <v>856.87188461538403</v>
      </c>
      <c r="CX18">
        <v>-14.506358974249901</v>
      </c>
      <c r="CY18">
        <v>-349.47692255281203</v>
      </c>
      <c r="CZ18">
        <v>19489.061538461501</v>
      </c>
      <c r="DA18">
        <v>15</v>
      </c>
      <c r="DB18">
        <v>1561657444.5</v>
      </c>
      <c r="DC18" t="s">
        <v>292</v>
      </c>
      <c r="DD18">
        <v>65</v>
      </c>
      <c r="DE18">
        <v>0.48699999999999999</v>
      </c>
      <c r="DF18">
        <v>7.1999999999999995E-2</v>
      </c>
      <c r="DG18">
        <v>300</v>
      </c>
      <c r="DH18">
        <v>13</v>
      </c>
      <c r="DI18">
        <v>0.04</v>
      </c>
      <c r="DJ18">
        <v>0.01</v>
      </c>
      <c r="DK18">
        <v>30.610380760736199</v>
      </c>
      <c r="DL18">
        <v>-0.296857038750517</v>
      </c>
      <c r="DM18">
        <v>6.9272552566647105E-2</v>
      </c>
      <c r="DN18">
        <v>1</v>
      </c>
      <c r="DO18">
        <v>259.52053424657498</v>
      </c>
      <c r="DP18">
        <v>1.1100925583116701</v>
      </c>
      <c r="DQ18">
        <v>0.1972759754025</v>
      </c>
      <c r="DR18">
        <v>1</v>
      </c>
      <c r="DS18">
        <v>1.3271171179763299</v>
      </c>
      <c r="DT18">
        <v>-0.65070968206225799</v>
      </c>
      <c r="DU18">
        <v>0.13264184716855201</v>
      </c>
      <c r="DV18">
        <v>1</v>
      </c>
      <c r="DW18">
        <v>3</v>
      </c>
      <c r="DX18">
        <v>3</v>
      </c>
      <c r="DY18" t="s">
        <v>283</v>
      </c>
      <c r="DZ18">
        <v>1.8671</v>
      </c>
      <c r="EA18">
        <v>1.8635999999999999</v>
      </c>
      <c r="EB18">
        <v>1.86924</v>
      </c>
      <c r="EC18">
        <v>1.8672200000000001</v>
      </c>
      <c r="ED18">
        <v>1.8718699999999999</v>
      </c>
      <c r="EE18">
        <v>1.86432</v>
      </c>
      <c r="EF18">
        <v>1.86571</v>
      </c>
      <c r="EG18">
        <v>1.8656999999999999</v>
      </c>
      <c r="EH18" t="s">
        <v>284</v>
      </c>
      <c r="EI18" t="s">
        <v>19</v>
      </c>
      <c r="EJ18" t="s">
        <v>19</v>
      </c>
      <c r="EK18" t="s">
        <v>19</v>
      </c>
      <c r="EL18" t="s">
        <v>285</v>
      </c>
      <c r="EM18" t="s">
        <v>286</v>
      </c>
      <c r="EN18" t="s">
        <v>287</v>
      </c>
      <c r="EO18" t="s">
        <v>287</v>
      </c>
      <c r="EP18" t="s">
        <v>287</v>
      </c>
      <c r="EQ18" t="s">
        <v>287</v>
      </c>
      <c r="ER18">
        <v>0</v>
      </c>
      <c r="ES18">
        <v>100</v>
      </c>
      <c r="ET18">
        <v>100</v>
      </c>
      <c r="EU18">
        <v>0.48699999999999999</v>
      </c>
      <c r="EV18">
        <v>7.1999999999999995E-2</v>
      </c>
      <c r="EW18">
        <v>2</v>
      </c>
      <c r="EX18">
        <v>512.447</v>
      </c>
      <c r="EY18">
        <v>457.91199999999998</v>
      </c>
      <c r="EZ18">
        <v>23.080100000000002</v>
      </c>
      <c r="FA18">
        <v>36.086100000000002</v>
      </c>
      <c r="FB18">
        <v>30.001799999999999</v>
      </c>
      <c r="FC18">
        <v>36.103900000000003</v>
      </c>
      <c r="FD18">
        <v>36.093800000000002</v>
      </c>
      <c r="FE18">
        <v>17.156500000000001</v>
      </c>
      <c r="FF18">
        <v>100</v>
      </c>
      <c r="FG18">
        <v>0</v>
      </c>
      <c r="FH18">
        <v>22.823399999999999</v>
      </c>
      <c r="FI18">
        <v>300</v>
      </c>
      <c r="FJ18">
        <v>9.90869</v>
      </c>
      <c r="FK18">
        <v>100.321</v>
      </c>
      <c r="FL18">
        <v>100.6</v>
      </c>
    </row>
    <row r="19" spans="1:168" x14ac:dyDescent="0.35">
      <c r="A19">
        <v>3</v>
      </c>
      <c r="B19">
        <v>1561657547.5</v>
      </c>
      <c r="C19">
        <v>283.5</v>
      </c>
      <c r="D19" t="s">
        <v>293</v>
      </c>
      <c r="E19" t="s">
        <v>294</v>
      </c>
      <c r="F19" t="s">
        <v>277</v>
      </c>
      <c r="G19" t="s">
        <v>278</v>
      </c>
      <c r="H19" t="s">
        <v>277</v>
      </c>
      <c r="J19" t="s">
        <v>277</v>
      </c>
      <c r="K19">
        <v>1561657539.5193501</v>
      </c>
      <c r="L19">
        <f t="shared" si="0"/>
        <v>1.0152680660942876E-2</v>
      </c>
      <c r="M19">
        <f t="shared" si="1"/>
        <v>18.954975028141156</v>
      </c>
      <c r="N19">
        <f t="shared" si="2"/>
        <v>175.13819354838699</v>
      </c>
      <c r="O19">
        <f t="shared" si="3"/>
        <v>131.90891062627446</v>
      </c>
      <c r="P19">
        <f t="shared" si="4"/>
        <v>13.168746058121963</v>
      </c>
      <c r="Q19">
        <f t="shared" si="5"/>
        <v>17.484416973553028</v>
      </c>
      <c r="R19">
        <f t="shared" si="6"/>
        <v>0.90178039573260493</v>
      </c>
      <c r="S19">
        <f t="shared" si="7"/>
        <v>2.2549251088900562</v>
      </c>
      <c r="T19">
        <f t="shared" si="8"/>
        <v>0.73987836018044417</v>
      </c>
      <c r="U19">
        <f t="shared" si="9"/>
        <v>0.47453136484770064</v>
      </c>
      <c r="V19">
        <f t="shared" si="10"/>
        <v>353.34012847358451</v>
      </c>
      <c r="W19">
        <f t="shared" si="11"/>
        <v>27.352087815342834</v>
      </c>
      <c r="X19">
        <f t="shared" si="12"/>
        <v>28.491329032258101</v>
      </c>
      <c r="Y19">
        <f t="shared" si="13"/>
        <v>3.9049021815968628</v>
      </c>
      <c r="Z19">
        <f t="shared" si="14"/>
        <v>67.735938278497954</v>
      </c>
      <c r="AA19">
        <f t="shared" si="15"/>
        <v>2.579486120698081</v>
      </c>
      <c r="AB19">
        <f t="shared" si="16"/>
        <v>3.8081499810225723</v>
      </c>
      <c r="AC19">
        <f t="shared" si="17"/>
        <v>1.3254160608987817</v>
      </c>
      <c r="AD19">
        <f t="shared" si="18"/>
        <v>-447.73321714758083</v>
      </c>
      <c r="AE19">
        <f t="shared" si="19"/>
        <v>-52.426582295345199</v>
      </c>
      <c r="AF19">
        <f t="shared" si="20"/>
        <v>-5.081865588440297</v>
      </c>
      <c r="AG19">
        <f t="shared" si="21"/>
        <v>-151.90153655778181</v>
      </c>
      <c r="AH19">
        <v>-4.13164698303339E-2</v>
      </c>
      <c r="AI19">
        <v>4.6381356906101102E-2</v>
      </c>
      <c r="AJ19">
        <v>3.46402988134547</v>
      </c>
      <c r="AK19">
        <v>0</v>
      </c>
      <c r="AL19">
        <v>0</v>
      </c>
      <c r="AM19">
        <f t="shared" si="22"/>
        <v>1</v>
      </c>
      <c r="AN19">
        <f t="shared" si="23"/>
        <v>0</v>
      </c>
      <c r="AO19">
        <f t="shared" si="24"/>
        <v>52501.593689708672</v>
      </c>
      <c r="AP19" t="s">
        <v>279</v>
      </c>
      <c r="AQ19">
        <v>585.08461538461495</v>
      </c>
      <c r="AR19">
        <v>3491.65</v>
      </c>
      <c r="AS19">
        <f t="shared" si="25"/>
        <v>2906.565384615385</v>
      </c>
      <c r="AT19">
        <f t="shared" si="26"/>
        <v>0.83243320052564973</v>
      </c>
      <c r="AU19">
        <v>-24.085636743186001</v>
      </c>
      <c r="AV19" t="s">
        <v>295</v>
      </c>
      <c r="AW19">
        <v>785.99673076923102</v>
      </c>
      <c r="AX19">
        <v>1117.75</v>
      </c>
      <c r="AY19">
        <f t="shared" si="27"/>
        <v>0.29680453520981342</v>
      </c>
      <c r="AZ19">
        <v>0.5</v>
      </c>
      <c r="BA19">
        <f t="shared" si="28"/>
        <v>1849.1816806721433</v>
      </c>
      <c r="BB19">
        <f t="shared" si="29"/>
        <v>18.954975028141156</v>
      </c>
      <c r="BC19">
        <f t="shared" si="30"/>
        <v>274.42275462519859</v>
      </c>
      <c r="BD19">
        <f t="shared" si="31"/>
        <v>0.48163721762469247</v>
      </c>
      <c r="BE19">
        <f t="shared" si="32"/>
        <v>2.3275491111118238E-2</v>
      </c>
      <c r="BF19">
        <f t="shared" si="33"/>
        <v>2.1238201744576157</v>
      </c>
      <c r="BG19" t="s">
        <v>296</v>
      </c>
      <c r="BH19">
        <v>579.4</v>
      </c>
      <c r="BI19">
        <f t="shared" si="34"/>
        <v>538.35</v>
      </c>
      <c r="BJ19">
        <f t="shared" si="35"/>
        <v>0.61624086417900803</v>
      </c>
      <c r="BK19">
        <f t="shared" si="36"/>
        <v>0.81514293072366728</v>
      </c>
      <c r="BL19">
        <f t="shared" si="37"/>
        <v>0.62281739871329134</v>
      </c>
      <c r="BM19">
        <f t="shared" si="38"/>
        <v>0.81673717459279849</v>
      </c>
      <c r="BN19">
        <f t="shared" si="39"/>
        <v>2199.9935483871</v>
      </c>
      <c r="BO19">
        <f t="shared" si="40"/>
        <v>1849.1816806721433</v>
      </c>
      <c r="BP19">
        <f t="shared" si="41"/>
        <v>0.840539592503737</v>
      </c>
      <c r="BQ19">
        <f t="shared" si="42"/>
        <v>0.19107918500747417</v>
      </c>
      <c r="BR19">
        <v>1561657539.5193501</v>
      </c>
      <c r="BS19">
        <v>175.13819354838699</v>
      </c>
      <c r="BT19">
        <v>200.01767741935501</v>
      </c>
      <c r="BU19">
        <v>25.838238709677402</v>
      </c>
      <c r="BV19">
        <v>13.969925806451601</v>
      </c>
      <c r="BW19">
        <v>500.004677419355</v>
      </c>
      <c r="BX19">
        <v>99.732141935483895</v>
      </c>
      <c r="BY19">
        <v>9.9977029032258094E-2</v>
      </c>
      <c r="BZ19">
        <v>28.060074193548399</v>
      </c>
      <c r="CA19">
        <v>28.491329032258101</v>
      </c>
      <c r="CB19">
        <v>999.9</v>
      </c>
      <c r="CC19">
        <v>9990.4277419354803</v>
      </c>
      <c r="CD19">
        <v>0</v>
      </c>
      <c r="CE19">
        <v>180.35267741935499</v>
      </c>
      <c r="CF19">
        <v>2199.9935483871</v>
      </c>
      <c r="CG19">
        <v>0.98199651612903205</v>
      </c>
      <c r="CH19">
        <v>1.8003603225806401E-2</v>
      </c>
      <c r="CI19">
        <v>0</v>
      </c>
      <c r="CJ19">
        <v>786.14025806451605</v>
      </c>
      <c r="CK19">
        <v>1.9999499999999999</v>
      </c>
      <c r="CL19">
        <v>17933.754838709701</v>
      </c>
      <c r="CM19">
        <v>17938.170967741898</v>
      </c>
      <c r="CN19">
        <v>48.870870967741901</v>
      </c>
      <c r="CO19">
        <v>49.753999999999998</v>
      </c>
      <c r="CP19">
        <v>49.193096774193499</v>
      </c>
      <c r="CQ19">
        <v>48.993838709677398</v>
      </c>
      <c r="CR19">
        <v>50.007935483871002</v>
      </c>
      <c r="CS19">
        <v>2158.4235483870998</v>
      </c>
      <c r="CT19">
        <v>39.57</v>
      </c>
      <c r="CU19">
        <v>0</v>
      </c>
      <c r="CV19">
        <v>143</v>
      </c>
      <c r="CW19">
        <v>785.99673076923102</v>
      </c>
      <c r="CX19">
        <v>-14.9630427411964</v>
      </c>
      <c r="CY19">
        <v>-262.25299149117302</v>
      </c>
      <c r="CZ19">
        <v>17930.8884615385</v>
      </c>
      <c r="DA19">
        <v>15</v>
      </c>
      <c r="DB19">
        <v>1561657588</v>
      </c>
      <c r="DC19" t="s">
        <v>297</v>
      </c>
      <c r="DD19">
        <v>66</v>
      </c>
      <c r="DE19">
        <v>0.42899999999999999</v>
      </c>
      <c r="DF19">
        <v>8.3000000000000004E-2</v>
      </c>
      <c r="DG19">
        <v>200</v>
      </c>
      <c r="DH19">
        <v>14</v>
      </c>
      <c r="DI19">
        <v>0.05</v>
      </c>
      <c r="DJ19">
        <v>0.01</v>
      </c>
      <c r="DK19">
        <v>18.956017034196201</v>
      </c>
      <c r="DL19">
        <v>-0.286950320442318</v>
      </c>
      <c r="DM19">
        <v>6.1679555470313202E-2</v>
      </c>
      <c r="DN19">
        <v>1</v>
      </c>
      <c r="DO19">
        <v>175.117397260274</v>
      </c>
      <c r="DP19">
        <v>0.46280325746429801</v>
      </c>
      <c r="DQ19">
        <v>8.3650240479151899E-2</v>
      </c>
      <c r="DR19">
        <v>1</v>
      </c>
      <c r="DS19">
        <v>0.92279509418869599</v>
      </c>
      <c r="DT19">
        <v>-0.102529981295355</v>
      </c>
      <c r="DU19">
        <v>1.9838020842330401E-2</v>
      </c>
      <c r="DV19">
        <v>1</v>
      </c>
      <c r="DW19">
        <v>3</v>
      </c>
      <c r="DX19">
        <v>3</v>
      </c>
      <c r="DY19" t="s">
        <v>283</v>
      </c>
      <c r="DZ19">
        <v>1.8670800000000001</v>
      </c>
      <c r="EA19">
        <v>1.8635699999999999</v>
      </c>
      <c r="EB19">
        <v>1.8692200000000001</v>
      </c>
      <c r="EC19">
        <v>1.86721</v>
      </c>
      <c r="ED19">
        <v>1.87185</v>
      </c>
      <c r="EE19">
        <v>1.8643099999999999</v>
      </c>
      <c r="EF19">
        <v>1.8656999999999999</v>
      </c>
      <c r="EG19">
        <v>1.8656900000000001</v>
      </c>
      <c r="EH19" t="s">
        <v>284</v>
      </c>
      <c r="EI19" t="s">
        <v>19</v>
      </c>
      <c r="EJ19" t="s">
        <v>19</v>
      </c>
      <c r="EK19" t="s">
        <v>19</v>
      </c>
      <c r="EL19" t="s">
        <v>285</v>
      </c>
      <c r="EM19" t="s">
        <v>286</v>
      </c>
      <c r="EN19" t="s">
        <v>287</v>
      </c>
      <c r="EO19" t="s">
        <v>287</v>
      </c>
      <c r="EP19" t="s">
        <v>287</v>
      </c>
      <c r="EQ19" t="s">
        <v>287</v>
      </c>
      <c r="ER19">
        <v>0</v>
      </c>
      <c r="ES19">
        <v>100</v>
      </c>
      <c r="ET19">
        <v>100</v>
      </c>
      <c r="EU19">
        <v>0.42899999999999999</v>
      </c>
      <c r="EV19">
        <v>8.3000000000000004E-2</v>
      </c>
      <c r="EW19">
        <v>2</v>
      </c>
      <c r="EX19">
        <v>511.512</v>
      </c>
      <c r="EY19">
        <v>456.98599999999999</v>
      </c>
      <c r="EZ19">
        <v>22.063099999999999</v>
      </c>
      <c r="FA19">
        <v>36.244900000000001</v>
      </c>
      <c r="FB19">
        <v>30.001000000000001</v>
      </c>
      <c r="FC19">
        <v>36.198999999999998</v>
      </c>
      <c r="FD19">
        <v>36.188699999999997</v>
      </c>
      <c r="FE19">
        <v>12.411899999999999</v>
      </c>
      <c r="FF19">
        <v>100</v>
      </c>
      <c r="FG19">
        <v>0</v>
      </c>
      <c r="FH19">
        <v>22.037500000000001</v>
      </c>
      <c r="FI19">
        <v>200</v>
      </c>
      <c r="FJ19">
        <v>9.90869</v>
      </c>
      <c r="FK19">
        <v>100.289</v>
      </c>
      <c r="FL19">
        <v>100.559</v>
      </c>
    </row>
    <row r="20" spans="1:168" x14ac:dyDescent="0.35">
      <c r="A20">
        <v>4</v>
      </c>
      <c r="B20">
        <v>1561657688.5</v>
      </c>
      <c r="C20">
        <v>424.5</v>
      </c>
      <c r="D20" t="s">
        <v>298</v>
      </c>
      <c r="E20" t="s">
        <v>299</v>
      </c>
      <c r="F20" t="s">
        <v>277</v>
      </c>
      <c r="G20" t="s">
        <v>278</v>
      </c>
      <c r="H20" t="s">
        <v>277</v>
      </c>
      <c r="J20" t="s">
        <v>277</v>
      </c>
      <c r="K20">
        <v>1561657680.5</v>
      </c>
      <c r="L20">
        <f t="shared" si="0"/>
        <v>1.4051590704092808E-2</v>
      </c>
      <c r="M20">
        <f t="shared" si="1"/>
        <v>6.5264510523702697</v>
      </c>
      <c r="N20">
        <f t="shared" si="2"/>
        <v>90.618312903225799</v>
      </c>
      <c r="O20">
        <f t="shared" si="3"/>
        <v>80.768780242628281</v>
      </c>
      <c r="P20">
        <f t="shared" si="4"/>
        <v>8.0634559387091116</v>
      </c>
      <c r="Q20">
        <f t="shared" si="5"/>
        <v>9.0467724180099527</v>
      </c>
      <c r="R20">
        <f t="shared" si="6"/>
        <v>1.6941809037748146</v>
      </c>
      <c r="S20">
        <f t="shared" si="7"/>
        <v>2.2572728883720594</v>
      </c>
      <c r="T20">
        <f t="shared" si="8"/>
        <v>1.2045036751679121</v>
      </c>
      <c r="U20">
        <f t="shared" si="9"/>
        <v>0.78486786745942749</v>
      </c>
      <c r="V20">
        <f t="shared" si="10"/>
        <v>353.34193040249335</v>
      </c>
      <c r="W20">
        <f t="shared" si="11"/>
        <v>26.768130471268744</v>
      </c>
      <c r="X20">
        <f t="shared" si="12"/>
        <v>29.644154838709699</v>
      </c>
      <c r="Y20">
        <f t="shared" si="13"/>
        <v>4.1741402281779436</v>
      </c>
      <c r="Z20">
        <f t="shared" si="14"/>
        <v>76.928385780944168</v>
      </c>
      <c r="AA20">
        <f t="shared" si="15"/>
        <v>3.0516387591041245</v>
      </c>
      <c r="AB20">
        <f t="shared" si="16"/>
        <v>3.9668566136221233</v>
      </c>
      <c r="AC20">
        <f t="shared" si="17"/>
        <v>1.1225014690738191</v>
      </c>
      <c r="AD20">
        <f t="shared" si="18"/>
        <v>-619.67515005049279</v>
      </c>
      <c r="AE20">
        <f t="shared" si="19"/>
        <v>-107.2788414492971</v>
      </c>
      <c r="AF20">
        <f t="shared" si="20"/>
        <v>-10.48431601842414</v>
      </c>
      <c r="AG20">
        <f t="shared" si="21"/>
        <v>-384.09637711572066</v>
      </c>
      <c r="AH20">
        <v>-4.1379830933669703E-2</v>
      </c>
      <c r="AI20">
        <v>4.64524852953331E-2</v>
      </c>
      <c r="AJ20">
        <v>3.46823189021217</v>
      </c>
      <c r="AK20">
        <v>0</v>
      </c>
      <c r="AL20">
        <v>0</v>
      </c>
      <c r="AM20">
        <f t="shared" si="22"/>
        <v>1</v>
      </c>
      <c r="AN20">
        <f t="shared" si="23"/>
        <v>0</v>
      </c>
      <c r="AO20">
        <f t="shared" si="24"/>
        <v>52456.445988390471</v>
      </c>
      <c r="AP20" t="s">
        <v>279</v>
      </c>
      <c r="AQ20">
        <v>585.08461538461495</v>
      </c>
      <c r="AR20">
        <v>3491.65</v>
      </c>
      <c r="AS20">
        <f t="shared" si="25"/>
        <v>2906.565384615385</v>
      </c>
      <c r="AT20">
        <f t="shared" si="26"/>
        <v>0.83243320052564973</v>
      </c>
      <c r="AU20">
        <v>-24.085636743186001</v>
      </c>
      <c r="AV20" t="s">
        <v>300</v>
      </c>
      <c r="AW20">
        <v>753.00350000000003</v>
      </c>
      <c r="AX20">
        <v>1013.67</v>
      </c>
      <c r="AY20">
        <f t="shared" si="27"/>
        <v>0.25715124251482235</v>
      </c>
      <c r="AZ20">
        <v>0.5</v>
      </c>
      <c r="BA20">
        <f t="shared" si="28"/>
        <v>1849.1911645431103</v>
      </c>
      <c r="BB20">
        <f t="shared" si="29"/>
        <v>6.5264510523702697</v>
      </c>
      <c r="BC20">
        <f t="shared" si="30"/>
        <v>237.76090280484607</v>
      </c>
      <c r="BD20">
        <f t="shared" si="31"/>
        <v>0.42229719731273485</v>
      </c>
      <c r="BE20">
        <f t="shared" si="32"/>
        <v>1.6554312167676707E-2</v>
      </c>
      <c r="BF20">
        <f t="shared" si="33"/>
        <v>2.4445628261663068</v>
      </c>
      <c r="BG20" t="s">
        <v>301</v>
      </c>
      <c r="BH20">
        <v>585.6</v>
      </c>
      <c r="BI20">
        <f t="shared" si="34"/>
        <v>428.06999999999994</v>
      </c>
      <c r="BJ20">
        <f t="shared" si="35"/>
        <v>0.60893428644847802</v>
      </c>
      <c r="BK20">
        <f t="shared" si="36"/>
        <v>0.85269695979078131</v>
      </c>
      <c r="BL20">
        <f t="shared" si="37"/>
        <v>0.60820202778012022</v>
      </c>
      <c r="BM20">
        <f t="shared" si="38"/>
        <v>0.85254576178333652</v>
      </c>
      <c r="BN20">
        <f t="shared" si="39"/>
        <v>2200.0048387096799</v>
      </c>
      <c r="BO20">
        <f t="shared" si="40"/>
        <v>1849.1911645431103</v>
      </c>
      <c r="BP20">
        <f t="shared" si="41"/>
        <v>0.84053958973457321</v>
      </c>
      <c r="BQ20">
        <f t="shared" si="42"/>
        <v>0.19107917946914671</v>
      </c>
      <c r="BR20">
        <v>1561657680.5</v>
      </c>
      <c r="BS20">
        <v>90.618312903225799</v>
      </c>
      <c r="BT20">
        <v>99.978103225806393</v>
      </c>
      <c r="BU20">
        <v>30.5671838709677</v>
      </c>
      <c r="BV20">
        <v>14.2206064516129</v>
      </c>
      <c r="BW20">
        <v>499.99725806451602</v>
      </c>
      <c r="BX20">
        <v>99.733848387096799</v>
      </c>
      <c r="BY20">
        <v>9.9972483870967702E-2</v>
      </c>
      <c r="BZ20">
        <v>28.762609677419398</v>
      </c>
      <c r="CA20">
        <v>29.644154838709699</v>
      </c>
      <c r="CB20">
        <v>999.9</v>
      </c>
      <c r="CC20">
        <v>10005.5774193548</v>
      </c>
      <c r="CD20">
        <v>0</v>
      </c>
      <c r="CE20">
        <v>203.31093548387099</v>
      </c>
      <c r="CF20">
        <v>2200.0048387096799</v>
      </c>
      <c r="CG20">
        <v>0.98199777419354795</v>
      </c>
      <c r="CH20">
        <v>1.8002270967741901E-2</v>
      </c>
      <c r="CI20">
        <v>0</v>
      </c>
      <c r="CJ20">
        <v>753.030967741935</v>
      </c>
      <c r="CK20">
        <v>1.9999499999999999</v>
      </c>
      <c r="CL20">
        <v>17218.203225806501</v>
      </c>
      <c r="CM20">
        <v>17938.264516128998</v>
      </c>
      <c r="CN20">
        <v>49.0944516129032</v>
      </c>
      <c r="CO20">
        <v>49.963419354838699</v>
      </c>
      <c r="CP20">
        <v>49.386935483871</v>
      </c>
      <c r="CQ20">
        <v>48.999935483870999</v>
      </c>
      <c r="CR20">
        <v>50.186999999999998</v>
      </c>
      <c r="CS20">
        <v>2158.4348387096802</v>
      </c>
      <c r="CT20">
        <v>39.57</v>
      </c>
      <c r="CU20">
        <v>0</v>
      </c>
      <c r="CV20">
        <v>140</v>
      </c>
      <c r="CW20">
        <v>753.00350000000003</v>
      </c>
      <c r="CX20">
        <v>-2.88618801972203</v>
      </c>
      <c r="CY20">
        <v>-54.694017211621798</v>
      </c>
      <c r="CZ20">
        <v>17218.069230769201</v>
      </c>
      <c r="DA20">
        <v>15</v>
      </c>
      <c r="DB20">
        <v>1561657729</v>
      </c>
      <c r="DC20" t="s">
        <v>302</v>
      </c>
      <c r="DD20">
        <v>67</v>
      </c>
      <c r="DE20">
        <v>0.28799999999999998</v>
      </c>
      <c r="DF20">
        <v>0.08</v>
      </c>
      <c r="DG20">
        <v>100</v>
      </c>
      <c r="DH20">
        <v>14</v>
      </c>
      <c r="DI20">
        <v>0.13</v>
      </c>
      <c r="DJ20">
        <v>0.01</v>
      </c>
      <c r="DK20">
        <v>6.4350280833815701</v>
      </c>
      <c r="DL20">
        <v>-0.228251993354083</v>
      </c>
      <c r="DM20">
        <v>0.109058551105359</v>
      </c>
      <c r="DN20">
        <v>1</v>
      </c>
      <c r="DO20">
        <v>90.736147945205502</v>
      </c>
      <c r="DP20">
        <v>-8.4440602724974695E-2</v>
      </c>
      <c r="DQ20">
        <v>0.103420457303807</v>
      </c>
      <c r="DR20">
        <v>1</v>
      </c>
      <c r="DS20">
        <v>1.5486141692180699</v>
      </c>
      <c r="DT20">
        <v>0.94605693588509099</v>
      </c>
      <c r="DU20">
        <v>0.216876299154973</v>
      </c>
      <c r="DV20">
        <v>1</v>
      </c>
      <c r="DW20">
        <v>3</v>
      </c>
      <c r="DX20">
        <v>3</v>
      </c>
      <c r="DY20" t="s">
        <v>283</v>
      </c>
      <c r="DZ20">
        <v>1.86711</v>
      </c>
      <c r="EA20">
        <v>1.8636600000000001</v>
      </c>
      <c r="EB20">
        <v>1.8692299999999999</v>
      </c>
      <c r="EC20">
        <v>1.8672200000000001</v>
      </c>
      <c r="ED20">
        <v>1.8718900000000001</v>
      </c>
      <c r="EE20">
        <v>1.86432</v>
      </c>
      <c r="EF20">
        <v>1.8656999999999999</v>
      </c>
      <c r="EG20">
        <v>1.8656999999999999</v>
      </c>
      <c r="EH20" t="s">
        <v>284</v>
      </c>
      <c r="EI20" t="s">
        <v>19</v>
      </c>
      <c r="EJ20" t="s">
        <v>19</v>
      </c>
      <c r="EK20" t="s">
        <v>19</v>
      </c>
      <c r="EL20" t="s">
        <v>285</v>
      </c>
      <c r="EM20" t="s">
        <v>286</v>
      </c>
      <c r="EN20" t="s">
        <v>287</v>
      </c>
      <c r="EO20" t="s">
        <v>287</v>
      </c>
      <c r="EP20" t="s">
        <v>287</v>
      </c>
      <c r="EQ20" t="s">
        <v>287</v>
      </c>
      <c r="ER20">
        <v>0</v>
      </c>
      <c r="ES20">
        <v>100</v>
      </c>
      <c r="ET20">
        <v>100</v>
      </c>
      <c r="EU20">
        <v>0.28799999999999998</v>
      </c>
      <c r="EV20">
        <v>0.08</v>
      </c>
      <c r="EW20">
        <v>2</v>
      </c>
      <c r="EX20">
        <v>513.63800000000003</v>
      </c>
      <c r="EY20">
        <v>456.94900000000001</v>
      </c>
      <c r="EZ20">
        <v>24.8965</v>
      </c>
      <c r="FA20">
        <v>36.341999999999999</v>
      </c>
      <c r="FB20">
        <v>30.000699999999998</v>
      </c>
      <c r="FC20">
        <v>36.292299999999997</v>
      </c>
      <c r="FD20">
        <v>36.266300000000001</v>
      </c>
      <c r="FE20">
        <v>7.5064700000000002</v>
      </c>
      <c r="FF20">
        <v>100</v>
      </c>
      <c r="FG20">
        <v>0</v>
      </c>
      <c r="FH20">
        <v>24.8567</v>
      </c>
      <c r="FI20">
        <v>100</v>
      </c>
      <c r="FJ20">
        <v>11.5174</v>
      </c>
      <c r="FK20">
        <v>100.271</v>
      </c>
      <c r="FL20">
        <v>100.545</v>
      </c>
    </row>
    <row r="21" spans="1:168" x14ac:dyDescent="0.35">
      <c r="A21">
        <v>5</v>
      </c>
      <c r="B21">
        <v>1561657849.5</v>
      </c>
      <c r="C21">
        <v>585.5</v>
      </c>
      <c r="D21" t="s">
        <v>303</v>
      </c>
      <c r="E21" t="s">
        <v>304</v>
      </c>
      <c r="F21" t="s">
        <v>277</v>
      </c>
      <c r="G21" t="s">
        <v>278</v>
      </c>
      <c r="H21" t="s">
        <v>277</v>
      </c>
      <c r="J21" t="s">
        <v>277</v>
      </c>
      <c r="K21">
        <v>1561657841.5</v>
      </c>
      <c r="L21">
        <f t="shared" si="0"/>
        <v>1.6097996871458003E-2</v>
      </c>
      <c r="M21">
        <f t="shared" si="1"/>
        <v>3.5168758788326718E-2</v>
      </c>
      <c r="N21">
        <f t="shared" si="2"/>
        <v>49.008148387096803</v>
      </c>
      <c r="O21">
        <f t="shared" si="3"/>
        <v>48.122931996166663</v>
      </c>
      <c r="P21">
        <f t="shared" si="4"/>
        <v>4.8044808065651941</v>
      </c>
      <c r="Q21">
        <f t="shared" si="5"/>
        <v>4.8928587374905073</v>
      </c>
      <c r="R21">
        <f t="shared" si="6"/>
        <v>2.1193596103119052</v>
      </c>
      <c r="S21">
        <f t="shared" si="7"/>
        <v>2.2553343379656896</v>
      </c>
      <c r="T21">
        <f t="shared" si="8"/>
        <v>1.4066415117692153</v>
      </c>
      <c r="U21">
        <f t="shared" si="9"/>
        <v>0.92291182271878491</v>
      </c>
      <c r="V21">
        <f t="shared" si="10"/>
        <v>353.34177595144337</v>
      </c>
      <c r="W21">
        <f t="shared" si="11"/>
        <v>27.092100370985904</v>
      </c>
      <c r="X21">
        <f t="shared" si="12"/>
        <v>30.560309677419401</v>
      </c>
      <c r="Y21">
        <f t="shared" si="13"/>
        <v>4.3995050757012768</v>
      </c>
      <c r="Z21">
        <f t="shared" si="14"/>
        <v>78.546844699081092</v>
      </c>
      <c r="AA21">
        <f t="shared" si="15"/>
        <v>3.3009984943723163</v>
      </c>
      <c r="AB21">
        <f t="shared" si="16"/>
        <v>4.2025857397820259</v>
      </c>
      <c r="AC21">
        <f t="shared" si="17"/>
        <v>1.0985065813289605</v>
      </c>
      <c r="AD21">
        <f t="shared" si="18"/>
        <v>-709.92166203129796</v>
      </c>
      <c r="AE21">
        <f t="shared" si="19"/>
        <v>-97.049668814298144</v>
      </c>
      <c r="AF21">
        <f t="shared" si="20"/>
        <v>-9.5833209990100432</v>
      </c>
      <c r="AG21">
        <f t="shared" si="21"/>
        <v>-463.21287589316273</v>
      </c>
      <c r="AH21">
        <v>-4.1327509648778599E-2</v>
      </c>
      <c r="AI21">
        <v>4.6393750069446502E-2</v>
      </c>
      <c r="AJ21">
        <v>3.4647621849050401</v>
      </c>
      <c r="AK21">
        <v>0</v>
      </c>
      <c r="AL21">
        <v>0</v>
      </c>
      <c r="AM21">
        <f t="shared" si="22"/>
        <v>1</v>
      </c>
      <c r="AN21">
        <f t="shared" si="23"/>
        <v>0</v>
      </c>
      <c r="AO21">
        <f t="shared" si="24"/>
        <v>52219.941141974756</v>
      </c>
      <c r="AP21" t="s">
        <v>279</v>
      </c>
      <c r="AQ21">
        <v>585.08461538461495</v>
      </c>
      <c r="AR21">
        <v>3491.65</v>
      </c>
      <c r="AS21">
        <f t="shared" si="25"/>
        <v>2906.565384615385</v>
      </c>
      <c r="AT21">
        <f t="shared" si="26"/>
        <v>0.83243320052564973</v>
      </c>
      <c r="AU21">
        <v>-24.085636743186001</v>
      </c>
      <c r="AV21" t="s">
        <v>305</v>
      </c>
      <c r="AW21">
        <v>741.06923076923101</v>
      </c>
      <c r="AX21">
        <v>951.44899999999996</v>
      </c>
      <c r="AY21">
        <f t="shared" si="27"/>
        <v>0.22111512990267368</v>
      </c>
      <c r="AZ21">
        <v>0.5</v>
      </c>
      <c r="BA21">
        <f t="shared" si="28"/>
        <v>1849.1903516398809</v>
      </c>
      <c r="BB21">
        <f t="shared" si="29"/>
        <v>3.5168758788326718E-2</v>
      </c>
      <c r="BC21">
        <f t="shared" si="30"/>
        <v>204.44198240881153</v>
      </c>
      <c r="BD21">
        <f t="shared" si="31"/>
        <v>0.37631969764012574</v>
      </c>
      <c r="BE21">
        <f t="shared" si="32"/>
        <v>1.3043981913805548E-2</v>
      </c>
      <c r="BF21">
        <f t="shared" si="33"/>
        <v>2.6698236058895435</v>
      </c>
      <c r="BG21" t="s">
        <v>306</v>
      </c>
      <c r="BH21">
        <v>593.4</v>
      </c>
      <c r="BI21">
        <f t="shared" si="34"/>
        <v>358.04899999999998</v>
      </c>
      <c r="BJ21">
        <f t="shared" si="35"/>
        <v>0.58757256473490771</v>
      </c>
      <c r="BK21">
        <f t="shared" si="36"/>
        <v>0.87646027775381696</v>
      </c>
      <c r="BL21">
        <f t="shared" si="37"/>
        <v>0.57423641070250009</v>
      </c>
      <c r="BM21">
        <f t="shared" si="38"/>
        <v>0.87395281504604283</v>
      </c>
      <c r="BN21">
        <f t="shared" si="39"/>
        <v>2200.0038709677401</v>
      </c>
      <c r="BO21">
        <f t="shared" si="40"/>
        <v>1849.1903516398809</v>
      </c>
      <c r="BP21">
        <f t="shared" si="41"/>
        <v>0.84053958997192901</v>
      </c>
      <c r="BQ21">
        <f t="shared" si="42"/>
        <v>0.19107917994385828</v>
      </c>
      <c r="BR21">
        <v>1561657841.5</v>
      </c>
      <c r="BS21">
        <v>49.008148387096803</v>
      </c>
      <c r="BT21">
        <v>49.997019354838699</v>
      </c>
      <c r="BU21">
        <v>33.063661290322599</v>
      </c>
      <c r="BV21">
        <v>14.3857419354839</v>
      </c>
      <c r="BW21">
        <v>500.02587096774198</v>
      </c>
      <c r="BX21">
        <v>99.737658064516097</v>
      </c>
      <c r="BY21">
        <v>9.9999519354838695E-2</v>
      </c>
      <c r="BZ21">
        <v>29.762135483870999</v>
      </c>
      <c r="CA21">
        <v>30.560309677419401</v>
      </c>
      <c r="CB21">
        <v>999.9</v>
      </c>
      <c r="CC21">
        <v>9992.5445161290299</v>
      </c>
      <c r="CD21">
        <v>0</v>
      </c>
      <c r="CE21">
        <v>2015.2241935483901</v>
      </c>
      <c r="CF21">
        <v>2200.0038709677401</v>
      </c>
      <c r="CG21">
        <v>0.98199835483870901</v>
      </c>
      <c r="CH21">
        <v>1.8001574193548399E-2</v>
      </c>
      <c r="CI21">
        <v>0</v>
      </c>
      <c r="CJ21">
        <v>741.04506451612895</v>
      </c>
      <c r="CK21">
        <v>1.9999499999999999</v>
      </c>
      <c r="CL21">
        <v>16966.451612903202</v>
      </c>
      <c r="CM21">
        <v>17938.264516128998</v>
      </c>
      <c r="CN21">
        <v>49.088419354838699</v>
      </c>
      <c r="CO21">
        <v>49.832322580645098</v>
      </c>
      <c r="CP21">
        <v>49.311999999999998</v>
      </c>
      <c r="CQ21">
        <v>49.04</v>
      </c>
      <c r="CR21">
        <v>50.253935483870997</v>
      </c>
      <c r="CS21">
        <v>2158.4338709677399</v>
      </c>
      <c r="CT21">
        <v>39.57</v>
      </c>
      <c r="CU21">
        <v>0</v>
      </c>
      <c r="CV21">
        <v>160.40000009536701</v>
      </c>
      <c r="CW21">
        <v>741.06923076923101</v>
      </c>
      <c r="CX21">
        <v>1.1617093863824199</v>
      </c>
      <c r="CY21">
        <v>25.2068376291029</v>
      </c>
      <c r="CZ21">
        <v>16966.742307692301</v>
      </c>
      <c r="DA21">
        <v>15</v>
      </c>
      <c r="DB21">
        <v>1561657890</v>
      </c>
      <c r="DC21" t="s">
        <v>307</v>
      </c>
      <c r="DD21">
        <v>68</v>
      </c>
      <c r="DE21">
        <v>0.27600000000000002</v>
      </c>
      <c r="DF21">
        <v>7.9000000000000001E-2</v>
      </c>
      <c r="DG21">
        <v>50</v>
      </c>
      <c r="DH21">
        <v>15</v>
      </c>
      <c r="DI21">
        <v>0.28999999999999998</v>
      </c>
      <c r="DJ21">
        <v>0.01</v>
      </c>
      <c r="DK21">
        <v>-1.56325835474782E-2</v>
      </c>
      <c r="DL21">
        <v>-1.0634501124061399E-2</v>
      </c>
      <c r="DM21">
        <v>8.3586062978691103E-2</v>
      </c>
      <c r="DN21">
        <v>1</v>
      </c>
      <c r="DO21">
        <v>49.024517808219201</v>
      </c>
      <c r="DP21">
        <v>-0.109098860795668</v>
      </c>
      <c r="DQ21">
        <v>6.9081867934993504E-2</v>
      </c>
      <c r="DR21">
        <v>1</v>
      </c>
      <c r="DS21">
        <v>2.0308895681675199</v>
      </c>
      <c r="DT21">
        <v>0.98322876422549099</v>
      </c>
      <c r="DU21">
        <v>0.29336621871996699</v>
      </c>
      <c r="DV21">
        <v>1</v>
      </c>
      <c r="DW21">
        <v>3</v>
      </c>
      <c r="DX21">
        <v>3</v>
      </c>
      <c r="DY21" t="s">
        <v>283</v>
      </c>
      <c r="DZ21">
        <v>1.8671599999999999</v>
      </c>
      <c r="EA21">
        <v>1.86368</v>
      </c>
      <c r="EB21">
        <v>1.8692299999999999</v>
      </c>
      <c r="EC21">
        <v>1.8672200000000001</v>
      </c>
      <c r="ED21">
        <v>1.8718600000000001</v>
      </c>
      <c r="EE21">
        <v>1.86432</v>
      </c>
      <c r="EF21">
        <v>1.86572</v>
      </c>
      <c r="EG21">
        <v>1.8656999999999999</v>
      </c>
      <c r="EH21" t="s">
        <v>284</v>
      </c>
      <c r="EI21" t="s">
        <v>19</v>
      </c>
      <c r="EJ21" t="s">
        <v>19</v>
      </c>
      <c r="EK21" t="s">
        <v>19</v>
      </c>
      <c r="EL21" t="s">
        <v>285</v>
      </c>
      <c r="EM21" t="s">
        <v>286</v>
      </c>
      <c r="EN21" t="s">
        <v>287</v>
      </c>
      <c r="EO21" t="s">
        <v>287</v>
      </c>
      <c r="EP21" t="s">
        <v>287</v>
      </c>
      <c r="EQ21" t="s">
        <v>287</v>
      </c>
      <c r="ER21">
        <v>0</v>
      </c>
      <c r="ES21">
        <v>100</v>
      </c>
      <c r="ET21">
        <v>100</v>
      </c>
      <c r="EU21">
        <v>0.27600000000000002</v>
      </c>
      <c r="EV21">
        <v>7.9000000000000001E-2</v>
      </c>
      <c r="EW21">
        <v>2</v>
      </c>
      <c r="EX21">
        <v>514.80100000000004</v>
      </c>
      <c r="EY21">
        <v>457.86700000000002</v>
      </c>
      <c r="EZ21">
        <v>26.372199999999999</v>
      </c>
      <c r="FA21">
        <v>36.261600000000001</v>
      </c>
      <c r="FB21">
        <v>30.000399999999999</v>
      </c>
      <c r="FC21">
        <v>36.256799999999998</v>
      </c>
      <c r="FD21">
        <v>36.237000000000002</v>
      </c>
      <c r="FE21">
        <v>5.0422799999999999</v>
      </c>
      <c r="FF21">
        <v>100</v>
      </c>
      <c r="FG21">
        <v>0</v>
      </c>
      <c r="FH21">
        <v>26.348400000000002</v>
      </c>
      <c r="FI21">
        <v>50</v>
      </c>
      <c r="FJ21">
        <v>11.8697</v>
      </c>
      <c r="FK21">
        <v>100.28100000000001</v>
      </c>
      <c r="FL21">
        <v>100.56100000000001</v>
      </c>
    </row>
    <row r="22" spans="1:168" x14ac:dyDescent="0.35">
      <c r="A22">
        <v>6</v>
      </c>
      <c r="B22">
        <v>1561658549.2</v>
      </c>
      <c r="C22">
        <v>1285.2000000476801</v>
      </c>
      <c r="D22" t="s">
        <v>308</v>
      </c>
      <c r="E22" t="s">
        <v>309</v>
      </c>
      <c r="F22" t="s">
        <v>277</v>
      </c>
      <c r="G22" t="s">
        <v>278</v>
      </c>
      <c r="H22" t="s">
        <v>277</v>
      </c>
      <c r="J22" t="s">
        <v>277</v>
      </c>
      <c r="K22">
        <v>1561658541.2</v>
      </c>
      <c r="L22">
        <f t="shared" si="0"/>
        <v>1.2954550623152631E-2</v>
      </c>
      <c r="M22">
        <f t="shared" si="1"/>
        <v>41.324073622778201</v>
      </c>
      <c r="N22">
        <f t="shared" si="2"/>
        <v>345.03964516129003</v>
      </c>
      <c r="O22">
        <f t="shared" si="3"/>
        <v>258.60339696812093</v>
      </c>
      <c r="P22">
        <f t="shared" si="4"/>
        <v>25.812577653985493</v>
      </c>
      <c r="Q22">
        <f t="shared" si="5"/>
        <v>34.440238368281456</v>
      </c>
      <c r="R22">
        <f t="shared" si="6"/>
        <v>1.0134731366428298</v>
      </c>
      <c r="S22">
        <f t="shared" si="7"/>
        <v>2.2581218113087784</v>
      </c>
      <c r="T22">
        <f t="shared" si="8"/>
        <v>0.81390801084369313</v>
      </c>
      <c r="U22">
        <f t="shared" si="9"/>
        <v>0.52332252662653833</v>
      </c>
      <c r="V22">
        <f t="shared" si="10"/>
        <v>353.33573711216081</v>
      </c>
      <c r="W22">
        <f t="shared" si="11"/>
        <v>25.914983835325014</v>
      </c>
      <c r="X22">
        <f t="shared" si="12"/>
        <v>26.9812096774194</v>
      </c>
      <c r="Y22">
        <f t="shared" si="13"/>
        <v>3.57521162652636</v>
      </c>
      <c r="Z22">
        <f t="shared" si="14"/>
        <v>54.953461490983678</v>
      </c>
      <c r="AA22">
        <f t="shared" si="15"/>
        <v>2.0311198024668378</v>
      </c>
      <c r="AB22">
        <f t="shared" si="16"/>
        <v>3.6960725445840885</v>
      </c>
      <c r="AC22">
        <f t="shared" si="17"/>
        <v>1.5440918240595223</v>
      </c>
      <c r="AD22">
        <f t="shared" si="18"/>
        <v>-571.29568248103101</v>
      </c>
      <c r="AE22">
        <f t="shared" si="19"/>
        <v>69.048886799189347</v>
      </c>
      <c r="AF22">
        <f t="shared" si="20"/>
        <v>6.6165894265305534</v>
      </c>
      <c r="AG22">
        <f t="shared" si="21"/>
        <v>-142.29446914315031</v>
      </c>
      <c r="AH22">
        <v>-4.1402756188188602E-2</v>
      </c>
      <c r="AI22">
        <v>4.6478220901893103E-2</v>
      </c>
      <c r="AJ22">
        <v>3.4697517086722098</v>
      </c>
      <c r="AK22">
        <v>0</v>
      </c>
      <c r="AL22">
        <v>0</v>
      </c>
      <c r="AM22">
        <f t="shared" si="22"/>
        <v>1</v>
      </c>
      <c r="AN22">
        <f t="shared" si="23"/>
        <v>0</v>
      </c>
      <c r="AO22">
        <f t="shared" si="24"/>
        <v>52695.947694329378</v>
      </c>
      <c r="AP22" t="s">
        <v>279</v>
      </c>
      <c r="AQ22">
        <v>585.08461538461495</v>
      </c>
      <c r="AR22">
        <v>3491.65</v>
      </c>
      <c r="AS22">
        <f t="shared" si="25"/>
        <v>2906.565384615385</v>
      </c>
      <c r="AT22">
        <f t="shared" si="26"/>
        <v>0.83243320052564973</v>
      </c>
      <c r="AU22">
        <v>-24.085636743186001</v>
      </c>
      <c r="AV22" t="s">
        <v>310</v>
      </c>
      <c r="AW22">
        <v>867.48980769230798</v>
      </c>
      <c r="AX22">
        <v>1344.94</v>
      </c>
      <c r="AY22">
        <f t="shared" si="27"/>
        <v>0.35499739193398372</v>
      </c>
      <c r="AZ22">
        <v>0.5</v>
      </c>
      <c r="BA22">
        <f t="shared" si="28"/>
        <v>1849.1583968011714</v>
      </c>
      <c r="BB22">
        <f t="shared" si="29"/>
        <v>41.324073622778201</v>
      </c>
      <c r="BC22">
        <f t="shared" si="30"/>
        <v>328.22320406862121</v>
      </c>
      <c r="BD22">
        <f t="shared" si="31"/>
        <v>0.57366127857004778</v>
      </c>
      <c r="BE22">
        <f t="shared" si="32"/>
        <v>3.5372691965769608E-2</v>
      </c>
      <c r="BF22">
        <f t="shared" si="33"/>
        <v>1.5961381176855474</v>
      </c>
      <c r="BG22" t="s">
        <v>311</v>
      </c>
      <c r="BH22">
        <v>573.4</v>
      </c>
      <c r="BI22">
        <f t="shared" si="34"/>
        <v>771.54000000000008</v>
      </c>
      <c r="BJ22">
        <f t="shared" si="35"/>
        <v>0.61882752975567312</v>
      </c>
      <c r="BK22">
        <f t="shared" si="36"/>
        <v>0.735615523001799</v>
      </c>
      <c r="BL22">
        <f t="shared" si="37"/>
        <v>0.62834350058513089</v>
      </c>
      <c r="BM22">
        <f t="shared" si="38"/>
        <v>0.73857275372598097</v>
      </c>
      <c r="BN22">
        <f t="shared" si="39"/>
        <v>2199.9658064516102</v>
      </c>
      <c r="BO22">
        <f t="shared" si="40"/>
        <v>1849.1583968011714</v>
      </c>
      <c r="BP22">
        <f t="shared" si="41"/>
        <v>0.84053960810587947</v>
      </c>
      <c r="BQ22">
        <f t="shared" si="42"/>
        <v>0.19107921621175908</v>
      </c>
      <c r="BR22">
        <v>1561658541.2</v>
      </c>
      <c r="BS22">
        <v>345.03964516129003</v>
      </c>
      <c r="BT22">
        <v>399.99041935483899</v>
      </c>
      <c r="BU22">
        <v>20.348780645161298</v>
      </c>
      <c r="BV22">
        <v>5.12018161290323</v>
      </c>
      <c r="BW22">
        <v>500.01741935483898</v>
      </c>
      <c r="BX22">
        <v>99.715322580645093</v>
      </c>
      <c r="BY22">
        <v>9.9985170967741899E-2</v>
      </c>
      <c r="BZ22">
        <v>27.5483935483871</v>
      </c>
      <c r="CA22">
        <v>26.9812096774194</v>
      </c>
      <c r="CB22">
        <v>999.9</v>
      </c>
      <c r="CC22">
        <v>10012.9806451613</v>
      </c>
      <c r="CD22">
        <v>0</v>
      </c>
      <c r="CE22">
        <v>224.55074193548401</v>
      </c>
      <c r="CF22">
        <v>2199.9658064516102</v>
      </c>
      <c r="CG22">
        <v>0.98199535483871003</v>
      </c>
      <c r="CH22">
        <v>1.8004570967741901E-2</v>
      </c>
      <c r="CI22">
        <v>0</v>
      </c>
      <c r="CJ22">
        <v>867.45312903225795</v>
      </c>
      <c r="CK22">
        <v>1.9999499999999999</v>
      </c>
      <c r="CL22">
        <v>19821.232258064501</v>
      </c>
      <c r="CM22">
        <v>17937.945161290299</v>
      </c>
      <c r="CN22">
        <v>49.455290322580602</v>
      </c>
      <c r="CO22">
        <v>50.033999999999999</v>
      </c>
      <c r="CP22">
        <v>49.693096774193499</v>
      </c>
      <c r="CQ22">
        <v>48.935225806451598</v>
      </c>
      <c r="CR22">
        <v>50.6148387096774</v>
      </c>
      <c r="CS22">
        <v>2158.3951612903202</v>
      </c>
      <c r="CT22">
        <v>39.570645161290301</v>
      </c>
      <c r="CU22">
        <v>0</v>
      </c>
      <c r="CV22">
        <v>699</v>
      </c>
      <c r="CW22">
        <v>867.48980769230798</v>
      </c>
      <c r="CX22">
        <v>4.8738803454053601</v>
      </c>
      <c r="CY22">
        <v>80.635897451233106</v>
      </c>
      <c r="CZ22">
        <v>19821.961538461499</v>
      </c>
      <c r="DA22">
        <v>15</v>
      </c>
      <c r="DB22">
        <v>1561658493.7</v>
      </c>
      <c r="DC22" t="s">
        <v>312</v>
      </c>
      <c r="DD22">
        <v>69</v>
      </c>
      <c r="DE22">
        <v>0.39100000000000001</v>
      </c>
      <c r="DF22">
        <v>-2.1000000000000001E-2</v>
      </c>
      <c r="DG22">
        <v>400</v>
      </c>
      <c r="DH22">
        <v>5</v>
      </c>
      <c r="DI22">
        <v>0.02</v>
      </c>
      <c r="DJ22">
        <v>0.02</v>
      </c>
      <c r="DK22">
        <v>41.378363875434196</v>
      </c>
      <c r="DL22">
        <v>-0.289579473943329</v>
      </c>
      <c r="DM22">
        <v>6.6916669386965402E-2</v>
      </c>
      <c r="DN22">
        <v>1</v>
      </c>
      <c r="DO22">
        <v>344.97510958904098</v>
      </c>
      <c r="DP22">
        <v>0.34130692336158402</v>
      </c>
      <c r="DQ22">
        <v>6.1343979987061197E-2</v>
      </c>
      <c r="DR22">
        <v>1</v>
      </c>
      <c r="DS22">
        <v>1.0227021515988799</v>
      </c>
      <c r="DT22">
        <v>-4.8503740284809499E-2</v>
      </c>
      <c r="DU22">
        <v>9.8373377045043696E-3</v>
      </c>
      <c r="DV22">
        <v>1</v>
      </c>
      <c r="DW22">
        <v>3</v>
      </c>
      <c r="DX22">
        <v>3</v>
      </c>
      <c r="DY22" t="s">
        <v>283</v>
      </c>
      <c r="DZ22">
        <v>1.86711</v>
      </c>
      <c r="EA22">
        <v>1.8636699999999999</v>
      </c>
      <c r="EB22">
        <v>1.8692800000000001</v>
      </c>
      <c r="EC22">
        <v>1.8672200000000001</v>
      </c>
      <c r="ED22">
        <v>1.87192</v>
      </c>
      <c r="EE22">
        <v>1.86432</v>
      </c>
      <c r="EF22">
        <v>1.8657999999999999</v>
      </c>
      <c r="EG22">
        <v>1.86575</v>
      </c>
      <c r="EH22" t="s">
        <v>284</v>
      </c>
      <c r="EI22" t="s">
        <v>19</v>
      </c>
      <c r="EJ22" t="s">
        <v>19</v>
      </c>
      <c r="EK22" t="s">
        <v>19</v>
      </c>
      <c r="EL22" t="s">
        <v>285</v>
      </c>
      <c r="EM22" t="s">
        <v>286</v>
      </c>
      <c r="EN22" t="s">
        <v>287</v>
      </c>
      <c r="EO22" t="s">
        <v>287</v>
      </c>
      <c r="EP22" t="s">
        <v>287</v>
      </c>
      <c r="EQ22" t="s">
        <v>287</v>
      </c>
      <c r="ER22">
        <v>0</v>
      </c>
      <c r="ES22">
        <v>100</v>
      </c>
      <c r="ET22">
        <v>100</v>
      </c>
      <c r="EU22">
        <v>0.39100000000000001</v>
      </c>
      <c r="EV22">
        <v>-2.1000000000000001E-2</v>
      </c>
      <c r="EW22">
        <v>2</v>
      </c>
      <c r="EX22">
        <v>513.85799999999995</v>
      </c>
      <c r="EY22">
        <v>450.18400000000003</v>
      </c>
      <c r="EZ22">
        <v>21.3964</v>
      </c>
      <c r="FA22">
        <v>37.146799999999999</v>
      </c>
      <c r="FB22">
        <v>29.985199999999999</v>
      </c>
      <c r="FC22">
        <v>36.977200000000003</v>
      </c>
      <c r="FD22">
        <v>36.933599999999998</v>
      </c>
      <c r="FE22">
        <v>22.148399999999999</v>
      </c>
      <c r="FF22">
        <v>85.462800000000001</v>
      </c>
      <c r="FG22">
        <v>0</v>
      </c>
      <c r="FH22">
        <v>22.659099999999999</v>
      </c>
      <c r="FI22">
        <v>400</v>
      </c>
      <c r="FJ22">
        <v>5.0253899999999998</v>
      </c>
      <c r="FK22">
        <v>100.158</v>
      </c>
      <c r="FL22">
        <v>100.414</v>
      </c>
    </row>
    <row r="23" spans="1:168" x14ac:dyDescent="0.35">
      <c r="A23">
        <v>7</v>
      </c>
      <c r="B23">
        <v>1561658689.7</v>
      </c>
      <c r="C23">
        <v>1425.7000000476801</v>
      </c>
      <c r="D23" t="s">
        <v>313</v>
      </c>
      <c r="E23" t="s">
        <v>314</v>
      </c>
      <c r="F23" t="s">
        <v>277</v>
      </c>
      <c r="G23" t="s">
        <v>278</v>
      </c>
      <c r="H23" t="s">
        <v>277</v>
      </c>
      <c r="J23" t="s">
        <v>277</v>
      </c>
      <c r="K23">
        <v>1561658681.7</v>
      </c>
      <c r="L23">
        <f t="shared" si="0"/>
        <v>1.1953021868777872E-2</v>
      </c>
      <c r="M23">
        <f t="shared" si="1"/>
        <v>30.199704181861737</v>
      </c>
      <c r="N23">
        <f t="shared" si="2"/>
        <v>260.03632258064499</v>
      </c>
      <c r="O23">
        <f t="shared" si="3"/>
        <v>190.22088211709934</v>
      </c>
      <c r="P23">
        <f t="shared" si="4"/>
        <v>18.987329611973326</v>
      </c>
      <c r="Q23">
        <f t="shared" si="5"/>
        <v>25.956116452475946</v>
      </c>
      <c r="R23">
        <f t="shared" si="6"/>
        <v>0.89405092648481721</v>
      </c>
      <c r="S23">
        <f t="shared" si="7"/>
        <v>2.2553571195814004</v>
      </c>
      <c r="T23">
        <f t="shared" si="8"/>
        <v>0.73467730355435246</v>
      </c>
      <c r="U23">
        <f t="shared" si="9"/>
        <v>0.47110884169239281</v>
      </c>
      <c r="V23">
        <f t="shared" si="10"/>
        <v>353.33992253885214</v>
      </c>
      <c r="W23">
        <f t="shared" si="11"/>
        <v>26.199805249665175</v>
      </c>
      <c r="X23">
        <f t="shared" si="12"/>
        <v>27.097519354838699</v>
      </c>
      <c r="Y23">
        <f t="shared" si="13"/>
        <v>3.5997108387431549</v>
      </c>
      <c r="Z23">
        <f t="shared" si="14"/>
        <v>54.83463919066773</v>
      </c>
      <c r="AA23">
        <f t="shared" si="15"/>
        <v>2.0214353249836825</v>
      </c>
      <c r="AB23">
        <f t="shared" si="16"/>
        <v>3.6864203992568787</v>
      </c>
      <c r="AC23">
        <f t="shared" si="17"/>
        <v>1.5782755137594724</v>
      </c>
      <c r="AD23">
        <f t="shared" si="18"/>
        <v>-527.12826441310415</v>
      </c>
      <c r="AE23">
        <f t="shared" si="19"/>
        <v>49.387442654131902</v>
      </c>
      <c r="AF23">
        <f t="shared" si="20"/>
        <v>4.7400318572500399</v>
      </c>
      <c r="AG23">
        <f t="shared" si="21"/>
        <v>-119.66086736287009</v>
      </c>
      <c r="AH23">
        <v>-4.13281242845428E-2</v>
      </c>
      <c r="AI23">
        <v>4.6394440051936901E-2</v>
      </c>
      <c r="AJ23">
        <v>3.46480295351332</v>
      </c>
      <c r="AK23">
        <v>0</v>
      </c>
      <c r="AL23">
        <v>0</v>
      </c>
      <c r="AM23">
        <f t="shared" si="22"/>
        <v>1</v>
      </c>
      <c r="AN23">
        <f t="shared" si="23"/>
        <v>0</v>
      </c>
      <c r="AO23">
        <f t="shared" si="24"/>
        <v>52612.712890358562</v>
      </c>
      <c r="AP23" t="s">
        <v>279</v>
      </c>
      <c r="AQ23">
        <v>585.08461538461495</v>
      </c>
      <c r="AR23">
        <v>3491.65</v>
      </c>
      <c r="AS23">
        <f t="shared" si="25"/>
        <v>2906.565384615385</v>
      </c>
      <c r="AT23">
        <f t="shared" si="26"/>
        <v>0.83243320052564973</v>
      </c>
      <c r="AU23">
        <v>-24.085636743186001</v>
      </c>
      <c r="AV23" t="s">
        <v>315</v>
      </c>
      <c r="AW23">
        <v>802.34380769230802</v>
      </c>
      <c r="AX23">
        <v>1205.6300000000001</v>
      </c>
      <c r="AY23">
        <f t="shared" si="27"/>
        <v>0.33450245291481806</v>
      </c>
      <c r="AZ23">
        <v>0.5</v>
      </c>
      <c r="BA23">
        <f t="shared" si="28"/>
        <v>1849.1805968011763</v>
      </c>
      <c r="BB23">
        <f t="shared" si="29"/>
        <v>30.199704181861737</v>
      </c>
      <c r="BC23">
        <f t="shared" si="30"/>
        <v>309.27772275624034</v>
      </c>
      <c r="BD23">
        <f t="shared" si="31"/>
        <v>0.54115275830893395</v>
      </c>
      <c r="BE23">
        <f t="shared" si="32"/>
        <v>2.9356430096094333E-2</v>
      </c>
      <c r="BF23">
        <f t="shared" si="33"/>
        <v>1.8961207003807137</v>
      </c>
      <c r="BG23" t="s">
        <v>316</v>
      </c>
      <c r="BH23">
        <v>553.20000000000005</v>
      </c>
      <c r="BI23">
        <f t="shared" si="34"/>
        <v>652.43000000000006</v>
      </c>
      <c r="BJ23">
        <f t="shared" si="35"/>
        <v>0.61812944271062342</v>
      </c>
      <c r="BK23">
        <f t="shared" si="36"/>
        <v>0.77796797631404313</v>
      </c>
      <c r="BL23">
        <f t="shared" si="37"/>
        <v>0.64988992313213223</v>
      </c>
      <c r="BM23">
        <f t="shared" si="38"/>
        <v>0.78650217610793594</v>
      </c>
      <c r="BN23">
        <f t="shared" si="39"/>
        <v>2199.9922580645198</v>
      </c>
      <c r="BO23">
        <f t="shared" si="40"/>
        <v>1849.1805968011763</v>
      </c>
      <c r="BP23">
        <f t="shared" si="41"/>
        <v>0.84053959282021473</v>
      </c>
      <c r="BQ23">
        <f t="shared" si="42"/>
        <v>0.19107918564042947</v>
      </c>
      <c r="BR23">
        <v>1561658681.7</v>
      </c>
      <c r="BS23">
        <v>260.03632258064499</v>
      </c>
      <c r="BT23">
        <v>300.00325806451599</v>
      </c>
      <c r="BU23">
        <v>20.251358064516101</v>
      </c>
      <c r="BV23">
        <v>6.19911451612903</v>
      </c>
      <c r="BW23">
        <v>500.032193548387</v>
      </c>
      <c r="BX23">
        <v>99.717251612903198</v>
      </c>
      <c r="BY23">
        <v>0.10002081612903201</v>
      </c>
      <c r="BZ23">
        <v>27.5036967741935</v>
      </c>
      <c r="CA23">
        <v>27.097519354838699</v>
      </c>
      <c r="CB23">
        <v>999.9</v>
      </c>
      <c r="CC23">
        <v>9994.7380645161302</v>
      </c>
      <c r="CD23">
        <v>0</v>
      </c>
      <c r="CE23">
        <v>248.77819354838701</v>
      </c>
      <c r="CF23">
        <v>2199.9922580645198</v>
      </c>
      <c r="CG23">
        <v>0.98199670967741903</v>
      </c>
      <c r="CH23">
        <v>1.8003441935483901E-2</v>
      </c>
      <c r="CI23">
        <v>0</v>
      </c>
      <c r="CJ23">
        <v>802.34677419354796</v>
      </c>
      <c r="CK23">
        <v>1.9999499999999999</v>
      </c>
      <c r="CL23">
        <v>18332.377419354802</v>
      </c>
      <c r="CM23">
        <v>17938.177419354801</v>
      </c>
      <c r="CN23">
        <v>49.295999999999999</v>
      </c>
      <c r="CO23">
        <v>49.656999999999996</v>
      </c>
      <c r="CP23">
        <v>49.52</v>
      </c>
      <c r="CQ23">
        <v>48.820129032258002</v>
      </c>
      <c r="CR23">
        <v>50.366806451612902</v>
      </c>
      <c r="CS23">
        <v>2158.4222580645201</v>
      </c>
      <c r="CT23">
        <v>39.57</v>
      </c>
      <c r="CU23">
        <v>0</v>
      </c>
      <c r="CV23">
        <v>139.799999952316</v>
      </c>
      <c r="CW23">
        <v>802.34380769230802</v>
      </c>
      <c r="CX23">
        <v>3.22519658970295</v>
      </c>
      <c r="CY23">
        <v>61.675213632657702</v>
      </c>
      <c r="CZ23">
        <v>18332.8</v>
      </c>
      <c r="DA23">
        <v>15</v>
      </c>
      <c r="DB23">
        <v>1561658635.7</v>
      </c>
      <c r="DC23" t="s">
        <v>317</v>
      </c>
      <c r="DD23">
        <v>70</v>
      </c>
      <c r="DE23">
        <v>0.253</v>
      </c>
      <c r="DF23">
        <v>-4.0000000000000001E-3</v>
      </c>
      <c r="DG23">
        <v>300</v>
      </c>
      <c r="DH23">
        <v>6</v>
      </c>
      <c r="DI23">
        <v>0.03</v>
      </c>
      <c r="DJ23">
        <v>0.01</v>
      </c>
      <c r="DK23">
        <v>30.335237061888101</v>
      </c>
      <c r="DL23">
        <v>-0.65059725023411497</v>
      </c>
      <c r="DM23">
        <v>0.12694863940585799</v>
      </c>
      <c r="DN23">
        <v>0</v>
      </c>
      <c r="DO23">
        <v>259.899835616438</v>
      </c>
      <c r="DP23">
        <v>0.75178452425010001</v>
      </c>
      <c r="DQ23">
        <v>0.132186565302747</v>
      </c>
      <c r="DR23">
        <v>1</v>
      </c>
      <c r="DS23">
        <v>0.90273274694411498</v>
      </c>
      <c r="DT23">
        <v>-2.79632596252447E-2</v>
      </c>
      <c r="DU23">
        <v>7.4844236273542003E-3</v>
      </c>
      <c r="DV23">
        <v>1</v>
      </c>
      <c r="DW23">
        <v>2</v>
      </c>
      <c r="DX23">
        <v>3</v>
      </c>
      <c r="DY23" t="s">
        <v>318</v>
      </c>
      <c r="DZ23">
        <v>1.8670800000000001</v>
      </c>
      <c r="EA23">
        <v>1.8635900000000001</v>
      </c>
      <c r="EB23">
        <v>1.86924</v>
      </c>
      <c r="EC23">
        <v>1.86721</v>
      </c>
      <c r="ED23">
        <v>1.87188</v>
      </c>
      <c r="EE23">
        <v>1.8643099999999999</v>
      </c>
      <c r="EF23">
        <v>1.86574</v>
      </c>
      <c r="EG23">
        <v>1.8656900000000001</v>
      </c>
      <c r="EH23" t="s">
        <v>284</v>
      </c>
      <c r="EI23" t="s">
        <v>19</v>
      </c>
      <c r="EJ23" t="s">
        <v>19</v>
      </c>
      <c r="EK23" t="s">
        <v>19</v>
      </c>
      <c r="EL23" t="s">
        <v>285</v>
      </c>
      <c r="EM23" t="s">
        <v>286</v>
      </c>
      <c r="EN23" t="s">
        <v>287</v>
      </c>
      <c r="EO23" t="s">
        <v>287</v>
      </c>
      <c r="EP23" t="s">
        <v>287</v>
      </c>
      <c r="EQ23" t="s">
        <v>287</v>
      </c>
      <c r="ER23">
        <v>0</v>
      </c>
      <c r="ES23">
        <v>100</v>
      </c>
      <c r="ET23">
        <v>100</v>
      </c>
      <c r="EU23">
        <v>0.253</v>
      </c>
      <c r="EV23">
        <v>-4.0000000000000001E-3</v>
      </c>
      <c r="EW23">
        <v>2</v>
      </c>
      <c r="EX23">
        <v>512.72299999999996</v>
      </c>
      <c r="EY23">
        <v>451.517</v>
      </c>
      <c r="EZ23">
        <v>19.7012</v>
      </c>
      <c r="FA23">
        <v>36.964199999999998</v>
      </c>
      <c r="FB23">
        <v>29.999600000000001</v>
      </c>
      <c r="FC23">
        <v>36.881100000000004</v>
      </c>
      <c r="FD23">
        <v>36.847299999999997</v>
      </c>
      <c r="FE23">
        <v>17.6463</v>
      </c>
      <c r="FF23">
        <v>82.447000000000003</v>
      </c>
      <c r="FG23">
        <v>0</v>
      </c>
      <c r="FH23">
        <v>18.164400000000001</v>
      </c>
      <c r="FI23">
        <v>300</v>
      </c>
      <c r="FJ23">
        <v>6.4102699999999997</v>
      </c>
      <c r="FK23">
        <v>100.18</v>
      </c>
      <c r="FL23">
        <v>100.44499999999999</v>
      </c>
    </row>
    <row r="24" spans="1:168" x14ac:dyDescent="0.35">
      <c r="A24">
        <v>8</v>
      </c>
      <c r="B24">
        <v>1561658815.7</v>
      </c>
      <c r="C24">
        <v>1551.7000000476801</v>
      </c>
      <c r="D24" t="s">
        <v>319</v>
      </c>
      <c r="E24" t="s">
        <v>320</v>
      </c>
      <c r="F24" t="s">
        <v>277</v>
      </c>
      <c r="G24" t="s">
        <v>278</v>
      </c>
      <c r="H24" t="s">
        <v>277</v>
      </c>
      <c r="J24" t="s">
        <v>277</v>
      </c>
      <c r="K24">
        <v>1561658807.7</v>
      </c>
      <c r="L24">
        <f t="shared" si="0"/>
        <v>1.1097705238761591E-2</v>
      </c>
      <c r="M24">
        <f t="shared" si="1"/>
        <v>18.528563065344077</v>
      </c>
      <c r="N24">
        <f t="shared" si="2"/>
        <v>175.44077419354801</v>
      </c>
      <c r="O24">
        <f t="shared" si="3"/>
        <v>128.95354127277682</v>
      </c>
      <c r="P24">
        <f t="shared" si="4"/>
        <v>12.871481966931331</v>
      </c>
      <c r="Q24">
        <f t="shared" si="5"/>
        <v>17.511599441227958</v>
      </c>
      <c r="R24">
        <f t="shared" si="6"/>
        <v>0.81374224257252936</v>
      </c>
      <c r="S24">
        <f t="shared" si="7"/>
        <v>2.2572320277697462</v>
      </c>
      <c r="T24">
        <f t="shared" si="8"/>
        <v>0.6795260378349699</v>
      </c>
      <c r="U24">
        <f t="shared" si="9"/>
        <v>0.43490655368757181</v>
      </c>
      <c r="V24">
        <f t="shared" si="10"/>
        <v>353.3422059385702</v>
      </c>
      <c r="W24">
        <f t="shared" si="11"/>
        <v>26.098504369922267</v>
      </c>
      <c r="X24">
        <f t="shared" si="12"/>
        <v>26.987254838709699</v>
      </c>
      <c r="Y24">
        <f t="shared" si="13"/>
        <v>3.5764813705307996</v>
      </c>
      <c r="Z24">
        <f t="shared" si="14"/>
        <v>55.26324746592789</v>
      </c>
      <c r="AA24">
        <f t="shared" si="15"/>
        <v>1.9918203762060531</v>
      </c>
      <c r="AB24">
        <f t="shared" si="16"/>
        <v>3.6042405532430823</v>
      </c>
      <c r="AC24">
        <f t="shared" si="17"/>
        <v>1.5846609943247465</v>
      </c>
      <c r="AD24">
        <f t="shared" si="18"/>
        <v>-489.40880102938621</v>
      </c>
      <c r="AE24">
        <f t="shared" si="19"/>
        <v>16.02603720979678</v>
      </c>
      <c r="AF24">
        <f t="shared" si="20"/>
        <v>1.5330472230027372</v>
      </c>
      <c r="AG24">
        <f t="shared" si="21"/>
        <v>-118.50751065801651</v>
      </c>
      <c r="AH24">
        <v>-4.1378727687214699E-2</v>
      </c>
      <c r="AI24">
        <v>4.6451246804537598E-2</v>
      </c>
      <c r="AJ24">
        <v>3.4681587436822499</v>
      </c>
      <c r="AK24">
        <v>0</v>
      </c>
      <c r="AL24">
        <v>0</v>
      </c>
      <c r="AM24">
        <f t="shared" si="22"/>
        <v>1</v>
      </c>
      <c r="AN24">
        <f t="shared" si="23"/>
        <v>0</v>
      </c>
      <c r="AO24">
        <f t="shared" si="24"/>
        <v>52741.973661208831</v>
      </c>
      <c r="AP24" t="s">
        <v>279</v>
      </c>
      <c r="AQ24">
        <v>585.08461538461495</v>
      </c>
      <c r="AR24">
        <v>3491.65</v>
      </c>
      <c r="AS24">
        <f t="shared" si="25"/>
        <v>2906.565384615385</v>
      </c>
      <c r="AT24">
        <f t="shared" si="26"/>
        <v>0.83243320052564973</v>
      </c>
      <c r="AU24">
        <v>-24.085636743186001</v>
      </c>
      <c r="AV24" t="s">
        <v>321</v>
      </c>
      <c r="AW24">
        <v>751.97123076923106</v>
      </c>
      <c r="AX24">
        <v>1047.97</v>
      </c>
      <c r="AY24">
        <f t="shared" si="27"/>
        <v>0.28244965908448616</v>
      </c>
      <c r="AZ24">
        <v>0.5</v>
      </c>
      <c r="BA24">
        <f t="shared" si="28"/>
        <v>1849.1925290592351</v>
      </c>
      <c r="BB24">
        <f t="shared" si="29"/>
        <v>18.528563065344077</v>
      </c>
      <c r="BC24">
        <f t="shared" si="30"/>
        <v>261.15189970717984</v>
      </c>
      <c r="BD24">
        <f t="shared" si="31"/>
        <v>0.48338215788619909</v>
      </c>
      <c r="BE24">
        <f t="shared" si="32"/>
        <v>2.304476096397046E-2</v>
      </c>
      <c r="BF24">
        <f t="shared" si="33"/>
        <v>2.3318224758342323</v>
      </c>
      <c r="BG24" t="s">
        <v>322</v>
      </c>
      <c r="BH24">
        <v>541.4</v>
      </c>
      <c r="BI24">
        <f t="shared" si="34"/>
        <v>506.57000000000005</v>
      </c>
      <c r="BJ24">
        <f t="shared" si="35"/>
        <v>0.58431957919096855</v>
      </c>
      <c r="BK24">
        <f t="shared" si="36"/>
        <v>0.8282959071265148</v>
      </c>
      <c r="BL24">
        <f t="shared" si="37"/>
        <v>0.63946449611217804</v>
      </c>
      <c r="BM24">
        <f t="shared" si="38"/>
        <v>0.84074489186946788</v>
      </c>
      <c r="BN24">
        <f t="shared" si="39"/>
        <v>2200.0064516129</v>
      </c>
      <c r="BO24">
        <f t="shared" si="40"/>
        <v>1849.1925290592351</v>
      </c>
      <c r="BP24">
        <f t="shared" si="41"/>
        <v>0.84053959373779508</v>
      </c>
      <c r="BQ24">
        <f t="shared" si="42"/>
        <v>0.19107918747559011</v>
      </c>
      <c r="BR24">
        <v>1561658807.7</v>
      </c>
      <c r="BS24">
        <v>175.44077419354801</v>
      </c>
      <c r="BT24">
        <v>200.01019354838701</v>
      </c>
      <c r="BU24">
        <v>19.9551451612903</v>
      </c>
      <c r="BV24">
        <v>6.9043074193548399</v>
      </c>
      <c r="BW24">
        <v>500.02532258064502</v>
      </c>
      <c r="BX24">
        <v>99.714861290322602</v>
      </c>
      <c r="BY24">
        <v>0.10001653225806501</v>
      </c>
      <c r="BZ24">
        <v>27.1189483870968</v>
      </c>
      <c r="CA24">
        <v>26.987254838709699</v>
      </c>
      <c r="CB24">
        <v>999.9</v>
      </c>
      <c r="CC24">
        <v>10007.215806451601</v>
      </c>
      <c r="CD24">
        <v>0</v>
      </c>
      <c r="CE24">
        <v>191.257967741936</v>
      </c>
      <c r="CF24">
        <v>2200.0064516129</v>
      </c>
      <c r="CG24">
        <v>0.98199564516129001</v>
      </c>
      <c r="CH24">
        <v>1.8004329032258098E-2</v>
      </c>
      <c r="CI24">
        <v>0</v>
      </c>
      <c r="CJ24">
        <v>751.97712903225795</v>
      </c>
      <c r="CK24">
        <v>1.9999499999999999</v>
      </c>
      <c r="CL24">
        <v>17186.3</v>
      </c>
      <c r="CM24">
        <v>17938.2806451613</v>
      </c>
      <c r="CN24">
        <v>49.015935483870997</v>
      </c>
      <c r="CO24">
        <v>49.473580645161299</v>
      </c>
      <c r="CP24">
        <v>49.340451612903202</v>
      </c>
      <c r="CQ24">
        <v>48.531935483871003</v>
      </c>
      <c r="CR24">
        <v>50.086387096774203</v>
      </c>
      <c r="CS24">
        <v>2158.4361290322599</v>
      </c>
      <c r="CT24">
        <v>39.570322580645197</v>
      </c>
      <c r="CU24">
        <v>0</v>
      </c>
      <c r="CV24">
        <v>125.200000047684</v>
      </c>
      <c r="CW24">
        <v>751.97123076923106</v>
      </c>
      <c r="CX24">
        <v>-5.2300854673866404</v>
      </c>
      <c r="CY24">
        <v>-96.899145360416796</v>
      </c>
      <c r="CZ24">
        <v>17185.788461538501</v>
      </c>
      <c r="DA24">
        <v>15</v>
      </c>
      <c r="DB24">
        <v>1561658770.2</v>
      </c>
      <c r="DC24" t="s">
        <v>323</v>
      </c>
      <c r="DD24">
        <v>71</v>
      </c>
      <c r="DE24">
        <v>0.26700000000000002</v>
      </c>
      <c r="DF24">
        <v>5.0000000000000001E-3</v>
      </c>
      <c r="DG24">
        <v>200</v>
      </c>
      <c r="DH24">
        <v>7</v>
      </c>
      <c r="DI24">
        <v>0.04</v>
      </c>
      <c r="DJ24">
        <v>0.01</v>
      </c>
      <c r="DK24">
        <v>18.541703253427102</v>
      </c>
      <c r="DL24">
        <v>0.21192157686931101</v>
      </c>
      <c r="DM24">
        <v>0.43028818332104102</v>
      </c>
      <c r="DN24">
        <v>1</v>
      </c>
      <c r="DO24">
        <v>175.36695890410999</v>
      </c>
      <c r="DP24">
        <v>0.43870788596816201</v>
      </c>
      <c r="DQ24">
        <v>8.0484736637922397E-2</v>
      </c>
      <c r="DR24">
        <v>1</v>
      </c>
      <c r="DS24">
        <v>0.80784650823720405</v>
      </c>
      <c r="DT24">
        <v>7.1247185550420394E-2</v>
      </c>
      <c r="DU24">
        <v>3.55902116861272E-2</v>
      </c>
      <c r="DV24">
        <v>1</v>
      </c>
      <c r="DW24">
        <v>3</v>
      </c>
      <c r="DX24">
        <v>3</v>
      </c>
      <c r="DY24" t="s">
        <v>283</v>
      </c>
      <c r="DZ24">
        <v>1.8670899999999999</v>
      </c>
      <c r="EA24">
        <v>1.8635900000000001</v>
      </c>
      <c r="EB24">
        <v>1.86921</v>
      </c>
      <c r="EC24">
        <v>1.8671899999999999</v>
      </c>
      <c r="ED24">
        <v>1.87185</v>
      </c>
      <c r="EE24">
        <v>1.8643099999999999</v>
      </c>
      <c r="EF24">
        <v>1.86572</v>
      </c>
      <c r="EG24">
        <v>1.8656999999999999</v>
      </c>
      <c r="EH24" t="s">
        <v>284</v>
      </c>
      <c r="EI24" t="s">
        <v>19</v>
      </c>
      <c r="EJ24" t="s">
        <v>19</v>
      </c>
      <c r="EK24" t="s">
        <v>19</v>
      </c>
      <c r="EL24" t="s">
        <v>285</v>
      </c>
      <c r="EM24" t="s">
        <v>286</v>
      </c>
      <c r="EN24" t="s">
        <v>287</v>
      </c>
      <c r="EO24" t="s">
        <v>287</v>
      </c>
      <c r="EP24" t="s">
        <v>287</v>
      </c>
      <c r="EQ24" t="s">
        <v>287</v>
      </c>
      <c r="ER24">
        <v>0</v>
      </c>
      <c r="ES24">
        <v>100</v>
      </c>
      <c r="ET24">
        <v>100</v>
      </c>
      <c r="EU24">
        <v>0.26700000000000002</v>
      </c>
      <c r="EV24">
        <v>5.0000000000000001E-3</v>
      </c>
      <c r="EW24">
        <v>2</v>
      </c>
      <c r="EX24">
        <v>512.84799999999996</v>
      </c>
      <c r="EY24">
        <v>450.983</v>
      </c>
      <c r="EZ24">
        <v>19.923300000000001</v>
      </c>
      <c r="FA24">
        <v>36.831699999999998</v>
      </c>
      <c r="FB24">
        <v>29.9985</v>
      </c>
      <c r="FC24">
        <v>36.781799999999997</v>
      </c>
      <c r="FD24">
        <v>36.753300000000003</v>
      </c>
      <c r="FE24">
        <v>12.9719</v>
      </c>
      <c r="FF24">
        <v>81.167400000000001</v>
      </c>
      <c r="FG24">
        <v>0</v>
      </c>
      <c r="FH24">
        <v>19.9284</v>
      </c>
      <c r="FI24">
        <v>200</v>
      </c>
      <c r="FJ24">
        <v>6.8507400000000001</v>
      </c>
      <c r="FK24">
        <v>100.208</v>
      </c>
      <c r="FL24">
        <v>100.479</v>
      </c>
    </row>
    <row r="25" spans="1:168" x14ac:dyDescent="0.35">
      <c r="A25">
        <v>9</v>
      </c>
      <c r="B25">
        <v>1561658942.2</v>
      </c>
      <c r="C25">
        <v>1678.2000000476801</v>
      </c>
      <c r="D25" t="s">
        <v>324</v>
      </c>
      <c r="E25" t="s">
        <v>325</v>
      </c>
      <c r="F25" t="s">
        <v>277</v>
      </c>
      <c r="G25" t="s">
        <v>278</v>
      </c>
      <c r="H25" t="s">
        <v>277</v>
      </c>
      <c r="J25" t="s">
        <v>277</v>
      </c>
      <c r="K25">
        <v>1561658934.2</v>
      </c>
      <c r="L25">
        <f t="shared" si="0"/>
        <v>1.0600761906908644E-2</v>
      </c>
      <c r="M25">
        <f t="shared" si="1"/>
        <v>6.7690522743149391</v>
      </c>
      <c r="N25">
        <f t="shared" si="2"/>
        <v>90.723451612903204</v>
      </c>
      <c r="O25">
        <f t="shared" si="3"/>
        <v>72.160916519530275</v>
      </c>
      <c r="P25">
        <f t="shared" si="4"/>
        <v>7.2027124542440495</v>
      </c>
      <c r="Q25">
        <f t="shared" si="5"/>
        <v>9.0555243245477417</v>
      </c>
      <c r="R25">
        <f t="shared" si="6"/>
        <v>0.7623067664729164</v>
      </c>
      <c r="S25">
        <f t="shared" si="7"/>
        <v>2.25839755590393</v>
      </c>
      <c r="T25">
        <f t="shared" si="8"/>
        <v>0.64325463370976321</v>
      </c>
      <c r="U25">
        <f t="shared" si="9"/>
        <v>0.41117236618743924</v>
      </c>
      <c r="V25">
        <f t="shared" si="10"/>
        <v>353.3403735129454</v>
      </c>
      <c r="W25">
        <f t="shared" si="11"/>
        <v>26.074688928553414</v>
      </c>
      <c r="X25">
        <f t="shared" si="12"/>
        <v>26.976903225806399</v>
      </c>
      <c r="Y25">
        <f t="shared" si="13"/>
        <v>3.5743073264058194</v>
      </c>
      <c r="Z25">
        <f t="shared" si="14"/>
        <v>55.409055455321678</v>
      </c>
      <c r="AA25">
        <f t="shared" si="15"/>
        <v>1.975101205820615</v>
      </c>
      <c r="AB25">
        <f t="shared" si="16"/>
        <v>3.5645819795885361</v>
      </c>
      <c r="AC25">
        <f t="shared" si="17"/>
        <v>1.5992061205852044</v>
      </c>
      <c r="AD25">
        <f t="shared" si="18"/>
        <v>-467.49360009467119</v>
      </c>
      <c r="AE25">
        <f t="shared" si="19"/>
        <v>-5.6462773696384758</v>
      </c>
      <c r="AF25">
        <f t="shared" si="20"/>
        <v>-0.53930663625988207</v>
      </c>
      <c r="AG25">
        <f t="shared" si="21"/>
        <v>-120.33881058762415</v>
      </c>
      <c r="AH25">
        <v>-4.1410204394149698E-2</v>
      </c>
      <c r="AI25">
        <v>4.6486582165583198E-2</v>
      </c>
      <c r="AJ25">
        <v>3.4702454210998201</v>
      </c>
      <c r="AK25">
        <v>0</v>
      </c>
      <c r="AL25">
        <v>0</v>
      </c>
      <c r="AM25">
        <f t="shared" si="22"/>
        <v>1</v>
      </c>
      <c r="AN25">
        <f t="shared" si="23"/>
        <v>0</v>
      </c>
      <c r="AO25">
        <f t="shared" si="24"/>
        <v>52813.59477660733</v>
      </c>
      <c r="AP25" t="s">
        <v>279</v>
      </c>
      <c r="AQ25">
        <v>585.08461538461495</v>
      </c>
      <c r="AR25">
        <v>3491.65</v>
      </c>
      <c r="AS25">
        <f t="shared" si="25"/>
        <v>2906.565384615385</v>
      </c>
      <c r="AT25">
        <f t="shared" si="26"/>
        <v>0.83243320052564973</v>
      </c>
      <c r="AU25">
        <v>-24.085636743186001</v>
      </c>
      <c r="AV25" t="s">
        <v>326</v>
      </c>
      <c r="AW25">
        <v>735.53792307692299</v>
      </c>
      <c r="AX25">
        <v>955.34100000000001</v>
      </c>
      <c r="AY25">
        <f t="shared" si="27"/>
        <v>0.23007813641733899</v>
      </c>
      <c r="AZ25">
        <v>0.5</v>
      </c>
      <c r="BA25">
        <f t="shared" si="28"/>
        <v>1849.1825419624629</v>
      </c>
      <c r="BB25">
        <f t="shared" si="29"/>
        <v>6.7690522743149391</v>
      </c>
      <c r="BC25">
        <f t="shared" si="30"/>
        <v>212.7282365751006</v>
      </c>
      <c r="BD25">
        <f t="shared" si="31"/>
        <v>0.41340317227042495</v>
      </c>
      <c r="BE25">
        <f t="shared" si="32"/>
        <v>1.6685583125155452E-2</v>
      </c>
      <c r="BF25">
        <f t="shared" si="33"/>
        <v>2.6548729720591915</v>
      </c>
      <c r="BG25" t="s">
        <v>327</v>
      </c>
      <c r="BH25">
        <v>560.4</v>
      </c>
      <c r="BI25">
        <f t="shared" si="34"/>
        <v>394.94100000000003</v>
      </c>
      <c r="BJ25">
        <f t="shared" si="35"/>
        <v>0.55654661562885843</v>
      </c>
      <c r="BK25">
        <f t="shared" si="36"/>
        <v>0.86526533049040522</v>
      </c>
      <c r="BL25">
        <f t="shared" si="37"/>
        <v>0.59365101064065129</v>
      </c>
      <c r="BM25">
        <f t="shared" si="38"/>
        <v>0.87261377756193859</v>
      </c>
      <c r="BN25">
        <f t="shared" si="39"/>
        <v>2199.9945161290302</v>
      </c>
      <c r="BO25">
        <f t="shared" si="40"/>
        <v>1849.1825419624629</v>
      </c>
      <c r="BP25">
        <f t="shared" si="41"/>
        <v>0.84053961426056933</v>
      </c>
      <c r="BQ25">
        <f t="shared" si="42"/>
        <v>0.19107922852113859</v>
      </c>
      <c r="BR25">
        <v>1561658934.2</v>
      </c>
      <c r="BS25">
        <v>90.723451612903204</v>
      </c>
      <c r="BT25">
        <v>100.00017096774199</v>
      </c>
      <c r="BU25">
        <v>19.787700000000001</v>
      </c>
      <c r="BV25">
        <v>7.3188106451612898</v>
      </c>
      <c r="BW25">
        <v>500.01232258064499</v>
      </c>
      <c r="BX25">
        <v>99.714600000000004</v>
      </c>
      <c r="BY25">
        <v>9.9992187096774196E-2</v>
      </c>
      <c r="BZ25">
        <v>26.9305290322581</v>
      </c>
      <c r="CA25">
        <v>26.976903225806399</v>
      </c>
      <c r="CB25">
        <v>999.9</v>
      </c>
      <c r="CC25">
        <v>10014.854516129</v>
      </c>
      <c r="CD25">
        <v>0</v>
      </c>
      <c r="CE25">
        <v>191.27035483871001</v>
      </c>
      <c r="CF25">
        <v>2199.9945161290302</v>
      </c>
      <c r="CG25">
        <v>0.98199487096774196</v>
      </c>
      <c r="CH25">
        <v>1.80049741935484E-2</v>
      </c>
      <c r="CI25">
        <v>0</v>
      </c>
      <c r="CJ25">
        <v>735.51341935483902</v>
      </c>
      <c r="CK25">
        <v>1.9999499999999999</v>
      </c>
      <c r="CL25">
        <v>16807.735483871002</v>
      </c>
      <c r="CM25">
        <v>17938.1870967742</v>
      </c>
      <c r="CN25">
        <v>48.870935483871001</v>
      </c>
      <c r="CO25">
        <v>49.383000000000003</v>
      </c>
      <c r="CP25">
        <v>49.183</v>
      </c>
      <c r="CQ25">
        <v>48.530064516129002</v>
      </c>
      <c r="CR25">
        <v>49.908999999999999</v>
      </c>
      <c r="CS25">
        <v>2158.4229032258099</v>
      </c>
      <c r="CT25">
        <v>39.571612903225798</v>
      </c>
      <c r="CU25">
        <v>0</v>
      </c>
      <c r="CV25">
        <v>125.799999952316</v>
      </c>
      <c r="CW25">
        <v>735.53792307692299</v>
      </c>
      <c r="CX25">
        <v>-1.5559658158768801</v>
      </c>
      <c r="CY25">
        <v>-35.8051281551313</v>
      </c>
      <c r="CZ25">
        <v>16807.4653846154</v>
      </c>
      <c r="DA25">
        <v>15</v>
      </c>
      <c r="DB25">
        <v>1561658897.2</v>
      </c>
      <c r="DC25" t="s">
        <v>328</v>
      </c>
      <c r="DD25">
        <v>72</v>
      </c>
      <c r="DE25">
        <v>0.29399999999999998</v>
      </c>
      <c r="DF25">
        <v>8.9999999999999993E-3</v>
      </c>
      <c r="DG25">
        <v>100</v>
      </c>
      <c r="DH25">
        <v>7</v>
      </c>
      <c r="DI25">
        <v>0.17</v>
      </c>
      <c r="DJ25">
        <v>0.01</v>
      </c>
      <c r="DK25">
        <v>6.7560072295725702</v>
      </c>
      <c r="DL25">
        <v>0.25529130076039003</v>
      </c>
      <c r="DM25">
        <v>0.26842594526079899</v>
      </c>
      <c r="DN25">
        <v>1</v>
      </c>
      <c r="DO25">
        <v>90.688180821917797</v>
      </c>
      <c r="DP25">
        <v>0.22690670122178999</v>
      </c>
      <c r="DQ25">
        <v>4.4409614710966799E-2</v>
      </c>
      <c r="DR25">
        <v>1</v>
      </c>
      <c r="DS25">
        <v>0.75233387522816098</v>
      </c>
      <c r="DT25">
        <v>9.1244252477664697E-2</v>
      </c>
      <c r="DU25">
        <v>4.5321961763699098E-2</v>
      </c>
      <c r="DV25">
        <v>1</v>
      </c>
      <c r="DW25">
        <v>3</v>
      </c>
      <c r="DX25">
        <v>3</v>
      </c>
      <c r="DY25" t="s">
        <v>283</v>
      </c>
      <c r="DZ25">
        <v>1.8671</v>
      </c>
      <c r="EA25">
        <v>1.86358</v>
      </c>
      <c r="EB25">
        <v>1.8692200000000001</v>
      </c>
      <c r="EC25">
        <v>1.8671800000000001</v>
      </c>
      <c r="ED25">
        <v>1.8718600000000001</v>
      </c>
      <c r="EE25">
        <v>1.8643099999999999</v>
      </c>
      <c r="EF25">
        <v>1.8656999999999999</v>
      </c>
      <c r="EG25">
        <v>1.8656900000000001</v>
      </c>
      <c r="EH25" t="s">
        <v>284</v>
      </c>
      <c r="EI25" t="s">
        <v>19</v>
      </c>
      <c r="EJ25" t="s">
        <v>19</v>
      </c>
      <c r="EK25" t="s">
        <v>19</v>
      </c>
      <c r="EL25" t="s">
        <v>285</v>
      </c>
      <c r="EM25" t="s">
        <v>286</v>
      </c>
      <c r="EN25" t="s">
        <v>287</v>
      </c>
      <c r="EO25" t="s">
        <v>287</v>
      </c>
      <c r="EP25" t="s">
        <v>287</v>
      </c>
      <c r="EQ25" t="s">
        <v>287</v>
      </c>
      <c r="ER25">
        <v>0</v>
      </c>
      <c r="ES25">
        <v>100</v>
      </c>
      <c r="ET25">
        <v>100</v>
      </c>
      <c r="EU25">
        <v>0.29399999999999998</v>
      </c>
      <c r="EV25">
        <v>8.9999999999999993E-3</v>
      </c>
      <c r="EW25">
        <v>2</v>
      </c>
      <c r="EX25">
        <v>512.89300000000003</v>
      </c>
      <c r="EY25">
        <v>450.46199999999999</v>
      </c>
      <c r="EZ25">
        <v>19.696400000000001</v>
      </c>
      <c r="FA25">
        <v>36.703899999999997</v>
      </c>
      <c r="FB25">
        <v>29.995200000000001</v>
      </c>
      <c r="FC25">
        <v>36.679299999999998</v>
      </c>
      <c r="FD25">
        <v>36.655999999999999</v>
      </c>
      <c r="FE25">
        <v>8.1229099999999992</v>
      </c>
      <c r="FF25">
        <v>80.511200000000002</v>
      </c>
      <c r="FG25">
        <v>0</v>
      </c>
      <c r="FH25">
        <v>19.963899999999999</v>
      </c>
      <c r="FI25">
        <v>100</v>
      </c>
      <c r="FJ25">
        <v>7.1157300000000001</v>
      </c>
      <c r="FK25">
        <v>100.227</v>
      </c>
      <c r="FL25">
        <v>100.504</v>
      </c>
    </row>
    <row r="26" spans="1:168" x14ac:dyDescent="0.35">
      <c r="A26">
        <v>10</v>
      </c>
      <c r="B26">
        <v>1561659066.7</v>
      </c>
      <c r="C26">
        <v>1802.7000000476801</v>
      </c>
      <c r="D26" t="s">
        <v>329</v>
      </c>
      <c r="E26" t="s">
        <v>330</v>
      </c>
      <c r="F26" t="s">
        <v>277</v>
      </c>
      <c r="G26" t="s">
        <v>278</v>
      </c>
      <c r="H26" t="s">
        <v>277</v>
      </c>
      <c r="J26" t="s">
        <v>277</v>
      </c>
      <c r="K26">
        <v>1561659058.7</v>
      </c>
      <c r="L26">
        <f t="shared" si="0"/>
        <v>1.0535162415276496E-2</v>
      </c>
      <c r="M26">
        <f t="shared" si="1"/>
        <v>0.82431871974505322</v>
      </c>
      <c r="N26">
        <f t="shared" si="2"/>
        <v>48.409893548387103</v>
      </c>
      <c r="O26">
        <f t="shared" si="3"/>
        <v>45.14987090193528</v>
      </c>
      <c r="P26">
        <f t="shared" si="4"/>
        <v>4.5067524719152523</v>
      </c>
      <c r="Q26">
        <f t="shared" si="5"/>
        <v>4.8321601602851141</v>
      </c>
      <c r="R26">
        <f t="shared" si="6"/>
        <v>0.74713403298768066</v>
      </c>
      <c r="S26">
        <f t="shared" si="7"/>
        <v>2.2564035561309037</v>
      </c>
      <c r="T26">
        <f t="shared" si="8"/>
        <v>0.63231019570073954</v>
      </c>
      <c r="U26">
        <f t="shared" si="9"/>
        <v>0.40403166468435792</v>
      </c>
      <c r="V26">
        <f t="shared" si="10"/>
        <v>353.34412895250733</v>
      </c>
      <c r="W26">
        <f t="shared" si="11"/>
        <v>26.200487158854749</v>
      </c>
      <c r="X26">
        <f t="shared" si="12"/>
        <v>27.1303387096774</v>
      </c>
      <c r="Y26">
        <f t="shared" si="13"/>
        <v>3.606650288414849</v>
      </c>
      <c r="Z26">
        <f t="shared" si="14"/>
        <v>55.489722016353483</v>
      </c>
      <c r="AA26">
        <f t="shared" si="15"/>
        <v>1.9901761836428966</v>
      </c>
      <c r="AB26">
        <f t="shared" si="16"/>
        <v>3.5865672260105534</v>
      </c>
      <c r="AC26">
        <f t="shared" si="17"/>
        <v>1.6164741047719524</v>
      </c>
      <c r="AD26">
        <f t="shared" si="18"/>
        <v>-464.60066251369346</v>
      </c>
      <c r="AE26">
        <f t="shared" si="19"/>
        <v>-11.572575536217771</v>
      </c>
      <c r="AF26">
        <f t="shared" si="20"/>
        <v>-1.1077650492052331</v>
      </c>
      <c r="AG26">
        <f t="shared" si="21"/>
        <v>-123.93687414660913</v>
      </c>
      <c r="AH26">
        <v>-4.13563626752163E-2</v>
      </c>
      <c r="AI26">
        <v>4.64261401192868E-2</v>
      </c>
      <c r="AJ26">
        <v>3.4666757717229699</v>
      </c>
      <c r="AK26">
        <v>0</v>
      </c>
      <c r="AL26">
        <v>0</v>
      </c>
      <c r="AM26">
        <f t="shared" si="22"/>
        <v>1</v>
      </c>
      <c r="AN26">
        <f t="shared" si="23"/>
        <v>0</v>
      </c>
      <c r="AO26">
        <f t="shared" si="24"/>
        <v>52729.406946061812</v>
      </c>
      <c r="AP26" t="s">
        <v>279</v>
      </c>
      <c r="AQ26">
        <v>585.08461538461495</v>
      </c>
      <c r="AR26">
        <v>3491.65</v>
      </c>
      <c r="AS26">
        <f t="shared" si="25"/>
        <v>2906.565384615385</v>
      </c>
      <c r="AT26">
        <f t="shared" si="26"/>
        <v>0.83243320052564973</v>
      </c>
      <c r="AU26">
        <v>-24.085636743186001</v>
      </c>
      <c r="AV26" t="s">
        <v>331</v>
      </c>
      <c r="AW26">
        <v>734.93184615384598</v>
      </c>
      <c r="AX26">
        <v>916.01300000000003</v>
      </c>
      <c r="AY26">
        <f t="shared" si="27"/>
        <v>0.19768404361745306</v>
      </c>
      <c r="AZ26">
        <v>0.5</v>
      </c>
      <c r="BA26">
        <f t="shared" si="28"/>
        <v>1849.2025645431049</v>
      </c>
      <c r="BB26">
        <f t="shared" si="29"/>
        <v>0.82431871974505322</v>
      </c>
      <c r="BC26">
        <f t="shared" si="30"/>
        <v>182.77892021332261</v>
      </c>
      <c r="BD26">
        <f t="shared" si="31"/>
        <v>0.37751975135724053</v>
      </c>
      <c r="BE26">
        <f t="shared" si="32"/>
        <v>1.3470647261991943E-2</v>
      </c>
      <c r="BF26">
        <f t="shared" si="33"/>
        <v>2.8117908806971079</v>
      </c>
      <c r="BG26" t="s">
        <v>332</v>
      </c>
      <c r="BH26">
        <v>570.20000000000005</v>
      </c>
      <c r="BI26">
        <f t="shared" si="34"/>
        <v>345.81299999999999</v>
      </c>
      <c r="BJ26">
        <f t="shared" si="35"/>
        <v>0.52363894314601844</v>
      </c>
      <c r="BK26">
        <f t="shared" si="36"/>
        <v>0.88162967019801819</v>
      </c>
      <c r="BL26">
        <f t="shared" si="37"/>
        <v>0.54719136303950477</v>
      </c>
      <c r="BM26">
        <f t="shared" si="38"/>
        <v>0.88614452426668</v>
      </c>
      <c r="BN26">
        <f t="shared" si="39"/>
        <v>2200.0183870967699</v>
      </c>
      <c r="BO26">
        <f t="shared" si="40"/>
        <v>1849.2025645431049</v>
      </c>
      <c r="BP26">
        <f t="shared" si="41"/>
        <v>0.84053959520919497</v>
      </c>
      <c r="BQ26">
        <f t="shared" si="42"/>
        <v>0.19107919041839014</v>
      </c>
      <c r="BR26">
        <v>1561659058.7</v>
      </c>
      <c r="BS26">
        <v>48.409893548387103</v>
      </c>
      <c r="BT26">
        <v>50.010980645161297</v>
      </c>
      <c r="BU26">
        <v>19.938125806451598</v>
      </c>
      <c r="BV26">
        <v>7.5487870967741904</v>
      </c>
      <c r="BW26">
        <v>500.03206451612903</v>
      </c>
      <c r="BX26">
        <v>99.7175935483871</v>
      </c>
      <c r="BY26">
        <v>0.100022358064516</v>
      </c>
      <c r="BZ26">
        <v>27.0352064516129</v>
      </c>
      <c r="CA26">
        <v>27.1303387096774</v>
      </c>
      <c r="CB26">
        <v>999.9</v>
      </c>
      <c r="CC26">
        <v>10001.5329032258</v>
      </c>
      <c r="CD26">
        <v>0</v>
      </c>
      <c r="CE26">
        <v>220.24435483871</v>
      </c>
      <c r="CF26">
        <v>2200.0183870967699</v>
      </c>
      <c r="CG26">
        <v>0.98199632258064495</v>
      </c>
      <c r="CH26">
        <v>1.8003764516128999E-2</v>
      </c>
      <c r="CI26">
        <v>0</v>
      </c>
      <c r="CJ26">
        <v>734.92696774193496</v>
      </c>
      <c r="CK26">
        <v>1.9999499999999999</v>
      </c>
      <c r="CL26">
        <v>16800.603225806499</v>
      </c>
      <c r="CM26">
        <v>17938.3870967742</v>
      </c>
      <c r="CN26">
        <v>48.911000000000001</v>
      </c>
      <c r="CO26">
        <v>49.52</v>
      </c>
      <c r="CP26">
        <v>49.149000000000001</v>
      </c>
      <c r="CQ26">
        <v>48.731709677419403</v>
      </c>
      <c r="CR26">
        <v>49.987806451612897</v>
      </c>
      <c r="CS26">
        <v>2158.4477419354798</v>
      </c>
      <c r="CT26">
        <v>39.570645161290301</v>
      </c>
      <c r="CU26">
        <v>0</v>
      </c>
      <c r="CV26">
        <v>124.09999990463299</v>
      </c>
      <c r="CW26">
        <v>734.93184615384598</v>
      </c>
      <c r="CX26">
        <v>0.180307705240497</v>
      </c>
      <c r="CY26">
        <v>-4.4888888673380096</v>
      </c>
      <c r="CZ26">
        <v>16800.3884615385</v>
      </c>
      <c r="DA26">
        <v>15</v>
      </c>
      <c r="DB26">
        <v>1561659022.7</v>
      </c>
      <c r="DC26" t="s">
        <v>333</v>
      </c>
      <c r="DD26">
        <v>73</v>
      </c>
      <c r="DE26">
        <v>0.27</v>
      </c>
      <c r="DF26">
        <v>1.0999999999999999E-2</v>
      </c>
      <c r="DG26">
        <v>50</v>
      </c>
      <c r="DH26">
        <v>7</v>
      </c>
      <c r="DI26">
        <v>0.21</v>
      </c>
      <c r="DJ26">
        <v>0.01</v>
      </c>
      <c r="DK26">
        <v>0.80874768789225904</v>
      </c>
      <c r="DL26">
        <v>0.16047662273751701</v>
      </c>
      <c r="DM26">
        <v>0.106995043491613</v>
      </c>
      <c r="DN26">
        <v>1</v>
      </c>
      <c r="DO26">
        <v>48.394290410958902</v>
      </c>
      <c r="DP26">
        <v>9.1756386523526301E-2</v>
      </c>
      <c r="DQ26">
        <v>2.16157170392005E-2</v>
      </c>
      <c r="DR26">
        <v>1</v>
      </c>
      <c r="DS26">
        <v>0.71727658945804096</v>
      </c>
      <c r="DT26">
        <v>0.22192321066074</v>
      </c>
      <c r="DU26">
        <v>8.6345357474263501E-2</v>
      </c>
      <c r="DV26">
        <v>1</v>
      </c>
      <c r="DW26">
        <v>3</v>
      </c>
      <c r="DX26">
        <v>3</v>
      </c>
      <c r="DY26" t="s">
        <v>283</v>
      </c>
      <c r="DZ26">
        <v>1.8670800000000001</v>
      </c>
      <c r="EA26">
        <v>1.8635999999999999</v>
      </c>
      <c r="EB26">
        <v>1.8692</v>
      </c>
      <c r="EC26">
        <v>1.86714</v>
      </c>
      <c r="ED26">
        <v>1.8718300000000001</v>
      </c>
      <c r="EE26">
        <v>1.8643000000000001</v>
      </c>
      <c r="EF26">
        <v>1.8656900000000001</v>
      </c>
      <c r="EG26">
        <v>1.8656900000000001</v>
      </c>
      <c r="EH26" t="s">
        <v>284</v>
      </c>
      <c r="EI26" t="s">
        <v>19</v>
      </c>
      <c r="EJ26" t="s">
        <v>19</v>
      </c>
      <c r="EK26" t="s">
        <v>19</v>
      </c>
      <c r="EL26" t="s">
        <v>285</v>
      </c>
      <c r="EM26" t="s">
        <v>286</v>
      </c>
      <c r="EN26" t="s">
        <v>287</v>
      </c>
      <c r="EO26" t="s">
        <v>287</v>
      </c>
      <c r="EP26" t="s">
        <v>287</v>
      </c>
      <c r="EQ26" t="s">
        <v>287</v>
      </c>
      <c r="ER26">
        <v>0</v>
      </c>
      <c r="ES26">
        <v>100</v>
      </c>
      <c r="ET26">
        <v>100</v>
      </c>
      <c r="EU26">
        <v>0.27</v>
      </c>
      <c r="EV26">
        <v>1.0999999999999999E-2</v>
      </c>
      <c r="EW26">
        <v>2</v>
      </c>
      <c r="EX26">
        <v>512.17399999999998</v>
      </c>
      <c r="EY26">
        <v>450.44799999999998</v>
      </c>
      <c r="EZ26">
        <v>19.3063</v>
      </c>
      <c r="FA26">
        <v>36.658799999999999</v>
      </c>
      <c r="FB26">
        <v>30</v>
      </c>
      <c r="FC26">
        <v>36.625399999999999</v>
      </c>
      <c r="FD26">
        <v>36.604100000000003</v>
      </c>
      <c r="FE26">
        <v>5.6771700000000003</v>
      </c>
      <c r="FF26">
        <v>80.086699999999993</v>
      </c>
      <c r="FG26">
        <v>0</v>
      </c>
      <c r="FH26">
        <v>17.9724</v>
      </c>
      <c r="FI26">
        <v>50</v>
      </c>
      <c r="FJ26">
        <v>7.3471399999999996</v>
      </c>
      <c r="FK26">
        <v>100.227</v>
      </c>
      <c r="FL26">
        <v>100.50700000000001</v>
      </c>
    </row>
    <row r="27" spans="1:168" x14ac:dyDescent="0.35">
      <c r="A27">
        <v>11</v>
      </c>
      <c r="B27">
        <v>1561659190.2</v>
      </c>
      <c r="C27">
        <v>1926.2000000476801</v>
      </c>
      <c r="D27" t="s">
        <v>334</v>
      </c>
      <c r="E27" t="s">
        <v>335</v>
      </c>
      <c r="F27" t="s">
        <v>277</v>
      </c>
      <c r="G27" t="s">
        <v>278</v>
      </c>
      <c r="H27" t="s">
        <v>277</v>
      </c>
      <c r="J27" t="s">
        <v>277</v>
      </c>
      <c r="K27">
        <v>1561659182.2</v>
      </c>
      <c r="L27">
        <f t="shared" si="0"/>
        <v>1.084838659460095E-2</v>
      </c>
      <c r="M27">
        <f t="shared" si="1"/>
        <v>-3.6882809892995145</v>
      </c>
      <c r="N27">
        <f t="shared" si="2"/>
        <v>16.711232258064499</v>
      </c>
      <c r="O27">
        <f t="shared" si="3"/>
        <v>24.939055994285713</v>
      </c>
      <c r="P27">
        <f t="shared" si="4"/>
        <v>2.4893166946248817</v>
      </c>
      <c r="Q27">
        <f t="shared" si="5"/>
        <v>1.6680482796656584</v>
      </c>
      <c r="R27">
        <f t="shared" si="6"/>
        <v>0.78318256939848807</v>
      </c>
      <c r="S27">
        <f t="shared" si="7"/>
        <v>2.2561348290752221</v>
      </c>
      <c r="T27">
        <f t="shared" si="8"/>
        <v>0.65798461162862576</v>
      </c>
      <c r="U27">
        <f t="shared" si="9"/>
        <v>0.42081136955914406</v>
      </c>
      <c r="V27">
        <f t="shared" si="10"/>
        <v>353.34007698990058</v>
      </c>
      <c r="W27">
        <f t="shared" si="11"/>
        <v>26.00877622638917</v>
      </c>
      <c r="X27">
        <f t="shared" si="12"/>
        <v>27.029293548387098</v>
      </c>
      <c r="Y27">
        <f t="shared" si="13"/>
        <v>3.5853222008354315</v>
      </c>
      <c r="Z27">
        <f t="shared" si="14"/>
        <v>55.647223273673916</v>
      </c>
      <c r="AA27">
        <f t="shared" si="15"/>
        <v>1.9855507250416888</v>
      </c>
      <c r="AB27">
        <f t="shared" si="16"/>
        <v>3.5681038661654672</v>
      </c>
      <c r="AC27">
        <f t="shared" si="17"/>
        <v>1.5997714757937427</v>
      </c>
      <c r="AD27">
        <f t="shared" si="18"/>
        <v>-478.41384882190187</v>
      </c>
      <c r="AE27">
        <f t="shared" si="19"/>
        <v>-9.9687840263702405</v>
      </c>
      <c r="AF27">
        <f t="shared" si="20"/>
        <v>-0.95345756033801254</v>
      </c>
      <c r="AG27">
        <f t="shared" si="21"/>
        <v>-135.99601341870951</v>
      </c>
      <c r="AH27">
        <v>-4.13491098597812E-2</v>
      </c>
      <c r="AI27">
        <v>4.6417998198579301E-2</v>
      </c>
      <c r="AJ27">
        <v>3.4661947948358698</v>
      </c>
      <c r="AK27">
        <v>0</v>
      </c>
      <c r="AL27">
        <v>0</v>
      </c>
      <c r="AM27">
        <f t="shared" si="22"/>
        <v>1</v>
      </c>
      <c r="AN27">
        <f t="shared" si="23"/>
        <v>0</v>
      </c>
      <c r="AO27">
        <f t="shared" si="24"/>
        <v>52735.9474727692</v>
      </c>
      <c r="AP27" t="s">
        <v>279</v>
      </c>
      <c r="AQ27">
        <v>585.08461538461495</v>
      </c>
      <c r="AR27">
        <v>3491.65</v>
      </c>
      <c r="AS27">
        <f t="shared" si="25"/>
        <v>2906.565384615385</v>
      </c>
      <c r="AT27">
        <f t="shared" si="26"/>
        <v>0.83243320052564973</v>
      </c>
      <c r="AU27">
        <v>-24.085636743186001</v>
      </c>
      <c r="AV27" t="s">
        <v>336</v>
      </c>
      <c r="AW27">
        <v>740.88757692307695</v>
      </c>
      <c r="AX27">
        <v>893.36199999999997</v>
      </c>
      <c r="AY27">
        <f t="shared" si="27"/>
        <v>0.17067484746040573</v>
      </c>
      <c r="AZ27">
        <v>0.5</v>
      </c>
      <c r="BA27">
        <f t="shared" si="28"/>
        <v>1849.1814097043975</v>
      </c>
      <c r="BB27">
        <f t="shared" si="29"/>
        <v>-3.6882809892995145</v>
      </c>
      <c r="BC27">
        <f t="shared" si="30"/>
        <v>157.80437751395803</v>
      </c>
      <c r="BD27">
        <f t="shared" si="31"/>
        <v>0.32994687483909091</v>
      </c>
      <c r="BE27">
        <f t="shared" si="32"/>
        <v>1.1030478484610725E-2</v>
      </c>
      <c r="BF27">
        <f t="shared" si="33"/>
        <v>2.9084380128100369</v>
      </c>
      <c r="BG27" t="s">
        <v>337</v>
      </c>
      <c r="BH27">
        <v>598.6</v>
      </c>
      <c r="BI27">
        <f t="shared" si="34"/>
        <v>294.76199999999994</v>
      </c>
      <c r="BJ27">
        <f t="shared" si="35"/>
        <v>0.51727978191531832</v>
      </c>
      <c r="BK27">
        <f t="shared" si="36"/>
        <v>0.89811375537927096</v>
      </c>
      <c r="BL27">
        <f t="shared" si="37"/>
        <v>0.49460139045604701</v>
      </c>
      <c r="BM27">
        <f t="shared" si="38"/>
        <v>0.89393757104274529</v>
      </c>
      <c r="BN27">
        <f t="shared" si="39"/>
        <v>2199.99322580645</v>
      </c>
      <c r="BO27">
        <f t="shared" si="40"/>
        <v>1849.1814097043975</v>
      </c>
      <c r="BP27">
        <f t="shared" si="41"/>
        <v>0.84053959258285638</v>
      </c>
      <c r="BQ27">
        <f t="shared" si="42"/>
        <v>0.1910791851657129</v>
      </c>
      <c r="BR27">
        <v>1561659182.2</v>
      </c>
      <c r="BS27">
        <v>16.711232258064499</v>
      </c>
      <c r="BT27">
        <v>12.503093548387101</v>
      </c>
      <c r="BU27">
        <v>19.892109677419398</v>
      </c>
      <c r="BV27">
        <v>7.1337622580645101</v>
      </c>
      <c r="BW27">
        <v>500.02977419354801</v>
      </c>
      <c r="BX27">
        <v>99.7159774193548</v>
      </c>
      <c r="BY27">
        <v>0.100017829032258</v>
      </c>
      <c r="BZ27">
        <v>26.947335483871001</v>
      </c>
      <c r="CA27">
        <v>27.029293548387098</v>
      </c>
      <c r="CB27">
        <v>999.9</v>
      </c>
      <c r="CC27">
        <v>9999.9409677419408</v>
      </c>
      <c r="CD27">
        <v>0</v>
      </c>
      <c r="CE27">
        <v>1973.2435483871</v>
      </c>
      <c r="CF27">
        <v>2199.99322580645</v>
      </c>
      <c r="CG27">
        <v>0.98199690322580602</v>
      </c>
      <c r="CH27">
        <v>1.8003280645161299E-2</v>
      </c>
      <c r="CI27">
        <v>0</v>
      </c>
      <c r="CJ27">
        <v>740.85109677419405</v>
      </c>
      <c r="CK27">
        <v>1.9999499999999999</v>
      </c>
      <c r="CL27">
        <v>16941.867741935501</v>
      </c>
      <c r="CM27">
        <v>17938.180645161301</v>
      </c>
      <c r="CN27">
        <v>48.967483870967698</v>
      </c>
      <c r="CO27">
        <v>49.670999999999999</v>
      </c>
      <c r="CP27">
        <v>49.174999999999997</v>
      </c>
      <c r="CQ27">
        <v>48.846612903225797</v>
      </c>
      <c r="CR27">
        <v>50.007935483871002</v>
      </c>
      <c r="CS27">
        <v>2158.4232258064499</v>
      </c>
      <c r="CT27">
        <v>39.57</v>
      </c>
      <c r="CU27">
        <v>0</v>
      </c>
      <c r="CV27">
        <v>123</v>
      </c>
      <c r="CW27">
        <v>740.88757692307695</v>
      </c>
      <c r="CX27">
        <v>2.5555897451520999</v>
      </c>
      <c r="CY27">
        <v>62.270085509031396</v>
      </c>
      <c r="CZ27">
        <v>16942.5</v>
      </c>
      <c r="DA27">
        <v>15</v>
      </c>
      <c r="DB27">
        <v>1561659145.7</v>
      </c>
      <c r="DC27" t="s">
        <v>338</v>
      </c>
      <c r="DD27">
        <v>74</v>
      </c>
      <c r="DE27">
        <v>0.216</v>
      </c>
      <c r="DF27">
        <v>1.0999999999999999E-2</v>
      </c>
      <c r="DG27">
        <v>12</v>
      </c>
      <c r="DH27">
        <v>7</v>
      </c>
      <c r="DI27">
        <v>0.17</v>
      </c>
      <c r="DJ27">
        <v>0.01</v>
      </c>
      <c r="DK27">
        <v>-3.67709611923362</v>
      </c>
      <c r="DL27">
        <v>-0.16633669293853301</v>
      </c>
      <c r="DM27">
        <v>0.13202961590961801</v>
      </c>
      <c r="DN27">
        <v>1</v>
      </c>
      <c r="DO27">
        <v>16.7222698630137</v>
      </c>
      <c r="DP27">
        <v>-4.3937060348020002E-2</v>
      </c>
      <c r="DQ27">
        <v>1.31275479972306E-2</v>
      </c>
      <c r="DR27">
        <v>1</v>
      </c>
      <c r="DS27">
        <v>0.75638860914892103</v>
      </c>
      <c r="DT27">
        <v>0.17455822853278599</v>
      </c>
      <c r="DU27">
        <v>5.9772332248502202E-2</v>
      </c>
      <c r="DV27">
        <v>1</v>
      </c>
      <c r="DW27">
        <v>3</v>
      </c>
      <c r="DX27">
        <v>3</v>
      </c>
      <c r="DY27" t="s">
        <v>283</v>
      </c>
      <c r="DZ27">
        <v>1.86707</v>
      </c>
      <c r="EA27">
        <v>1.86358</v>
      </c>
      <c r="EB27">
        <v>1.8692</v>
      </c>
      <c r="EC27">
        <v>1.8671500000000001</v>
      </c>
      <c r="ED27">
        <v>1.87181</v>
      </c>
      <c r="EE27">
        <v>1.8643000000000001</v>
      </c>
      <c r="EF27">
        <v>1.8656900000000001</v>
      </c>
      <c r="EG27">
        <v>1.8656699999999999</v>
      </c>
      <c r="EH27" t="s">
        <v>284</v>
      </c>
      <c r="EI27" t="s">
        <v>19</v>
      </c>
      <c r="EJ27" t="s">
        <v>19</v>
      </c>
      <c r="EK27" t="s">
        <v>19</v>
      </c>
      <c r="EL27" t="s">
        <v>285</v>
      </c>
      <c r="EM27" t="s">
        <v>286</v>
      </c>
      <c r="EN27" t="s">
        <v>287</v>
      </c>
      <c r="EO27" t="s">
        <v>287</v>
      </c>
      <c r="EP27" t="s">
        <v>287</v>
      </c>
      <c r="EQ27" t="s">
        <v>287</v>
      </c>
      <c r="ER27">
        <v>0</v>
      </c>
      <c r="ES27">
        <v>100</v>
      </c>
      <c r="ET27">
        <v>100</v>
      </c>
      <c r="EU27">
        <v>0.216</v>
      </c>
      <c r="EV27">
        <v>1.0999999999999999E-2</v>
      </c>
      <c r="EW27">
        <v>2</v>
      </c>
      <c r="EX27">
        <v>511.91399999999999</v>
      </c>
      <c r="EY27">
        <v>448.935</v>
      </c>
      <c r="EZ27">
        <v>19.314800000000002</v>
      </c>
      <c r="FA27">
        <v>36.733499999999999</v>
      </c>
      <c r="FB27">
        <v>30.000699999999998</v>
      </c>
      <c r="FC27">
        <v>36.639200000000002</v>
      </c>
      <c r="FD27">
        <v>36.615900000000003</v>
      </c>
      <c r="FE27">
        <v>3.8774199999999999</v>
      </c>
      <c r="FF27">
        <v>80.934399999999997</v>
      </c>
      <c r="FG27">
        <v>0</v>
      </c>
      <c r="FH27">
        <v>18.9711</v>
      </c>
      <c r="FI27">
        <v>12.5</v>
      </c>
      <c r="FJ27">
        <v>7.0064000000000002</v>
      </c>
      <c r="FK27">
        <v>100.21899999999999</v>
      </c>
      <c r="FL27">
        <v>100.495</v>
      </c>
    </row>
    <row r="28" spans="1:168" x14ac:dyDescent="0.35">
      <c r="A28">
        <v>13</v>
      </c>
      <c r="B28">
        <v>1561659471.2</v>
      </c>
      <c r="C28">
        <v>2207.2000000476801</v>
      </c>
      <c r="D28" t="s">
        <v>339</v>
      </c>
      <c r="E28" t="s">
        <v>340</v>
      </c>
      <c r="F28" t="s">
        <v>277</v>
      </c>
      <c r="G28" t="s">
        <v>278</v>
      </c>
      <c r="H28" t="s">
        <v>277</v>
      </c>
      <c r="J28" t="s">
        <v>277</v>
      </c>
      <c r="K28">
        <v>1561659463.2</v>
      </c>
      <c r="L28">
        <f t="shared" si="0"/>
        <v>1.2690719268440965E-2</v>
      </c>
      <c r="M28">
        <f t="shared" si="1"/>
        <v>40.077102243452764</v>
      </c>
      <c r="N28">
        <f t="shared" si="2"/>
        <v>346.63383870967698</v>
      </c>
      <c r="O28">
        <f t="shared" si="3"/>
        <v>259.98102509358534</v>
      </c>
      <c r="P28">
        <f t="shared" si="4"/>
        <v>25.947403880538495</v>
      </c>
      <c r="Q28">
        <f t="shared" si="5"/>
        <v>34.595787167251032</v>
      </c>
      <c r="R28">
        <f t="shared" si="6"/>
        <v>0.97552495128672501</v>
      </c>
      <c r="S28">
        <f t="shared" si="7"/>
        <v>2.2564158502021323</v>
      </c>
      <c r="T28">
        <f t="shared" si="8"/>
        <v>0.78905908173459116</v>
      </c>
      <c r="U28">
        <f t="shared" si="9"/>
        <v>0.50692285548118565</v>
      </c>
      <c r="V28">
        <f t="shared" si="10"/>
        <v>353.34054034304916</v>
      </c>
      <c r="W28">
        <f t="shared" si="11"/>
        <v>25.977075486829907</v>
      </c>
      <c r="X28">
        <f t="shared" si="12"/>
        <v>27.117454838709701</v>
      </c>
      <c r="Y28">
        <f t="shared" si="13"/>
        <v>3.6039246825820741</v>
      </c>
      <c r="Z28">
        <f t="shared" si="14"/>
        <v>55.383702852384545</v>
      </c>
      <c r="AA28">
        <f t="shared" si="15"/>
        <v>2.0441452996231302</v>
      </c>
      <c r="AB28">
        <f t="shared" si="16"/>
        <v>3.6908787140351338</v>
      </c>
      <c r="AC28">
        <f t="shared" si="17"/>
        <v>1.5597793829589439</v>
      </c>
      <c r="AD28">
        <f t="shared" si="18"/>
        <v>-559.6607197382466</v>
      </c>
      <c r="AE28">
        <f t="shared" si="19"/>
        <v>49.498526976520054</v>
      </c>
      <c r="AF28">
        <f t="shared" si="20"/>
        <v>4.7494271619005506</v>
      </c>
      <c r="AG28">
        <f t="shared" si="21"/>
        <v>-152.07222525677685</v>
      </c>
      <c r="AH28">
        <v>-4.1356694505184199E-2</v>
      </c>
      <c r="AI28">
        <v>4.64265126274956E-2</v>
      </c>
      <c r="AJ28">
        <v>3.4666977766237901</v>
      </c>
      <c r="AK28">
        <v>0</v>
      </c>
      <c r="AL28">
        <v>0</v>
      </c>
      <c r="AM28">
        <f t="shared" si="22"/>
        <v>1</v>
      </c>
      <c r="AN28">
        <f t="shared" si="23"/>
        <v>0</v>
      </c>
      <c r="AO28">
        <f t="shared" si="24"/>
        <v>52643.713959957655</v>
      </c>
      <c r="AP28" t="s">
        <v>279</v>
      </c>
      <c r="AQ28">
        <v>585.08461538461495</v>
      </c>
      <c r="AR28">
        <v>3491.65</v>
      </c>
      <c r="AS28">
        <f t="shared" si="25"/>
        <v>2906.565384615385</v>
      </c>
      <c r="AT28">
        <f t="shared" si="26"/>
        <v>0.83243320052564973</v>
      </c>
      <c r="AU28">
        <v>-24.085636743186001</v>
      </c>
      <c r="AV28" t="s">
        <v>341</v>
      </c>
      <c r="AW28">
        <v>810.475961538462</v>
      </c>
      <c r="AX28">
        <v>1232.31</v>
      </c>
      <c r="AY28">
        <f t="shared" si="27"/>
        <v>0.34231162488459721</v>
      </c>
      <c r="AZ28">
        <v>0.5</v>
      </c>
      <c r="BA28">
        <f t="shared" si="28"/>
        <v>1849.1838484140776</v>
      </c>
      <c r="BB28">
        <f t="shared" si="29"/>
        <v>40.077102243452764</v>
      </c>
      <c r="BC28">
        <f t="shared" si="30"/>
        <v>316.49856393048782</v>
      </c>
      <c r="BD28">
        <f t="shared" si="31"/>
        <v>0.55741655914502031</v>
      </c>
      <c r="BE28">
        <f t="shared" si="32"/>
        <v>3.4697869031068439E-2</v>
      </c>
      <c r="BF28">
        <f t="shared" si="33"/>
        <v>1.8334185391662814</v>
      </c>
      <c r="BG28" t="s">
        <v>342</v>
      </c>
      <c r="BH28">
        <v>545.4</v>
      </c>
      <c r="BI28">
        <f t="shared" si="34"/>
        <v>686.91</v>
      </c>
      <c r="BJ28">
        <f t="shared" si="35"/>
        <v>0.61410379592892517</v>
      </c>
      <c r="BK28">
        <f t="shared" si="36"/>
        <v>0.76685277895630044</v>
      </c>
      <c r="BL28">
        <f t="shared" si="37"/>
        <v>0.65175756156754217</v>
      </c>
      <c r="BM28">
        <f t="shared" si="38"/>
        <v>0.77732295717784794</v>
      </c>
      <c r="BN28">
        <f t="shared" si="39"/>
        <v>2199.9961290322599</v>
      </c>
      <c r="BO28">
        <f t="shared" si="40"/>
        <v>1849.1838484140776</v>
      </c>
      <c r="BP28">
        <f t="shared" si="41"/>
        <v>0.84053959187078275</v>
      </c>
      <c r="BQ28">
        <f t="shared" si="42"/>
        <v>0.19107918374156571</v>
      </c>
      <c r="BR28">
        <v>1561659463.2</v>
      </c>
      <c r="BS28">
        <v>346.63383870967698</v>
      </c>
      <c r="BT28">
        <v>399.99987096774203</v>
      </c>
      <c r="BU28">
        <v>20.4813935483871</v>
      </c>
      <c r="BV28">
        <v>5.5659283870967702</v>
      </c>
      <c r="BW28">
        <v>500.04993548387102</v>
      </c>
      <c r="BX28">
        <v>99.704954838709696</v>
      </c>
      <c r="BY28">
        <v>0.100036203225806</v>
      </c>
      <c r="BZ28">
        <v>27.524354838709701</v>
      </c>
      <c r="CA28">
        <v>27.117454838709701</v>
      </c>
      <c r="CB28">
        <v>999.9</v>
      </c>
      <c r="CC28">
        <v>10002.880967741899</v>
      </c>
      <c r="CD28">
        <v>0</v>
      </c>
      <c r="CE28">
        <v>2011.1387096774199</v>
      </c>
      <c r="CF28">
        <v>2199.9961290322599</v>
      </c>
      <c r="CG28">
        <v>0.98199899999999996</v>
      </c>
      <c r="CH28">
        <v>1.8000800000000001E-2</v>
      </c>
      <c r="CI28">
        <v>0</v>
      </c>
      <c r="CJ28">
        <v>810.35745161290299</v>
      </c>
      <c r="CK28">
        <v>1.9999499999999999</v>
      </c>
      <c r="CL28">
        <v>18555.7419354839</v>
      </c>
      <c r="CM28">
        <v>17938.222580645201</v>
      </c>
      <c r="CN28">
        <v>49.495741935483899</v>
      </c>
      <c r="CO28">
        <v>50.943225806451601</v>
      </c>
      <c r="CP28">
        <v>49.838419354838699</v>
      </c>
      <c r="CQ28">
        <v>49.963451612903199</v>
      </c>
      <c r="CR28">
        <v>50.630870967741899</v>
      </c>
      <c r="CS28">
        <v>2158.4261290322602</v>
      </c>
      <c r="CT28">
        <v>39.57</v>
      </c>
      <c r="CU28">
        <v>0</v>
      </c>
      <c r="CV28">
        <v>139.799999952316</v>
      </c>
      <c r="CW28">
        <v>810.475961538462</v>
      </c>
      <c r="CX28">
        <v>20.813640969389599</v>
      </c>
      <c r="CY28">
        <v>466.04786263412302</v>
      </c>
      <c r="CZ28">
        <v>18559.280769230802</v>
      </c>
      <c r="DA28">
        <v>15</v>
      </c>
      <c r="DB28">
        <v>1561659406.2</v>
      </c>
      <c r="DC28" t="s">
        <v>343</v>
      </c>
      <c r="DD28">
        <v>76</v>
      </c>
      <c r="DE28">
        <v>0.50900000000000001</v>
      </c>
      <c r="DF28">
        <v>1E-3</v>
      </c>
      <c r="DG28">
        <v>400</v>
      </c>
      <c r="DH28">
        <v>6</v>
      </c>
      <c r="DI28">
        <v>0.02</v>
      </c>
      <c r="DJ28">
        <v>0.02</v>
      </c>
      <c r="DK28">
        <v>39.803464566218203</v>
      </c>
      <c r="DL28">
        <v>1.3231214833534799</v>
      </c>
      <c r="DM28">
        <v>0.25776818564729498</v>
      </c>
      <c r="DN28">
        <v>0</v>
      </c>
      <c r="DO28">
        <v>346.93812328767098</v>
      </c>
      <c r="DP28">
        <v>-1.7736727138095201</v>
      </c>
      <c r="DQ28">
        <v>0.31187629024436497</v>
      </c>
      <c r="DR28">
        <v>1</v>
      </c>
      <c r="DS28">
        <v>0.96431321138064996</v>
      </c>
      <c r="DT28">
        <v>4.9629394144252999E-2</v>
      </c>
      <c r="DU28">
        <v>9.8658529032727392E-3</v>
      </c>
      <c r="DV28">
        <v>1</v>
      </c>
      <c r="DW28">
        <v>2</v>
      </c>
      <c r="DX28">
        <v>3</v>
      </c>
      <c r="DY28" t="s">
        <v>318</v>
      </c>
      <c r="DZ28">
        <v>1.86707</v>
      </c>
      <c r="EA28">
        <v>1.8635600000000001</v>
      </c>
      <c r="EB28">
        <v>1.8692</v>
      </c>
      <c r="EC28">
        <v>1.8671199999999999</v>
      </c>
      <c r="ED28">
        <v>1.87181</v>
      </c>
      <c r="EE28">
        <v>1.86425</v>
      </c>
      <c r="EF28">
        <v>1.8656900000000001</v>
      </c>
      <c r="EG28">
        <v>1.8656900000000001</v>
      </c>
      <c r="EH28" t="s">
        <v>284</v>
      </c>
      <c r="EI28" t="s">
        <v>19</v>
      </c>
      <c r="EJ28" t="s">
        <v>19</v>
      </c>
      <c r="EK28" t="s">
        <v>19</v>
      </c>
      <c r="EL28" t="s">
        <v>285</v>
      </c>
      <c r="EM28" t="s">
        <v>286</v>
      </c>
      <c r="EN28" t="s">
        <v>287</v>
      </c>
      <c r="EO28" t="s">
        <v>287</v>
      </c>
      <c r="EP28" t="s">
        <v>287</v>
      </c>
      <c r="EQ28" t="s">
        <v>287</v>
      </c>
      <c r="ER28">
        <v>0</v>
      </c>
      <c r="ES28">
        <v>100</v>
      </c>
      <c r="ET28">
        <v>100</v>
      </c>
      <c r="EU28">
        <v>0.50900000000000001</v>
      </c>
      <c r="EV28">
        <v>1E-3</v>
      </c>
      <c r="EW28">
        <v>2</v>
      </c>
      <c r="EX28">
        <v>511.96600000000001</v>
      </c>
      <c r="EY28">
        <v>445.48599999999999</v>
      </c>
      <c r="EZ28">
        <v>20.111899999999999</v>
      </c>
      <c r="FA28">
        <v>37.573300000000003</v>
      </c>
      <c r="FB28">
        <v>30.001799999999999</v>
      </c>
      <c r="FC28">
        <v>37.267499999999998</v>
      </c>
      <c r="FD28">
        <v>37.229799999999997</v>
      </c>
      <c r="FE28">
        <v>22.110600000000002</v>
      </c>
      <c r="FF28">
        <v>84.870999999999995</v>
      </c>
      <c r="FG28">
        <v>0</v>
      </c>
      <c r="FH28">
        <v>18.289100000000001</v>
      </c>
      <c r="FI28">
        <v>400</v>
      </c>
      <c r="FJ28">
        <v>5.4285100000000002</v>
      </c>
      <c r="FK28">
        <v>100.074</v>
      </c>
      <c r="FL28">
        <v>100.313</v>
      </c>
    </row>
    <row r="29" spans="1:168" x14ac:dyDescent="0.35">
      <c r="A29">
        <v>14</v>
      </c>
      <c r="B29">
        <v>1561659594.2</v>
      </c>
      <c r="C29">
        <v>2330.2000000476801</v>
      </c>
      <c r="D29" t="s">
        <v>344</v>
      </c>
      <c r="E29" t="s">
        <v>345</v>
      </c>
      <c r="F29" t="s">
        <v>277</v>
      </c>
      <c r="G29" t="s">
        <v>278</v>
      </c>
      <c r="H29" t="s">
        <v>277</v>
      </c>
      <c r="J29" t="s">
        <v>277</v>
      </c>
      <c r="K29">
        <v>1561659586.2032299</v>
      </c>
      <c r="L29">
        <f t="shared" si="0"/>
        <v>1.3046859101183483E-2</v>
      </c>
      <c r="M29">
        <f t="shared" si="1"/>
        <v>48.138768531950696</v>
      </c>
      <c r="N29">
        <f t="shared" si="2"/>
        <v>435.41500000000002</v>
      </c>
      <c r="O29">
        <f t="shared" si="3"/>
        <v>332.89566557890919</v>
      </c>
      <c r="P29">
        <f t="shared" si="4"/>
        <v>33.225796932108203</v>
      </c>
      <c r="Q29">
        <f t="shared" si="5"/>
        <v>43.458091729838557</v>
      </c>
      <c r="R29">
        <f t="shared" si="6"/>
        <v>1.0023142965511196</v>
      </c>
      <c r="S29">
        <f t="shared" si="7"/>
        <v>2.2557186373821274</v>
      </c>
      <c r="T29">
        <f t="shared" si="8"/>
        <v>0.80650562811405424</v>
      </c>
      <c r="U29">
        <f t="shared" si="9"/>
        <v>0.51844648945446592</v>
      </c>
      <c r="V29">
        <f t="shared" si="10"/>
        <v>353.33989671518617</v>
      </c>
      <c r="W29">
        <f t="shared" si="11"/>
        <v>26.015090079858911</v>
      </c>
      <c r="X29">
        <f t="shared" si="12"/>
        <v>27.231251612903201</v>
      </c>
      <c r="Y29">
        <f t="shared" si="13"/>
        <v>3.6280609028329027</v>
      </c>
      <c r="Z29">
        <f t="shared" si="14"/>
        <v>55.291885272226715</v>
      </c>
      <c r="AA29">
        <f t="shared" si="15"/>
        <v>2.0594611871694202</v>
      </c>
      <c r="AB29">
        <f t="shared" si="16"/>
        <v>3.7247078428050884</v>
      </c>
      <c r="AC29">
        <f t="shared" si="17"/>
        <v>1.5685997156634826</v>
      </c>
      <c r="AD29">
        <f t="shared" si="18"/>
        <v>-575.36648636219161</v>
      </c>
      <c r="AE29">
        <f t="shared" si="19"/>
        <v>54.621071526996239</v>
      </c>
      <c r="AF29">
        <f t="shared" si="20"/>
        <v>5.2496291709912271</v>
      </c>
      <c r="AG29">
        <f t="shared" si="21"/>
        <v>-162.15588894901796</v>
      </c>
      <c r="AH29">
        <v>-4.1337878597284002E-2</v>
      </c>
      <c r="AI29">
        <v>4.6405390122513601E-2</v>
      </c>
      <c r="AJ29">
        <v>3.4654499261492702</v>
      </c>
      <c r="AK29">
        <v>0</v>
      </c>
      <c r="AL29">
        <v>0</v>
      </c>
      <c r="AM29">
        <f t="shared" si="22"/>
        <v>1</v>
      </c>
      <c r="AN29">
        <f t="shared" si="23"/>
        <v>0</v>
      </c>
      <c r="AO29">
        <f t="shared" si="24"/>
        <v>52593.508178236698</v>
      </c>
      <c r="AP29" t="s">
        <v>279</v>
      </c>
      <c r="AQ29">
        <v>585.08461538461495</v>
      </c>
      <c r="AR29">
        <v>3491.65</v>
      </c>
      <c r="AS29">
        <f t="shared" si="25"/>
        <v>2906.565384615385</v>
      </c>
      <c r="AT29">
        <f t="shared" si="26"/>
        <v>0.83243320052564973</v>
      </c>
      <c r="AU29">
        <v>-24.085636743186001</v>
      </c>
      <c r="AV29" t="s">
        <v>346</v>
      </c>
      <c r="AW29">
        <v>842.72211538461499</v>
      </c>
      <c r="AX29">
        <v>1277.24</v>
      </c>
      <c r="AY29">
        <f t="shared" si="27"/>
        <v>0.34020065501815244</v>
      </c>
      <c r="AZ29">
        <v>0.5</v>
      </c>
      <c r="BA29">
        <f t="shared" si="28"/>
        <v>1849.1827742205198</v>
      </c>
      <c r="BB29">
        <f t="shared" si="29"/>
        <v>48.138768531950696</v>
      </c>
      <c r="BC29">
        <f t="shared" si="30"/>
        <v>314.54659551905257</v>
      </c>
      <c r="BD29">
        <f t="shared" si="31"/>
        <v>0.5579530863424258</v>
      </c>
      <c r="BE29">
        <f t="shared" si="32"/>
        <v>3.9057472458654721E-2</v>
      </c>
      <c r="BF29">
        <f t="shared" si="33"/>
        <v>1.7337462027496788</v>
      </c>
      <c r="BG29" t="s">
        <v>347</v>
      </c>
      <c r="BH29">
        <v>564.6</v>
      </c>
      <c r="BI29">
        <f t="shared" si="34"/>
        <v>712.64</v>
      </c>
      <c r="BJ29">
        <f t="shared" si="35"/>
        <v>0.60972985604987795</v>
      </c>
      <c r="BK29">
        <f t="shared" si="36"/>
        <v>0.75653302813412815</v>
      </c>
      <c r="BL29">
        <f t="shared" si="37"/>
        <v>0.62777505495653507</v>
      </c>
      <c r="BM29">
        <f t="shared" si="38"/>
        <v>0.7618648497367364</v>
      </c>
      <c r="BN29">
        <f t="shared" si="39"/>
        <v>2199.9951612903201</v>
      </c>
      <c r="BO29">
        <f t="shared" si="40"/>
        <v>1849.1827742205198</v>
      </c>
      <c r="BP29">
        <f t="shared" si="41"/>
        <v>0.84053947333954815</v>
      </c>
      <c r="BQ29">
        <f t="shared" si="42"/>
        <v>0.19107894667909633</v>
      </c>
      <c r="BR29">
        <v>1561659586.2032299</v>
      </c>
      <c r="BS29">
        <v>435.41500000000002</v>
      </c>
      <c r="BT29">
        <v>499.99609677419397</v>
      </c>
      <c r="BU29">
        <v>20.634138709677401</v>
      </c>
      <c r="BV29">
        <v>5.3015264516128999</v>
      </c>
      <c r="BW29">
        <v>500.01845161290299</v>
      </c>
      <c r="BX29">
        <v>99.708438709677395</v>
      </c>
      <c r="BY29">
        <v>0.100000893548387</v>
      </c>
      <c r="BZ29">
        <v>27.680399999999999</v>
      </c>
      <c r="CA29">
        <v>27.231251612903201</v>
      </c>
      <c r="CB29">
        <v>999.9</v>
      </c>
      <c r="CC29">
        <v>9997.9806451612894</v>
      </c>
      <c r="CD29">
        <v>0</v>
      </c>
      <c r="CE29">
        <v>1993.8161290322601</v>
      </c>
      <c r="CF29">
        <v>2199.9951612903201</v>
      </c>
      <c r="CG29">
        <v>0.98199996774193499</v>
      </c>
      <c r="CH29">
        <v>1.7999993548387098E-2</v>
      </c>
      <c r="CI29">
        <v>0</v>
      </c>
      <c r="CJ29">
        <v>842.68399999999997</v>
      </c>
      <c r="CK29">
        <v>1.9999499999999999</v>
      </c>
      <c r="CL29">
        <v>19322.938709677401</v>
      </c>
      <c r="CM29">
        <v>17938.212903225802</v>
      </c>
      <c r="CN29">
        <v>49.749870967741899</v>
      </c>
      <c r="CO29">
        <v>51.29</v>
      </c>
      <c r="CP29">
        <v>50.128999999999998</v>
      </c>
      <c r="CQ29">
        <v>50.207322580645098</v>
      </c>
      <c r="CR29">
        <v>50.870870967741901</v>
      </c>
      <c r="CS29">
        <v>2158.4338709677399</v>
      </c>
      <c r="CT29">
        <v>39.561290322580597</v>
      </c>
      <c r="CU29">
        <v>0</v>
      </c>
      <c r="CV29">
        <v>122.39999985694899</v>
      </c>
      <c r="CW29">
        <v>842.72211538461499</v>
      </c>
      <c r="CX29">
        <v>4.2978803530476402</v>
      </c>
      <c r="CY29">
        <v>94.697436013799802</v>
      </c>
      <c r="CZ29">
        <v>19323.7038461538</v>
      </c>
      <c r="DA29">
        <v>15</v>
      </c>
      <c r="DB29">
        <v>1561659548.2</v>
      </c>
      <c r="DC29" t="s">
        <v>348</v>
      </c>
      <c r="DD29">
        <v>77</v>
      </c>
      <c r="DE29">
        <v>0.57799999999999996</v>
      </c>
      <c r="DF29">
        <v>-4.0000000000000001E-3</v>
      </c>
      <c r="DG29">
        <v>500</v>
      </c>
      <c r="DH29">
        <v>5</v>
      </c>
      <c r="DI29">
        <v>0.02</v>
      </c>
      <c r="DJ29">
        <v>0.01</v>
      </c>
      <c r="DK29">
        <v>48.1735800188426</v>
      </c>
      <c r="DL29">
        <v>1.2198192575843401E-2</v>
      </c>
      <c r="DM29">
        <v>0.43645353722015401</v>
      </c>
      <c r="DN29">
        <v>1</v>
      </c>
      <c r="DO29">
        <v>435.39760273972598</v>
      </c>
      <c r="DP29">
        <v>0.17060775411658199</v>
      </c>
      <c r="DQ29">
        <v>5.93050483484934E-2</v>
      </c>
      <c r="DR29">
        <v>1</v>
      </c>
      <c r="DS29">
        <v>0.992232799988785</v>
      </c>
      <c r="DT29">
        <v>8.6409441631059694E-2</v>
      </c>
      <c r="DU29">
        <v>2.8823847498166098E-2</v>
      </c>
      <c r="DV29">
        <v>1</v>
      </c>
      <c r="DW29">
        <v>3</v>
      </c>
      <c r="DX29">
        <v>3</v>
      </c>
      <c r="DY29" t="s">
        <v>283</v>
      </c>
      <c r="DZ29">
        <v>1.8670800000000001</v>
      </c>
      <c r="EA29">
        <v>1.8635600000000001</v>
      </c>
      <c r="EB29">
        <v>1.8692</v>
      </c>
      <c r="EC29">
        <v>1.86714</v>
      </c>
      <c r="ED29">
        <v>1.8718300000000001</v>
      </c>
      <c r="EE29">
        <v>1.8642799999999999</v>
      </c>
      <c r="EF29">
        <v>1.8656900000000001</v>
      </c>
      <c r="EG29">
        <v>1.8656900000000001</v>
      </c>
      <c r="EH29" t="s">
        <v>284</v>
      </c>
      <c r="EI29" t="s">
        <v>19</v>
      </c>
      <c r="EJ29" t="s">
        <v>19</v>
      </c>
      <c r="EK29" t="s">
        <v>19</v>
      </c>
      <c r="EL29" t="s">
        <v>285</v>
      </c>
      <c r="EM29" t="s">
        <v>286</v>
      </c>
      <c r="EN29" t="s">
        <v>287</v>
      </c>
      <c r="EO29" t="s">
        <v>287</v>
      </c>
      <c r="EP29" t="s">
        <v>287</v>
      </c>
      <c r="EQ29" t="s">
        <v>287</v>
      </c>
      <c r="ER29">
        <v>0</v>
      </c>
      <c r="ES29">
        <v>100</v>
      </c>
      <c r="ET29">
        <v>100</v>
      </c>
      <c r="EU29">
        <v>0.57799999999999996</v>
      </c>
      <c r="EV29">
        <v>-4.0000000000000001E-3</v>
      </c>
      <c r="EW29">
        <v>2</v>
      </c>
      <c r="EX29">
        <v>511.65499999999997</v>
      </c>
      <c r="EY29">
        <v>444.73</v>
      </c>
      <c r="EZ29">
        <v>20.310300000000002</v>
      </c>
      <c r="FA29">
        <v>38.030200000000001</v>
      </c>
      <c r="FB29">
        <v>30.0015</v>
      </c>
      <c r="FC29">
        <v>37.661700000000003</v>
      </c>
      <c r="FD29">
        <v>37.609499999999997</v>
      </c>
      <c r="FE29">
        <v>26.438700000000001</v>
      </c>
      <c r="FF29">
        <v>85.0304</v>
      </c>
      <c r="FG29">
        <v>0</v>
      </c>
      <c r="FH29">
        <v>18.4421</v>
      </c>
      <c r="FI29">
        <v>500</v>
      </c>
      <c r="FJ29">
        <v>5.3137600000000003</v>
      </c>
      <c r="FK29">
        <v>99.996099999999998</v>
      </c>
      <c r="FL29">
        <v>100.218</v>
      </c>
    </row>
    <row r="30" spans="1:168" x14ac:dyDescent="0.35">
      <c r="A30">
        <v>15</v>
      </c>
      <c r="B30">
        <v>1561659734.7</v>
      </c>
      <c r="C30">
        <v>2470.7000000476801</v>
      </c>
      <c r="D30" t="s">
        <v>349</v>
      </c>
      <c r="E30" t="s">
        <v>350</v>
      </c>
      <c r="F30" t="s">
        <v>277</v>
      </c>
      <c r="G30" t="s">
        <v>278</v>
      </c>
      <c r="H30" t="s">
        <v>277</v>
      </c>
      <c r="J30" t="s">
        <v>277</v>
      </c>
      <c r="K30">
        <v>1561659726.7032299</v>
      </c>
      <c r="L30">
        <f t="shared" si="0"/>
        <v>1.2127937653184012E-2</v>
      </c>
      <c r="M30">
        <f t="shared" si="1"/>
        <v>52.106127043899441</v>
      </c>
      <c r="N30">
        <f t="shared" si="2"/>
        <v>529.72180645161302</v>
      </c>
      <c r="O30">
        <f t="shared" si="3"/>
        <v>401.7610720974078</v>
      </c>
      <c r="P30">
        <f t="shared" si="4"/>
        <v>40.094546919217535</v>
      </c>
      <c r="Q30">
        <f t="shared" si="5"/>
        <v>52.864643436030654</v>
      </c>
      <c r="R30">
        <f t="shared" si="6"/>
        <v>0.84996699007155807</v>
      </c>
      <c r="S30">
        <f t="shared" si="7"/>
        <v>2.2558218757137456</v>
      </c>
      <c r="T30">
        <f t="shared" si="8"/>
        <v>0.70459252662764549</v>
      </c>
      <c r="U30">
        <f t="shared" si="9"/>
        <v>0.45134634834195048</v>
      </c>
      <c r="V30">
        <f t="shared" si="10"/>
        <v>353.33529368043617</v>
      </c>
      <c r="W30">
        <f t="shared" si="11"/>
        <v>26.583620063139367</v>
      </c>
      <c r="X30">
        <f t="shared" si="12"/>
        <v>27.653400000000001</v>
      </c>
      <c r="Y30">
        <f t="shared" si="13"/>
        <v>3.7188352118899246</v>
      </c>
      <c r="Z30">
        <f t="shared" si="14"/>
        <v>54.214280986969563</v>
      </c>
      <c r="AA30">
        <f t="shared" si="15"/>
        <v>2.0507145673425939</v>
      </c>
      <c r="AB30">
        <f t="shared" si="16"/>
        <v>3.7826095449564008</v>
      </c>
      <c r="AC30">
        <f t="shared" si="17"/>
        <v>1.6681206445473307</v>
      </c>
      <c r="AD30">
        <f t="shared" si="18"/>
        <v>-534.84205050541493</v>
      </c>
      <c r="AE30">
        <f t="shared" si="19"/>
        <v>35.419248753219229</v>
      </c>
      <c r="AF30">
        <f t="shared" si="20"/>
        <v>3.4156636616392455</v>
      </c>
      <c r="AG30">
        <f t="shared" si="21"/>
        <v>-142.67184441012029</v>
      </c>
      <c r="AH30">
        <v>-4.1340664389416401E-2</v>
      </c>
      <c r="AI30">
        <v>4.6408517418231002E-2</v>
      </c>
      <c r="AJ30">
        <v>3.4656346892233501</v>
      </c>
      <c r="AK30">
        <v>0</v>
      </c>
      <c r="AL30">
        <v>0</v>
      </c>
      <c r="AM30">
        <f t="shared" si="22"/>
        <v>1</v>
      </c>
      <c r="AN30">
        <f t="shared" si="23"/>
        <v>0</v>
      </c>
      <c r="AO30">
        <f t="shared" si="24"/>
        <v>52550.479536342711</v>
      </c>
      <c r="AP30" t="s">
        <v>279</v>
      </c>
      <c r="AQ30">
        <v>585.08461538461495</v>
      </c>
      <c r="AR30">
        <v>3491.65</v>
      </c>
      <c r="AS30">
        <f t="shared" si="25"/>
        <v>2906.565384615385</v>
      </c>
      <c r="AT30">
        <f t="shared" si="26"/>
        <v>0.83243320052564973</v>
      </c>
      <c r="AU30">
        <v>-24.085636743186001</v>
      </c>
      <c r="AV30" t="s">
        <v>351</v>
      </c>
      <c r="AW30">
        <v>834.170730769231</v>
      </c>
      <c r="AX30">
        <v>1278.9000000000001</v>
      </c>
      <c r="AY30">
        <f t="shared" si="27"/>
        <v>0.34774358372880532</v>
      </c>
      <c r="AZ30">
        <v>0.5</v>
      </c>
      <c r="BA30">
        <f t="shared" si="28"/>
        <v>1849.1588903495553</v>
      </c>
      <c r="BB30">
        <f t="shared" si="29"/>
        <v>52.106127043899441</v>
      </c>
      <c r="BC30">
        <f t="shared" si="30"/>
        <v>321.51656970706767</v>
      </c>
      <c r="BD30">
        <f t="shared" si="31"/>
        <v>0.56884822894675113</v>
      </c>
      <c r="BE30">
        <f t="shared" si="32"/>
        <v>4.1203470499326621E-2</v>
      </c>
      <c r="BF30">
        <f t="shared" si="33"/>
        <v>1.7301978262569395</v>
      </c>
      <c r="BG30" t="s">
        <v>352</v>
      </c>
      <c r="BH30">
        <v>551.4</v>
      </c>
      <c r="BI30">
        <f t="shared" si="34"/>
        <v>727.50000000000011</v>
      </c>
      <c r="BJ30">
        <f t="shared" si="35"/>
        <v>0.61131171028284403</v>
      </c>
      <c r="BK30">
        <f t="shared" si="36"/>
        <v>0.75257206019896272</v>
      </c>
      <c r="BL30">
        <f t="shared" si="37"/>
        <v>0.6409907867311182</v>
      </c>
      <c r="BM30">
        <f t="shared" si="38"/>
        <v>0.76129372891874747</v>
      </c>
      <c r="BN30">
        <f t="shared" si="39"/>
        <v>2199.96677419355</v>
      </c>
      <c r="BO30">
        <f t="shared" si="40"/>
        <v>1849.1588903495553</v>
      </c>
      <c r="BP30">
        <f t="shared" si="41"/>
        <v>0.84053946270502577</v>
      </c>
      <c r="BQ30">
        <f t="shared" si="42"/>
        <v>0.19107892541005142</v>
      </c>
      <c r="BR30">
        <v>1561659726.7032299</v>
      </c>
      <c r="BS30">
        <v>529.72180645161302</v>
      </c>
      <c r="BT30">
        <v>599.95383870967703</v>
      </c>
      <c r="BU30">
        <v>20.548861290322598</v>
      </c>
      <c r="BV30">
        <v>6.2953361290322603</v>
      </c>
      <c r="BW30">
        <v>500.03303225806502</v>
      </c>
      <c r="BX30">
        <v>99.696990322580604</v>
      </c>
      <c r="BY30">
        <v>0.100002725806452</v>
      </c>
      <c r="BZ30">
        <v>27.944638709677399</v>
      </c>
      <c r="CA30">
        <v>27.653400000000001</v>
      </c>
      <c r="CB30">
        <v>999.9</v>
      </c>
      <c r="CC30">
        <v>9999.8025806451606</v>
      </c>
      <c r="CD30">
        <v>0</v>
      </c>
      <c r="CE30">
        <v>2004.0435483870999</v>
      </c>
      <c r="CF30">
        <v>2199.96677419355</v>
      </c>
      <c r="CG30">
        <v>0.98200316129032295</v>
      </c>
      <c r="CH30">
        <v>1.7996848387096798E-2</v>
      </c>
      <c r="CI30">
        <v>0</v>
      </c>
      <c r="CJ30">
        <v>834.13287096774195</v>
      </c>
      <c r="CK30">
        <v>1.9999499999999999</v>
      </c>
      <c r="CL30">
        <v>19173.435483870999</v>
      </c>
      <c r="CM30">
        <v>17937.987096774199</v>
      </c>
      <c r="CN30">
        <v>50.100612903225802</v>
      </c>
      <c r="CO30">
        <v>51.741870967741903</v>
      </c>
      <c r="CP30">
        <v>50.4796774193548</v>
      </c>
      <c r="CQ30">
        <v>50.753935483870997</v>
      </c>
      <c r="CR30">
        <v>51.253999999999998</v>
      </c>
      <c r="CS30">
        <v>2158.4067741935501</v>
      </c>
      <c r="CT30">
        <v>39.56</v>
      </c>
      <c r="CU30">
        <v>0</v>
      </c>
      <c r="CV30">
        <v>139.700000047684</v>
      </c>
      <c r="CW30">
        <v>834.170730769231</v>
      </c>
      <c r="CX30">
        <v>-1.1524444480818199</v>
      </c>
      <c r="CY30">
        <v>-16.222222197336901</v>
      </c>
      <c r="CZ30">
        <v>19173.311538461501</v>
      </c>
      <c r="DA30">
        <v>15</v>
      </c>
      <c r="DB30">
        <v>1561659672.2</v>
      </c>
      <c r="DC30" t="s">
        <v>353</v>
      </c>
      <c r="DD30">
        <v>78</v>
      </c>
      <c r="DE30">
        <v>0.72</v>
      </c>
      <c r="DF30">
        <v>0</v>
      </c>
      <c r="DG30">
        <v>600</v>
      </c>
      <c r="DH30">
        <v>5</v>
      </c>
      <c r="DI30">
        <v>0.03</v>
      </c>
      <c r="DJ30">
        <v>0.01</v>
      </c>
      <c r="DK30">
        <v>52.213539693391098</v>
      </c>
      <c r="DL30">
        <v>-0.56669559955308302</v>
      </c>
      <c r="DM30">
        <v>0.116596564647718</v>
      </c>
      <c r="DN30">
        <v>0</v>
      </c>
      <c r="DO30">
        <v>529.59364383561604</v>
      </c>
      <c r="DP30">
        <v>0.77096817819612595</v>
      </c>
      <c r="DQ30">
        <v>0.139620068607237</v>
      </c>
      <c r="DR30">
        <v>1</v>
      </c>
      <c r="DS30">
        <v>0.86756732786653001</v>
      </c>
      <c r="DT30">
        <v>-7.8827092493742201E-2</v>
      </c>
      <c r="DU30">
        <v>1.52161510212301E-2</v>
      </c>
      <c r="DV30">
        <v>1</v>
      </c>
      <c r="DW30">
        <v>2</v>
      </c>
      <c r="DX30">
        <v>3</v>
      </c>
      <c r="DY30" t="s">
        <v>318</v>
      </c>
      <c r="DZ30">
        <v>1.8670800000000001</v>
      </c>
      <c r="EA30">
        <v>1.8635900000000001</v>
      </c>
      <c r="EB30">
        <v>1.8692200000000001</v>
      </c>
      <c r="EC30">
        <v>1.86717</v>
      </c>
      <c r="ED30">
        <v>1.8718399999999999</v>
      </c>
      <c r="EE30">
        <v>1.86429</v>
      </c>
      <c r="EF30">
        <v>1.8656900000000001</v>
      </c>
      <c r="EG30">
        <v>1.8656900000000001</v>
      </c>
      <c r="EH30" t="s">
        <v>284</v>
      </c>
      <c r="EI30" t="s">
        <v>19</v>
      </c>
      <c r="EJ30" t="s">
        <v>19</v>
      </c>
      <c r="EK30" t="s">
        <v>19</v>
      </c>
      <c r="EL30" t="s">
        <v>285</v>
      </c>
      <c r="EM30" t="s">
        <v>286</v>
      </c>
      <c r="EN30" t="s">
        <v>287</v>
      </c>
      <c r="EO30" t="s">
        <v>287</v>
      </c>
      <c r="EP30" t="s">
        <v>287</v>
      </c>
      <c r="EQ30" t="s">
        <v>287</v>
      </c>
      <c r="ER30">
        <v>0</v>
      </c>
      <c r="ES30">
        <v>100</v>
      </c>
      <c r="ET30">
        <v>100</v>
      </c>
      <c r="EU30">
        <v>0.72</v>
      </c>
      <c r="EV30">
        <v>0</v>
      </c>
      <c r="EW30">
        <v>2</v>
      </c>
      <c r="EX30">
        <v>511.08800000000002</v>
      </c>
      <c r="EY30">
        <v>444.29599999999999</v>
      </c>
      <c r="EZ30">
        <v>20.7377</v>
      </c>
      <c r="FA30">
        <v>38.583300000000001</v>
      </c>
      <c r="FB30">
        <v>30.0017</v>
      </c>
      <c r="FC30">
        <v>38.158499999999997</v>
      </c>
      <c r="FD30">
        <v>38.104399999999998</v>
      </c>
      <c r="FE30">
        <v>30.639299999999999</v>
      </c>
      <c r="FF30">
        <v>82.001199999999997</v>
      </c>
      <c r="FG30">
        <v>0</v>
      </c>
      <c r="FH30">
        <v>18.346499999999999</v>
      </c>
      <c r="FI30">
        <v>600</v>
      </c>
      <c r="FJ30">
        <v>6.5232400000000004</v>
      </c>
      <c r="FK30">
        <v>99.8947</v>
      </c>
      <c r="FL30">
        <v>100.099</v>
      </c>
    </row>
    <row r="31" spans="1:168" x14ac:dyDescent="0.35">
      <c r="A31">
        <v>16</v>
      </c>
      <c r="B31">
        <v>1561659875.2</v>
      </c>
      <c r="C31">
        <v>2611.2000000476801</v>
      </c>
      <c r="D31" t="s">
        <v>354</v>
      </c>
      <c r="E31" t="s">
        <v>355</v>
      </c>
      <c r="F31" t="s">
        <v>277</v>
      </c>
      <c r="G31" t="s">
        <v>278</v>
      </c>
      <c r="H31" t="s">
        <v>277</v>
      </c>
      <c r="J31" t="s">
        <v>277</v>
      </c>
      <c r="K31">
        <v>1561659867.23226</v>
      </c>
      <c r="L31">
        <f t="shared" si="0"/>
        <v>1.0075620326496492E-2</v>
      </c>
      <c r="M31">
        <f t="shared" si="1"/>
        <v>55.453884593267588</v>
      </c>
      <c r="N31">
        <f t="shared" si="2"/>
        <v>724.63699999999994</v>
      </c>
      <c r="O31">
        <f t="shared" si="3"/>
        <v>547.90033665780072</v>
      </c>
      <c r="P31">
        <f t="shared" si="4"/>
        <v>54.672488447816583</v>
      </c>
      <c r="Q31">
        <f t="shared" si="5"/>
        <v>72.30823812416142</v>
      </c>
      <c r="R31">
        <f t="shared" si="6"/>
        <v>0.63424001467393876</v>
      </c>
      <c r="S31">
        <f t="shared" si="7"/>
        <v>2.2559271158915766</v>
      </c>
      <c r="T31">
        <f t="shared" si="8"/>
        <v>0.54938424039634148</v>
      </c>
      <c r="U31">
        <f t="shared" si="9"/>
        <v>0.35003878058516974</v>
      </c>
      <c r="V31">
        <f t="shared" si="10"/>
        <v>353.33811470786696</v>
      </c>
      <c r="W31">
        <f t="shared" si="11"/>
        <v>27.497797186536236</v>
      </c>
      <c r="X31">
        <f t="shared" si="12"/>
        <v>28.192761290322601</v>
      </c>
      <c r="Y31">
        <f t="shared" si="13"/>
        <v>3.8376931288540903</v>
      </c>
      <c r="Z31">
        <f t="shared" si="14"/>
        <v>53.763489311672771</v>
      </c>
      <c r="AA31">
        <f t="shared" si="15"/>
        <v>2.0617408294445081</v>
      </c>
      <c r="AB31">
        <f t="shared" si="16"/>
        <v>3.8348344868250144</v>
      </c>
      <c r="AC31">
        <f t="shared" si="17"/>
        <v>1.7759522994095822</v>
      </c>
      <c r="AD31">
        <f t="shared" si="18"/>
        <v>-444.33485639849528</v>
      </c>
      <c r="AE31">
        <f t="shared" si="19"/>
        <v>-1.5567557462011783</v>
      </c>
      <c r="AF31">
        <f t="shared" si="20"/>
        <v>-0.15069974800049996</v>
      </c>
      <c r="AG31">
        <f t="shared" si="21"/>
        <v>-92.704197184829965</v>
      </c>
      <c r="AH31">
        <v>-4.1343504319063001E-2</v>
      </c>
      <c r="AI31">
        <v>4.6411705488050799E-2</v>
      </c>
      <c r="AJ31">
        <v>3.4658230384495399</v>
      </c>
      <c r="AK31">
        <v>0</v>
      </c>
      <c r="AL31">
        <v>0</v>
      </c>
      <c r="AM31">
        <f t="shared" si="22"/>
        <v>1</v>
      </c>
      <c r="AN31">
        <f t="shared" si="23"/>
        <v>0</v>
      </c>
      <c r="AO31">
        <f t="shared" si="24"/>
        <v>52512.630915443537</v>
      </c>
      <c r="AP31" t="s">
        <v>279</v>
      </c>
      <c r="AQ31">
        <v>585.08461538461495</v>
      </c>
      <c r="AR31">
        <v>3491.65</v>
      </c>
      <c r="AS31">
        <f t="shared" si="25"/>
        <v>2906.565384615385</v>
      </c>
      <c r="AT31">
        <f t="shared" si="26"/>
        <v>0.83243320052564973</v>
      </c>
      <c r="AU31">
        <v>-24.085636743186001</v>
      </c>
      <c r="AV31" t="s">
        <v>356</v>
      </c>
      <c r="AW31">
        <v>799.35692307692295</v>
      </c>
      <c r="AX31">
        <v>1209.07</v>
      </c>
      <c r="AY31">
        <f t="shared" si="27"/>
        <v>0.33886629965434345</v>
      </c>
      <c r="AZ31">
        <v>0.5</v>
      </c>
      <c r="BA31">
        <f t="shared" si="28"/>
        <v>1849.176222607608</v>
      </c>
      <c r="BB31">
        <f t="shared" si="29"/>
        <v>55.453884593267588</v>
      </c>
      <c r="BC31">
        <f t="shared" si="30"/>
        <v>313.31175198191829</v>
      </c>
      <c r="BD31">
        <f t="shared" si="31"/>
        <v>0.54576658092583552</v>
      </c>
      <c r="BE31">
        <f t="shared" si="32"/>
        <v>4.3013489122357022E-2</v>
      </c>
      <c r="BF31">
        <f t="shared" si="33"/>
        <v>1.887880767862903</v>
      </c>
      <c r="BG31" t="s">
        <v>357</v>
      </c>
      <c r="BH31">
        <v>549.20000000000005</v>
      </c>
      <c r="BI31">
        <f t="shared" si="34"/>
        <v>659.86999999999989</v>
      </c>
      <c r="BJ31">
        <f t="shared" si="35"/>
        <v>0.62089968770072446</v>
      </c>
      <c r="BK31">
        <f t="shared" si="36"/>
        <v>0.77574130401536134</v>
      </c>
      <c r="BL31">
        <f t="shared" si="37"/>
        <v>0.65660684853318774</v>
      </c>
      <c r="BM31">
        <f t="shared" si="38"/>
        <v>0.78531864862969369</v>
      </c>
      <c r="BN31">
        <f t="shared" si="39"/>
        <v>2199.9877419354798</v>
      </c>
      <c r="BO31">
        <f t="shared" si="40"/>
        <v>1849.176222607608</v>
      </c>
      <c r="BP31">
        <f t="shared" si="41"/>
        <v>0.84053932999679404</v>
      </c>
      <c r="BQ31">
        <f t="shared" si="42"/>
        <v>0.19107865999358825</v>
      </c>
      <c r="BR31">
        <v>1561659867.23226</v>
      </c>
      <c r="BS31">
        <v>724.63699999999994</v>
      </c>
      <c r="BT31">
        <v>799.93674193548395</v>
      </c>
      <c r="BU31">
        <v>20.661735483870999</v>
      </c>
      <c r="BV31">
        <v>8.8218006451612894</v>
      </c>
      <c r="BW31">
        <v>500.04196774193599</v>
      </c>
      <c r="BX31">
        <v>99.685441935483894</v>
      </c>
      <c r="BY31">
        <v>0.100020474193548</v>
      </c>
      <c r="BZ31">
        <v>28.179961290322598</v>
      </c>
      <c r="CA31">
        <v>28.192761290322601</v>
      </c>
      <c r="CB31">
        <v>999.9</v>
      </c>
      <c r="CC31">
        <v>10001.648064516099</v>
      </c>
      <c r="CD31">
        <v>0</v>
      </c>
      <c r="CE31">
        <v>1361.02080645161</v>
      </c>
      <c r="CF31">
        <v>2199.9877419354798</v>
      </c>
      <c r="CG31">
        <v>0.98200612903225803</v>
      </c>
      <c r="CH31">
        <v>1.79940258064516E-2</v>
      </c>
      <c r="CI31">
        <v>0</v>
      </c>
      <c r="CJ31">
        <v>799.44122580645205</v>
      </c>
      <c r="CK31">
        <v>1.9999499999999999</v>
      </c>
      <c r="CL31">
        <v>18412.516129032301</v>
      </c>
      <c r="CM31">
        <v>17938.193548387098</v>
      </c>
      <c r="CN31">
        <v>50.328258064516099</v>
      </c>
      <c r="CO31">
        <v>51.919129032257999</v>
      </c>
      <c r="CP31">
        <v>50.753999999999998</v>
      </c>
      <c r="CQ31">
        <v>50.912999999999997</v>
      </c>
      <c r="CR31">
        <v>51.451290322580597</v>
      </c>
      <c r="CS31">
        <v>2158.4370967741902</v>
      </c>
      <c r="CT31">
        <v>39.550645161290298</v>
      </c>
      <c r="CU31">
        <v>0</v>
      </c>
      <c r="CV31">
        <v>139.59999990463299</v>
      </c>
      <c r="CW31">
        <v>799.35692307692295</v>
      </c>
      <c r="CX31">
        <v>-10.336752137171199</v>
      </c>
      <c r="CY31">
        <v>-314.09230778454798</v>
      </c>
      <c r="CZ31">
        <v>18411.446153846198</v>
      </c>
      <c r="DA31">
        <v>15</v>
      </c>
      <c r="DB31">
        <v>1561659915.8</v>
      </c>
      <c r="DC31" t="s">
        <v>358</v>
      </c>
      <c r="DD31">
        <v>79</v>
      </c>
      <c r="DE31">
        <v>0.96699999999999997</v>
      </c>
      <c r="DF31">
        <v>3.6999999999999998E-2</v>
      </c>
      <c r="DG31">
        <v>800</v>
      </c>
      <c r="DH31">
        <v>9</v>
      </c>
      <c r="DI31">
        <v>0.03</v>
      </c>
      <c r="DJ31">
        <v>0.01</v>
      </c>
      <c r="DK31">
        <v>56.246701812768499</v>
      </c>
      <c r="DL31">
        <v>-2.4196437600654699</v>
      </c>
      <c r="DM31">
        <v>0.46912259016765601</v>
      </c>
      <c r="DN31">
        <v>0</v>
      </c>
      <c r="DO31">
        <v>723.58828767123305</v>
      </c>
      <c r="DP31">
        <v>4.16421991778126</v>
      </c>
      <c r="DQ31">
        <v>0.73153787118049596</v>
      </c>
      <c r="DR31">
        <v>0</v>
      </c>
      <c r="DS31">
        <v>0.66381390866725398</v>
      </c>
      <c r="DT31">
        <v>-0.15175117546261799</v>
      </c>
      <c r="DU31">
        <v>2.9368207223643399E-2</v>
      </c>
      <c r="DV31">
        <v>1</v>
      </c>
      <c r="DW31">
        <v>1</v>
      </c>
      <c r="DX31">
        <v>3</v>
      </c>
      <c r="DY31" t="s">
        <v>359</v>
      </c>
      <c r="DZ31">
        <v>1.86707</v>
      </c>
      <c r="EA31">
        <v>1.8635699999999999</v>
      </c>
      <c r="EB31">
        <v>1.86921</v>
      </c>
      <c r="EC31">
        <v>1.8671899999999999</v>
      </c>
      <c r="ED31">
        <v>1.8718399999999999</v>
      </c>
      <c r="EE31">
        <v>1.8643099999999999</v>
      </c>
      <c r="EF31">
        <v>1.8656900000000001</v>
      </c>
      <c r="EG31">
        <v>1.8656900000000001</v>
      </c>
      <c r="EH31" t="s">
        <v>284</v>
      </c>
      <c r="EI31" t="s">
        <v>19</v>
      </c>
      <c r="EJ31" t="s">
        <v>19</v>
      </c>
      <c r="EK31" t="s">
        <v>19</v>
      </c>
      <c r="EL31" t="s">
        <v>285</v>
      </c>
      <c r="EM31" t="s">
        <v>286</v>
      </c>
      <c r="EN31" t="s">
        <v>287</v>
      </c>
      <c r="EO31" t="s">
        <v>287</v>
      </c>
      <c r="EP31" t="s">
        <v>287</v>
      </c>
      <c r="EQ31" t="s">
        <v>287</v>
      </c>
      <c r="ER31">
        <v>0</v>
      </c>
      <c r="ES31">
        <v>100</v>
      </c>
      <c r="ET31">
        <v>100</v>
      </c>
      <c r="EU31">
        <v>0.96699999999999997</v>
      </c>
      <c r="EV31">
        <v>3.6999999999999998E-2</v>
      </c>
      <c r="EW31">
        <v>2</v>
      </c>
      <c r="EX31">
        <v>510.38900000000001</v>
      </c>
      <c r="EY31">
        <v>446.084</v>
      </c>
      <c r="EZ31">
        <v>20.8293</v>
      </c>
      <c r="FA31">
        <v>38.9955</v>
      </c>
      <c r="FB31">
        <v>30.001200000000001</v>
      </c>
      <c r="FC31">
        <v>38.583100000000002</v>
      </c>
      <c r="FD31">
        <v>38.530299999999997</v>
      </c>
      <c r="FE31">
        <v>38.733199999999997</v>
      </c>
      <c r="FF31">
        <v>74.584500000000006</v>
      </c>
      <c r="FG31">
        <v>0</v>
      </c>
      <c r="FH31">
        <v>18.421299999999999</v>
      </c>
      <c r="FI31">
        <v>800</v>
      </c>
      <c r="FJ31">
        <v>9.4030500000000004</v>
      </c>
      <c r="FK31">
        <v>99.829800000000006</v>
      </c>
      <c r="FL31">
        <v>100.01900000000001</v>
      </c>
    </row>
    <row r="32" spans="1:168" x14ac:dyDescent="0.35">
      <c r="A32">
        <v>17</v>
      </c>
      <c r="B32">
        <v>1561660057.2</v>
      </c>
      <c r="C32">
        <v>2793.2000000476801</v>
      </c>
      <c r="D32" t="s">
        <v>360</v>
      </c>
      <c r="E32" t="s">
        <v>361</v>
      </c>
      <c r="F32" t="s">
        <v>277</v>
      </c>
      <c r="G32" t="s">
        <v>278</v>
      </c>
      <c r="H32" t="s">
        <v>277</v>
      </c>
      <c r="J32" t="s">
        <v>277</v>
      </c>
      <c r="K32">
        <v>1561660049.24194</v>
      </c>
      <c r="L32">
        <f t="shared" si="0"/>
        <v>7.0076183438119556E-3</v>
      </c>
      <c r="M32">
        <f t="shared" si="1"/>
        <v>55.058453397005096</v>
      </c>
      <c r="N32">
        <f t="shared" si="2"/>
        <v>926.06477419354803</v>
      </c>
      <c r="O32">
        <f t="shared" si="3"/>
        <v>652.06279187888038</v>
      </c>
      <c r="P32">
        <f t="shared" si="4"/>
        <v>65.062196391802203</v>
      </c>
      <c r="Q32">
        <f t="shared" si="5"/>
        <v>92.40184988396372</v>
      </c>
      <c r="R32">
        <f t="shared" si="6"/>
        <v>0.38213276974601273</v>
      </c>
      <c r="S32">
        <f t="shared" si="7"/>
        <v>2.2557857646515527</v>
      </c>
      <c r="T32">
        <f t="shared" si="8"/>
        <v>0.34947348799794642</v>
      </c>
      <c r="U32">
        <f t="shared" si="9"/>
        <v>0.22112216388225747</v>
      </c>
      <c r="V32">
        <f t="shared" si="10"/>
        <v>353.3416823303964</v>
      </c>
      <c r="W32">
        <f t="shared" si="11"/>
        <v>28.453932012049869</v>
      </c>
      <c r="X32">
        <f t="shared" si="12"/>
        <v>29.006412903225801</v>
      </c>
      <c r="Y32">
        <f t="shared" si="13"/>
        <v>4.023265435571953</v>
      </c>
      <c r="Z32">
        <f t="shared" si="14"/>
        <v>54.521421516789701</v>
      </c>
      <c r="AA32">
        <f t="shared" si="15"/>
        <v>2.0837316232942622</v>
      </c>
      <c r="AB32">
        <f t="shared" si="16"/>
        <v>3.8218585747119294</v>
      </c>
      <c r="AC32">
        <f t="shared" si="17"/>
        <v>1.9395338122776908</v>
      </c>
      <c r="AD32">
        <f t="shared" si="18"/>
        <v>-309.03596896210723</v>
      </c>
      <c r="AE32">
        <f t="shared" si="19"/>
        <v>-107.58673698202972</v>
      </c>
      <c r="AF32">
        <f t="shared" si="20"/>
        <v>-10.454707205960796</v>
      </c>
      <c r="AG32">
        <f t="shared" si="21"/>
        <v>-73.735730819701359</v>
      </c>
      <c r="AH32">
        <v>-4.1339689952164402E-2</v>
      </c>
      <c r="AI32">
        <v>4.6407423527050198E-2</v>
      </c>
      <c r="AJ32">
        <v>3.4655700617671701</v>
      </c>
      <c r="AK32">
        <v>0</v>
      </c>
      <c r="AL32">
        <v>0</v>
      </c>
      <c r="AM32">
        <f t="shared" si="22"/>
        <v>1</v>
      </c>
      <c r="AN32">
        <f t="shared" si="23"/>
        <v>0</v>
      </c>
      <c r="AO32">
        <f t="shared" si="24"/>
        <v>52517.995847468701</v>
      </c>
      <c r="AP32" t="s">
        <v>279</v>
      </c>
      <c r="AQ32">
        <v>585.08461538461495</v>
      </c>
      <c r="AR32">
        <v>3491.65</v>
      </c>
      <c r="AS32">
        <f t="shared" si="25"/>
        <v>2906.565384615385</v>
      </c>
      <c r="AT32">
        <f t="shared" si="26"/>
        <v>0.83243320052564973</v>
      </c>
      <c r="AU32">
        <v>-24.085636743186001</v>
      </c>
      <c r="AV32" t="s">
        <v>362</v>
      </c>
      <c r="AW32">
        <v>793.95665384615404</v>
      </c>
      <c r="AX32">
        <v>1236.6099999999999</v>
      </c>
      <c r="AY32">
        <f t="shared" si="27"/>
        <v>0.35795711352313653</v>
      </c>
      <c r="AZ32">
        <v>0.5</v>
      </c>
      <c r="BA32">
        <f t="shared" si="28"/>
        <v>1849.1951709947116</v>
      </c>
      <c r="BB32">
        <f t="shared" si="29"/>
        <v>55.058453397005096</v>
      </c>
      <c r="BC32">
        <f t="shared" si="30"/>
        <v>330.96628287509492</v>
      </c>
      <c r="BD32">
        <f t="shared" si="31"/>
        <v>0.55167757013124585</v>
      </c>
      <c r="BE32">
        <f t="shared" si="32"/>
        <v>4.2799208748538008E-2</v>
      </c>
      <c r="BF32">
        <f t="shared" si="33"/>
        <v>1.823566039414205</v>
      </c>
      <c r="BG32" t="s">
        <v>363</v>
      </c>
      <c r="BH32">
        <v>554.4</v>
      </c>
      <c r="BI32">
        <f t="shared" si="34"/>
        <v>682.20999999999992</v>
      </c>
      <c r="BJ32">
        <f t="shared" si="35"/>
        <v>0.64885203405673608</v>
      </c>
      <c r="BK32">
        <f t="shared" si="36"/>
        <v>0.76773853093880329</v>
      </c>
      <c r="BL32">
        <f t="shared" si="37"/>
        <v>0.67941074378116129</v>
      </c>
      <c r="BM32">
        <f t="shared" si="38"/>
        <v>0.77584354783004517</v>
      </c>
      <c r="BN32">
        <f t="shared" si="39"/>
        <v>2200.0103225806502</v>
      </c>
      <c r="BO32">
        <f t="shared" si="40"/>
        <v>1849.1951709947116</v>
      </c>
      <c r="BP32">
        <f t="shared" si="41"/>
        <v>0.84053931566356188</v>
      </c>
      <c r="BQ32">
        <f t="shared" si="42"/>
        <v>0.19107863132712394</v>
      </c>
      <c r="BR32">
        <v>1561660049.24194</v>
      </c>
      <c r="BS32">
        <v>926.06477419354803</v>
      </c>
      <c r="BT32">
        <v>999.91751612903204</v>
      </c>
      <c r="BU32">
        <v>20.8834612903226</v>
      </c>
      <c r="BV32">
        <v>12.6504677419355</v>
      </c>
      <c r="BW32">
        <v>500.03258064516098</v>
      </c>
      <c r="BX32">
        <v>99.679032258064495</v>
      </c>
      <c r="BY32">
        <v>0.100003138709677</v>
      </c>
      <c r="BZ32">
        <v>28.121754838709698</v>
      </c>
      <c r="CA32">
        <v>29.006412903225801</v>
      </c>
      <c r="CB32">
        <v>999.9</v>
      </c>
      <c r="CC32">
        <v>10001.3683870968</v>
      </c>
      <c r="CD32">
        <v>0</v>
      </c>
      <c r="CE32">
        <v>205.22283870967701</v>
      </c>
      <c r="CF32">
        <v>2200.0103225806502</v>
      </c>
      <c r="CG32">
        <v>0.98200661290322599</v>
      </c>
      <c r="CH32">
        <v>1.7993622580645199E-2</v>
      </c>
      <c r="CI32">
        <v>0</v>
      </c>
      <c r="CJ32">
        <v>793.93396774193604</v>
      </c>
      <c r="CK32">
        <v>1.9999499999999999</v>
      </c>
      <c r="CL32">
        <v>18269.170967741898</v>
      </c>
      <c r="CM32">
        <v>17938.361290322599</v>
      </c>
      <c r="CN32">
        <v>50.3445161290323</v>
      </c>
      <c r="CO32">
        <v>51.247870967741903</v>
      </c>
      <c r="CP32">
        <v>50.646999999999998</v>
      </c>
      <c r="CQ32">
        <v>50.445129032258002</v>
      </c>
      <c r="CR32">
        <v>51.455354838709702</v>
      </c>
      <c r="CS32">
        <v>2158.46032258064</v>
      </c>
      <c r="CT32">
        <v>39.549999999999997</v>
      </c>
      <c r="CU32">
        <v>0</v>
      </c>
      <c r="CV32">
        <v>181.40000009536701</v>
      </c>
      <c r="CW32">
        <v>793.95665384615404</v>
      </c>
      <c r="CX32">
        <v>0.60208547261738499</v>
      </c>
      <c r="CY32">
        <v>1.3435898001075299</v>
      </c>
      <c r="CZ32">
        <v>18269.134615384599</v>
      </c>
      <c r="DA32">
        <v>15</v>
      </c>
      <c r="DB32">
        <v>1561660096.7</v>
      </c>
      <c r="DC32" t="s">
        <v>364</v>
      </c>
      <c r="DD32">
        <v>80</v>
      </c>
      <c r="DE32">
        <v>1.127</v>
      </c>
      <c r="DF32">
        <v>7.3999999999999996E-2</v>
      </c>
      <c r="DG32">
        <v>1000</v>
      </c>
      <c r="DH32">
        <v>13</v>
      </c>
      <c r="DI32">
        <v>0.02</v>
      </c>
      <c r="DJ32">
        <v>0.01</v>
      </c>
      <c r="DK32">
        <v>55.9543546206896</v>
      </c>
      <c r="DL32">
        <v>-3.3409245084429098</v>
      </c>
      <c r="DM32">
        <v>0.64996950562643196</v>
      </c>
      <c r="DN32">
        <v>0</v>
      </c>
      <c r="DO32">
        <v>925.02910958904101</v>
      </c>
      <c r="DP32">
        <v>4.8553775558464096</v>
      </c>
      <c r="DQ32">
        <v>0.85764370674323298</v>
      </c>
      <c r="DR32">
        <v>0</v>
      </c>
      <c r="DS32">
        <v>0.39635454705495599</v>
      </c>
      <c r="DT32">
        <v>-7.2716988866204105E-2</v>
      </c>
      <c r="DU32">
        <v>1.41384292351876E-2</v>
      </c>
      <c r="DV32">
        <v>1</v>
      </c>
      <c r="DW32">
        <v>1</v>
      </c>
      <c r="DX32">
        <v>3</v>
      </c>
      <c r="DY32" t="s">
        <v>359</v>
      </c>
      <c r="DZ32">
        <v>1.86707</v>
      </c>
      <c r="EA32">
        <v>1.8635600000000001</v>
      </c>
      <c r="EB32">
        <v>1.86921</v>
      </c>
      <c r="EC32">
        <v>1.8672</v>
      </c>
      <c r="ED32">
        <v>1.87181</v>
      </c>
      <c r="EE32">
        <v>1.86426</v>
      </c>
      <c r="EF32">
        <v>1.8656900000000001</v>
      </c>
      <c r="EG32">
        <v>1.8656900000000001</v>
      </c>
      <c r="EH32" t="s">
        <v>284</v>
      </c>
      <c r="EI32" t="s">
        <v>19</v>
      </c>
      <c r="EJ32" t="s">
        <v>19</v>
      </c>
      <c r="EK32" t="s">
        <v>19</v>
      </c>
      <c r="EL32" t="s">
        <v>285</v>
      </c>
      <c r="EM32" t="s">
        <v>286</v>
      </c>
      <c r="EN32" t="s">
        <v>287</v>
      </c>
      <c r="EO32" t="s">
        <v>287</v>
      </c>
      <c r="EP32" t="s">
        <v>287</v>
      </c>
      <c r="EQ32" t="s">
        <v>287</v>
      </c>
      <c r="ER32">
        <v>0</v>
      </c>
      <c r="ES32">
        <v>100</v>
      </c>
      <c r="ET32">
        <v>100</v>
      </c>
      <c r="EU32">
        <v>1.127</v>
      </c>
      <c r="EV32">
        <v>7.3999999999999996E-2</v>
      </c>
      <c r="EW32">
        <v>2</v>
      </c>
      <c r="EX32">
        <v>510.03500000000003</v>
      </c>
      <c r="EY32">
        <v>450.12900000000002</v>
      </c>
      <c r="EZ32">
        <v>20.4374</v>
      </c>
      <c r="FA32">
        <v>38.989800000000002</v>
      </c>
      <c r="FB32">
        <v>29.999300000000002</v>
      </c>
      <c r="FC32">
        <v>38.754800000000003</v>
      </c>
      <c r="FD32">
        <v>38.700499999999998</v>
      </c>
      <c r="FE32">
        <v>46.465899999999998</v>
      </c>
      <c r="FF32">
        <v>67.6828</v>
      </c>
      <c r="FG32">
        <v>0</v>
      </c>
      <c r="FH32">
        <v>18.578700000000001</v>
      </c>
      <c r="FI32">
        <v>1000</v>
      </c>
      <c r="FJ32">
        <v>12.916499999999999</v>
      </c>
      <c r="FK32">
        <v>99.822999999999993</v>
      </c>
      <c r="FL32">
        <v>100.02500000000001</v>
      </c>
    </row>
    <row r="33" spans="1:168" x14ac:dyDescent="0.35">
      <c r="A33">
        <v>18</v>
      </c>
      <c r="B33">
        <v>1561660238.3</v>
      </c>
      <c r="C33">
        <v>2974.2999999523199</v>
      </c>
      <c r="D33" t="s">
        <v>365</v>
      </c>
      <c r="E33" t="s">
        <v>366</v>
      </c>
      <c r="F33" t="s">
        <v>277</v>
      </c>
      <c r="G33" t="s">
        <v>278</v>
      </c>
      <c r="H33" t="s">
        <v>277</v>
      </c>
      <c r="J33" t="s">
        <v>277</v>
      </c>
      <c r="K33">
        <v>1561660230.3</v>
      </c>
      <c r="L33">
        <f t="shared" si="0"/>
        <v>5.5383700749772249E-3</v>
      </c>
      <c r="M33">
        <f t="shared" si="1"/>
        <v>56.853002618405093</v>
      </c>
      <c r="N33">
        <f t="shared" si="2"/>
        <v>1124.29096774194</v>
      </c>
      <c r="O33">
        <f t="shared" si="3"/>
        <v>748.81292342654365</v>
      </c>
      <c r="P33">
        <f t="shared" si="4"/>
        <v>74.713061545701564</v>
      </c>
      <c r="Q33">
        <f t="shared" si="5"/>
        <v>112.17650983346046</v>
      </c>
      <c r="R33">
        <f t="shared" si="6"/>
        <v>0.27990342755863112</v>
      </c>
      <c r="S33">
        <f t="shared" si="7"/>
        <v>2.2554112108677455</v>
      </c>
      <c r="T33">
        <f t="shared" si="8"/>
        <v>0.26193820300935616</v>
      </c>
      <c r="U33">
        <f t="shared" si="9"/>
        <v>0.16522929856153673</v>
      </c>
      <c r="V33">
        <f t="shared" si="10"/>
        <v>353.34053444098322</v>
      </c>
      <c r="W33">
        <f t="shared" si="11"/>
        <v>28.606613474525354</v>
      </c>
      <c r="X33">
        <f t="shared" si="12"/>
        <v>29.3194612903226</v>
      </c>
      <c r="Y33">
        <f t="shared" si="13"/>
        <v>4.0967203092875284</v>
      </c>
      <c r="Z33">
        <f t="shared" si="14"/>
        <v>54.747978091926797</v>
      </c>
      <c r="AA33">
        <f t="shared" si="15"/>
        <v>2.0520947985952214</v>
      </c>
      <c r="AB33">
        <f t="shared" si="16"/>
        <v>3.7482567760759471</v>
      </c>
      <c r="AC33">
        <f t="shared" si="17"/>
        <v>2.044625510692307</v>
      </c>
      <c r="AD33">
        <f t="shared" si="18"/>
        <v>-244.24212030649562</v>
      </c>
      <c r="AE33">
        <f t="shared" si="19"/>
        <v>-186.18000353530087</v>
      </c>
      <c r="AF33">
        <f t="shared" si="20"/>
        <v>-18.093228358825321</v>
      </c>
      <c r="AG33">
        <f t="shared" si="21"/>
        <v>-95.174817759638614</v>
      </c>
      <c r="AH33">
        <v>-4.13295836610552E-2</v>
      </c>
      <c r="AI33">
        <v>4.6396078329920397E-2</v>
      </c>
      <c r="AJ33">
        <v>3.4648997526862102</v>
      </c>
      <c r="AK33">
        <v>0</v>
      </c>
      <c r="AL33">
        <v>0</v>
      </c>
      <c r="AM33">
        <f t="shared" si="22"/>
        <v>1</v>
      </c>
      <c r="AN33">
        <f t="shared" si="23"/>
        <v>0</v>
      </c>
      <c r="AO33">
        <f t="shared" si="24"/>
        <v>52563.810855955817</v>
      </c>
      <c r="AP33" t="s">
        <v>279</v>
      </c>
      <c r="AQ33">
        <v>585.08461538461495</v>
      </c>
      <c r="AR33">
        <v>3491.65</v>
      </c>
      <c r="AS33">
        <f t="shared" si="25"/>
        <v>2906.565384615385</v>
      </c>
      <c r="AT33">
        <f t="shared" si="26"/>
        <v>0.83243320052564973</v>
      </c>
      <c r="AU33">
        <v>-24.085636743186001</v>
      </c>
      <c r="AV33" t="s">
        <v>367</v>
      </c>
      <c r="AW33">
        <v>807.55092307692303</v>
      </c>
      <c r="AX33">
        <v>1268.79</v>
      </c>
      <c r="AY33">
        <f t="shared" si="27"/>
        <v>0.36352672776667294</v>
      </c>
      <c r="AZ33">
        <v>0.5</v>
      </c>
      <c r="BA33">
        <f t="shared" si="28"/>
        <v>1849.1889580914849</v>
      </c>
      <c r="BB33">
        <f t="shared" si="29"/>
        <v>56.853002618405093</v>
      </c>
      <c r="BC33">
        <f t="shared" si="30"/>
        <v>336.11480547863039</v>
      </c>
      <c r="BD33">
        <f t="shared" si="31"/>
        <v>0.56084143160018596</v>
      </c>
      <c r="BE33">
        <f t="shared" si="32"/>
        <v>4.3769804598620593E-2</v>
      </c>
      <c r="BF33">
        <f t="shared" si="33"/>
        <v>1.7519526477982961</v>
      </c>
      <c r="BG33" t="s">
        <v>368</v>
      </c>
      <c r="BH33">
        <v>557.20000000000005</v>
      </c>
      <c r="BI33">
        <f t="shared" si="34"/>
        <v>711.58999999999992</v>
      </c>
      <c r="BJ33">
        <f t="shared" si="35"/>
        <v>0.64818094256956538</v>
      </c>
      <c r="BK33">
        <f t="shared" si="36"/>
        <v>0.75750481350849397</v>
      </c>
      <c r="BL33">
        <f t="shared" si="37"/>
        <v>0.67461670962639064</v>
      </c>
      <c r="BM33">
        <f t="shared" si="38"/>
        <v>0.76477206112951179</v>
      </c>
      <c r="BN33">
        <f t="shared" si="39"/>
        <v>2200.0029032258099</v>
      </c>
      <c r="BO33">
        <f t="shared" si="40"/>
        <v>1849.1889580914849</v>
      </c>
      <c r="BP33">
        <f t="shared" si="41"/>
        <v>0.84053932628000849</v>
      </c>
      <c r="BQ33">
        <f t="shared" si="42"/>
        <v>0.1910786525600173</v>
      </c>
      <c r="BR33">
        <v>1561660230.3</v>
      </c>
      <c r="BS33">
        <v>1124.29096774194</v>
      </c>
      <c r="BT33">
        <v>1199.9825806451599</v>
      </c>
      <c r="BU33">
        <v>20.567154838709701</v>
      </c>
      <c r="BV33">
        <v>14.058151612903201</v>
      </c>
      <c r="BW33">
        <v>500.026935483871</v>
      </c>
      <c r="BX33">
        <v>99.675354838709694</v>
      </c>
      <c r="BY33">
        <v>9.9981841935483901E-2</v>
      </c>
      <c r="BZ33">
        <v>27.788296774193601</v>
      </c>
      <c r="CA33">
        <v>29.3194612903226</v>
      </c>
      <c r="CB33">
        <v>999.9</v>
      </c>
      <c r="CC33">
        <v>9999.2922580645209</v>
      </c>
      <c r="CD33">
        <v>0</v>
      </c>
      <c r="CE33">
        <v>169.720741935484</v>
      </c>
      <c r="CF33">
        <v>2200.0029032258099</v>
      </c>
      <c r="CG33">
        <v>0.98200535483870999</v>
      </c>
      <c r="CH33">
        <v>1.7994670967741901E-2</v>
      </c>
      <c r="CI33">
        <v>0</v>
      </c>
      <c r="CJ33">
        <v>807.46441935483904</v>
      </c>
      <c r="CK33">
        <v>1.9999499999999999</v>
      </c>
      <c r="CL33">
        <v>18551.825806451601</v>
      </c>
      <c r="CM33">
        <v>17938.329032258102</v>
      </c>
      <c r="CN33">
        <v>50.241741935483901</v>
      </c>
      <c r="CO33">
        <v>50.832322580645098</v>
      </c>
      <c r="CP33">
        <v>50.5</v>
      </c>
      <c r="CQ33">
        <v>49.9796774193548</v>
      </c>
      <c r="CR33">
        <v>51.311999999999998</v>
      </c>
      <c r="CS33">
        <v>2158.4522580645198</v>
      </c>
      <c r="CT33">
        <v>39.550645161290298</v>
      </c>
      <c r="CU33">
        <v>0</v>
      </c>
      <c r="CV33">
        <v>180.10000014305101</v>
      </c>
      <c r="CW33">
        <v>807.55092307692303</v>
      </c>
      <c r="CX33">
        <v>9.6947008492217908</v>
      </c>
      <c r="CY33">
        <v>172.13675217107601</v>
      </c>
      <c r="CZ33">
        <v>18552.8461538462</v>
      </c>
      <c r="DA33">
        <v>15</v>
      </c>
      <c r="DB33">
        <v>1561660165.7</v>
      </c>
      <c r="DC33" t="s">
        <v>369</v>
      </c>
      <c r="DD33">
        <v>81</v>
      </c>
      <c r="DE33">
        <v>1.238</v>
      </c>
      <c r="DF33">
        <v>7.8E-2</v>
      </c>
      <c r="DG33">
        <v>1200</v>
      </c>
      <c r="DH33">
        <v>13</v>
      </c>
      <c r="DI33">
        <v>0.03</v>
      </c>
      <c r="DJ33">
        <v>0.01</v>
      </c>
      <c r="DK33">
        <v>57.150481583951603</v>
      </c>
      <c r="DL33">
        <v>-1.63031449079025</v>
      </c>
      <c r="DM33">
        <v>0.35511790576105101</v>
      </c>
      <c r="DN33">
        <v>0</v>
      </c>
      <c r="DO33">
        <v>1123.8482191780799</v>
      </c>
      <c r="DP33">
        <v>2.6821380554704799</v>
      </c>
      <c r="DQ33">
        <v>0.490136526872543</v>
      </c>
      <c r="DR33">
        <v>0</v>
      </c>
      <c r="DS33">
        <v>0.28939601315133201</v>
      </c>
      <c r="DT33">
        <v>-4.7493896085493197E-2</v>
      </c>
      <c r="DU33">
        <v>9.5607401074140792E-3</v>
      </c>
      <c r="DV33">
        <v>1</v>
      </c>
      <c r="DW33">
        <v>1</v>
      </c>
      <c r="DX33">
        <v>3</v>
      </c>
      <c r="DY33" t="s">
        <v>359</v>
      </c>
      <c r="DZ33">
        <v>1.8670800000000001</v>
      </c>
      <c r="EA33">
        <v>1.8635600000000001</v>
      </c>
      <c r="EB33">
        <v>1.86921</v>
      </c>
      <c r="EC33">
        <v>1.8672</v>
      </c>
      <c r="ED33">
        <v>1.8717999999999999</v>
      </c>
      <c r="EE33">
        <v>1.8642799999999999</v>
      </c>
      <c r="EF33">
        <v>1.8656900000000001</v>
      </c>
      <c r="EG33">
        <v>1.8656900000000001</v>
      </c>
      <c r="EH33" t="s">
        <v>284</v>
      </c>
      <c r="EI33" t="s">
        <v>19</v>
      </c>
      <c r="EJ33" t="s">
        <v>19</v>
      </c>
      <c r="EK33" t="s">
        <v>19</v>
      </c>
      <c r="EL33" t="s">
        <v>285</v>
      </c>
      <c r="EM33" t="s">
        <v>286</v>
      </c>
      <c r="EN33" t="s">
        <v>287</v>
      </c>
      <c r="EO33" t="s">
        <v>287</v>
      </c>
      <c r="EP33" t="s">
        <v>287</v>
      </c>
      <c r="EQ33" t="s">
        <v>287</v>
      </c>
      <c r="ER33">
        <v>0</v>
      </c>
      <c r="ES33">
        <v>100</v>
      </c>
      <c r="ET33">
        <v>100</v>
      </c>
      <c r="EU33">
        <v>1.238</v>
      </c>
      <c r="EV33">
        <v>7.8E-2</v>
      </c>
      <c r="EW33">
        <v>2</v>
      </c>
      <c r="EX33">
        <v>510.28199999999998</v>
      </c>
      <c r="EY33">
        <v>452.99700000000001</v>
      </c>
      <c r="EZ33">
        <v>19.9618</v>
      </c>
      <c r="FA33">
        <v>38.5871</v>
      </c>
      <c r="FB33">
        <v>29.998899999999999</v>
      </c>
      <c r="FC33">
        <v>38.523600000000002</v>
      </c>
      <c r="FD33">
        <v>38.487099999999998</v>
      </c>
      <c r="FE33">
        <v>53.808900000000001</v>
      </c>
      <c r="FF33">
        <v>64.8339</v>
      </c>
      <c r="FG33">
        <v>0</v>
      </c>
      <c r="FH33">
        <v>18.3505</v>
      </c>
      <c r="FI33">
        <v>1200</v>
      </c>
      <c r="FJ33">
        <v>14.130100000000001</v>
      </c>
      <c r="FK33">
        <v>99.896799999999999</v>
      </c>
      <c r="FL33">
        <v>100.116</v>
      </c>
    </row>
    <row r="34" spans="1:168" x14ac:dyDescent="0.35">
      <c r="A34">
        <v>19</v>
      </c>
      <c r="B34">
        <v>1561660378.8</v>
      </c>
      <c r="C34">
        <v>3114.7999999523199</v>
      </c>
      <c r="D34" t="s">
        <v>370</v>
      </c>
      <c r="E34" t="s">
        <v>371</v>
      </c>
      <c r="F34" t="s">
        <v>277</v>
      </c>
      <c r="G34" t="s">
        <v>278</v>
      </c>
      <c r="H34" t="s">
        <v>277</v>
      </c>
      <c r="J34" t="s">
        <v>277</v>
      </c>
      <c r="K34">
        <v>1561660370.8</v>
      </c>
      <c r="L34">
        <f t="shared" si="0"/>
        <v>4.845705854561717E-3</v>
      </c>
      <c r="M34">
        <f t="shared" si="1"/>
        <v>60.726617557739068</v>
      </c>
      <c r="N34">
        <f t="shared" si="2"/>
        <v>1518.2890322580599</v>
      </c>
      <c r="O34">
        <f t="shared" si="3"/>
        <v>1040.0505743069491</v>
      </c>
      <c r="P34">
        <f t="shared" si="4"/>
        <v>103.77097782080317</v>
      </c>
      <c r="Q34">
        <f t="shared" si="5"/>
        <v>151.48718858888969</v>
      </c>
      <c r="R34">
        <f t="shared" si="6"/>
        <v>0.23496503135920893</v>
      </c>
      <c r="S34">
        <f t="shared" si="7"/>
        <v>2.2542064370388335</v>
      </c>
      <c r="T34">
        <f t="shared" si="8"/>
        <v>0.22215734719830946</v>
      </c>
      <c r="U34">
        <f t="shared" si="9"/>
        <v>0.13994085387696964</v>
      </c>
      <c r="V34">
        <f t="shared" si="10"/>
        <v>353.34197885338835</v>
      </c>
      <c r="W34">
        <f t="shared" si="11"/>
        <v>28.711831362531282</v>
      </c>
      <c r="X34">
        <f t="shared" si="12"/>
        <v>29.572145161290301</v>
      </c>
      <c r="Y34">
        <f t="shared" si="13"/>
        <v>4.1568610665249128</v>
      </c>
      <c r="Z34">
        <f t="shared" si="14"/>
        <v>55.044094662670361</v>
      </c>
      <c r="AA34">
        <f t="shared" si="15"/>
        <v>2.0482387526937327</v>
      </c>
      <c r="AB34">
        <f t="shared" si="16"/>
        <v>3.7210871851850098</v>
      </c>
      <c r="AC34">
        <f t="shared" si="17"/>
        <v>2.1086223138311802</v>
      </c>
      <c r="AD34">
        <f t="shared" si="18"/>
        <v>-213.69562818617172</v>
      </c>
      <c r="AE34">
        <f t="shared" si="19"/>
        <v>-231.92395074109783</v>
      </c>
      <c r="AF34">
        <f t="shared" si="20"/>
        <v>-22.565191718565661</v>
      </c>
      <c r="AG34">
        <f t="shared" si="21"/>
        <v>-114.84279179244683</v>
      </c>
      <c r="AH34">
        <v>-4.1297086550019901E-2</v>
      </c>
      <c r="AI34">
        <v>4.6359597475879998E-2</v>
      </c>
      <c r="AJ34">
        <v>3.4627439679842702</v>
      </c>
      <c r="AK34">
        <v>0</v>
      </c>
      <c r="AL34">
        <v>0</v>
      </c>
      <c r="AM34">
        <f t="shared" si="22"/>
        <v>1</v>
      </c>
      <c r="AN34">
        <f t="shared" si="23"/>
        <v>0</v>
      </c>
      <c r="AO34">
        <f t="shared" si="24"/>
        <v>52545.911371816801</v>
      </c>
      <c r="AP34" t="s">
        <v>279</v>
      </c>
      <c r="AQ34">
        <v>585.08461538461495</v>
      </c>
      <c r="AR34">
        <v>3491.65</v>
      </c>
      <c r="AS34">
        <f t="shared" si="25"/>
        <v>2906.565384615385</v>
      </c>
      <c r="AT34">
        <f t="shared" si="26"/>
        <v>0.83243320052564973</v>
      </c>
      <c r="AU34">
        <v>-24.085636743186001</v>
      </c>
      <c r="AV34" t="s">
        <v>372</v>
      </c>
      <c r="AW34">
        <v>785.21500000000003</v>
      </c>
      <c r="AX34">
        <v>1203.55</v>
      </c>
      <c r="AY34">
        <f t="shared" si="27"/>
        <v>0.34758422998629046</v>
      </c>
      <c r="AZ34">
        <v>0.5</v>
      </c>
      <c r="BA34">
        <f t="shared" si="28"/>
        <v>1849.1963032527767</v>
      </c>
      <c r="BB34">
        <f t="shared" si="29"/>
        <v>60.726617557739068</v>
      </c>
      <c r="BC34">
        <f t="shared" si="30"/>
        <v>321.37573657980562</v>
      </c>
      <c r="BD34">
        <f t="shared" si="31"/>
        <v>0.5494993976153878</v>
      </c>
      <c r="BE34">
        <f t="shared" si="32"/>
        <v>4.5864386680710134E-2</v>
      </c>
      <c r="BF34">
        <f t="shared" si="33"/>
        <v>1.9011258360682983</v>
      </c>
      <c r="BG34" t="s">
        <v>373</v>
      </c>
      <c r="BH34">
        <v>542.20000000000005</v>
      </c>
      <c r="BI34">
        <f t="shared" si="34"/>
        <v>661.34999999999991</v>
      </c>
      <c r="BJ34">
        <f t="shared" si="35"/>
        <v>0.63254706282603756</v>
      </c>
      <c r="BK34">
        <f t="shared" si="36"/>
        <v>0.77577175405584109</v>
      </c>
      <c r="BL34">
        <f t="shared" si="37"/>
        <v>0.67640810691475739</v>
      </c>
      <c r="BM34">
        <f t="shared" si="38"/>
        <v>0.78721779737384989</v>
      </c>
      <c r="BN34">
        <f t="shared" si="39"/>
        <v>2200.0116129032299</v>
      </c>
      <c r="BO34">
        <f t="shared" si="40"/>
        <v>1849.1963032527767</v>
      </c>
      <c r="BP34">
        <f t="shared" si="41"/>
        <v>0.84053933734126873</v>
      </c>
      <c r="BQ34">
        <f t="shared" si="42"/>
        <v>0.19107867468253753</v>
      </c>
      <c r="BR34">
        <v>1561660370.8</v>
      </c>
      <c r="BS34">
        <v>1518.2890322580599</v>
      </c>
      <c r="BT34">
        <v>1599.98451612903</v>
      </c>
      <c r="BU34">
        <v>20.528590322580602</v>
      </c>
      <c r="BV34">
        <v>14.8334677419355</v>
      </c>
      <c r="BW34">
        <v>500.03106451612899</v>
      </c>
      <c r="BX34">
        <v>99.674925806451597</v>
      </c>
      <c r="BY34">
        <v>0.100008590322581</v>
      </c>
      <c r="BZ34">
        <v>27.663758064516099</v>
      </c>
      <c r="CA34">
        <v>29.572145161290301</v>
      </c>
      <c r="CB34">
        <v>999.9</v>
      </c>
      <c r="CC34">
        <v>9991.4729032258092</v>
      </c>
      <c r="CD34">
        <v>0</v>
      </c>
      <c r="CE34">
        <v>2013.08741935484</v>
      </c>
      <c r="CF34">
        <v>2200.0116129032299</v>
      </c>
      <c r="CG34">
        <v>0.982005161290323</v>
      </c>
      <c r="CH34">
        <v>1.7994832258064499E-2</v>
      </c>
      <c r="CI34">
        <v>0</v>
      </c>
      <c r="CJ34">
        <v>785.30822580645201</v>
      </c>
      <c r="CK34">
        <v>1.9999499999999999</v>
      </c>
      <c r="CL34">
        <v>18063.287096774198</v>
      </c>
      <c r="CM34">
        <v>17938.364516129001</v>
      </c>
      <c r="CN34">
        <v>50.118903225806498</v>
      </c>
      <c r="CO34">
        <v>50.8343548387097</v>
      </c>
      <c r="CP34">
        <v>50.424999999999997</v>
      </c>
      <c r="CQ34">
        <v>49.775935483871002</v>
      </c>
      <c r="CR34">
        <v>51.189161290322602</v>
      </c>
      <c r="CS34">
        <v>2158.46</v>
      </c>
      <c r="CT34">
        <v>39.551612903225802</v>
      </c>
      <c r="CU34">
        <v>0</v>
      </c>
      <c r="CV34">
        <v>140</v>
      </c>
      <c r="CW34">
        <v>785.21500000000003</v>
      </c>
      <c r="CX34">
        <v>-8.98981198040401</v>
      </c>
      <c r="CY34">
        <v>-201.25811965814401</v>
      </c>
      <c r="CZ34">
        <v>18061</v>
      </c>
      <c r="DA34">
        <v>15</v>
      </c>
      <c r="DB34">
        <v>1561660348.8</v>
      </c>
      <c r="DC34" t="s">
        <v>374</v>
      </c>
      <c r="DD34">
        <v>82</v>
      </c>
      <c r="DE34">
        <v>1.3240000000000001</v>
      </c>
      <c r="DF34">
        <v>9.8000000000000004E-2</v>
      </c>
      <c r="DG34">
        <v>1600</v>
      </c>
      <c r="DH34">
        <v>15</v>
      </c>
      <c r="DI34">
        <v>0.02</v>
      </c>
      <c r="DJ34">
        <v>0.01</v>
      </c>
      <c r="DK34">
        <v>39.722953412163001</v>
      </c>
      <c r="DL34">
        <v>123.316780411644</v>
      </c>
      <c r="DM34">
        <v>27.7956742326501</v>
      </c>
      <c r="DN34">
        <v>0</v>
      </c>
      <c r="DO34">
        <v>1540.59205479452</v>
      </c>
      <c r="DP34">
        <v>-159.239720280753</v>
      </c>
      <c r="DQ34">
        <v>34.700067662438599</v>
      </c>
      <c r="DR34">
        <v>0</v>
      </c>
      <c r="DS34">
        <v>0.14947545030904699</v>
      </c>
      <c r="DT34">
        <v>0.48411136767516399</v>
      </c>
      <c r="DU34">
        <v>0.106863593810963</v>
      </c>
      <c r="DV34">
        <v>1</v>
      </c>
      <c r="DW34">
        <v>1</v>
      </c>
      <c r="DX34">
        <v>3</v>
      </c>
      <c r="DY34" t="s">
        <v>359</v>
      </c>
      <c r="DZ34">
        <v>1.86707</v>
      </c>
      <c r="EA34">
        <v>1.8635699999999999</v>
      </c>
      <c r="EB34">
        <v>1.8692</v>
      </c>
      <c r="EC34">
        <v>1.86717</v>
      </c>
      <c r="ED34">
        <v>1.87181</v>
      </c>
      <c r="EE34">
        <v>1.8643000000000001</v>
      </c>
      <c r="EF34">
        <v>1.8656900000000001</v>
      </c>
      <c r="EG34">
        <v>1.8656900000000001</v>
      </c>
      <c r="EH34" t="s">
        <v>284</v>
      </c>
      <c r="EI34" t="s">
        <v>19</v>
      </c>
      <c r="EJ34" t="s">
        <v>19</v>
      </c>
      <c r="EK34" t="s">
        <v>19</v>
      </c>
      <c r="EL34" t="s">
        <v>285</v>
      </c>
      <c r="EM34" t="s">
        <v>286</v>
      </c>
      <c r="EN34" t="s">
        <v>287</v>
      </c>
      <c r="EO34" t="s">
        <v>287</v>
      </c>
      <c r="EP34" t="s">
        <v>287</v>
      </c>
      <c r="EQ34" t="s">
        <v>287</v>
      </c>
      <c r="ER34">
        <v>0</v>
      </c>
      <c r="ES34">
        <v>100</v>
      </c>
      <c r="ET34">
        <v>100</v>
      </c>
      <c r="EU34">
        <v>1.3240000000000001</v>
      </c>
      <c r="EV34">
        <v>9.8000000000000004E-2</v>
      </c>
      <c r="EW34">
        <v>2</v>
      </c>
      <c r="EX34">
        <v>509.666</v>
      </c>
      <c r="EY34">
        <v>454.291</v>
      </c>
      <c r="EZ34">
        <v>19.857399999999998</v>
      </c>
      <c r="FA34">
        <v>38.318600000000004</v>
      </c>
      <c r="FB34">
        <v>29.9998</v>
      </c>
      <c r="FC34">
        <v>38.292700000000004</v>
      </c>
      <c r="FD34">
        <v>38.270000000000003</v>
      </c>
      <c r="FE34">
        <v>67.651300000000006</v>
      </c>
      <c r="FF34">
        <v>63.899299999999997</v>
      </c>
      <c r="FG34">
        <v>0</v>
      </c>
      <c r="FH34">
        <v>18.3231</v>
      </c>
      <c r="FI34">
        <v>1600</v>
      </c>
      <c r="FJ34">
        <v>14.781599999999999</v>
      </c>
      <c r="FK34">
        <v>99.948300000000003</v>
      </c>
      <c r="FL34">
        <v>100.17700000000001</v>
      </c>
    </row>
  </sheetData>
  <sortState xmlns:xlrd2="http://schemas.microsoft.com/office/spreadsheetml/2017/richdata2" ref="N39:P52">
    <sortCondition ref="N3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2019-06-27T13:33:51Z</dcterms:created>
  <dcterms:modified xsi:type="dcterms:W3CDTF">2019-08-28T03:00:22Z</dcterms:modified>
</cp:coreProperties>
</file>