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20190803_De Kauwe\A-Ci\raw\"/>
    </mc:Choice>
  </mc:AlternateContent>
  <xr:revisionPtr revIDLastSave="0" documentId="13_ncr:1_{A7573429-9CFB-4F4C-813E-DA6BCF0C1382}" xr6:coauthVersionLast="41" xr6:coauthVersionMax="41" xr10:uidLastSave="{00000000-0000-0000-0000-000000000000}"/>
  <bookViews>
    <workbookView xWindow="-110" yWindow="-110" windowWidth="19420" windowHeight="10420" xr2:uid="{00000000-000D-0000-FFFF-FFFF00000000}"/>
  </bookViews>
  <sheets>
    <sheet name="Measurements" sheetId="1" r:id="rId1"/>
    <sheet name="Remark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U29" i="1" l="1"/>
  <c r="BT29" i="1"/>
  <c r="BR29" i="1"/>
  <c r="BS29" i="1" s="1"/>
  <c r="BI29" i="1"/>
  <c r="BH29" i="1"/>
  <c r="BG29" i="1"/>
  <c r="BF29" i="1"/>
  <c r="BE29" i="1"/>
  <c r="AZ29" i="1" s="1"/>
  <c r="BB29" i="1"/>
  <c r="AU29" i="1"/>
  <c r="AO29" i="1"/>
  <c r="AP29" i="1" s="1"/>
  <c r="AK29" i="1"/>
  <c r="AI29" i="1" s="1"/>
  <c r="AJ29" i="1" s="1"/>
  <c r="X29" i="1"/>
  <c r="W29" i="1"/>
  <c r="V29" i="1" s="1"/>
  <c r="O29" i="1"/>
  <c r="I29" i="1"/>
  <c r="AX29" i="1" s="1"/>
  <c r="H29" i="1"/>
  <c r="Z29" i="1" s="1"/>
  <c r="BU28" i="1"/>
  <c r="BT28" i="1"/>
  <c r="BR28" i="1"/>
  <c r="BS28" i="1" s="1"/>
  <c r="AW28" i="1" s="1"/>
  <c r="AY28" i="1" s="1"/>
  <c r="BI28" i="1"/>
  <c r="BH28" i="1"/>
  <c r="BG28" i="1"/>
  <c r="BF28" i="1"/>
  <c r="BE28" i="1"/>
  <c r="AZ28" i="1" s="1"/>
  <c r="BB28" i="1"/>
  <c r="AU28" i="1"/>
  <c r="AO28" i="1"/>
  <c r="AP28" i="1" s="1"/>
  <c r="AK28" i="1"/>
  <c r="AI28" i="1" s="1"/>
  <c r="H28" i="1" s="1"/>
  <c r="X28" i="1"/>
  <c r="W28" i="1"/>
  <c r="V28" i="1" s="1"/>
  <c r="O28" i="1"/>
  <c r="BU27" i="1"/>
  <c r="BT27" i="1"/>
  <c r="BR27" i="1"/>
  <c r="BI27" i="1"/>
  <c r="BH27" i="1"/>
  <c r="BG27" i="1"/>
  <c r="BF27" i="1"/>
  <c r="BE27" i="1"/>
  <c r="AZ27" i="1" s="1"/>
  <c r="BB27" i="1"/>
  <c r="AU27" i="1"/>
  <c r="AO27" i="1"/>
  <c r="AP27" i="1" s="1"/>
  <c r="AK27" i="1"/>
  <c r="AI27" i="1" s="1"/>
  <c r="X27" i="1"/>
  <c r="W27" i="1"/>
  <c r="V27" i="1" s="1"/>
  <c r="O27" i="1"/>
  <c r="BU26" i="1"/>
  <c r="BT26" i="1"/>
  <c r="BR26" i="1"/>
  <c r="BI26" i="1"/>
  <c r="BH26" i="1"/>
  <c r="BG26" i="1"/>
  <c r="BF26" i="1"/>
  <c r="BE26" i="1"/>
  <c r="AZ26" i="1" s="1"/>
  <c r="BB26" i="1"/>
  <c r="AU26" i="1"/>
  <c r="AO26" i="1"/>
  <c r="AP26" i="1" s="1"/>
  <c r="AK26" i="1"/>
  <c r="AI26" i="1" s="1"/>
  <c r="X26" i="1"/>
  <c r="W26" i="1"/>
  <c r="V26" i="1" s="1"/>
  <c r="O26" i="1"/>
  <c r="H26" i="1"/>
  <c r="Z26" i="1" s="1"/>
  <c r="BU25" i="1"/>
  <c r="BT25" i="1"/>
  <c r="BR25" i="1"/>
  <c r="BI25" i="1"/>
  <c r="BH25" i="1"/>
  <c r="BG25" i="1"/>
  <c r="BF25" i="1"/>
  <c r="BE25" i="1"/>
  <c r="AZ25" i="1" s="1"/>
  <c r="BB25" i="1"/>
  <c r="AU25" i="1"/>
  <c r="AO25" i="1"/>
  <c r="AP25" i="1" s="1"/>
  <c r="AK25" i="1"/>
  <c r="AI25" i="1" s="1"/>
  <c r="AJ25" i="1" s="1"/>
  <c r="X25" i="1"/>
  <c r="W25" i="1"/>
  <c r="V25" i="1" s="1"/>
  <c r="O25" i="1"/>
  <c r="BU24" i="1"/>
  <c r="BT24" i="1"/>
  <c r="BR24" i="1"/>
  <c r="BI24" i="1"/>
  <c r="BH24" i="1"/>
  <c r="BG24" i="1"/>
  <c r="BF24" i="1"/>
  <c r="BE24" i="1"/>
  <c r="AZ24" i="1" s="1"/>
  <c r="BB24" i="1"/>
  <c r="AU24" i="1"/>
  <c r="AP24" i="1"/>
  <c r="AO24" i="1"/>
  <c r="AK24" i="1"/>
  <c r="AI24" i="1"/>
  <c r="X24" i="1"/>
  <c r="W24" i="1"/>
  <c r="O24" i="1"/>
  <c r="H24" i="1"/>
  <c r="BU23" i="1"/>
  <c r="BT23" i="1"/>
  <c r="BR23" i="1"/>
  <c r="BI23" i="1"/>
  <c r="BH23" i="1"/>
  <c r="BG23" i="1"/>
  <c r="BF23" i="1"/>
  <c r="BE23" i="1"/>
  <c r="AZ23" i="1" s="1"/>
  <c r="BB23" i="1"/>
  <c r="AU23" i="1"/>
  <c r="AO23" i="1"/>
  <c r="AP23" i="1" s="1"/>
  <c r="AK23" i="1"/>
  <c r="AI23" i="1" s="1"/>
  <c r="X23" i="1"/>
  <c r="W23" i="1"/>
  <c r="V23" i="1" s="1"/>
  <c r="O23" i="1"/>
  <c r="BU22" i="1"/>
  <c r="BT22" i="1"/>
  <c r="BR22" i="1"/>
  <c r="BI22" i="1"/>
  <c r="BH22" i="1"/>
  <c r="BG22" i="1"/>
  <c r="BF22" i="1"/>
  <c r="BE22" i="1"/>
  <c r="BB22" i="1"/>
  <c r="AZ22" i="1"/>
  <c r="AU22" i="1"/>
  <c r="AO22" i="1"/>
  <c r="AP22" i="1" s="1"/>
  <c r="AK22" i="1"/>
  <c r="AI22" i="1" s="1"/>
  <c r="I22" i="1" s="1"/>
  <c r="AJ22" i="1"/>
  <c r="X22" i="1"/>
  <c r="W22" i="1"/>
  <c r="O22" i="1"/>
  <c r="BU21" i="1"/>
  <c r="BT21" i="1"/>
  <c r="BR21" i="1"/>
  <c r="BI21" i="1"/>
  <c r="BH21" i="1"/>
  <c r="BG21" i="1"/>
  <c r="BF21" i="1"/>
  <c r="BE21" i="1"/>
  <c r="BB21" i="1"/>
  <c r="AZ21" i="1"/>
  <c r="AU21" i="1"/>
  <c r="AO21" i="1"/>
  <c r="AP21" i="1" s="1"/>
  <c r="AK21" i="1"/>
  <c r="AI21" i="1" s="1"/>
  <c r="H21" i="1" s="1"/>
  <c r="X21" i="1"/>
  <c r="W21" i="1"/>
  <c r="V21" i="1" s="1"/>
  <c r="O21" i="1"/>
  <c r="BU20" i="1"/>
  <c r="BT20" i="1"/>
  <c r="BR20" i="1"/>
  <c r="BI20" i="1"/>
  <c r="BH20" i="1"/>
  <c r="BG20" i="1"/>
  <c r="BF20" i="1"/>
  <c r="BE20" i="1"/>
  <c r="AZ20" i="1" s="1"/>
  <c r="BB20" i="1"/>
  <c r="AU20" i="1"/>
  <c r="AO20" i="1"/>
  <c r="AP20" i="1" s="1"/>
  <c r="AK20" i="1"/>
  <c r="AI20" i="1" s="1"/>
  <c r="X20" i="1"/>
  <c r="W20" i="1"/>
  <c r="V20" i="1" s="1"/>
  <c r="O20" i="1"/>
  <c r="BU19" i="1"/>
  <c r="BT19" i="1"/>
  <c r="BR19" i="1"/>
  <c r="BI19" i="1"/>
  <c r="BH19" i="1"/>
  <c r="BG19" i="1"/>
  <c r="BF19" i="1"/>
  <c r="BE19" i="1"/>
  <c r="AZ19" i="1" s="1"/>
  <c r="BB19" i="1"/>
  <c r="AU19" i="1"/>
  <c r="AO19" i="1"/>
  <c r="AP19" i="1" s="1"/>
  <c r="AK19" i="1"/>
  <c r="AI19" i="1" s="1"/>
  <c r="H19" i="1" s="1"/>
  <c r="Z19" i="1" s="1"/>
  <c r="X19" i="1"/>
  <c r="V19" i="1" s="1"/>
  <c r="W19" i="1"/>
  <c r="O19" i="1"/>
  <c r="BU18" i="1"/>
  <c r="BT18" i="1"/>
  <c r="BR18" i="1"/>
  <c r="BS18" i="1" s="1"/>
  <c r="BI18" i="1"/>
  <c r="BH18" i="1"/>
  <c r="BG18" i="1"/>
  <c r="BF18" i="1"/>
  <c r="BE18" i="1"/>
  <c r="BB18" i="1"/>
  <c r="AZ18" i="1"/>
  <c r="AU18" i="1"/>
  <c r="AO18" i="1"/>
  <c r="AP18" i="1" s="1"/>
  <c r="AK18" i="1"/>
  <c r="AI18" i="1"/>
  <c r="X18" i="1"/>
  <c r="W18" i="1"/>
  <c r="V18" i="1" s="1"/>
  <c r="O18" i="1"/>
  <c r="BU17" i="1"/>
  <c r="R17" i="1" s="1"/>
  <c r="BT17" i="1"/>
  <c r="BR17" i="1"/>
  <c r="BS17" i="1" s="1"/>
  <c r="AW17" i="1" s="1"/>
  <c r="AY17" i="1" s="1"/>
  <c r="BI17" i="1"/>
  <c r="BH17" i="1"/>
  <c r="BG17" i="1"/>
  <c r="BF17" i="1"/>
  <c r="BE17" i="1"/>
  <c r="AZ17" i="1" s="1"/>
  <c r="BB17" i="1"/>
  <c r="AU17" i="1"/>
  <c r="AO17" i="1"/>
  <c r="AP17" i="1" s="1"/>
  <c r="AK17" i="1"/>
  <c r="AI17" i="1" s="1"/>
  <c r="X17" i="1"/>
  <c r="W17" i="1"/>
  <c r="V17" i="1"/>
  <c r="O17" i="1"/>
  <c r="H20" i="1" l="1"/>
  <c r="Z20" i="1" s="1"/>
  <c r="I20" i="1"/>
  <c r="M20" i="1" s="1"/>
  <c r="AJ20" i="1"/>
  <c r="H23" i="1"/>
  <c r="Z23" i="1" s="1"/>
  <c r="AJ23" i="1"/>
  <c r="I23" i="1"/>
  <c r="H27" i="1"/>
  <c r="Z27" i="1" s="1"/>
  <c r="I27" i="1"/>
  <c r="AJ27" i="1"/>
  <c r="AX22" i="1"/>
  <c r="M22" i="1"/>
  <c r="H25" i="1"/>
  <c r="Z25" i="1" s="1"/>
  <c r="H22" i="1"/>
  <c r="V22" i="1"/>
  <c r="BS23" i="1"/>
  <c r="BS24" i="1"/>
  <c r="AW24" i="1" s="1"/>
  <c r="AY24" i="1" s="1"/>
  <c r="I25" i="1"/>
  <c r="AX25" i="1" s="1"/>
  <c r="BS25" i="1"/>
  <c r="R25" i="1" s="1"/>
  <c r="BS26" i="1"/>
  <c r="M29" i="1"/>
  <c r="BS19" i="1"/>
  <c r="BS20" i="1"/>
  <c r="BS21" i="1"/>
  <c r="AW21" i="1" s="1"/>
  <c r="AY21" i="1" s="1"/>
  <c r="BS22" i="1"/>
  <c r="V24" i="1"/>
  <c r="AY27" i="1"/>
  <c r="BS27" i="1"/>
  <c r="AW27" i="1" s="1"/>
  <c r="R28" i="1"/>
  <c r="S28" i="1" s="1"/>
  <c r="T28" i="1" s="1"/>
  <c r="AW18" i="1"/>
  <c r="AY18" i="1" s="1"/>
  <c r="R18" i="1"/>
  <c r="AW25" i="1"/>
  <c r="AY25" i="1" s="1"/>
  <c r="R22" i="1"/>
  <c r="AW22" i="1"/>
  <c r="BA22" i="1" s="1"/>
  <c r="I18" i="1"/>
  <c r="AX18" i="1" s="1"/>
  <c r="BA18" i="1" s="1"/>
  <c r="H18" i="1"/>
  <c r="H17" i="1"/>
  <c r="AJ17" i="1"/>
  <c r="AJ18" i="1"/>
  <c r="R29" i="1"/>
  <c r="AW29" i="1"/>
  <c r="AY29" i="1" s="1"/>
  <c r="AJ19" i="1"/>
  <c r="Z21" i="1"/>
  <c r="R21" i="1"/>
  <c r="Z24" i="1"/>
  <c r="R24" i="1"/>
  <c r="AJ26" i="1"/>
  <c r="I26" i="1"/>
  <c r="AX26" i="1" s="1"/>
  <c r="I17" i="1"/>
  <c r="I19" i="1"/>
  <c r="J19" i="1" s="1"/>
  <c r="I21" i="1"/>
  <c r="AX21" i="1" s="1"/>
  <c r="BA21" i="1" s="1"/>
  <c r="AJ21" i="1"/>
  <c r="Z22" i="1"/>
  <c r="I24" i="1"/>
  <c r="AX24" i="1" s="1"/>
  <c r="BA24" i="1" s="1"/>
  <c r="AJ24" i="1"/>
  <c r="I28" i="1"/>
  <c r="AX28" i="1" s="1"/>
  <c r="BA28" i="1" s="1"/>
  <c r="Z28" i="1"/>
  <c r="AJ28" i="1"/>
  <c r="J22" i="1"/>
  <c r="J25" i="1"/>
  <c r="J29" i="1"/>
  <c r="AA28" i="1" l="1"/>
  <c r="P28" i="1"/>
  <c r="N28" i="1" s="1"/>
  <c r="Q28" i="1" s="1"/>
  <c r="K28" i="1" s="1"/>
  <c r="L28" i="1" s="1"/>
  <c r="J23" i="1"/>
  <c r="AX23" i="1"/>
  <c r="AW19" i="1"/>
  <c r="AY19" i="1" s="1"/>
  <c r="R19" i="1"/>
  <c r="S19" i="1" s="1"/>
  <c r="T19" i="1" s="1"/>
  <c r="U19" i="1" s="1"/>
  <c r="Y19" i="1" s="1"/>
  <c r="J27" i="1"/>
  <c r="AX27" i="1"/>
  <c r="BA27" i="1" s="1"/>
  <c r="M23" i="1"/>
  <c r="BA26" i="1"/>
  <c r="M27" i="1"/>
  <c r="J20" i="1"/>
  <c r="AX20" i="1"/>
  <c r="J18" i="1"/>
  <c r="M25" i="1"/>
  <c r="AW20" i="1"/>
  <c r="AY20" i="1" s="1"/>
  <c r="R20" i="1"/>
  <c r="S20" i="1" s="1"/>
  <c r="T20" i="1" s="1"/>
  <c r="P20" i="1" s="1"/>
  <c r="N20" i="1" s="1"/>
  <c r="Q20" i="1" s="1"/>
  <c r="R26" i="1"/>
  <c r="S26" i="1" s="1"/>
  <c r="T26" i="1" s="1"/>
  <c r="AW26" i="1"/>
  <c r="AY26" i="1" s="1"/>
  <c r="AW23" i="1"/>
  <c r="AY23" i="1" s="1"/>
  <c r="R23" i="1"/>
  <c r="S23" i="1" s="1"/>
  <c r="T23" i="1" s="1"/>
  <c r="AB23" i="1" s="1"/>
  <c r="AC23" i="1" s="1"/>
  <c r="R27" i="1"/>
  <c r="S27" i="1" s="1"/>
  <c r="T27" i="1" s="1"/>
  <c r="P27" i="1" s="1"/>
  <c r="N27" i="1" s="1"/>
  <c r="Q27" i="1" s="1"/>
  <c r="K27" i="1" s="1"/>
  <c r="L27" i="1" s="1"/>
  <c r="Z18" i="1"/>
  <c r="S18" i="1"/>
  <c r="T18" i="1" s="1"/>
  <c r="P18" i="1" s="1"/>
  <c r="N18" i="1" s="1"/>
  <c r="Q18" i="1" s="1"/>
  <c r="K18" i="1" s="1"/>
  <c r="L18" i="1" s="1"/>
  <c r="M28" i="1"/>
  <c r="AX17" i="1"/>
  <c r="BA17" i="1" s="1"/>
  <c r="M17" i="1"/>
  <c r="J17" i="1"/>
  <c r="S24" i="1"/>
  <c r="T24" i="1" s="1"/>
  <c r="U23" i="1"/>
  <c r="Y23" i="1" s="1"/>
  <c r="AA23" i="1"/>
  <c r="AB20" i="1"/>
  <c r="AC20" i="1" s="1"/>
  <c r="AA20" i="1"/>
  <c r="S25" i="1"/>
  <c r="T25" i="1" s="1"/>
  <c r="P23" i="1"/>
  <c r="N23" i="1" s="1"/>
  <c r="Q23" i="1" s="1"/>
  <c r="K23" i="1" s="1"/>
  <c r="L23" i="1" s="1"/>
  <c r="M24" i="1"/>
  <c r="M21" i="1"/>
  <c r="BA29" i="1"/>
  <c r="J26" i="1"/>
  <c r="S29" i="1"/>
  <c r="T29" i="1" s="1"/>
  <c r="U26" i="1"/>
  <c r="Y26" i="1" s="1"/>
  <c r="AB26" i="1"/>
  <c r="M18" i="1"/>
  <c r="S22" i="1"/>
  <c r="T22" i="1" s="1"/>
  <c r="BA25" i="1"/>
  <c r="J28" i="1"/>
  <c r="M26" i="1"/>
  <c r="J24" i="1"/>
  <c r="J21" i="1"/>
  <c r="AX19" i="1"/>
  <c r="BA19" i="1" s="1"/>
  <c r="M19" i="1"/>
  <c r="AB27" i="1"/>
  <c r="U27" i="1"/>
  <c r="Y27" i="1" s="1"/>
  <c r="AA27" i="1"/>
  <c r="S21" i="1"/>
  <c r="T21" i="1" s="1"/>
  <c r="AY22" i="1"/>
  <c r="P17" i="1"/>
  <c r="N17" i="1" s="1"/>
  <c r="Q17" i="1" s="1"/>
  <c r="K17" i="1" s="1"/>
  <c r="L17" i="1" s="1"/>
  <c r="Z17" i="1"/>
  <c r="AB19" i="1"/>
  <c r="U28" i="1"/>
  <c r="Y28" i="1" s="1"/>
  <c r="AB28" i="1"/>
  <c r="AC28" i="1" s="1"/>
  <c r="S17" i="1"/>
  <c r="T17" i="1" s="1"/>
  <c r="BA23" i="1" l="1"/>
  <c r="K26" i="1"/>
  <c r="L26" i="1" s="1"/>
  <c r="U20" i="1"/>
  <c r="Y20" i="1" s="1"/>
  <c r="P26" i="1"/>
  <c r="N26" i="1" s="1"/>
  <c r="Q26" i="1" s="1"/>
  <c r="AA26" i="1"/>
  <c r="AC26" i="1" s="1"/>
  <c r="P19" i="1"/>
  <c r="N19" i="1" s="1"/>
  <c r="Q19" i="1" s="1"/>
  <c r="K19" i="1" s="1"/>
  <c r="L19" i="1" s="1"/>
  <c r="AA19" i="1"/>
  <c r="AC19" i="1" s="1"/>
  <c r="K20" i="1"/>
  <c r="L20" i="1" s="1"/>
  <c r="BA20" i="1"/>
  <c r="U22" i="1"/>
  <c r="Y22" i="1" s="1"/>
  <c r="AB22" i="1"/>
  <c r="P22" i="1"/>
  <c r="N22" i="1" s="1"/>
  <c r="Q22" i="1" s="1"/>
  <c r="K22" i="1" s="1"/>
  <c r="L22" i="1" s="1"/>
  <c r="AA22" i="1"/>
  <c r="U24" i="1"/>
  <c r="Y24" i="1" s="1"/>
  <c r="AB24" i="1"/>
  <c r="P24" i="1"/>
  <c r="N24" i="1" s="1"/>
  <c r="Q24" i="1" s="1"/>
  <c r="K24" i="1" s="1"/>
  <c r="L24" i="1" s="1"/>
  <c r="AA24" i="1"/>
  <c r="U29" i="1"/>
  <c r="Y29" i="1" s="1"/>
  <c r="AB29" i="1"/>
  <c r="AA29" i="1"/>
  <c r="P29" i="1"/>
  <c r="N29" i="1" s="1"/>
  <c r="Q29" i="1" s="1"/>
  <c r="K29" i="1" s="1"/>
  <c r="L29" i="1" s="1"/>
  <c r="AB17" i="1"/>
  <c r="U17" i="1"/>
  <c r="Y17" i="1" s="1"/>
  <c r="AA17" i="1"/>
  <c r="U21" i="1"/>
  <c r="Y21" i="1" s="1"/>
  <c r="AB21" i="1"/>
  <c r="P21" i="1"/>
  <c r="N21" i="1" s="1"/>
  <c r="Q21" i="1" s="1"/>
  <c r="K21" i="1" s="1"/>
  <c r="L21" i="1" s="1"/>
  <c r="AA21" i="1"/>
  <c r="AC27" i="1"/>
  <c r="U25" i="1"/>
  <c r="Y25" i="1" s="1"/>
  <c r="AB25" i="1"/>
  <c r="P25" i="1"/>
  <c r="N25" i="1" s="1"/>
  <c r="Q25" i="1" s="1"/>
  <c r="K25" i="1" s="1"/>
  <c r="L25" i="1" s="1"/>
  <c r="AA25" i="1"/>
  <c r="U18" i="1"/>
  <c r="Y18" i="1" s="1"/>
  <c r="AB18" i="1"/>
  <c r="AA18" i="1"/>
  <c r="AC18" i="1" l="1"/>
  <c r="AC25" i="1"/>
  <c r="AC29" i="1"/>
  <c r="AC24" i="1"/>
  <c r="AC22" i="1"/>
  <c r="AC21" i="1"/>
  <c r="AC17" i="1"/>
</calcChain>
</file>

<file path=xl/sharedStrings.xml><?xml version="1.0" encoding="utf-8"?>
<sst xmlns="http://schemas.openxmlformats.org/spreadsheetml/2006/main" count="769" uniqueCount="350">
  <si>
    <t>File opened</t>
  </si>
  <si>
    <t>2019-08-03 13:56:27</t>
  </si>
  <si>
    <t>Console s/n</t>
  </si>
  <si>
    <t>68C-571038</t>
  </si>
  <si>
    <t>Console ver</t>
  </si>
  <si>
    <t>Bluestem v.1.3.4</t>
  </si>
  <si>
    <t>Scripts ver</t>
  </si>
  <si>
    <t>2018.05  1.3.4, Mar 2018</t>
  </si>
  <si>
    <t>Head s/n</t>
  </si>
  <si>
    <t>68H-581038</t>
  </si>
  <si>
    <t>Head ver</t>
  </si>
  <si>
    <t>1.3.0</t>
  </si>
  <si>
    <t>Head cal</t>
  </si>
  <si>
    <t>{"h2oaspan2b": "0.0662632", "oxygen": "21", "h2obspan2a": "0.0975941", "h2obspan2": "0", "h2oaspanconc1": "12.19", "flowmeterzero": "0.991801", "co2bspanconc1": "1002", "h2oaspan2": "0", "co2aspan2a": "0.164928", "tazero": "0.00774765", "h2obspanconc2": "0", "co2bspanconc2": "0", "h2oaspan1": "1.00223", "h2obspan2b": "0.0963575", "h2oaspanconc2": "0", "co2bzero": "0.880288", "co2bspan2": "0", "tbzero": "0.197721", "h2oaspan2a": "0.0661155", "ssb_ref": "36526.8", "co2aspan2b": "0.163711", "h2obzero": "1.01783", "co2aspanconc1": "1002", "flowazero": "0.4286", "h2oazero": "1.00263", "co2aspan2": "0", "flowbzero": "0.20796", "chamberpressurezero": "2.57337", "co2aspanconc2": "0", "ssa_ref": "36614.9", "co2aspan1": "0.992625", "co2bspan2a": "0.163389", "co2bspan2b": "0.162103", "h2obspanconc1": "20", "co2bspan1": "0.992131", "h2obspan1": "0.998578", "co2azero": "0.869071"}</t>
  </si>
  <si>
    <t>Chamber type</t>
  </si>
  <si>
    <t>6800-01</t>
  </si>
  <si>
    <t>Chamber s/n</t>
  </si>
  <si>
    <t>MPF-551037</t>
  </si>
  <si>
    <t>Chamber rev</t>
  </si>
  <si>
    <t>0</t>
  </si>
  <si>
    <t>Chamber cal</t>
  </si>
  <si>
    <t>Fluorometer</t>
  </si>
  <si>
    <t>Flr. Version</t>
  </si>
  <si>
    <t>13:56:27</t>
  </si>
  <si>
    <t>Stability Definition:	A (GasEx): Slp&lt;0.3 Std&lt;0.5	gsw (GasEx): Slp&lt;1 Std&lt;0.5</t>
  </si>
  <si>
    <t>SysConst</t>
  </si>
  <si>
    <t>AvgTime</t>
  </si>
  <si>
    <t>4</t>
  </si>
  <si>
    <t>Oxygen</t>
  </si>
  <si>
    <t>21</t>
  </si>
  <si>
    <t>Chamber</t>
  </si>
  <si>
    <t>Const</t>
  </si>
  <si>
    <t>CustomBLC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</si>
  <si>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</si>
  <si>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</si>
  <si>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</si>
  <si>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</si>
  <si>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</si>
  <si>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</si>
  <si>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</si>
  <si>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</si>
  <si>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</si>
  <si>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</si>
  <si>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</si>
  <si>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</si>
  <si>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</si>
  <si>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</si>
  <si>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</si>
  <si>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</si>
  <si>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</si>
  <si>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</si>
  <si>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</si>
  <si>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</si>
  <si>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</si>
  <si>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</si>
  <si>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</si>
  <si>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</si>
  <si>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</si>
  <si>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</si>
  <si>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</si>
  <si>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</si>
  <si>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</si>
  <si>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</si>
  <si>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</si>
  <si>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</si>
  <si>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</si>
  <si>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</si>
  <si>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</si>
  <si>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</si>
  <si>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1.7725 75.0012 383.078 616.448 845.839 1055.29 1233.75 1400.04</t>
  </si>
  <si>
    <t>Fs_true</t>
  </si>
  <si>
    <t>-0.163169 100.236 403.285 600.985 800.55 1001.15 1200.95 1401.13</t>
  </si>
  <si>
    <t>leak_wt</t>
  </si>
  <si>
    <t>Sys</t>
  </si>
  <si>
    <t>UserDefVar</t>
  </si>
  <si>
    <t>GasEx</t>
  </si>
  <si>
    <t>Leak</t>
  </si>
  <si>
    <t>FLR</t>
  </si>
  <si>
    <t>MPF</t>
  </si>
  <si>
    <t>LeafQ</t>
  </si>
  <si>
    <t>Meas</t>
  </si>
  <si>
    <t>FlrLS</t>
  </si>
  <si>
    <t>FlrStats</t>
  </si>
  <si>
    <t>Match</t>
  </si>
  <si>
    <t>Stability</t>
  </si>
  <si>
    <t>Auxiliary</t>
  </si>
  <si>
    <t>Status</t>
  </si>
  <si>
    <t>obs</t>
  </si>
  <si>
    <t>time</t>
  </si>
  <si>
    <t>elapsed</t>
  </si>
  <si>
    <t>date</t>
  </si>
  <si>
    <t>hhmmss</t>
  </si>
  <si>
    <t>plant</t>
  </si>
  <si>
    <t>TIME</t>
  </si>
  <si>
    <t>E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</si>
  <si>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</si>
  <si>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</si>
  <si>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</si>
  <si>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</si>
  <si>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</si>
  <si>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</si>
  <si>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</si>
  <si>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</si>
  <si>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</si>
  <si>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</si>
  <si>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</si>
  <si>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</si>
  <si>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</si>
  <si>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</si>
  <si>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</si>
  <si>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</si>
  <si>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</si>
  <si>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</si>
  <si>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</si>
  <si>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</si>
  <si>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</si>
  <si>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blfa_1</t>
  </si>
  <si>
    <t>blfa_2</t>
  </si>
  <si>
    <t>blfa_3</t>
  </si>
  <si>
    <t>LeakPct</t>
  </si>
  <si>
    <t>CorrFact</t>
  </si>
  <si>
    <t>CorrFactPct</t>
  </si>
  <si>
    <t>Fan</t>
  </si>
  <si>
    <t>DarkAdaptedID</t>
  </si>
  <si>
    <t>Fo</t>
  </si>
  <si>
    <t>Fm</t>
  </si>
  <si>
    <t>Fv</t>
  </si>
  <si>
    <t>Fv/Fm</t>
  </si>
  <si>
    <t>Adark</t>
  </si>
  <si>
    <t>LightAdaptedID</t>
  </si>
  <si>
    <t>Fs</t>
  </si>
  <si>
    <t>Fm'</t>
  </si>
  <si>
    <t>PhiPS2</t>
  </si>
  <si>
    <t>PS2/1</t>
  </si>
  <si>
    <t>Qabs_fs</t>
  </si>
  <si>
    <t>Afs</t>
  </si>
  <si>
    <t>ETR</t>
  </si>
  <si>
    <t>Fv'/Fm'</t>
  </si>
  <si>
    <t>PhiCO2</t>
  </si>
  <si>
    <t>NPQ</t>
  </si>
  <si>
    <t>DarkPulseID</t>
  </si>
  <si>
    <t>Fo'</t>
  </si>
  <si>
    <t>Fv'</t>
  </si>
  <si>
    <t>qP</t>
  </si>
  <si>
    <t>qN</t>
  </si>
  <si>
    <t>qP_Fo</t>
  </si>
  <si>
    <t>qN_Fo</t>
  </si>
  <si>
    <t>ID</t>
  </si>
  <si>
    <t>P1_dur</t>
  </si>
  <si>
    <t>P2_dur</t>
  </si>
  <si>
    <t>P3_dur</t>
  </si>
  <si>
    <t>P1_Qmax</t>
  </si>
  <si>
    <t>P1_Fmax</t>
  </si>
  <si>
    <t>P2_dQdt</t>
  </si>
  <si>
    <t>P3_ΔF</t>
  </si>
  <si>
    <t>Qin</t>
  </si>
  <si>
    <t>Qabs</t>
  </si>
  <si>
    <t>alpha</t>
  </si>
  <si>
    <t>convert</t>
  </si>
  <si>
    <t>S</t>
  </si>
  <si>
    <t>K</t>
  </si>
  <si>
    <t>Geometry</t>
  </si>
  <si>
    <t>CO2_s</t>
  </si>
  <si>
    <t>CO2_r</t>
  </si>
  <si>
    <t>H2O_s</t>
  </si>
  <si>
    <t>H2O_r</t>
  </si>
  <si>
    <t>Flow</t>
  </si>
  <si>
    <t>Pa</t>
  </si>
  <si>
    <t>ΔPcham</t>
  </si>
  <si>
    <t>Tair</t>
  </si>
  <si>
    <t>Tleaf</t>
  </si>
  <si>
    <t>Tleaf2</t>
  </si>
  <si>
    <t>Fan_speed</t>
  </si>
  <si>
    <t>Qamb_in</t>
  </si>
  <si>
    <t>Qamb_out</t>
  </si>
  <si>
    <t>Q</t>
  </si>
  <si>
    <t>f_red</t>
  </si>
  <si>
    <t>f_blue</t>
  </si>
  <si>
    <t>f_farred</t>
  </si>
  <si>
    <t>F</t>
  </si>
  <si>
    <t>Q_modavg</t>
  </si>
  <si>
    <t>F_dc</t>
  </si>
  <si>
    <t>Pc</t>
  </si>
  <si>
    <t>Tled</t>
  </si>
  <si>
    <t>TDigital</t>
  </si>
  <si>
    <t>TPreamp</t>
  </si>
  <si>
    <t>TPwrSpy</t>
  </si>
  <si>
    <t>TDrive</t>
  </si>
  <si>
    <t>Q_red</t>
  </si>
  <si>
    <t>Q_blue</t>
  </si>
  <si>
    <t>Q_farred</t>
  </si>
  <si>
    <t>TSPF</t>
  </si>
  <si>
    <t>F_avg</t>
  </si>
  <si>
    <t>dF/dt</t>
  </si>
  <si>
    <t>dF_dc/dt</t>
  </si>
  <si>
    <t>F_dc_avg</t>
  </si>
  <si>
    <t>period</t>
  </si>
  <si>
    <t>count</t>
  </si>
  <si>
    <t>co2_adj</t>
  </si>
  <si>
    <t>h2o_adj</t>
  </si>
  <si>
    <t>co2_at</t>
  </si>
  <si>
    <t>h2o_at</t>
  </si>
  <si>
    <t>co2_cv</t>
  </si>
  <si>
    <t>h2o_cv</t>
  </si>
  <si>
    <t>A:MN</t>
  </si>
  <si>
    <t>A:SLP</t>
  </si>
  <si>
    <t>A:SD</t>
  </si>
  <si>
    <t>A:OK</t>
  </si>
  <si>
    <t>gsw:MN</t>
  </si>
  <si>
    <t>gsw:SLP</t>
  </si>
  <si>
    <t>gsw:SD</t>
  </si>
  <si>
    <t>gsw:OK</t>
  </si>
  <si>
    <t>Stable</t>
  </si>
  <si>
    <t>Total</t>
  </si>
  <si>
    <t>State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</si>
  <si>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</si>
  <si>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</si>
  <si>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</si>
  <si>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</si>
  <si>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</si>
  <si>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</si>
  <si>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</si>
  <si>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</si>
  <si>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</si>
  <si>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</si>
  <si>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</si>
  <si>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</si>
  <si>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</si>
  <si>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</si>
  <si>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</si>
  <si>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</si>
  <si>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</si>
  <si>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</si>
  <si>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</si>
  <si>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</si>
  <si>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</si>
  <si>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</si>
  <si>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</si>
  <si>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</si>
  <si>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</si>
  <si>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</si>
  <si>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</si>
  <si>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</si>
  <si>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</si>
  <si>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</si>
  <si>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</si>
  <si>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</si>
  <si>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</si>
  <si>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</si>
  <si>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</si>
  <si>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</si>
  <si>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</si>
  <si>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</si>
  <si>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</si>
  <si>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</si>
  <si>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</si>
  <si>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µmol m⁻² s⁻¹</t>
  </si>
  <si>
    <t>µmol mol⁻¹</t>
  </si>
  <si>
    <t>W m⁻²</t>
  </si>
  <si>
    <t>°C</t>
  </si>
  <si>
    <t>kPa</t>
  </si>
  <si>
    <t>%</t>
  </si>
  <si>
    <t>µmol s⁻¹</t>
  </si>
  <si>
    <t>µmol µmol⁻¹</t>
  </si>
  <si>
    <t>ms</t>
  </si>
  <si>
    <t>mol m⁻² s⁻²</t>
  </si>
  <si>
    <t>J/µmol</t>
  </si>
  <si>
    <t>cm²</t>
  </si>
  <si>
    <t>mmol mol⁻¹</t>
  </si>
  <si>
    <t>rpm</t>
  </si>
  <si>
    <t>min⁻¹</t>
  </si>
  <si>
    <t>secs</t>
  </si>
  <si>
    <t>µmol/mol</t>
  </si>
  <si>
    <t>mmol/mol</t>
  </si>
  <si>
    <t>µmol m⁻² s⁻¹ min⁻¹</t>
  </si>
  <si>
    <t>mol m⁻² s⁻¹ min⁻¹</t>
  </si>
  <si>
    <t>V</t>
  </si>
  <si>
    <t>20190803 13:59:27</t>
  </si>
  <si>
    <t>13:59:27</t>
  </si>
  <si>
    <t>RECT-741-20190803-05_27_36</t>
  </si>
  <si>
    <t>MPF-882-20190803-13_59_29</t>
  </si>
  <si>
    <t>DARK-883-20190803-13_59_36</t>
  </si>
  <si>
    <t>0: Broadleaf</t>
  </si>
  <si>
    <t>13:58:42</t>
  </si>
  <si>
    <t>2/2</t>
  </si>
  <si>
    <t>5</t>
  </si>
  <si>
    <t>11111111</t>
  </si>
  <si>
    <t>oooooooo</t>
  </si>
  <si>
    <t>off</t>
  </si>
  <si>
    <t>20190803 14:01:10</t>
  </si>
  <si>
    <t>14:01:10</t>
  </si>
  <si>
    <t>MPF-884-20190803-14_01_11</t>
  </si>
  <si>
    <t>DARK-885-20190803-14_01_19</t>
  </si>
  <si>
    <t>14:00:53</t>
  </si>
  <si>
    <t>1/2</t>
  </si>
  <si>
    <t>20190803 14:02:29</t>
  </si>
  <si>
    <t>14:02:29</t>
  </si>
  <si>
    <t>MPF-886-20190803-14_02_31</t>
  </si>
  <si>
    <t>DARK-887-20190803-14_02_39</t>
  </si>
  <si>
    <t>14:03:05</t>
  </si>
  <si>
    <t>20190803 14:04:27</t>
  </si>
  <si>
    <t>14:04:27</t>
  </si>
  <si>
    <t>MPF-888-20190803-14_04_29</t>
  </si>
  <si>
    <t>DARK-889-20190803-14_04_37</t>
  </si>
  <si>
    <t>14:05:01</t>
  </si>
  <si>
    <t>20190803 14:06:20</t>
  </si>
  <si>
    <t>14:06:20</t>
  </si>
  <si>
    <t>MPF-890-20190803-14_06_21</t>
  </si>
  <si>
    <t>DARK-891-20190803-14_06_29</t>
  </si>
  <si>
    <t>14:07:00</t>
  </si>
  <si>
    <t>20190803 14:08:19</t>
  </si>
  <si>
    <t>14:08:19</t>
  </si>
  <si>
    <t>MPF-892-20190803-14_08_20</t>
  </si>
  <si>
    <t>DARK-893-20190803-14_08_28</t>
  </si>
  <si>
    <t>14:08:59</t>
  </si>
  <si>
    <t>20190803 14:12:38</t>
  </si>
  <si>
    <t>14:12:38</t>
  </si>
  <si>
    <t>MPF-896-20190803-14_12_39</t>
  </si>
  <si>
    <t>DARK-897-20190803-14_12_47</t>
  </si>
  <si>
    <t>14:13:18</t>
  </si>
  <si>
    <t>20190803 14:14:50</t>
  </si>
  <si>
    <t>14:14:50</t>
  </si>
  <si>
    <t>MPF-898-20190803-14_14_51</t>
  </si>
  <si>
    <t>DARK-899-20190803-14_14_59</t>
  </si>
  <si>
    <t>14:15:23</t>
  </si>
  <si>
    <t>20190803 14:16:55</t>
  </si>
  <si>
    <t>14:16:55</t>
  </si>
  <si>
    <t>MPF-900-20190803-14_16_56</t>
  </si>
  <si>
    <t>DARK-901-20190803-14_17_04</t>
  </si>
  <si>
    <t>14:17:34</t>
  </si>
  <si>
    <t>20190803 14:19:05</t>
  </si>
  <si>
    <t>14:19:05</t>
  </si>
  <si>
    <t>MPF-902-20190803-14_19_07</t>
  </si>
  <si>
    <t>DARK-903-20190803-14_19_15</t>
  </si>
  <si>
    <t>14:19:40</t>
  </si>
  <si>
    <t>20190803 14:21:12</t>
  </si>
  <si>
    <t>14:21:12</t>
  </si>
  <si>
    <t>MPF-904-20190803-14_21_14</t>
  </si>
  <si>
    <t>DARK-905-20190803-14_21_21</t>
  </si>
  <si>
    <t>14:21:52</t>
  </si>
  <si>
    <t>20190803 14:23:24</t>
  </si>
  <si>
    <t>14:23:24</t>
  </si>
  <si>
    <t>MPF-906-20190803-14_23_25</t>
  </si>
  <si>
    <t>DARK-907-20190803-14_23_33</t>
  </si>
  <si>
    <t>14:23:58</t>
  </si>
  <si>
    <t>20190803 14:25:27</t>
  </si>
  <si>
    <t>14:25:27</t>
  </si>
  <si>
    <t>MPF-908-20190803-14_25_28</t>
  </si>
  <si>
    <t>DARK-909-20190803-14_25_36</t>
  </si>
  <si>
    <t>14:25:55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</si>
</sst>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O29"/>
  <sheetViews>
    <sheetView tabSelected="1" topLeftCell="A10" workbookViewId="0">
      <selection activeCell="A23" sqref="A23:XFD23"/>
    </sheetView>
  </sheetViews>
  <sheetFormatPr defaultRowHeight="14.5" x14ac:dyDescent="0.35"/>
  <sheetData>
    <row r="2" spans="1:171" x14ac:dyDescent="0.35">
      <c r="A2" t="s">
        <v>25</v>
      </c>
      <c r="B2" t="s">
        <v>26</v>
      </c>
      <c r="C2" t="s">
        <v>28</v>
      </c>
      <c r="D2" t="s">
        <v>30</v>
      </c>
    </row>
    <row r="3" spans="1:171" x14ac:dyDescent="0.35">
      <c r="B3" t="s">
        <v>27</v>
      </c>
      <c r="C3" t="s">
        <v>29</v>
      </c>
      <c r="D3" t="s">
        <v>15</v>
      </c>
    </row>
    <row r="4" spans="1:171" x14ac:dyDescent="0.35">
      <c r="A4" t="s">
        <v>31</v>
      </c>
      <c r="B4" t="s">
        <v>32</v>
      </c>
    </row>
    <row r="5" spans="1:171" x14ac:dyDescent="0.35">
      <c r="B5">
        <v>2</v>
      </c>
    </row>
    <row r="6" spans="1:171" x14ac:dyDescent="0.35">
      <c r="A6" t="s">
        <v>33</v>
      </c>
      <c r="B6" t="s">
        <v>34</v>
      </c>
      <c r="C6" t="s">
        <v>35</v>
      </c>
      <c r="D6" t="s">
        <v>36</v>
      </c>
      <c r="E6" t="s">
        <v>37</v>
      </c>
    </row>
    <row r="7" spans="1:171" x14ac:dyDescent="0.35">
      <c r="B7">
        <v>0</v>
      </c>
      <c r="C7">
        <v>1</v>
      </c>
      <c r="D7">
        <v>0</v>
      </c>
      <c r="E7">
        <v>0</v>
      </c>
    </row>
    <row r="8" spans="1:171" x14ac:dyDescent="0.35">
      <c r="A8" t="s">
        <v>38</v>
      </c>
      <c r="B8" t="s">
        <v>39</v>
      </c>
      <c r="C8" t="s">
        <v>41</v>
      </c>
      <c r="D8" t="s">
        <v>43</v>
      </c>
      <c r="E8" t="s">
        <v>44</v>
      </c>
      <c r="F8" t="s">
        <v>45</v>
      </c>
      <c r="G8" t="s">
        <v>46</v>
      </c>
      <c r="H8" t="s">
        <v>47</v>
      </c>
      <c r="I8" t="s">
        <v>48</v>
      </c>
      <c r="J8" t="s">
        <v>49</v>
      </c>
      <c r="K8" t="s">
        <v>50</v>
      </c>
      <c r="L8" t="s">
        <v>51</v>
      </c>
      <c r="M8" t="s">
        <v>52</v>
      </c>
      <c r="N8" t="s">
        <v>53</v>
      </c>
      <c r="O8" t="s">
        <v>54</v>
      </c>
      <c r="P8" t="s">
        <v>55</v>
      </c>
      <c r="Q8" t="s">
        <v>56</v>
      </c>
    </row>
    <row r="9" spans="1:171" x14ac:dyDescent="0.35">
      <c r="B9" t="s">
        <v>40</v>
      </c>
      <c r="C9" t="s">
        <v>42</v>
      </c>
      <c r="D9">
        <v>0.49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0.39</v>
      </c>
      <c r="L9">
        <v>0.18</v>
      </c>
      <c r="M9">
        <v>0.23</v>
      </c>
      <c r="N9">
        <v>0.26</v>
      </c>
      <c r="O9">
        <v>0.21</v>
      </c>
      <c r="P9">
        <v>0.19</v>
      </c>
      <c r="Q9">
        <v>0.25</v>
      </c>
    </row>
    <row r="10" spans="1:171" x14ac:dyDescent="0.35">
      <c r="A10" t="s">
        <v>57</v>
      </c>
      <c r="B10" t="s">
        <v>58</v>
      </c>
      <c r="C10" t="s">
        <v>59</v>
      </c>
      <c r="D10" t="s">
        <v>60</v>
      </c>
      <c r="E10" t="s">
        <v>61</v>
      </c>
      <c r="F10" t="s">
        <v>62</v>
      </c>
    </row>
    <row r="11" spans="1:171" x14ac:dyDescent="0.35">
      <c r="B11">
        <v>0</v>
      </c>
      <c r="C11">
        <v>0</v>
      </c>
      <c r="D11">
        <v>0</v>
      </c>
      <c r="E11">
        <v>0</v>
      </c>
      <c r="F11">
        <v>1</v>
      </c>
    </row>
    <row r="12" spans="1:171" x14ac:dyDescent="0.35">
      <c r="A12" t="s">
        <v>63</v>
      </c>
      <c r="B12" t="s">
        <v>64</v>
      </c>
      <c r="C12" t="s">
        <v>65</v>
      </c>
      <c r="D12" t="s">
        <v>66</v>
      </c>
      <c r="E12" t="s">
        <v>67</v>
      </c>
      <c r="F12" t="s">
        <v>68</v>
      </c>
      <c r="G12" t="s">
        <v>70</v>
      </c>
      <c r="H12" t="s">
        <v>72</v>
      </c>
    </row>
    <row r="13" spans="1:171" x14ac:dyDescent="0.35">
      <c r="B13">
        <v>-6276</v>
      </c>
      <c r="C13">
        <v>6.6</v>
      </c>
      <c r="D13">
        <v>1.7090000000000001E-5</v>
      </c>
      <c r="E13">
        <v>3.11</v>
      </c>
      <c r="F13" t="s">
        <v>69</v>
      </c>
      <c r="G13" t="s">
        <v>71</v>
      </c>
      <c r="H13">
        <v>2</v>
      </c>
    </row>
    <row r="14" spans="1:171" x14ac:dyDescent="0.35">
      <c r="A14" t="s">
        <v>73</v>
      </c>
      <c r="B14" t="s">
        <v>73</v>
      </c>
      <c r="C14" t="s">
        <v>73</v>
      </c>
      <c r="D14" t="s">
        <v>73</v>
      </c>
      <c r="E14" t="s">
        <v>73</v>
      </c>
      <c r="F14" t="s">
        <v>74</v>
      </c>
      <c r="G14" t="s">
        <v>75</v>
      </c>
      <c r="H14" t="s">
        <v>75</v>
      </c>
      <c r="I14" t="s">
        <v>75</v>
      </c>
      <c r="J14" t="s">
        <v>75</v>
      </c>
      <c r="K14" t="s">
        <v>75</v>
      </c>
      <c r="L14" t="s">
        <v>75</v>
      </c>
      <c r="M14" t="s">
        <v>75</v>
      </c>
      <c r="N14" t="s">
        <v>75</v>
      </c>
      <c r="O14" t="s">
        <v>75</v>
      </c>
      <c r="P14" t="s">
        <v>75</v>
      </c>
      <c r="Q14" t="s">
        <v>75</v>
      </c>
      <c r="R14" t="s">
        <v>75</v>
      </c>
      <c r="S14" t="s">
        <v>75</v>
      </c>
      <c r="T14" t="s">
        <v>75</v>
      </c>
      <c r="U14" t="s">
        <v>75</v>
      </c>
      <c r="V14" t="s">
        <v>75</v>
      </c>
      <c r="W14" t="s">
        <v>75</v>
      </c>
      <c r="X14" t="s">
        <v>75</v>
      </c>
      <c r="Y14" t="s">
        <v>75</v>
      </c>
      <c r="Z14" t="s">
        <v>75</v>
      </c>
      <c r="AA14" t="s">
        <v>75</v>
      </c>
      <c r="AB14" t="s">
        <v>75</v>
      </c>
      <c r="AC14" t="s">
        <v>75</v>
      </c>
      <c r="AD14" t="s">
        <v>75</v>
      </c>
      <c r="AE14" t="s">
        <v>75</v>
      </c>
      <c r="AF14" t="s">
        <v>75</v>
      </c>
      <c r="AG14" t="s">
        <v>76</v>
      </c>
      <c r="AH14" t="s">
        <v>76</v>
      </c>
      <c r="AI14" t="s">
        <v>76</v>
      </c>
      <c r="AJ14" t="s">
        <v>76</v>
      </c>
      <c r="AK14" t="s">
        <v>76</v>
      </c>
      <c r="AL14" t="s">
        <v>77</v>
      </c>
      <c r="AM14" t="s">
        <v>77</v>
      </c>
      <c r="AN14" t="s">
        <v>77</v>
      </c>
      <c r="AO14" t="s">
        <v>77</v>
      </c>
      <c r="AP14" t="s">
        <v>77</v>
      </c>
      <c r="AQ14" t="s">
        <v>77</v>
      </c>
      <c r="AR14" t="s">
        <v>77</v>
      </c>
      <c r="AS14" t="s">
        <v>77</v>
      </c>
      <c r="AT14" t="s">
        <v>77</v>
      </c>
      <c r="AU14" t="s">
        <v>77</v>
      </c>
      <c r="AV14" t="s">
        <v>77</v>
      </c>
      <c r="AW14" t="s">
        <v>77</v>
      </c>
      <c r="AX14" t="s">
        <v>77</v>
      </c>
      <c r="AY14" t="s">
        <v>77</v>
      </c>
      <c r="AZ14" t="s">
        <v>77</v>
      </c>
      <c r="BA14" t="s">
        <v>77</v>
      </c>
      <c r="BB14" t="s">
        <v>77</v>
      </c>
      <c r="BC14" t="s">
        <v>77</v>
      </c>
      <c r="BD14" t="s">
        <v>77</v>
      </c>
      <c r="BE14" t="s">
        <v>77</v>
      </c>
      <c r="BF14" t="s">
        <v>77</v>
      </c>
      <c r="BG14" t="s">
        <v>77</v>
      </c>
      <c r="BH14" t="s">
        <v>77</v>
      </c>
      <c r="BI14" t="s">
        <v>77</v>
      </c>
      <c r="BJ14" t="s">
        <v>78</v>
      </c>
      <c r="BK14" t="s">
        <v>78</v>
      </c>
      <c r="BL14" t="s">
        <v>78</v>
      </c>
      <c r="BM14" t="s">
        <v>78</v>
      </c>
      <c r="BN14" t="s">
        <v>78</v>
      </c>
      <c r="BO14" t="s">
        <v>78</v>
      </c>
      <c r="BP14" t="s">
        <v>78</v>
      </c>
      <c r="BQ14" t="s">
        <v>78</v>
      </c>
      <c r="BR14" t="s">
        <v>79</v>
      </c>
      <c r="BS14" t="s">
        <v>79</v>
      </c>
      <c r="BT14" t="s">
        <v>79</v>
      </c>
      <c r="BU14" t="s">
        <v>79</v>
      </c>
      <c r="BV14" t="s">
        <v>31</v>
      </c>
      <c r="BW14" t="s">
        <v>31</v>
      </c>
      <c r="BX14" t="s">
        <v>31</v>
      </c>
      <c r="BY14" t="s">
        <v>80</v>
      </c>
      <c r="BZ14" t="s">
        <v>80</v>
      </c>
      <c r="CA14" t="s">
        <v>80</v>
      </c>
      <c r="CB14" t="s">
        <v>80</v>
      </c>
      <c r="CC14" t="s">
        <v>80</v>
      </c>
      <c r="CD14" t="s">
        <v>80</v>
      </c>
      <c r="CE14" t="s">
        <v>80</v>
      </c>
      <c r="CF14" t="s">
        <v>80</v>
      </c>
      <c r="CG14" t="s">
        <v>80</v>
      </c>
      <c r="CH14" t="s">
        <v>80</v>
      </c>
      <c r="CI14" t="s">
        <v>80</v>
      </c>
      <c r="CJ14" t="s">
        <v>80</v>
      </c>
      <c r="CK14" t="s">
        <v>80</v>
      </c>
      <c r="CL14" t="s">
        <v>80</v>
      </c>
      <c r="CM14" t="s">
        <v>81</v>
      </c>
      <c r="CN14" t="s">
        <v>81</v>
      </c>
      <c r="CO14" t="s">
        <v>81</v>
      </c>
      <c r="CP14" t="s">
        <v>81</v>
      </c>
      <c r="CQ14" t="s">
        <v>81</v>
      </c>
      <c r="CR14" t="s">
        <v>81</v>
      </c>
      <c r="CS14" t="s">
        <v>81</v>
      </c>
      <c r="CT14" t="s">
        <v>81</v>
      </c>
      <c r="CU14" t="s">
        <v>81</v>
      </c>
      <c r="CV14" t="s">
        <v>81</v>
      </c>
      <c r="CW14" t="s">
        <v>81</v>
      </c>
      <c r="CX14" t="s">
        <v>81</v>
      </c>
      <c r="CY14" t="s">
        <v>81</v>
      </c>
      <c r="CZ14" t="s">
        <v>81</v>
      </c>
      <c r="DA14" t="s">
        <v>81</v>
      </c>
      <c r="DB14" t="s">
        <v>81</v>
      </c>
      <c r="DC14" t="s">
        <v>81</v>
      </c>
      <c r="DD14" t="s">
        <v>82</v>
      </c>
      <c r="DE14" t="s">
        <v>82</v>
      </c>
      <c r="DF14" t="s">
        <v>82</v>
      </c>
      <c r="DG14" t="s">
        <v>82</v>
      </c>
      <c r="DH14" t="s">
        <v>82</v>
      </c>
      <c r="DI14" t="s">
        <v>83</v>
      </c>
      <c r="DJ14" t="s">
        <v>83</v>
      </c>
      <c r="DK14" t="s">
        <v>83</v>
      </c>
      <c r="DL14" t="s">
        <v>83</v>
      </c>
      <c r="DM14" t="s">
        <v>83</v>
      </c>
      <c r="DN14" t="s">
        <v>83</v>
      </c>
      <c r="DO14" t="s">
        <v>83</v>
      </c>
      <c r="DP14" t="s">
        <v>83</v>
      </c>
      <c r="DQ14" t="s">
        <v>83</v>
      </c>
      <c r="DR14" t="s">
        <v>84</v>
      </c>
      <c r="DS14" t="s">
        <v>84</v>
      </c>
      <c r="DT14" t="s">
        <v>84</v>
      </c>
      <c r="DU14" t="s">
        <v>84</v>
      </c>
      <c r="DV14" t="s">
        <v>84</v>
      </c>
      <c r="DW14" t="s">
        <v>84</v>
      </c>
      <c r="DX14" t="s">
        <v>84</v>
      </c>
      <c r="DY14" t="s">
        <v>84</v>
      </c>
      <c r="DZ14" t="s">
        <v>84</v>
      </c>
      <c r="EA14" t="s">
        <v>84</v>
      </c>
      <c r="EB14" t="s">
        <v>84</v>
      </c>
      <c r="EC14" t="s">
        <v>85</v>
      </c>
      <c r="ED14" t="s">
        <v>85</v>
      </c>
      <c r="EE14" t="s">
        <v>85</v>
      </c>
      <c r="EF14" t="s">
        <v>85</v>
      </c>
      <c r="EG14" t="s">
        <v>85</v>
      </c>
      <c r="EH14" t="s">
        <v>85</v>
      </c>
      <c r="EI14" t="s">
        <v>85</v>
      </c>
      <c r="EJ14" t="s">
        <v>85</v>
      </c>
      <c r="EK14" t="s">
        <v>85</v>
      </c>
      <c r="EL14" t="s">
        <v>85</v>
      </c>
      <c r="EM14" t="s">
        <v>85</v>
      </c>
      <c r="EN14" t="s">
        <v>85</v>
      </c>
      <c r="EO14" t="s">
        <v>85</v>
      </c>
      <c r="EP14" t="s">
        <v>85</v>
      </c>
      <c r="EQ14" t="s">
        <v>85</v>
      </c>
      <c r="ER14" t="s">
        <v>85</v>
      </c>
      <c r="ES14" t="s">
        <v>85</v>
      </c>
      <c r="ET14" t="s">
        <v>85</v>
      </c>
      <c r="EU14" t="s">
        <v>85</v>
      </c>
      <c r="EV14" t="s">
        <v>86</v>
      </c>
      <c r="EW14" t="s">
        <v>86</v>
      </c>
      <c r="EX14" t="s">
        <v>86</v>
      </c>
      <c r="EY14" t="s">
        <v>86</v>
      </c>
      <c r="EZ14" t="s">
        <v>86</v>
      </c>
      <c r="FA14" t="s">
        <v>86</v>
      </c>
      <c r="FB14" t="s">
        <v>86</v>
      </c>
      <c r="FC14" t="s">
        <v>86</v>
      </c>
      <c r="FD14" t="s">
        <v>86</v>
      </c>
      <c r="FE14" t="s">
        <v>86</v>
      </c>
      <c r="FF14" t="s">
        <v>86</v>
      </c>
      <c r="FG14" t="s">
        <v>86</v>
      </c>
      <c r="FH14" t="s">
        <v>86</v>
      </c>
      <c r="FI14" t="s">
        <v>86</v>
      </c>
      <c r="FJ14" t="s">
        <v>86</v>
      </c>
      <c r="FK14" t="s">
        <v>86</v>
      </c>
      <c r="FL14" t="s">
        <v>86</v>
      </c>
      <c r="FM14" t="s">
        <v>86</v>
      </c>
      <c r="FN14" t="s">
        <v>86</v>
      </c>
      <c r="FO14" t="s">
        <v>86</v>
      </c>
    </row>
    <row r="15" spans="1:171" x14ac:dyDescent="0.35">
      <c r="A15" t="s">
        <v>87</v>
      </c>
      <c r="B15" t="s">
        <v>88</v>
      </c>
      <c r="C15" t="s">
        <v>89</v>
      </c>
      <c r="D15" t="s">
        <v>90</v>
      </c>
      <c r="E15" t="s">
        <v>91</v>
      </c>
      <c r="F15" t="s">
        <v>92</v>
      </c>
      <c r="G15" t="s">
        <v>93</v>
      </c>
      <c r="H15" t="s">
        <v>94</v>
      </c>
      <c r="I15" t="s">
        <v>95</v>
      </c>
      <c r="J15" t="s">
        <v>96</v>
      </c>
      <c r="K15" t="s">
        <v>97</v>
      </c>
      <c r="L15" t="s">
        <v>98</v>
      </c>
      <c r="M15" t="s">
        <v>99</v>
      </c>
      <c r="N15" t="s">
        <v>100</v>
      </c>
      <c r="O15" t="s">
        <v>101</v>
      </c>
      <c r="P15" t="s">
        <v>102</v>
      </c>
      <c r="Q15" t="s">
        <v>103</v>
      </c>
      <c r="R15" t="s">
        <v>104</v>
      </c>
      <c r="S15" t="s">
        <v>105</v>
      </c>
      <c r="T15" t="s">
        <v>106</v>
      </c>
      <c r="U15" t="s">
        <v>107</v>
      </c>
      <c r="V15" t="s">
        <v>108</v>
      </c>
      <c r="W15" t="s">
        <v>109</v>
      </c>
      <c r="X15" t="s">
        <v>110</v>
      </c>
      <c r="Y15" t="s">
        <v>111</v>
      </c>
      <c r="Z15" t="s">
        <v>112</v>
      </c>
      <c r="AA15" t="s">
        <v>113</v>
      </c>
      <c r="AB15" t="s">
        <v>114</v>
      </c>
      <c r="AC15" t="s">
        <v>115</v>
      </c>
      <c r="AD15" t="s">
        <v>116</v>
      </c>
      <c r="AE15" t="s">
        <v>117</v>
      </c>
      <c r="AF15" t="s">
        <v>118</v>
      </c>
      <c r="AG15" t="s">
        <v>76</v>
      </c>
      <c r="AH15" t="s">
        <v>119</v>
      </c>
      <c r="AI15" t="s">
        <v>120</v>
      </c>
      <c r="AJ15" t="s">
        <v>121</v>
      </c>
      <c r="AK15" t="s">
        <v>122</v>
      </c>
      <c r="AL15" t="s">
        <v>123</v>
      </c>
      <c r="AM15" t="s">
        <v>124</v>
      </c>
      <c r="AN15" t="s">
        <v>125</v>
      </c>
      <c r="AO15" t="s">
        <v>126</v>
      </c>
      <c r="AP15" t="s">
        <v>127</v>
      </c>
      <c r="AQ15" t="s">
        <v>128</v>
      </c>
      <c r="AR15" t="s">
        <v>129</v>
      </c>
      <c r="AS15" t="s">
        <v>130</v>
      </c>
      <c r="AT15" t="s">
        <v>131</v>
      </c>
      <c r="AU15" t="s">
        <v>132</v>
      </c>
      <c r="AV15" t="s">
        <v>133</v>
      </c>
      <c r="AW15" t="s">
        <v>134</v>
      </c>
      <c r="AX15" t="s">
        <v>135</v>
      </c>
      <c r="AY15" t="s">
        <v>136</v>
      </c>
      <c r="AZ15" t="s">
        <v>137</v>
      </c>
      <c r="BA15" t="s">
        <v>138</v>
      </c>
      <c r="BB15" t="s">
        <v>139</v>
      </c>
      <c r="BC15" t="s">
        <v>140</v>
      </c>
      <c r="BD15" t="s">
        <v>141</v>
      </c>
      <c r="BE15" t="s">
        <v>142</v>
      </c>
      <c r="BF15" t="s">
        <v>143</v>
      </c>
      <c r="BG15" t="s">
        <v>144</v>
      </c>
      <c r="BH15" t="s">
        <v>145</v>
      </c>
      <c r="BI15" t="s">
        <v>146</v>
      </c>
      <c r="BJ15" t="s">
        <v>147</v>
      </c>
      <c r="BK15" t="s">
        <v>148</v>
      </c>
      <c r="BL15" t="s">
        <v>149</v>
      </c>
      <c r="BM15" t="s">
        <v>150</v>
      </c>
      <c r="BN15" t="s">
        <v>151</v>
      </c>
      <c r="BO15" t="s">
        <v>152</v>
      </c>
      <c r="BP15" t="s">
        <v>153</v>
      </c>
      <c r="BQ15" t="s">
        <v>154</v>
      </c>
      <c r="BR15" t="s">
        <v>155</v>
      </c>
      <c r="BS15" t="s">
        <v>156</v>
      </c>
      <c r="BT15" t="s">
        <v>157</v>
      </c>
      <c r="BU15" t="s">
        <v>158</v>
      </c>
      <c r="BV15" t="s">
        <v>159</v>
      </c>
      <c r="BW15" t="s">
        <v>160</v>
      </c>
      <c r="BX15" t="s">
        <v>161</v>
      </c>
      <c r="BY15" t="s">
        <v>93</v>
      </c>
      <c r="BZ15" t="s">
        <v>162</v>
      </c>
      <c r="CA15" t="s">
        <v>163</v>
      </c>
      <c r="CB15" t="s">
        <v>164</v>
      </c>
      <c r="CC15" t="s">
        <v>165</v>
      </c>
      <c r="CD15" t="s">
        <v>166</v>
      </c>
      <c r="CE15" t="s">
        <v>167</v>
      </c>
      <c r="CF15" t="s">
        <v>168</v>
      </c>
      <c r="CG15" t="s">
        <v>169</v>
      </c>
      <c r="CH15" t="s">
        <v>170</v>
      </c>
      <c r="CI15" t="s">
        <v>171</v>
      </c>
      <c r="CJ15" t="s">
        <v>172</v>
      </c>
      <c r="CK15" t="s">
        <v>173</v>
      </c>
      <c r="CL15" t="s">
        <v>174</v>
      </c>
      <c r="CM15" t="s">
        <v>175</v>
      </c>
      <c r="CN15" t="s">
        <v>176</v>
      </c>
      <c r="CO15" t="s">
        <v>177</v>
      </c>
      <c r="CP15" t="s">
        <v>178</v>
      </c>
      <c r="CQ15" t="s">
        <v>179</v>
      </c>
      <c r="CR15" t="s">
        <v>180</v>
      </c>
      <c r="CS15" t="s">
        <v>181</v>
      </c>
      <c r="CT15" t="s">
        <v>182</v>
      </c>
      <c r="CU15" t="s">
        <v>183</v>
      </c>
      <c r="CV15" t="s">
        <v>184</v>
      </c>
      <c r="CW15" t="s">
        <v>185</v>
      </c>
      <c r="CX15" t="s">
        <v>186</v>
      </c>
      <c r="CY15" t="s">
        <v>187</v>
      </c>
      <c r="CZ15" t="s">
        <v>188</v>
      </c>
      <c r="DA15" t="s">
        <v>189</v>
      </c>
      <c r="DB15" t="s">
        <v>190</v>
      </c>
      <c r="DC15" t="s">
        <v>191</v>
      </c>
      <c r="DD15" t="s">
        <v>192</v>
      </c>
      <c r="DE15" t="s">
        <v>193</v>
      </c>
      <c r="DF15" t="s">
        <v>194</v>
      </c>
      <c r="DG15" t="s">
        <v>195</v>
      </c>
      <c r="DH15" t="s">
        <v>196</v>
      </c>
      <c r="DI15" t="s">
        <v>88</v>
      </c>
      <c r="DJ15" t="s">
        <v>91</v>
      </c>
      <c r="DK15" t="s">
        <v>197</v>
      </c>
      <c r="DL15" t="s">
        <v>198</v>
      </c>
      <c r="DM15" t="s">
        <v>199</v>
      </c>
      <c r="DN15" t="s">
        <v>200</v>
      </c>
      <c r="DO15" t="s">
        <v>201</v>
      </c>
      <c r="DP15" t="s">
        <v>202</v>
      </c>
      <c r="DQ15" t="s">
        <v>203</v>
      </c>
      <c r="DR15" t="s">
        <v>204</v>
      </c>
      <c r="DS15" t="s">
        <v>205</v>
      </c>
      <c r="DT15" t="s">
        <v>206</v>
      </c>
      <c r="DU15" t="s">
        <v>207</v>
      </c>
      <c r="DV15" t="s">
        <v>208</v>
      </c>
      <c r="DW15" t="s">
        <v>209</v>
      </c>
      <c r="DX15" t="s">
        <v>210</v>
      </c>
      <c r="DY15" t="s">
        <v>211</v>
      </c>
      <c r="DZ15" t="s">
        <v>212</v>
      </c>
      <c r="EA15" t="s">
        <v>213</v>
      </c>
      <c r="EB15" t="s">
        <v>214</v>
      </c>
      <c r="EC15" t="s">
        <v>215</v>
      </c>
      <c r="ED15" t="s">
        <v>216</v>
      </c>
      <c r="EE15" t="s">
        <v>217</v>
      </c>
      <c r="EF15" t="s">
        <v>218</v>
      </c>
      <c r="EG15" t="s">
        <v>219</v>
      </c>
      <c r="EH15" t="s">
        <v>220</v>
      </c>
      <c r="EI15" t="s">
        <v>221</v>
      </c>
      <c r="EJ15" t="s">
        <v>222</v>
      </c>
      <c r="EK15" t="s">
        <v>223</v>
      </c>
      <c r="EL15" t="s">
        <v>224</v>
      </c>
      <c r="EM15" t="s">
        <v>225</v>
      </c>
      <c r="EN15" t="s">
        <v>226</v>
      </c>
      <c r="EO15" t="s">
        <v>227</v>
      </c>
      <c r="EP15" t="s">
        <v>228</v>
      </c>
      <c r="EQ15" t="s">
        <v>229</v>
      </c>
      <c r="ER15" t="s">
        <v>230</v>
      </c>
      <c r="ES15" t="s">
        <v>231</v>
      </c>
      <c r="ET15" t="s">
        <v>232</v>
      </c>
      <c r="EU15" t="s">
        <v>233</v>
      </c>
      <c r="EV15" t="s">
        <v>234</v>
      </c>
      <c r="EW15" t="s">
        <v>235</v>
      </c>
      <c r="EX15" t="s">
        <v>236</v>
      </c>
      <c r="EY15" t="s">
        <v>237</v>
      </c>
      <c r="EZ15" t="s">
        <v>238</v>
      </c>
      <c r="FA15" t="s">
        <v>239</v>
      </c>
      <c r="FB15" t="s">
        <v>240</v>
      </c>
      <c r="FC15" t="s">
        <v>241</v>
      </c>
      <c r="FD15" t="s">
        <v>242</v>
      </c>
      <c r="FE15" t="s">
        <v>243</v>
      </c>
      <c r="FF15" t="s">
        <v>244</v>
      </c>
      <c r="FG15" t="s">
        <v>245</v>
      </c>
      <c r="FH15" t="s">
        <v>246</v>
      </c>
      <c r="FI15" t="s">
        <v>247</v>
      </c>
      <c r="FJ15" t="s">
        <v>248</v>
      </c>
      <c r="FK15" t="s">
        <v>249</v>
      </c>
      <c r="FL15" t="s">
        <v>250</v>
      </c>
      <c r="FM15" t="s">
        <v>251</v>
      </c>
      <c r="FN15" t="s">
        <v>252</v>
      </c>
      <c r="FO15" t="s">
        <v>253</v>
      </c>
    </row>
    <row r="16" spans="1:171" x14ac:dyDescent="0.35">
      <c r="B16" t="s">
        <v>254</v>
      </c>
      <c r="C16" t="s">
        <v>254</v>
      </c>
      <c r="G16" t="s">
        <v>254</v>
      </c>
      <c r="H16" t="s">
        <v>255</v>
      </c>
      <c r="I16" t="s">
        <v>256</v>
      </c>
      <c r="J16" t="s">
        <v>257</v>
      </c>
      <c r="K16" t="s">
        <v>257</v>
      </c>
      <c r="L16" t="s">
        <v>167</v>
      </c>
      <c r="M16" t="s">
        <v>167</v>
      </c>
      <c r="N16" t="s">
        <v>255</v>
      </c>
      <c r="O16" t="s">
        <v>255</v>
      </c>
      <c r="P16" t="s">
        <v>255</v>
      </c>
      <c r="Q16" t="s">
        <v>255</v>
      </c>
      <c r="R16" t="s">
        <v>258</v>
      </c>
      <c r="S16" t="s">
        <v>259</v>
      </c>
      <c r="T16" t="s">
        <v>259</v>
      </c>
      <c r="U16" t="s">
        <v>260</v>
      </c>
      <c r="V16" t="s">
        <v>261</v>
      </c>
      <c r="W16" t="s">
        <v>260</v>
      </c>
      <c r="X16" t="s">
        <v>260</v>
      </c>
      <c r="Y16" t="s">
        <v>260</v>
      </c>
      <c r="Z16" t="s">
        <v>258</v>
      </c>
      <c r="AA16" t="s">
        <v>258</v>
      </c>
      <c r="AB16" t="s">
        <v>258</v>
      </c>
      <c r="AC16" t="s">
        <v>258</v>
      </c>
      <c r="AG16" t="s">
        <v>262</v>
      </c>
      <c r="AH16" t="s">
        <v>261</v>
      </c>
      <c r="AJ16" t="s">
        <v>261</v>
      </c>
      <c r="AK16" t="s">
        <v>262</v>
      </c>
      <c r="AQ16" t="s">
        <v>256</v>
      </c>
      <c r="AW16" t="s">
        <v>256</v>
      </c>
      <c r="AX16" t="s">
        <v>256</v>
      </c>
      <c r="AY16" t="s">
        <v>256</v>
      </c>
      <c r="BA16" t="s">
        <v>263</v>
      </c>
      <c r="BK16" t="s">
        <v>264</v>
      </c>
      <c r="BL16" t="s">
        <v>264</v>
      </c>
      <c r="BM16" t="s">
        <v>264</v>
      </c>
      <c r="BN16" t="s">
        <v>256</v>
      </c>
      <c r="BP16" t="s">
        <v>265</v>
      </c>
      <c r="BR16" t="s">
        <v>256</v>
      </c>
      <c r="BS16" t="s">
        <v>256</v>
      </c>
      <c r="BU16" t="s">
        <v>266</v>
      </c>
      <c r="BV16" t="s">
        <v>267</v>
      </c>
      <c r="BY16" t="s">
        <v>254</v>
      </c>
      <c r="BZ16" t="s">
        <v>257</v>
      </c>
      <c r="CA16" t="s">
        <v>257</v>
      </c>
      <c r="CB16" t="s">
        <v>268</v>
      </c>
      <c r="CC16" t="s">
        <v>268</v>
      </c>
      <c r="CD16" t="s">
        <v>262</v>
      </c>
      <c r="CE16" t="s">
        <v>260</v>
      </c>
      <c r="CF16" t="s">
        <v>260</v>
      </c>
      <c r="CG16" t="s">
        <v>259</v>
      </c>
      <c r="CH16" t="s">
        <v>259</v>
      </c>
      <c r="CI16" t="s">
        <v>259</v>
      </c>
      <c r="CJ16" t="s">
        <v>269</v>
      </c>
      <c r="CK16" t="s">
        <v>256</v>
      </c>
      <c r="CL16" t="s">
        <v>256</v>
      </c>
      <c r="CM16" t="s">
        <v>256</v>
      </c>
      <c r="CR16" t="s">
        <v>256</v>
      </c>
      <c r="CU16" t="s">
        <v>259</v>
      </c>
      <c r="CV16" t="s">
        <v>259</v>
      </c>
      <c r="CW16" t="s">
        <v>259</v>
      </c>
      <c r="CX16" t="s">
        <v>259</v>
      </c>
      <c r="CY16" t="s">
        <v>259</v>
      </c>
      <c r="CZ16" t="s">
        <v>256</v>
      </c>
      <c r="DA16" t="s">
        <v>256</v>
      </c>
      <c r="DB16" t="s">
        <v>256</v>
      </c>
      <c r="DC16" t="s">
        <v>254</v>
      </c>
      <c r="DE16" t="s">
        <v>270</v>
      </c>
      <c r="DF16" t="s">
        <v>270</v>
      </c>
      <c r="DH16" t="s">
        <v>254</v>
      </c>
      <c r="DI16" t="s">
        <v>271</v>
      </c>
      <c r="DL16" t="s">
        <v>272</v>
      </c>
      <c r="DM16" t="s">
        <v>273</v>
      </c>
      <c r="DN16" t="s">
        <v>272</v>
      </c>
      <c r="DO16" t="s">
        <v>273</v>
      </c>
      <c r="DP16" t="s">
        <v>261</v>
      </c>
      <c r="DQ16" t="s">
        <v>261</v>
      </c>
      <c r="DR16" t="s">
        <v>256</v>
      </c>
      <c r="DS16" t="s">
        <v>274</v>
      </c>
      <c r="DT16" t="s">
        <v>256</v>
      </c>
      <c r="DV16" t="s">
        <v>255</v>
      </c>
      <c r="DW16" t="s">
        <v>275</v>
      </c>
      <c r="DX16" t="s">
        <v>255</v>
      </c>
      <c r="EC16" t="s">
        <v>276</v>
      </c>
      <c r="ED16" t="s">
        <v>276</v>
      </c>
      <c r="EE16" t="s">
        <v>276</v>
      </c>
      <c r="EF16" t="s">
        <v>276</v>
      </c>
      <c r="EG16" t="s">
        <v>276</v>
      </c>
      <c r="EH16" t="s">
        <v>276</v>
      </c>
      <c r="EI16" t="s">
        <v>276</v>
      </c>
      <c r="EJ16" t="s">
        <v>276</v>
      </c>
      <c r="EK16" t="s">
        <v>276</v>
      </c>
      <c r="EL16" t="s">
        <v>276</v>
      </c>
      <c r="EM16" t="s">
        <v>276</v>
      </c>
      <c r="EN16" t="s">
        <v>276</v>
      </c>
      <c r="EU16" t="s">
        <v>276</v>
      </c>
      <c r="EV16" t="s">
        <v>261</v>
      </c>
      <c r="EW16" t="s">
        <v>261</v>
      </c>
      <c r="EX16" t="s">
        <v>272</v>
      </c>
      <c r="EY16" t="s">
        <v>273</v>
      </c>
      <c r="FA16" t="s">
        <v>262</v>
      </c>
      <c r="FB16" t="s">
        <v>262</v>
      </c>
      <c r="FC16" t="s">
        <v>259</v>
      </c>
      <c r="FD16" t="s">
        <v>259</v>
      </c>
      <c r="FE16" t="s">
        <v>259</v>
      </c>
      <c r="FF16" t="s">
        <v>259</v>
      </c>
      <c r="FG16" t="s">
        <v>259</v>
      </c>
      <c r="FH16" t="s">
        <v>261</v>
      </c>
      <c r="FI16" t="s">
        <v>261</v>
      </c>
      <c r="FJ16" t="s">
        <v>261</v>
      </c>
      <c r="FK16" t="s">
        <v>259</v>
      </c>
      <c r="FL16" t="s">
        <v>257</v>
      </c>
      <c r="FM16" t="s">
        <v>268</v>
      </c>
      <c r="FN16" t="s">
        <v>261</v>
      </c>
      <c r="FO16" t="s">
        <v>261</v>
      </c>
    </row>
    <row r="17" spans="1:171" x14ac:dyDescent="0.35">
      <c r="A17">
        <v>1</v>
      </c>
      <c r="B17">
        <v>1564858767.9000001</v>
      </c>
      <c r="C17">
        <v>0</v>
      </c>
      <c r="D17" t="s">
        <v>277</v>
      </c>
      <c r="E17" t="s">
        <v>278</v>
      </c>
      <c r="G17">
        <v>1564858767.9000001</v>
      </c>
      <c r="H17">
        <f t="shared" ref="H17:H29" si="0">CD17*AI17*(CB17-CC17)/(100*BV17*(1000-AI17*CB17))</f>
        <v>6.1804638567705024E-3</v>
      </c>
      <c r="I17">
        <f t="shared" ref="I17:I29" si="1">CD17*AI17*(CA17-BZ17*(1000-AI17*CC17)/(1000-AI17*CB17))/(100*BV17)</f>
        <v>28.31904323695305</v>
      </c>
      <c r="J17">
        <f t="shared" ref="J17:J29" si="2">BZ17 - IF(AI17&gt;1, I17*BV17*100/(AK17*CJ17), 0)</f>
        <v>363.39996780951572</v>
      </c>
      <c r="K17">
        <f t="shared" ref="K17:K29" si="3">((Q17-H17/2)*J17-I17)/(Q17+H17/2)</f>
        <v>214.8565205737417</v>
      </c>
      <c r="L17">
        <f t="shared" ref="L17:L29" si="4">K17*(CE17+CF17)/1000</f>
        <v>21.361830889137089</v>
      </c>
      <c r="M17">
        <f t="shared" ref="M17:M29" si="5">(BZ17 - IF(AI17&gt;1, I17*BV17*100/(AK17*CJ17), 0))*(CE17+CF17)/1000</f>
        <v>36.130570469702846</v>
      </c>
      <c r="N17">
        <f t="shared" ref="N17:N29" si="6">2/((1/P17-1/O17)+SIGN(P17)*SQRT((1/P17-1/O17)*(1/P17-1/O17) + 4*BW17/((BW17+1)*(BW17+1))*(2*1/P17*1/O17-1/O17*1/O17)))</f>
        <v>0.34802175252757789</v>
      </c>
      <c r="O17">
        <f t="shared" ref="O17:O29" si="7">AF17+AE17*BV17+AD17*BV17*BV17</f>
        <v>2.2485789334124191</v>
      </c>
      <c r="P17">
        <f t="shared" ref="P17:P29" si="8">H17*(1000-(1000*0.61365*EXP(17.502*T17/(240.97+T17))/(CE17+CF17)+CB17)/2)/(1000*0.61365*EXP(17.502*T17/(240.97+T17))/(CE17+CF17)-CB17)</f>
        <v>0.32062965840835722</v>
      </c>
      <c r="Q17">
        <f t="shared" ref="Q17:Q29" si="9">1/((BW17+1)/(N17/1.6)+1/(O17/1.37)) + BW17/((BW17+1)/(N17/1.6) + BW17/(O17/1.37))</f>
        <v>0.20267464139542629</v>
      </c>
      <c r="R17">
        <f t="shared" ref="R17:R29" si="10">(BS17*BU17)</f>
        <v>353.34999466293516</v>
      </c>
      <c r="S17">
        <f t="shared" ref="S17:S29" si="11">(CG17+(R17+2*0.95*0.0000000567*(((CG17+$B$7)+273)^4-(CG17+273)^4)-44100*H17)/(1.84*29.3*O17+8*0.95*0.0000000567*(CG17+273)^3))</f>
        <v>25.521700163483583</v>
      </c>
      <c r="T17">
        <f t="shared" ref="T17:T29" si="12">($C$7*CH17+$D$7*CI17+$E$7*S17)</f>
        <v>27.077500000000001</v>
      </c>
      <c r="U17">
        <f t="shared" ref="U17:U29" si="13">0.61365*EXP(17.502*T17/(240.97+T17))</f>
        <v>3.5954835952269883</v>
      </c>
      <c r="V17">
        <f t="shared" ref="V17:V29" si="14">(W17/X17*100)</f>
        <v>54.702825950433095</v>
      </c>
      <c r="W17">
        <f t="shared" ref="W17:W29" si="15">CB17*(CE17+CF17)/1000</f>
        <v>1.7303204151605003</v>
      </c>
      <c r="X17">
        <f t="shared" ref="X17:X29" si="16">0.61365*EXP(17.502*CG17/(240.97+CG17))</f>
        <v>3.1631280196170573</v>
      </c>
      <c r="Y17">
        <f t="shared" ref="Y17:Y29" si="17">(U17-CB17*(CE17+CF17)/1000)</f>
        <v>1.8651631800664881</v>
      </c>
      <c r="Z17">
        <f t="shared" ref="Z17:Z29" si="18">(-H17*44100)</f>
        <v>-272.55845608357913</v>
      </c>
      <c r="AA17">
        <f t="shared" ref="AA17:AA29" si="19">2*29.3*O17*0.92*(CG17-T17)</f>
        <v>-262.45296384685213</v>
      </c>
      <c r="AB17">
        <f t="shared" ref="AB17:AB29" si="20">2*0.95*0.0000000567*(((CG17+$B$7)+273)^4-(T17+273)^4)</f>
        <v>-24.937448830067567</v>
      </c>
      <c r="AC17">
        <f t="shared" ref="AC17:AC29" si="21">R17+AB17+Z17+AA17</f>
        <v>-206.59887409756368</v>
      </c>
      <c r="AD17">
        <v>-4.1145501079272402E-2</v>
      </c>
      <c r="AE17">
        <v>4.6189429505349301E-2</v>
      </c>
      <c r="AF17">
        <v>3.4526803952341298</v>
      </c>
      <c r="AG17">
        <v>12</v>
      </c>
      <c r="AH17">
        <v>2</v>
      </c>
      <c r="AI17">
        <f t="shared" ref="AI17:AI29" si="22">IF(AG17*$H$13&gt;=AK17,1,(AK17/(AK17-AG17*$H$13)))</f>
        <v>1.0004544349516613</v>
      </c>
      <c r="AJ17">
        <f t="shared" ref="AJ17:AJ29" si="23">(AI17-1)*100</f>
        <v>4.5443495166130887E-2</v>
      </c>
      <c r="AK17">
        <f t="shared" ref="AK17:AK29" si="24">MAX(0,($B$13+$C$13*CJ17)/(1+$D$13*CJ17)*CE17/(CG17+273)*$E$13)</f>
        <v>52836.839136291288</v>
      </c>
      <c r="AL17" t="s">
        <v>279</v>
      </c>
      <c r="AM17">
        <v>481.47884615384601</v>
      </c>
      <c r="AN17">
        <v>2238.31</v>
      </c>
      <c r="AO17">
        <f t="shared" ref="AO17:AO29" si="25">AN17-AM17</f>
        <v>1756.8311538461539</v>
      </c>
      <c r="AP17">
        <f t="shared" ref="AP17:AP29" si="26">AO17/AN17</f>
        <v>0.78489179508028561</v>
      </c>
      <c r="AQ17">
        <v>-0.96503536810971002</v>
      </c>
      <c r="AR17" t="s">
        <v>280</v>
      </c>
      <c r="AS17">
        <v>995.91965384615401</v>
      </c>
      <c r="AT17">
        <v>1326.31</v>
      </c>
      <c r="AU17">
        <f t="shared" ref="AU17:AU29" si="27">1-AS17/AT17</f>
        <v>0.24910491978032734</v>
      </c>
      <c r="AV17">
        <v>0.5</v>
      </c>
      <c r="AW17">
        <f t="shared" ref="AW17:AW29" si="28">BS17</f>
        <v>1849.2522000754061</v>
      </c>
      <c r="AX17">
        <f t="shared" ref="AX17:AX29" si="29">I17</f>
        <v>28.31904323695305</v>
      </c>
      <c r="AY17">
        <f t="shared" ref="AY17:AY29" si="30">AU17*AV17*AW17</f>
        <v>230.32891047668895</v>
      </c>
      <c r="AZ17">
        <f t="shared" ref="AZ17:AZ29" si="31">BE17/AT17</f>
        <v>0.50783753421145883</v>
      </c>
      <c r="BA17">
        <f t="shared" ref="BA17:BA29" si="32">(AX17-AQ17)/AW17</f>
        <v>1.5835632697297132E-2</v>
      </c>
      <c r="BB17">
        <f t="shared" ref="BB17:BB29" si="33">(AN17-AT17)/AT17</f>
        <v>0.68762204914386538</v>
      </c>
      <c r="BC17" t="s">
        <v>281</v>
      </c>
      <c r="BD17">
        <v>652.76</v>
      </c>
      <c r="BE17">
        <f t="shared" ref="BE17:BE29" si="34">AT17-BD17</f>
        <v>673.55</v>
      </c>
      <c r="BF17">
        <f t="shared" ref="BF17:BF29" si="35">(AT17-AS17)/(AT17-BD17)</f>
        <v>0.49052089103087515</v>
      </c>
      <c r="BG17">
        <f t="shared" ref="BG17:BG29" si="36">(AN17-AT17)/(AN17-BD17)</f>
        <v>0.57519472738166566</v>
      </c>
      <c r="BH17">
        <f t="shared" ref="BH17:BH29" si="37">(AT17-AS17)/(AT17-AM17)</f>
        <v>0.39107263581571344</v>
      </c>
      <c r="BI17">
        <f t="shared" ref="BI17:BI29" si="38">(AN17-AT17)/(AN17-AM17)</f>
        <v>0.51911647741639722</v>
      </c>
      <c r="BJ17">
        <v>882</v>
      </c>
      <c r="BK17">
        <v>300</v>
      </c>
      <c r="BL17">
        <v>300</v>
      </c>
      <c r="BM17">
        <v>300</v>
      </c>
      <c r="BN17">
        <v>10111.200000000001</v>
      </c>
      <c r="BO17">
        <v>1233.58</v>
      </c>
      <c r="BP17">
        <v>-6.5660400000000004E-3</v>
      </c>
      <c r="BQ17">
        <v>1.1701699999999999</v>
      </c>
      <c r="BR17">
        <f t="shared" ref="BR17:BR29" si="39">$B$11*CK17+$C$11*CL17+$F$11*CM17</f>
        <v>2200.08</v>
      </c>
      <c r="BS17">
        <f t="shared" ref="BS17:BS29" si="40">BR17*BT17</f>
        <v>1849.2522000754061</v>
      </c>
      <c r="BT17">
        <f t="shared" ref="BT17:BT29" si="41">($B$11*$D$9+$C$11*$D$9+$F$11*((CZ17+CR17)/MAX(CZ17+CR17+DA17, 0.1)*$I$9+DA17/MAX(CZ17+CR17+DA17, 0.1)*$J$9))/($B$11+$C$11+$F$11)</f>
        <v>0.84053861681184605</v>
      </c>
      <c r="BU17">
        <f t="shared" ref="BU17:BU29" si="42">($B$11*$K$9+$C$11*$K$9+$F$11*((CZ17+CR17)/MAX(CZ17+CR17+DA17, 0.1)*$P$9+DA17/MAX(CZ17+CR17+DA17, 0.1)*$Q$9))/($B$11+$C$11+$F$11)</f>
        <v>0.19107723362369219</v>
      </c>
      <c r="BV17">
        <v>6</v>
      </c>
      <c r="BW17">
        <v>0.5</v>
      </c>
      <c r="BX17" t="s">
        <v>282</v>
      </c>
      <c r="BY17">
        <v>1564858767.9000001</v>
      </c>
      <c r="BZ17">
        <v>363.4</v>
      </c>
      <c r="CA17">
        <v>400.05900000000003</v>
      </c>
      <c r="CB17">
        <v>17.403500000000001</v>
      </c>
      <c r="CC17">
        <v>10.120100000000001</v>
      </c>
      <c r="CD17">
        <v>500.04899999999998</v>
      </c>
      <c r="CE17">
        <v>99.323700000000002</v>
      </c>
      <c r="CF17">
        <v>0.10000299999999999</v>
      </c>
      <c r="CG17">
        <v>24.912500000000001</v>
      </c>
      <c r="CH17">
        <v>27.077500000000001</v>
      </c>
      <c r="CI17">
        <v>999.9</v>
      </c>
      <c r="CJ17">
        <v>9990</v>
      </c>
      <c r="CK17">
        <v>0</v>
      </c>
      <c r="CL17">
        <v>-37.267800000000001</v>
      </c>
      <c r="CM17">
        <v>2200.08</v>
      </c>
      <c r="CN17">
        <v>0.98200399999999999</v>
      </c>
      <c r="CO17">
        <v>1.79956E-2</v>
      </c>
      <c r="CP17">
        <v>0</v>
      </c>
      <c r="CQ17">
        <v>989.68100000000004</v>
      </c>
      <c r="CR17">
        <v>4.99986</v>
      </c>
      <c r="CS17">
        <v>22607.3</v>
      </c>
      <c r="CT17">
        <v>17914.5</v>
      </c>
      <c r="CU17">
        <v>49.25</v>
      </c>
      <c r="CV17">
        <v>50.375</v>
      </c>
      <c r="CW17">
        <v>49.811999999999998</v>
      </c>
      <c r="CX17">
        <v>49.186999999999998</v>
      </c>
      <c r="CY17">
        <v>50.311999999999998</v>
      </c>
      <c r="CZ17">
        <v>2155.58</v>
      </c>
      <c r="DA17">
        <v>39.5</v>
      </c>
      <c r="DB17">
        <v>0</v>
      </c>
      <c r="DC17">
        <v>304.60000014305098</v>
      </c>
      <c r="DD17">
        <v>995.91965384615401</v>
      </c>
      <c r="DE17">
        <v>-53.038940164354997</v>
      </c>
      <c r="DF17">
        <v>-1198.33504265838</v>
      </c>
      <c r="DG17">
        <v>22753.896153846199</v>
      </c>
      <c r="DH17">
        <v>15</v>
      </c>
      <c r="DI17">
        <v>1564858722.4000001</v>
      </c>
      <c r="DJ17" t="s">
        <v>283</v>
      </c>
      <c r="DK17">
        <v>71</v>
      </c>
      <c r="DL17">
        <v>0.21299999999999999</v>
      </c>
      <c r="DM17">
        <v>3.6999999999999998E-2</v>
      </c>
      <c r="DN17">
        <v>400</v>
      </c>
      <c r="DO17">
        <v>10</v>
      </c>
      <c r="DP17">
        <v>0.02</v>
      </c>
      <c r="DQ17">
        <v>0.01</v>
      </c>
      <c r="DR17">
        <v>28.360420412905999</v>
      </c>
      <c r="DS17">
        <v>-0.16323012116749999</v>
      </c>
      <c r="DT17">
        <v>0.17887805449362401</v>
      </c>
      <c r="DU17">
        <v>1</v>
      </c>
      <c r="DV17">
        <v>0.35952226472431997</v>
      </c>
      <c r="DW17">
        <v>-2.5848969794513801E-2</v>
      </c>
      <c r="DX17">
        <v>6.1781030364303604E-3</v>
      </c>
      <c r="DY17">
        <v>1</v>
      </c>
      <c r="DZ17">
        <v>2</v>
      </c>
      <c r="EA17">
        <v>2</v>
      </c>
      <c r="EB17" t="s">
        <v>284</v>
      </c>
      <c r="EC17">
        <v>1.8670800000000001</v>
      </c>
      <c r="ED17">
        <v>1.86358</v>
      </c>
      <c r="EE17">
        <v>1.8692</v>
      </c>
      <c r="EF17">
        <v>1.8671599999999999</v>
      </c>
      <c r="EG17">
        <v>1.8717999999999999</v>
      </c>
      <c r="EH17">
        <v>1.8642700000000001</v>
      </c>
      <c r="EI17">
        <v>1.8656999999999999</v>
      </c>
      <c r="EJ17">
        <v>1.8656699999999999</v>
      </c>
      <c r="EK17" t="s">
        <v>285</v>
      </c>
      <c r="EL17" t="s">
        <v>19</v>
      </c>
      <c r="EM17" t="s">
        <v>19</v>
      </c>
      <c r="EN17" t="s">
        <v>19</v>
      </c>
      <c r="EO17" t="s">
        <v>286</v>
      </c>
      <c r="EP17" t="s">
        <v>287</v>
      </c>
      <c r="EQ17" t="s">
        <v>288</v>
      </c>
      <c r="ER17" t="s">
        <v>288</v>
      </c>
      <c r="ES17" t="s">
        <v>288</v>
      </c>
      <c r="ET17" t="s">
        <v>288</v>
      </c>
      <c r="EU17">
        <v>0</v>
      </c>
      <c r="EV17">
        <v>100</v>
      </c>
      <c r="EW17">
        <v>100</v>
      </c>
      <c r="EX17">
        <v>0.21299999999999999</v>
      </c>
      <c r="EY17">
        <v>3.6999999999999998E-2</v>
      </c>
      <c r="EZ17">
        <v>2</v>
      </c>
      <c r="FA17">
        <v>483.512</v>
      </c>
      <c r="FB17">
        <v>465.46800000000002</v>
      </c>
      <c r="FC17">
        <v>17.1081</v>
      </c>
      <c r="FD17">
        <v>35.161200000000001</v>
      </c>
      <c r="FE17">
        <v>29.999400000000001</v>
      </c>
      <c r="FF17">
        <v>35.170200000000001</v>
      </c>
      <c r="FG17">
        <v>35.148899999999998</v>
      </c>
      <c r="FH17">
        <v>22.298100000000002</v>
      </c>
      <c r="FI17">
        <v>67.454800000000006</v>
      </c>
      <c r="FJ17">
        <v>0</v>
      </c>
      <c r="FK17">
        <v>15.7509</v>
      </c>
      <c r="FL17">
        <v>400</v>
      </c>
      <c r="FM17">
        <v>10.2362</v>
      </c>
      <c r="FN17">
        <v>100.37</v>
      </c>
      <c r="FO17">
        <v>100.947</v>
      </c>
    </row>
    <row r="18" spans="1:171" x14ac:dyDescent="0.35">
      <c r="A18">
        <v>2</v>
      </c>
      <c r="B18">
        <v>1564858870.4000001</v>
      </c>
      <c r="C18">
        <v>102.5</v>
      </c>
      <c r="D18" t="s">
        <v>289</v>
      </c>
      <c r="E18" t="s">
        <v>290</v>
      </c>
      <c r="G18">
        <v>1564858870.4000001</v>
      </c>
      <c r="H18">
        <f t="shared" si="0"/>
        <v>5.3925002002406441E-3</v>
      </c>
      <c r="I18">
        <f t="shared" si="1"/>
        <v>20.085086328729698</v>
      </c>
      <c r="J18">
        <f t="shared" si="2"/>
        <v>274.15797717535008</v>
      </c>
      <c r="K18">
        <f t="shared" si="3"/>
        <v>153.6282443043392</v>
      </c>
      <c r="L18">
        <f t="shared" si="4"/>
        <v>15.274154816668787</v>
      </c>
      <c r="M18">
        <f t="shared" si="5"/>
        <v>27.257561957848711</v>
      </c>
      <c r="N18">
        <f t="shared" si="6"/>
        <v>0.29973108266804077</v>
      </c>
      <c r="O18">
        <f t="shared" si="7"/>
        <v>2.2479909783926377</v>
      </c>
      <c r="P18">
        <f t="shared" si="8"/>
        <v>0.27916774889087687</v>
      </c>
      <c r="Q18">
        <f t="shared" si="9"/>
        <v>0.17620967428803258</v>
      </c>
      <c r="R18">
        <f t="shared" si="10"/>
        <v>353.32765074417961</v>
      </c>
      <c r="S18">
        <f t="shared" si="11"/>
        <v>25.480990894612098</v>
      </c>
      <c r="T18">
        <f t="shared" si="12"/>
        <v>27.040500000000002</v>
      </c>
      <c r="U18">
        <f t="shared" si="13"/>
        <v>3.5876821595354627</v>
      </c>
      <c r="V18">
        <f t="shared" si="14"/>
        <v>55.319482053454436</v>
      </c>
      <c r="W18">
        <f t="shared" si="15"/>
        <v>1.718444078286</v>
      </c>
      <c r="X18">
        <f t="shared" si="16"/>
        <v>3.1063994356011713</v>
      </c>
      <c r="Y18">
        <f t="shared" si="17"/>
        <v>1.8692380812494627</v>
      </c>
      <c r="Z18">
        <f t="shared" si="18"/>
        <v>-237.80925883061241</v>
      </c>
      <c r="AA18">
        <f t="shared" si="19"/>
        <v>-294.62185948348969</v>
      </c>
      <c r="AB18">
        <f t="shared" si="20"/>
        <v>-27.953718025520438</v>
      </c>
      <c r="AC18">
        <f t="shared" si="21"/>
        <v>-207.05718559544295</v>
      </c>
      <c r="AD18">
        <v>-4.1129683380345797E-2</v>
      </c>
      <c r="AE18">
        <v>4.6171672752597703E-2</v>
      </c>
      <c r="AF18">
        <v>3.4516295435695001</v>
      </c>
      <c r="AG18">
        <v>13</v>
      </c>
      <c r="AH18">
        <v>3</v>
      </c>
      <c r="AI18">
        <f t="shared" si="22"/>
        <v>1.000492003935761</v>
      </c>
      <c r="AJ18">
        <f t="shared" si="23"/>
        <v>4.9200393576098733E-2</v>
      </c>
      <c r="AK18">
        <f t="shared" si="24"/>
        <v>52871.105720104097</v>
      </c>
      <c r="AL18" t="s">
        <v>279</v>
      </c>
      <c r="AM18">
        <v>481.47884615384601</v>
      </c>
      <c r="AN18">
        <v>2238.31</v>
      </c>
      <c r="AO18">
        <f t="shared" si="25"/>
        <v>1756.8311538461539</v>
      </c>
      <c r="AP18">
        <f t="shared" si="26"/>
        <v>0.78489179508028561</v>
      </c>
      <c r="AQ18">
        <v>-0.96503536810971002</v>
      </c>
      <c r="AR18" t="s">
        <v>291</v>
      </c>
      <c r="AS18">
        <v>899.89261538461506</v>
      </c>
      <c r="AT18">
        <v>1173.3800000000001</v>
      </c>
      <c r="AU18">
        <f t="shared" si="27"/>
        <v>0.23307656907002428</v>
      </c>
      <c r="AV18">
        <v>0.5</v>
      </c>
      <c r="AW18">
        <f t="shared" si="28"/>
        <v>1849.1346000754111</v>
      </c>
      <c r="AX18">
        <f t="shared" si="29"/>
        <v>20.085086328729698</v>
      </c>
      <c r="AY18">
        <f t="shared" si="30"/>
        <v>215.49497416712413</v>
      </c>
      <c r="AZ18">
        <f t="shared" si="31"/>
        <v>0.45340810308680907</v>
      </c>
      <c r="BA18">
        <f t="shared" si="32"/>
        <v>1.1383769302667825E-2</v>
      </c>
      <c r="BB18">
        <f t="shared" si="33"/>
        <v>0.90757469873357288</v>
      </c>
      <c r="BC18" t="s">
        <v>292</v>
      </c>
      <c r="BD18">
        <v>641.36</v>
      </c>
      <c r="BE18">
        <f t="shared" si="34"/>
        <v>532.0200000000001</v>
      </c>
      <c r="BF18">
        <f t="shared" si="35"/>
        <v>0.51405470586704449</v>
      </c>
      <c r="BG18">
        <f t="shared" si="36"/>
        <v>0.66685243745890599</v>
      </c>
      <c r="BH18">
        <f t="shared" si="37"/>
        <v>0.39526944433481265</v>
      </c>
      <c r="BI18">
        <f t="shared" si="38"/>
        <v>0.60616525251649533</v>
      </c>
      <c r="BJ18">
        <v>884</v>
      </c>
      <c r="BK18">
        <v>300</v>
      </c>
      <c r="BL18">
        <v>300</v>
      </c>
      <c r="BM18">
        <v>300</v>
      </c>
      <c r="BN18">
        <v>10111.4</v>
      </c>
      <c r="BO18">
        <v>1095.1600000000001</v>
      </c>
      <c r="BP18">
        <v>-6.5660700000000002E-3</v>
      </c>
      <c r="BQ18">
        <v>0.68920899999999996</v>
      </c>
      <c r="BR18">
        <f t="shared" si="39"/>
        <v>2199.94</v>
      </c>
      <c r="BS18">
        <f t="shared" si="40"/>
        <v>1849.1346000754111</v>
      </c>
      <c r="BT18">
        <f t="shared" si="41"/>
        <v>0.84053865108839831</v>
      </c>
      <c r="BU18">
        <f t="shared" si="42"/>
        <v>0.19107730217679678</v>
      </c>
      <c r="BV18">
        <v>6</v>
      </c>
      <c r="BW18">
        <v>0.5</v>
      </c>
      <c r="BX18" t="s">
        <v>282</v>
      </c>
      <c r="BY18">
        <v>1564858870.4000001</v>
      </c>
      <c r="BZ18">
        <v>274.15800000000002</v>
      </c>
      <c r="CA18">
        <v>300.02</v>
      </c>
      <c r="CB18">
        <v>17.284199999999998</v>
      </c>
      <c r="CC18">
        <v>10.928800000000001</v>
      </c>
      <c r="CD18">
        <v>500.04500000000002</v>
      </c>
      <c r="CE18">
        <v>99.322800000000001</v>
      </c>
      <c r="CF18">
        <v>0.10002999999999999</v>
      </c>
      <c r="CG18">
        <v>24.609500000000001</v>
      </c>
      <c r="CH18">
        <v>27.040500000000002</v>
      </c>
      <c r="CI18">
        <v>999.9</v>
      </c>
      <c r="CJ18">
        <v>9986.25</v>
      </c>
      <c r="CK18">
        <v>0</v>
      </c>
      <c r="CL18">
        <v>-51.353200000000001</v>
      </c>
      <c r="CM18">
        <v>2199.94</v>
      </c>
      <c r="CN18">
        <v>0.98200200000000004</v>
      </c>
      <c r="CO18">
        <v>1.79981E-2</v>
      </c>
      <c r="CP18">
        <v>0</v>
      </c>
      <c r="CQ18">
        <v>896.45899999999995</v>
      </c>
      <c r="CR18">
        <v>4.99986</v>
      </c>
      <c r="CS18">
        <v>20506.2</v>
      </c>
      <c r="CT18">
        <v>17913.3</v>
      </c>
      <c r="CU18">
        <v>48.936999999999998</v>
      </c>
      <c r="CV18">
        <v>49.811999999999998</v>
      </c>
      <c r="CW18">
        <v>49.5</v>
      </c>
      <c r="CX18">
        <v>48.375</v>
      </c>
      <c r="CY18">
        <v>50</v>
      </c>
      <c r="CZ18">
        <v>2155.44</v>
      </c>
      <c r="DA18">
        <v>39.5</v>
      </c>
      <c r="DB18">
        <v>0</v>
      </c>
      <c r="DC18">
        <v>101.90000009536701</v>
      </c>
      <c r="DD18">
        <v>899.89261538461506</v>
      </c>
      <c r="DE18">
        <v>-25.988239330416299</v>
      </c>
      <c r="DF18">
        <v>-610.09572649103802</v>
      </c>
      <c r="DG18">
        <v>20579.511538461498</v>
      </c>
      <c r="DH18">
        <v>15</v>
      </c>
      <c r="DI18">
        <v>1564858853.4000001</v>
      </c>
      <c r="DJ18" t="s">
        <v>293</v>
      </c>
      <c r="DK18">
        <v>72</v>
      </c>
      <c r="DL18">
        <v>0.158</v>
      </c>
      <c r="DM18">
        <v>5.0999999999999997E-2</v>
      </c>
      <c r="DN18">
        <v>300</v>
      </c>
      <c r="DO18">
        <v>11</v>
      </c>
      <c r="DP18">
        <v>0.04</v>
      </c>
      <c r="DQ18">
        <v>0.02</v>
      </c>
      <c r="DR18">
        <v>6.5427142872353397</v>
      </c>
      <c r="DS18">
        <v>39.654272415453597</v>
      </c>
      <c r="DT18">
        <v>9.0437536815843291</v>
      </c>
      <c r="DU18">
        <v>0</v>
      </c>
      <c r="DV18">
        <v>9.3753209544938099E-2</v>
      </c>
      <c r="DW18">
        <v>0.57218600567687194</v>
      </c>
      <c r="DX18">
        <v>0.131045270973038</v>
      </c>
      <c r="DY18">
        <v>1</v>
      </c>
      <c r="DZ18">
        <v>1</v>
      </c>
      <c r="EA18">
        <v>2</v>
      </c>
      <c r="EB18" t="s">
        <v>294</v>
      </c>
      <c r="EC18">
        <v>1.8670800000000001</v>
      </c>
      <c r="ED18">
        <v>1.8635999999999999</v>
      </c>
      <c r="EE18">
        <v>1.8692</v>
      </c>
      <c r="EF18">
        <v>1.8672</v>
      </c>
      <c r="EG18">
        <v>1.8717999999999999</v>
      </c>
      <c r="EH18">
        <v>1.8643000000000001</v>
      </c>
      <c r="EI18">
        <v>1.8656999999999999</v>
      </c>
      <c r="EJ18">
        <v>1.8656900000000001</v>
      </c>
      <c r="EK18" t="s">
        <v>285</v>
      </c>
      <c r="EL18" t="s">
        <v>19</v>
      </c>
      <c r="EM18" t="s">
        <v>19</v>
      </c>
      <c r="EN18" t="s">
        <v>19</v>
      </c>
      <c r="EO18" t="s">
        <v>286</v>
      </c>
      <c r="EP18" t="s">
        <v>287</v>
      </c>
      <c r="EQ18" t="s">
        <v>288</v>
      </c>
      <c r="ER18" t="s">
        <v>288</v>
      </c>
      <c r="ES18" t="s">
        <v>288</v>
      </c>
      <c r="ET18" t="s">
        <v>288</v>
      </c>
      <c r="EU18">
        <v>0</v>
      </c>
      <c r="EV18">
        <v>100</v>
      </c>
      <c r="EW18">
        <v>100</v>
      </c>
      <c r="EX18">
        <v>0.158</v>
      </c>
      <c r="EY18">
        <v>5.0999999999999997E-2</v>
      </c>
      <c r="EZ18">
        <v>2</v>
      </c>
      <c r="FA18">
        <v>482.53100000000001</v>
      </c>
      <c r="FB18">
        <v>465.72500000000002</v>
      </c>
      <c r="FC18">
        <v>16.7287</v>
      </c>
      <c r="FD18">
        <v>34.954000000000001</v>
      </c>
      <c r="FE18">
        <v>29.999199999999998</v>
      </c>
      <c r="FF18">
        <v>35.005600000000001</v>
      </c>
      <c r="FG18">
        <v>34.976399999999998</v>
      </c>
      <c r="FH18">
        <v>17.7789</v>
      </c>
      <c r="FI18">
        <v>65.533600000000007</v>
      </c>
      <c r="FJ18">
        <v>0</v>
      </c>
      <c r="FK18">
        <v>16.245200000000001</v>
      </c>
      <c r="FL18">
        <v>300</v>
      </c>
      <c r="FM18">
        <v>10.7803</v>
      </c>
      <c r="FN18">
        <v>100.405</v>
      </c>
      <c r="FO18">
        <v>100.99299999999999</v>
      </c>
    </row>
    <row r="19" spans="1:171" x14ac:dyDescent="0.35">
      <c r="A19">
        <v>3</v>
      </c>
      <c r="B19">
        <v>1564858949.9000001</v>
      </c>
      <c r="C19">
        <v>182</v>
      </c>
      <c r="D19" t="s">
        <v>295</v>
      </c>
      <c r="E19" t="s">
        <v>296</v>
      </c>
      <c r="G19">
        <v>1564858949.9000001</v>
      </c>
      <c r="H19">
        <f t="shared" si="0"/>
        <v>5.2872521862908205E-3</v>
      </c>
      <c r="I19">
        <f t="shared" si="1"/>
        <v>12.323535781094064</v>
      </c>
      <c r="J19">
        <f t="shared" si="2"/>
        <v>184.06498598989046</v>
      </c>
      <c r="K19">
        <f t="shared" si="3"/>
        <v>107.0066945625295</v>
      </c>
      <c r="L19">
        <f t="shared" si="4"/>
        <v>10.637979744753535</v>
      </c>
      <c r="M19">
        <f t="shared" si="5"/>
        <v>18.298664403044349</v>
      </c>
      <c r="N19">
        <f t="shared" si="6"/>
        <v>0.28837059888686489</v>
      </c>
      <c r="O19">
        <f t="shared" si="7"/>
        <v>2.2477621261046323</v>
      </c>
      <c r="P19">
        <f t="shared" si="8"/>
        <v>0.26928149354438197</v>
      </c>
      <c r="Q19">
        <f t="shared" si="9"/>
        <v>0.16991059921332763</v>
      </c>
      <c r="R19">
        <f t="shared" si="10"/>
        <v>353.32765074417961</v>
      </c>
      <c r="S19">
        <f t="shared" si="11"/>
        <v>25.573945738569488</v>
      </c>
      <c r="T19">
        <f t="shared" si="12"/>
        <v>27.0989</v>
      </c>
      <c r="U19">
        <f t="shared" si="13"/>
        <v>3.6000025326220828</v>
      </c>
      <c r="V19">
        <f t="shared" si="14"/>
        <v>54.538932597481207</v>
      </c>
      <c r="W19">
        <f t="shared" si="15"/>
        <v>1.7000714633863498</v>
      </c>
      <c r="X19">
        <f t="shared" si="16"/>
        <v>3.1171703999664726</v>
      </c>
      <c r="Y19">
        <f t="shared" si="17"/>
        <v>1.899931069235733</v>
      </c>
      <c r="Z19">
        <f t="shared" si="18"/>
        <v>-233.16782141542518</v>
      </c>
      <c r="AA19">
        <f t="shared" si="19"/>
        <v>-294.65245676201749</v>
      </c>
      <c r="AB19">
        <f t="shared" si="20"/>
        <v>-27.975792999619333</v>
      </c>
      <c r="AC19">
        <f t="shared" si="21"/>
        <v>-202.4684204328824</v>
      </c>
      <c r="AD19">
        <v>-4.1123527597508203E-2</v>
      </c>
      <c r="AE19">
        <v>4.6164762347086302E-2</v>
      </c>
      <c r="AF19">
        <v>3.4512205455324101</v>
      </c>
      <c r="AG19">
        <v>11</v>
      </c>
      <c r="AH19">
        <v>2</v>
      </c>
      <c r="AI19">
        <f t="shared" si="22"/>
        <v>1.0004164218198108</v>
      </c>
      <c r="AJ19">
        <f t="shared" si="23"/>
        <v>4.1642181981083048E-2</v>
      </c>
      <c r="AK19">
        <f t="shared" si="24"/>
        <v>52853.045236762438</v>
      </c>
      <c r="AL19" t="s">
        <v>279</v>
      </c>
      <c r="AM19">
        <v>481.47884615384601</v>
      </c>
      <c r="AN19">
        <v>2238.31</v>
      </c>
      <c r="AO19">
        <f t="shared" si="25"/>
        <v>1756.8311538461539</v>
      </c>
      <c r="AP19">
        <f t="shared" si="26"/>
        <v>0.78489179508028561</v>
      </c>
      <c r="AQ19">
        <v>-0.96503536810971002</v>
      </c>
      <c r="AR19" t="s">
        <v>297</v>
      </c>
      <c r="AS19">
        <v>872.13988461538497</v>
      </c>
      <c r="AT19">
        <v>1105</v>
      </c>
      <c r="AU19">
        <f t="shared" si="27"/>
        <v>0.21073313609467426</v>
      </c>
      <c r="AV19">
        <v>0.5</v>
      </c>
      <c r="AW19">
        <f t="shared" si="28"/>
        <v>1849.1346000754111</v>
      </c>
      <c r="AX19">
        <f t="shared" si="29"/>
        <v>12.323535781094064</v>
      </c>
      <c r="AY19">
        <f t="shared" si="30"/>
        <v>194.83696666753133</v>
      </c>
      <c r="AZ19">
        <f t="shared" si="31"/>
        <v>0.41589140271493208</v>
      </c>
      <c r="BA19">
        <f t="shared" si="32"/>
        <v>7.1863731005097423E-3</v>
      </c>
      <c r="BB19">
        <f t="shared" si="33"/>
        <v>1.0256199095022625</v>
      </c>
      <c r="BC19" t="s">
        <v>298</v>
      </c>
      <c r="BD19">
        <v>645.44000000000005</v>
      </c>
      <c r="BE19">
        <f t="shared" si="34"/>
        <v>459.55999999999995</v>
      </c>
      <c r="BF19">
        <f t="shared" si="35"/>
        <v>0.50670231391899878</v>
      </c>
      <c r="BG19">
        <f t="shared" si="36"/>
        <v>0.7114893243014182</v>
      </c>
      <c r="BH19">
        <f t="shared" si="37"/>
        <v>0.37345984807128185</v>
      </c>
      <c r="BI19">
        <f t="shared" si="38"/>
        <v>0.64508760418944855</v>
      </c>
      <c r="BJ19">
        <v>886</v>
      </c>
      <c r="BK19">
        <v>300</v>
      </c>
      <c r="BL19">
        <v>300</v>
      </c>
      <c r="BM19">
        <v>300</v>
      </c>
      <c r="BN19">
        <v>10111.5</v>
      </c>
      <c r="BO19">
        <v>1037.28</v>
      </c>
      <c r="BP19">
        <v>-6.56625E-3</v>
      </c>
      <c r="BQ19">
        <v>0.13256799999999999</v>
      </c>
      <c r="BR19">
        <f t="shared" si="39"/>
        <v>2199.94</v>
      </c>
      <c r="BS19">
        <f t="shared" si="40"/>
        <v>1849.1346000754111</v>
      </c>
      <c r="BT19">
        <f t="shared" si="41"/>
        <v>0.84053865108839831</v>
      </c>
      <c r="BU19">
        <f t="shared" si="42"/>
        <v>0.19107730217679678</v>
      </c>
      <c r="BV19">
        <v>6</v>
      </c>
      <c r="BW19">
        <v>0.5</v>
      </c>
      <c r="BX19" t="s">
        <v>282</v>
      </c>
      <c r="BY19">
        <v>1564858949.9000001</v>
      </c>
      <c r="BZ19">
        <v>184.065</v>
      </c>
      <c r="CA19">
        <v>200.01400000000001</v>
      </c>
      <c r="CB19">
        <v>17.100899999999999</v>
      </c>
      <c r="CC19">
        <v>10.867699999999999</v>
      </c>
      <c r="CD19">
        <v>500.029</v>
      </c>
      <c r="CE19">
        <v>99.3142</v>
      </c>
      <c r="CF19">
        <v>9.9951499999999999E-2</v>
      </c>
      <c r="CG19">
        <v>24.667400000000001</v>
      </c>
      <c r="CH19">
        <v>27.0989</v>
      </c>
      <c r="CI19">
        <v>999.9</v>
      </c>
      <c r="CJ19">
        <v>9985.6200000000008</v>
      </c>
      <c r="CK19">
        <v>0</v>
      </c>
      <c r="CL19">
        <v>-403.82100000000003</v>
      </c>
      <c r="CM19">
        <v>2199.94</v>
      </c>
      <c r="CN19">
        <v>0.98200200000000004</v>
      </c>
      <c r="CO19">
        <v>1.79981E-2</v>
      </c>
      <c r="CP19">
        <v>0</v>
      </c>
      <c r="CQ19">
        <v>870.59100000000001</v>
      </c>
      <c r="CR19">
        <v>4.99986</v>
      </c>
      <c r="CS19">
        <v>19916</v>
      </c>
      <c r="CT19">
        <v>17913.3</v>
      </c>
      <c r="CU19">
        <v>48.686999999999998</v>
      </c>
      <c r="CV19">
        <v>49.561999999999998</v>
      </c>
      <c r="CW19">
        <v>49.25</v>
      </c>
      <c r="CX19">
        <v>48.311999999999998</v>
      </c>
      <c r="CY19">
        <v>49.75</v>
      </c>
      <c r="CZ19">
        <v>2155.44</v>
      </c>
      <c r="DA19">
        <v>39.5</v>
      </c>
      <c r="DB19">
        <v>0</v>
      </c>
      <c r="DC19">
        <v>79.199999809265094</v>
      </c>
      <c r="DD19">
        <v>872.13988461538497</v>
      </c>
      <c r="DE19">
        <v>-13.6085811864445</v>
      </c>
      <c r="DF19">
        <v>-302.81367531726801</v>
      </c>
      <c r="DG19">
        <v>19953.026923076901</v>
      </c>
      <c r="DH19">
        <v>15</v>
      </c>
      <c r="DI19">
        <v>1564858985.9000001</v>
      </c>
      <c r="DJ19" t="s">
        <v>299</v>
      </c>
      <c r="DK19">
        <v>73</v>
      </c>
      <c r="DL19">
        <v>9.7000000000000003E-2</v>
      </c>
      <c r="DM19">
        <v>5.6000000000000001E-2</v>
      </c>
      <c r="DN19">
        <v>200</v>
      </c>
      <c r="DO19">
        <v>11</v>
      </c>
      <c r="DP19">
        <v>7.0000000000000007E-2</v>
      </c>
      <c r="DQ19">
        <v>0.01</v>
      </c>
      <c r="DR19">
        <v>12.2350328385102</v>
      </c>
      <c r="DS19">
        <v>0.29083710797506901</v>
      </c>
      <c r="DT19">
        <v>9.7154049212516899E-2</v>
      </c>
      <c r="DU19">
        <v>1</v>
      </c>
      <c r="DV19">
        <v>0.30042360593179401</v>
      </c>
      <c r="DW19">
        <v>-5.58513911002715E-2</v>
      </c>
      <c r="DX19">
        <v>1.1380173492999499E-2</v>
      </c>
      <c r="DY19">
        <v>1</v>
      </c>
      <c r="DZ19">
        <v>2</v>
      </c>
      <c r="EA19">
        <v>2</v>
      </c>
      <c r="EB19" t="s">
        <v>284</v>
      </c>
      <c r="EC19">
        <v>1.86707</v>
      </c>
      <c r="ED19">
        <v>1.8635999999999999</v>
      </c>
      <c r="EE19">
        <v>1.8692</v>
      </c>
      <c r="EF19">
        <v>1.8672200000000001</v>
      </c>
      <c r="EG19">
        <v>1.8717999999999999</v>
      </c>
      <c r="EH19">
        <v>1.8643000000000001</v>
      </c>
      <c r="EI19">
        <v>1.86571</v>
      </c>
      <c r="EJ19">
        <v>1.8656900000000001</v>
      </c>
      <c r="EK19" t="s">
        <v>285</v>
      </c>
      <c r="EL19" t="s">
        <v>19</v>
      </c>
      <c r="EM19" t="s">
        <v>19</v>
      </c>
      <c r="EN19" t="s">
        <v>19</v>
      </c>
      <c r="EO19" t="s">
        <v>286</v>
      </c>
      <c r="EP19" t="s">
        <v>287</v>
      </c>
      <c r="EQ19" t="s">
        <v>288</v>
      </c>
      <c r="ER19" t="s">
        <v>288</v>
      </c>
      <c r="ES19" t="s">
        <v>288</v>
      </c>
      <c r="ET19" t="s">
        <v>288</v>
      </c>
      <c r="EU19">
        <v>0</v>
      </c>
      <c r="EV19">
        <v>100</v>
      </c>
      <c r="EW19">
        <v>100</v>
      </c>
      <c r="EX19">
        <v>9.7000000000000003E-2</v>
      </c>
      <c r="EY19">
        <v>5.6000000000000001E-2</v>
      </c>
      <c r="EZ19">
        <v>2</v>
      </c>
      <c r="FA19">
        <v>483.99700000000001</v>
      </c>
      <c r="FB19">
        <v>466.61700000000002</v>
      </c>
      <c r="FC19">
        <v>17.075800000000001</v>
      </c>
      <c r="FD19">
        <v>34.772799999999997</v>
      </c>
      <c r="FE19">
        <v>29.999199999999998</v>
      </c>
      <c r="FF19">
        <v>34.837600000000002</v>
      </c>
      <c r="FG19">
        <v>34.827100000000002</v>
      </c>
      <c r="FH19">
        <v>13.054</v>
      </c>
      <c r="FI19">
        <v>64.759900000000002</v>
      </c>
      <c r="FJ19">
        <v>0</v>
      </c>
      <c r="FK19">
        <v>16.814699999999998</v>
      </c>
      <c r="FL19">
        <v>200</v>
      </c>
      <c r="FM19">
        <v>10.9452</v>
      </c>
      <c r="FN19">
        <v>100.43600000000001</v>
      </c>
      <c r="FO19">
        <v>101.029</v>
      </c>
    </row>
    <row r="20" spans="1:171" x14ac:dyDescent="0.35">
      <c r="A20">
        <v>4</v>
      </c>
      <c r="B20">
        <v>1564859067.9000001</v>
      </c>
      <c r="C20">
        <v>300</v>
      </c>
      <c r="D20" t="s">
        <v>300</v>
      </c>
      <c r="E20" t="s">
        <v>301</v>
      </c>
      <c r="G20">
        <v>1564859067.9000001</v>
      </c>
      <c r="H20">
        <f t="shared" si="0"/>
        <v>5.6129122649953645E-3</v>
      </c>
      <c r="I20">
        <f t="shared" si="1"/>
        <v>4.565992527040641</v>
      </c>
      <c r="J20">
        <f t="shared" si="2"/>
        <v>93.87069483721082</v>
      </c>
      <c r="K20">
        <f t="shared" si="3"/>
        <v>66.667620010166218</v>
      </c>
      <c r="L20">
        <f t="shared" si="4"/>
        <v>6.6275202731952874</v>
      </c>
      <c r="M20">
        <f t="shared" si="5"/>
        <v>9.3318155500027409</v>
      </c>
      <c r="N20">
        <f t="shared" si="6"/>
        <v>0.31456576547808113</v>
      </c>
      <c r="O20">
        <f t="shared" si="7"/>
        <v>2.2517394943631044</v>
      </c>
      <c r="P20">
        <f t="shared" si="8"/>
        <v>0.29203338752097358</v>
      </c>
      <c r="Q20">
        <f t="shared" si="9"/>
        <v>0.18441063361916704</v>
      </c>
      <c r="R20">
        <f t="shared" si="10"/>
        <v>353.3649202571433</v>
      </c>
      <c r="S20">
        <f t="shared" si="11"/>
        <v>25.373548763588424</v>
      </c>
      <c r="T20">
        <f t="shared" si="12"/>
        <v>27.017099999999999</v>
      </c>
      <c r="U20">
        <f t="shared" si="13"/>
        <v>3.5827559096051491</v>
      </c>
      <c r="V20">
        <f t="shared" si="14"/>
        <v>55.577919291704816</v>
      </c>
      <c r="W20">
        <f t="shared" si="15"/>
        <v>1.72304778718125</v>
      </c>
      <c r="X20">
        <f t="shared" si="16"/>
        <v>3.1002380246329597</v>
      </c>
      <c r="Y20">
        <f t="shared" si="17"/>
        <v>1.8597081224238992</v>
      </c>
      <c r="Z20">
        <f t="shared" si="18"/>
        <v>-247.52943088629559</v>
      </c>
      <c r="AA20">
        <f t="shared" si="19"/>
        <v>-296.30281889674905</v>
      </c>
      <c r="AB20">
        <f t="shared" si="20"/>
        <v>-28.058437380131174</v>
      </c>
      <c r="AC20">
        <f t="shared" si="21"/>
        <v>-218.52576690603252</v>
      </c>
      <c r="AD20">
        <v>-4.1230593398952402E-2</v>
      </c>
      <c r="AE20">
        <v>4.6284953088686798E-2</v>
      </c>
      <c r="AF20">
        <v>3.45833113819327</v>
      </c>
      <c r="AG20">
        <v>11</v>
      </c>
      <c r="AH20">
        <v>2</v>
      </c>
      <c r="AI20">
        <f t="shared" si="22"/>
        <v>1.0004152574517684</v>
      </c>
      <c r="AJ20">
        <f t="shared" si="23"/>
        <v>4.1525745176840267E-2</v>
      </c>
      <c r="AK20">
        <f t="shared" si="24"/>
        <v>53001.181725233619</v>
      </c>
      <c r="AL20" t="s">
        <v>279</v>
      </c>
      <c r="AM20">
        <v>481.47884615384601</v>
      </c>
      <c r="AN20">
        <v>2238.31</v>
      </c>
      <c r="AO20">
        <f t="shared" si="25"/>
        <v>1756.8311538461539</v>
      </c>
      <c r="AP20">
        <f t="shared" si="26"/>
        <v>0.78489179508028561</v>
      </c>
      <c r="AQ20">
        <v>-0.96503536810971002</v>
      </c>
      <c r="AR20" t="s">
        <v>302</v>
      </c>
      <c r="AS20">
        <v>863.37980769230796</v>
      </c>
      <c r="AT20">
        <v>1047.43</v>
      </c>
      <c r="AU20">
        <f t="shared" si="27"/>
        <v>0.17571598322340598</v>
      </c>
      <c r="AV20">
        <v>0.5</v>
      </c>
      <c r="AW20">
        <f t="shared" si="28"/>
        <v>1849.3281000754221</v>
      </c>
      <c r="AX20">
        <f t="shared" si="29"/>
        <v>4.565992527040641</v>
      </c>
      <c r="AY20">
        <f t="shared" si="30"/>
        <v>162.47825270371305</v>
      </c>
      <c r="AZ20">
        <f t="shared" si="31"/>
        <v>0.37280772939480439</v>
      </c>
      <c r="BA20">
        <f t="shared" si="32"/>
        <v>2.9908310455698892E-3</v>
      </c>
      <c r="BB20">
        <f t="shared" si="33"/>
        <v>1.1369542594731865</v>
      </c>
      <c r="BC20" t="s">
        <v>303</v>
      </c>
      <c r="BD20">
        <v>656.94</v>
      </c>
      <c r="BE20">
        <f t="shared" si="34"/>
        <v>390.49</v>
      </c>
      <c r="BF20">
        <f t="shared" si="35"/>
        <v>0.47133138443415223</v>
      </c>
      <c r="BG20">
        <f t="shared" si="36"/>
        <v>0.75306854183397942</v>
      </c>
      <c r="BH20">
        <f t="shared" si="37"/>
        <v>0.32520508361349432</v>
      </c>
      <c r="BI20">
        <f t="shared" si="38"/>
        <v>0.67785683182635859</v>
      </c>
      <c r="BJ20">
        <v>888</v>
      </c>
      <c r="BK20">
        <v>300</v>
      </c>
      <c r="BL20">
        <v>300</v>
      </c>
      <c r="BM20">
        <v>300</v>
      </c>
      <c r="BN20">
        <v>10111.200000000001</v>
      </c>
      <c r="BO20">
        <v>998.21400000000006</v>
      </c>
      <c r="BP20">
        <v>-6.5658899999999996E-3</v>
      </c>
      <c r="BQ20">
        <v>0.67694100000000001</v>
      </c>
      <c r="BR20">
        <f t="shared" si="39"/>
        <v>2200.17</v>
      </c>
      <c r="BS20">
        <f t="shared" si="40"/>
        <v>1849.3281000754221</v>
      </c>
      <c r="BT20">
        <f t="shared" si="41"/>
        <v>0.84053873113233157</v>
      </c>
      <c r="BU20">
        <f t="shared" si="42"/>
        <v>0.19107746226466349</v>
      </c>
      <c r="BV20">
        <v>6</v>
      </c>
      <c r="BW20">
        <v>0.5</v>
      </c>
      <c r="BX20" t="s">
        <v>282</v>
      </c>
      <c r="BY20">
        <v>1564859067.9000001</v>
      </c>
      <c r="BZ20">
        <v>93.870699999999999</v>
      </c>
      <c r="CA20">
        <v>99.980199999999996</v>
      </c>
      <c r="CB20">
        <v>17.3325</v>
      </c>
      <c r="CC20">
        <v>10.716200000000001</v>
      </c>
      <c r="CD20">
        <v>499.97399999999999</v>
      </c>
      <c r="CE20">
        <v>99.311400000000006</v>
      </c>
      <c r="CF20">
        <v>9.9982500000000002E-2</v>
      </c>
      <c r="CG20">
        <v>24.5763</v>
      </c>
      <c r="CH20">
        <v>27.017099999999999</v>
      </c>
      <c r="CI20">
        <v>999.9</v>
      </c>
      <c r="CJ20">
        <v>10011.9</v>
      </c>
      <c r="CK20">
        <v>0</v>
      </c>
      <c r="CL20">
        <v>-403.31400000000002</v>
      </c>
      <c r="CM20">
        <v>2200.17</v>
      </c>
      <c r="CN20">
        <v>0.98200200000000004</v>
      </c>
      <c r="CO20">
        <v>1.79981E-2</v>
      </c>
      <c r="CP20">
        <v>0</v>
      </c>
      <c r="CQ20">
        <v>863.27</v>
      </c>
      <c r="CR20">
        <v>4.99986</v>
      </c>
      <c r="CS20">
        <v>19738.8</v>
      </c>
      <c r="CT20">
        <v>17915.2</v>
      </c>
      <c r="CU20">
        <v>48.561999999999998</v>
      </c>
      <c r="CV20">
        <v>49.75</v>
      </c>
      <c r="CW20">
        <v>49.186999999999998</v>
      </c>
      <c r="CX20">
        <v>48.5</v>
      </c>
      <c r="CY20">
        <v>49.686999999999998</v>
      </c>
      <c r="CZ20">
        <v>2155.66</v>
      </c>
      <c r="DA20">
        <v>39.51</v>
      </c>
      <c r="DB20">
        <v>0</v>
      </c>
      <c r="DC20">
        <v>117.799999952316</v>
      </c>
      <c r="DD20">
        <v>863.37980769230796</v>
      </c>
      <c r="DE20">
        <v>-0.78129916740158001</v>
      </c>
      <c r="DF20">
        <v>-53.989743686278203</v>
      </c>
      <c r="DG20">
        <v>19743.669230769199</v>
      </c>
      <c r="DH20">
        <v>15</v>
      </c>
      <c r="DI20">
        <v>1564859101.4000001</v>
      </c>
      <c r="DJ20" t="s">
        <v>304</v>
      </c>
      <c r="DK20">
        <v>74</v>
      </c>
      <c r="DL20">
        <v>1.0999999999999999E-2</v>
      </c>
      <c r="DM20">
        <v>5.2999999999999999E-2</v>
      </c>
      <c r="DN20">
        <v>100</v>
      </c>
      <c r="DO20">
        <v>11</v>
      </c>
      <c r="DP20">
        <v>0.23</v>
      </c>
      <c r="DQ20">
        <v>0.01</v>
      </c>
      <c r="DR20">
        <v>4.4910548947891797</v>
      </c>
      <c r="DS20">
        <v>0.275076922607425</v>
      </c>
      <c r="DT20">
        <v>8.4422616917897306E-2</v>
      </c>
      <c r="DU20">
        <v>1</v>
      </c>
      <c r="DV20">
        <v>0.31061683310350302</v>
      </c>
      <c r="DW20">
        <v>1.0413550812868299E-2</v>
      </c>
      <c r="DX20">
        <v>2.0661548958593201E-3</v>
      </c>
      <c r="DY20">
        <v>1</v>
      </c>
      <c r="DZ20">
        <v>2</v>
      </c>
      <c r="EA20">
        <v>2</v>
      </c>
      <c r="EB20" t="s">
        <v>284</v>
      </c>
      <c r="EC20">
        <v>1.8670800000000001</v>
      </c>
      <c r="ED20">
        <v>1.8635699999999999</v>
      </c>
      <c r="EE20">
        <v>1.86921</v>
      </c>
      <c r="EF20">
        <v>1.8672</v>
      </c>
      <c r="EG20">
        <v>1.87181</v>
      </c>
      <c r="EH20">
        <v>1.86426</v>
      </c>
      <c r="EI20">
        <v>1.86571</v>
      </c>
      <c r="EJ20">
        <v>1.86568</v>
      </c>
      <c r="EK20" t="s">
        <v>285</v>
      </c>
      <c r="EL20" t="s">
        <v>19</v>
      </c>
      <c r="EM20" t="s">
        <v>19</v>
      </c>
      <c r="EN20" t="s">
        <v>19</v>
      </c>
      <c r="EO20" t="s">
        <v>286</v>
      </c>
      <c r="EP20" t="s">
        <v>287</v>
      </c>
      <c r="EQ20" t="s">
        <v>288</v>
      </c>
      <c r="ER20" t="s">
        <v>288</v>
      </c>
      <c r="ES20" t="s">
        <v>288</v>
      </c>
      <c r="ET20" t="s">
        <v>288</v>
      </c>
      <c r="EU20">
        <v>0</v>
      </c>
      <c r="EV20">
        <v>100</v>
      </c>
      <c r="EW20">
        <v>100</v>
      </c>
      <c r="EX20">
        <v>1.0999999999999999E-2</v>
      </c>
      <c r="EY20">
        <v>5.2999999999999999E-2</v>
      </c>
      <c r="EZ20">
        <v>2</v>
      </c>
      <c r="FA20">
        <v>484.471</v>
      </c>
      <c r="FB20">
        <v>466.07799999999997</v>
      </c>
      <c r="FC20">
        <v>16.7592</v>
      </c>
      <c r="FD20">
        <v>34.703000000000003</v>
      </c>
      <c r="FE20">
        <v>30.000499999999999</v>
      </c>
      <c r="FF20">
        <v>34.740299999999998</v>
      </c>
      <c r="FG20">
        <v>34.741199999999999</v>
      </c>
      <c r="FH20">
        <v>8.1488800000000001</v>
      </c>
      <c r="FI20">
        <v>65.819500000000005</v>
      </c>
      <c r="FJ20">
        <v>0</v>
      </c>
      <c r="FK20">
        <v>16.320699999999999</v>
      </c>
      <c r="FL20">
        <v>100</v>
      </c>
      <c r="FM20">
        <v>10.5892</v>
      </c>
      <c r="FN20">
        <v>100.452</v>
      </c>
      <c r="FO20">
        <v>101.041</v>
      </c>
    </row>
    <row r="21" spans="1:171" x14ac:dyDescent="0.35">
      <c r="A21">
        <v>5</v>
      </c>
      <c r="B21">
        <v>1564859180.4000001</v>
      </c>
      <c r="C21">
        <v>412.5</v>
      </c>
      <c r="D21" t="s">
        <v>305</v>
      </c>
      <c r="E21" t="s">
        <v>306</v>
      </c>
      <c r="G21">
        <v>1564859180.4000001</v>
      </c>
      <c r="H21">
        <f t="shared" si="0"/>
        <v>6.4387401902500484E-3</v>
      </c>
      <c r="I21">
        <f t="shared" si="1"/>
        <v>0.5772410485315943</v>
      </c>
      <c r="J21">
        <f t="shared" si="2"/>
        <v>48.938399344828717</v>
      </c>
      <c r="K21">
        <f t="shared" si="3"/>
        <v>44.804018698452545</v>
      </c>
      <c r="L21">
        <f t="shared" si="4"/>
        <v>4.4541230852484999</v>
      </c>
      <c r="M21">
        <f t="shared" si="5"/>
        <v>4.8651362223549874</v>
      </c>
      <c r="N21">
        <f t="shared" si="6"/>
        <v>0.36638805529804147</v>
      </c>
      <c r="O21">
        <f t="shared" si="7"/>
        <v>2.2494747821367196</v>
      </c>
      <c r="P21">
        <f t="shared" si="8"/>
        <v>0.33617392311963273</v>
      </c>
      <c r="Q21">
        <f t="shared" si="9"/>
        <v>0.21261530105974225</v>
      </c>
      <c r="R21">
        <f t="shared" si="10"/>
        <v>353.35159065713242</v>
      </c>
      <c r="S21">
        <f t="shared" si="11"/>
        <v>25.360170831621055</v>
      </c>
      <c r="T21">
        <f t="shared" si="12"/>
        <v>27.089200000000002</v>
      </c>
      <c r="U21">
        <f t="shared" si="13"/>
        <v>3.5979536153140943</v>
      </c>
      <c r="V21">
        <f t="shared" si="14"/>
        <v>55.417752087746031</v>
      </c>
      <c r="W21">
        <f t="shared" si="15"/>
        <v>1.7450543912841001</v>
      </c>
      <c r="X21">
        <f t="shared" si="16"/>
        <v>3.1489086538931748</v>
      </c>
      <c r="Y21">
        <f t="shared" si="17"/>
        <v>1.8528992240299942</v>
      </c>
      <c r="Z21">
        <f t="shared" si="18"/>
        <v>-283.94844239002714</v>
      </c>
      <c r="AA21">
        <f t="shared" si="19"/>
        <v>-273.13259212854865</v>
      </c>
      <c r="AB21">
        <f t="shared" si="20"/>
        <v>-25.933583484224286</v>
      </c>
      <c r="AC21">
        <f t="shared" si="21"/>
        <v>-229.66302734566767</v>
      </c>
      <c r="AD21">
        <v>-4.1169609192849399E-2</v>
      </c>
      <c r="AE21">
        <v>4.6216492974826301E-2</v>
      </c>
      <c r="AF21">
        <v>3.45428175523034</v>
      </c>
      <c r="AG21">
        <v>10</v>
      </c>
      <c r="AH21">
        <v>2</v>
      </c>
      <c r="AI21">
        <f t="shared" si="22"/>
        <v>1.0003783599527987</v>
      </c>
      <c r="AJ21">
        <f t="shared" si="23"/>
        <v>3.7835995279866808E-2</v>
      </c>
      <c r="AK21">
        <f t="shared" si="24"/>
        <v>52879.71692316702</v>
      </c>
      <c r="AL21" t="s">
        <v>279</v>
      </c>
      <c r="AM21">
        <v>481.47884615384601</v>
      </c>
      <c r="AN21">
        <v>2238.31</v>
      </c>
      <c r="AO21">
        <f t="shared" si="25"/>
        <v>1756.8311538461539</v>
      </c>
      <c r="AP21">
        <f t="shared" si="26"/>
        <v>0.78489179508028561</v>
      </c>
      <c r="AQ21">
        <v>-0.96503536810971002</v>
      </c>
      <c r="AR21" t="s">
        <v>307</v>
      </c>
      <c r="AS21">
        <v>861.66938461538496</v>
      </c>
      <c r="AT21">
        <v>1017.8</v>
      </c>
      <c r="AU21">
        <f t="shared" si="27"/>
        <v>0.15340009371646202</v>
      </c>
      <c r="AV21">
        <v>0.5</v>
      </c>
      <c r="AW21">
        <f t="shared" si="28"/>
        <v>1849.260600075406</v>
      </c>
      <c r="AX21">
        <f t="shared" si="29"/>
        <v>0.5772410485315943</v>
      </c>
      <c r="AY21">
        <f t="shared" si="30"/>
        <v>141.83837467886403</v>
      </c>
      <c r="AZ21">
        <f t="shared" si="31"/>
        <v>0.34714089212025934</v>
      </c>
      <c r="BA21">
        <f t="shared" si="32"/>
        <v>8.3399625589731163E-4</v>
      </c>
      <c r="BB21">
        <f t="shared" si="33"/>
        <v>1.1991648653959521</v>
      </c>
      <c r="BC21" t="s">
        <v>308</v>
      </c>
      <c r="BD21">
        <v>664.48</v>
      </c>
      <c r="BE21">
        <f t="shared" si="34"/>
        <v>353.31999999999994</v>
      </c>
      <c r="BF21">
        <f t="shared" si="35"/>
        <v>0.44189577545741826</v>
      </c>
      <c r="BG21">
        <f t="shared" si="36"/>
        <v>0.77550307212341874</v>
      </c>
      <c r="BH21">
        <f t="shared" si="37"/>
        <v>0.29111403543370534</v>
      </c>
      <c r="BI21">
        <f t="shared" si="38"/>
        <v>0.69472242527575323</v>
      </c>
      <c r="BJ21">
        <v>890</v>
      </c>
      <c r="BK21">
        <v>300</v>
      </c>
      <c r="BL21">
        <v>300</v>
      </c>
      <c r="BM21">
        <v>300</v>
      </c>
      <c r="BN21">
        <v>10110.700000000001</v>
      </c>
      <c r="BO21">
        <v>976.01099999999997</v>
      </c>
      <c r="BP21">
        <v>-6.5654600000000004E-3</v>
      </c>
      <c r="BQ21">
        <v>-8.0566399999999996E-2</v>
      </c>
      <c r="BR21">
        <f t="shared" si="39"/>
        <v>2200.09</v>
      </c>
      <c r="BS21">
        <f t="shared" si="40"/>
        <v>1849.260600075406</v>
      </c>
      <c r="BT21">
        <f t="shared" si="41"/>
        <v>0.84053861436368782</v>
      </c>
      <c r="BU21">
        <f t="shared" si="42"/>
        <v>0.1910772287273757</v>
      </c>
      <c r="BV21">
        <v>6</v>
      </c>
      <c r="BW21">
        <v>0.5</v>
      </c>
      <c r="BX21" t="s">
        <v>282</v>
      </c>
      <c r="BY21">
        <v>1564859180.4000001</v>
      </c>
      <c r="BZ21">
        <v>48.938400000000001</v>
      </c>
      <c r="CA21">
        <v>50.008899999999997</v>
      </c>
      <c r="CB21">
        <v>17.5535</v>
      </c>
      <c r="CC21">
        <v>9.9659099999999992</v>
      </c>
      <c r="CD21">
        <v>500.02300000000002</v>
      </c>
      <c r="CE21">
        <v>99.313500000000005</v>
      </c>
      <c r="CF21">
        <v>9.9972599999999995E-2</v>
      </c>
      <c r="CG21">
        <v>24.837</v>
      </c>
      <c r="CH21">
        <v>27.089200000000002</v>
      </c>
      <c r="CI21">
        <v>999.9</v>
      </c>
      <c r="CJ21">
        <v>9996.8799999999992</v>
      </c>
      <c r="CK21">
        <v>0</v>
      </c>
      <c r="CL21">
        <v>-402.721</v>
      </c>
      <c r="CM21">
        <v>2200.09</v>
      </c>
      <c r="CN21">
        <v>0.98200399999999999</v>
      </c>
      <c r="CO21">
        <v>1.79956E-2</v>
      </c>
      <c r="CP21">
        <v>0</v>
      </c>
      <c r="CQ21">
        <v>861.14300000000003</v>
      </c>
      <c r="CR21">
        <v>4.99986</v>
      </c>
      <c r="CS21">
        <v>19701.3</v>
      </c>
      <c r="CT21">
        <v>17914.5</v>
      </c>
      <c r="CU21">
        <v>48.686999999999998</v>
      </c>
      <c r="CV21">
        <v>50.061999999999998</v>
      </c>
      <c r="CW21">
        <v>49.311999999999998</v>
      </c>
      <c r="CX21">
        <v>48.75</v>
      </c>
      <c r="CY21">
        <v>49.811999999999998</v>
      </c>
      <c r="CZ21">
        <v>2155.59</v>
      </c>
      <c r="DA21">
        <v>39.5</v>
      </c>
      <c r="DB21">
        <v>0</v>
      </c>
      <c r="DC21">
        <v>112.40000009536701</v>
      </c>
      <c r="DD21">
        <v>861.66938461538496</v>
      </c>
      <c r="DE21">
        <v>-1.8782222299769</v>
      </c>
      <c r="DF21">
        <v>-18.5401709297549</v>
      </c>
      <c r="DG21">
        <v>19702.55</v>
      </c>
      <c r="DH21">
        <v>15</v>
      </c>
      <c r="DI21">
        <v>1564859220.9000001</v>
      </c>
      <c r="DJ21" t="s">
        <v>309</v>
      </c>
      <c r="DK21">
        <v>75</v>
      </c>
      <c r="DL21">
        <v>8.6999999999999994E-2</v>
      </c>
      <c r="DM21">
        <v>4.5999999999999999E-2</v>
      </c>
      <c r="DN21">
        <v>50</v>
      </c>
      <c r="DO21">
        <v>10</v>
      </c>
      <c r="DP21">
        <v>0.26</v>
      </c>
      <c r="DQ21">
        <v>0.02</v>
      </c>
      <c r="DR21">
        <v>0.56329083173645</v>
      </c>
      <c r="DS21">
        <v>0.291252163395187</v>
      </c>
      <c r="DT21">
        <v>7.65279582003702E-2</v>
      </c>
      <c r="DU21">
        <v>1</v>
      </c>
      <c r="DV21">
        <v>0.35327476675229502</v>
      </c>
      <c r="DW21">
        <v>4.0953532878688699E-2</v>
      </c>
      <c r="DX21">
        <v>7.9782282392326306E-3</v>
      </c>
      <c r="DY21">
        <v>1</v>
      </c>
      <c r="DZ21">
        <v>2</v>
      </c>
      <c r="EA21">
        <v>2</v>
      </c>
      <c r="EB21" t="s">
        <v>284</v>
      </c>
      <c r="EC21">
        <v>1.86707</v>
      </c>
      <c r="ED21">
        <v>1.86358</v>
      </c>
      <c r="EE21">
        <v>1.8692</v>
      </c>
      <c r="EF21">
        <v>1.8671800000000001</v>
      </c>
      <c r="EG21">
        <v>1.8717999999999999</v>
      </c>
      <c r="EH21">
        <v>1.8643000000000001</v>
      </c>
      <c r="EI21">
        <v>1.8656999999999999</v>
      </c>
      <c r="EJ21">
        <v>1.8656900000000001</v>
      </c>
      <c r="EK21" t="s">
        <v>285</v>
      </c>
      <c r="EL21" t="s">
        <v>19</v>
      </c>
      <c r="EM21" t="s">
        <v>19</v>
      </c>
      <c r="EN21" t="s">
        <v>19</v>
      </c>
      <c r="EO21" t="s">
        <v>286</v>
      </c>
      <c r="EP21" t="s">
        <v>287</v>
      </c>
      <c r="EQ21" t="s">
        <v>288</v>
      </c>
      <c r="ER21" t="s">
        <v>288</v>
      </c>
      <c r="ES21" t="s">
        <v>288</v>
      </c>
      <c r="ET21" t="s">
        <v>288</v>
      </c>
      <c r="EU21">
        <v>0</v>
      </c>
      <c r="EV21">
        <v>100</v>
      </c>
      <c r="EW21">
        <v>100</v>
      </c>
      <c r="EX21">
        <v>8.6999999999999994E-2</v>
      </c>
      <c r="EY21">
        <v>4.5999999999999999E-2</v>
      </c>
      <c r="EZ21">
        <v>2</v>
      </c>
      <c r="FA21">
        <v>484.88799999999998</v>
      </c>
      <c r="FB21">
        <v>464.267</v>
      </c>
      <c r="FC21">
        <v>17.107800000000001</v>
      </c>
      <c r="FD21">
        <v>34.848199999999999</v>
      </c>
      <c r="FE21">
        <v>30.000699999999998</v>
      </c>
      <c r="FF21">
        <v>34.818600000000004</v>
      </c>
      <c r="FG21">
        <v>34.811700000000002</v>
      </c>
      <c r="FH21">
        <v>5.6626799999999999</v>
      </c>
      <c r="FI21">
        <v>68.2654</v>
      </c>
      <c r="FJ21">
        <v>0</v>
      </c>
      <c r="FK21">
        <v>15.9437</v>
      </c>
      <c r="FL21">
        <v>50</v>
      </c>
      <c r="FM21">
        <v>9.8824799999999993</v>
      </c>
      <c r="FN21">
        <v>100.423</v>
      </c>
      <c r="FO21">
        <v>101.006</v>
      </c>
    </row>
    <row r="22" spans="1:171" x14ac:dyDescent="0.35">
      <c r="A22">
        <v>6</v>
      </c>
      <c r="B22">
        <v>1564859299.4000001</v>
      </c>
      <c r="C22">
        <v>531.5</v>
      </c>
      <c r="D22" t="s">
        <v>310</v>
      </c>
      <c r="E22" t="s">
        <v>311</v>
      </c>
      <c r="G22">
        <v>1564859299.4000001</v>
      </c>
      <c r="H22">
        <f t="shared" si="0"/>
        <v>7.2216067274886954E-3</v>
      </c>
      <c r="I22">
        <f t="shared" si="1"/>
        <v>-2.9151198971857197</v>
      </c>
      <c r="J22">
        <f t="shared" si="2"/>
        <v>15.848103308436379</v>
      </c>
      <c r="K22">
        <f t="shared" si="3"/>
        <v>27.135639176309052</v>
      </c>
      <c r="L22">
        <f t="shared" si="4"/>
        <v>2.6976226793621949</v>
      </c>
      <c r="M22">
        <f t="shared" si="5"/>
        <v>1.5755001248335474</v>
      </c>
      <c r="N22">
        <f t="shared" si="6"/>
        <v>0.42623706902299402</v>
      </c>
      <c r="O22">
        <f t="shared" si="7"/>
        <v>2.2497454824114214</v>
      </c>
      <c r="P22">
        <f t="shared" si="8"/>
        <v>0.38593113115731592</v>
      </c>
      <c r="Q22">
        <f t="shared" si="9"/>
        <v>0.24450988130110221</v>
      </c>
      <c r="R22">
        <f t="shared" si="10"/>
        <v>353.32924673837596</v>
      </c>
      <c r="S22">
        <f t="shared" si="11"/>
        <v>25.184404299417508</v>
      </c>
      <c r="T22">
        <f t="shared" si="12"/>
        <v>26.94</v>
      </c>
      <c r="U22">
        <f t="shared" si="13"/>
        <v>3.5665663008194768</v>
      </c>
      <c r="V22">
        <f t="shared" si="14"/>
        <v>55.488703893844161</v>
      </c>
      <c r="W22">
        <f t="shared" si="15"/>
        <v>1.756142313282</v>
      </c>
      <c r="X22">
        <f t="shared" si="16"/>
        <v>3.1648645400723154</v>
      </c>
      <c r="Y22">
        <f t="shared" si="17"/>
        <v>1.8104239875374768</v>
      </c>
      <c r="Z22">
        <f t="shared" si="18"/>
        <v>-318.47285668225146</v>
      </c>
      <c r="AA22">
        <f t="shared" si="19"/>
        <v>-244.79613239112322</v>
      </c>
      <c r="AB22">
        <f t="shared" si="20"/>
        <v>-23.232691835509151</v>
      </c>
      <c r="AC22">
        <f t="shared" si="21"/>
        <v>-233.1724341705079</v>
      </c>
      <c r="AD22">
        <v>-4.11768956930521E-2</v>
      </c>
      <c r="AE22">
        <v>4.6224672709636198E-2</v>
      </c>
      <c r="AF22">
        <v>3.4547656911034799</v>
      </c>
      <c r="AG22">
        <v>10</v>
      </c>
      <c r="AH22">
        <v>2</v>
      </c>
      <c r="AI22">
        <f t="shared" si="22"/>
        <v>1.0003784034856762</v>
      </c>
      <c r="AJ22">
        <f t="shared" si="23"/>
        <v>3.7840348567619309E-2</v>
      </c>
      <c r="AK22">
        <f t="shared" si="24"/>
        <v>52873.635754082374</v>
      </c>
      <c r="AL22" t="s">
        <v>279</v>
      </c>
      <c r="AM22">
        <v>481.47884615384601</v>
      </c>
      <c r="AN22">
        <v>2238.31</v>
      </c>
      <c r="AO22">
        <f t="shared" si="25"/>
        <v>1756.8311538461539</v>
      </c>
      <c r="AP22">
        <f t="shared" si="26"/>
        <v>0.78489179508028561</v>
      </c>
      <c r="AQ22">
        <v>-0.96503536810971002</v>
      </c>
      <c r="AR22" t="s">
        <v>312</v>
      </c>
      <c r="AS22">
        <v>864.12392307692301</v>
      </c>
      <c r="AT22">
        <v>994.54899999999998</v>
      </c>
      <c r="AU22">
        <f t="shared" si="27"/>
        <v>0.13113992063043345</v>
      </c>
      <c r="AV22">
        <v>0.5</v>
      </c>
      <c r="AW22">
        <f t="shared" si="28"/>
        <v>1849.1430000754103</v>
      </c>
      <c r="AX22">
        <f t="shared" si="29"/>
        <v>-2.9151198971857197</v>
      </c>
      <c r="AY22">
        <f t="shared" si="30"/>
        <v>121.24823313210545</v>
      </c>
      <c r="AZ22">
        <f t="shared" si="31"/>
        <v>0.32307005486909141</v>
      </c>
      <c r="BA22">
        <f t="shared" si="32"/>
        <v>-1.0545882762969022E-3</v>
      </c>
      <c r="BB22">
        <f t="shared" si="33"/>
        <v>1.2505779001336284</v>
      </c>
      <c r="BC22" t="s">
        <v>313</v>
      </c>
      <c r="BD22">
        <v>673.24</v>
      </c>
      <c r="BE22">
        <f t="shared" si="34"/>
        <v>321.30899999999997</v>
      </c>
      <c r="BF22">
        <f t="shared" si="35"/>
        <v>0.40591790744447553</v>
      </c>
      <c r="BG22">
        <f t="shared" si="36"/>
        <v>0.79469991757557168</v>
      </c>
      <c r="BH22">
        <f t="shared" si="37"/>
        <v>0.25420515293155294</v>
      </c>
      <c r="BI22">
        <f t="shared" si="38"/>
        <v>0.70795704941655213</v>
      </c>
      <c r="BJ22">
        <v>892</v>
      </c>
      <c r="BK22">
        <v>300</v>
      </c>
      <c r="BL22">
        <v>300</v>
      </c>
      <c r="BM22">
        <v>300</v>
      </c>
      <c r="BN22">
        <v>10109.9</v>
      </c>
      <c r="BO22">
        <v>958.01499999999999</v>
      </c>
      <c r="BP22">
        <v>-6.5647500000000003E-3</v>
      </c>
      <c r="BQ22">
        <v>-0.67071499999999995</v>
      </c>
      <c r="BR22">
        <f t="shared" si="39"/>
        <v>2199.9499999999998</v>
      </c>
      <c r="BS22">
        <f t="shared" si="40"/>
        <v>1849.1430000754103</v>
      </c>
      <c r="BT22">
        <f t="shared" si="41"/>
        <v>0.84053864863992844</v>
      </c>
      <c r="BU22">
        <f t="shared" si="42"/>
        <v>0.19107729727985709</v>
      </c>
      <c r="BV22">
        <v>6</v>
      </c>
      <c r="BW22">
        <v>0.5</v>
      </c>
      <c r="BX22" t="s">
        <v>282</v>
      </c>
      <c r="BY22">
        <v>1564859299.4000001</v>
      </c>
      <c r="BZ22">
        <v>15.848100000000001</v>
      </c>
      <c r="CA22">
        <v>12.488899999999999</v>
      </c>
      <c r="CB22">
        <v>17.665199999999999</v>
      </c>
      <c r="CC22">
        <v>9.1563499999999998</v>
      </c>
      <c r="CD22">
        <v>500.04199999999997</v>
      </c>
      <c r="CE22">
        <v>99.3125</v>
      </c>
      <c r="CF22">
        <v>0.100035</v>
      </c>
      <c r="CG22">
        <v>24.921700000000001</v>
      </c>
      <c r="CH22">
        <v>26.94</v>
      </c>
      <c r="CI22">
        <v>999.9</v>
      </c>
      <c r="CJ22">
        <v>9998.75</v>
      </c>
      <c r="CK22">
        <v>0</v>
      </c>
      <c r="CL22">
        <v>-403.50700000000001</v>
      </c>
      <c r="CM22">
        <v>2199.9499999999998</v>
      </c>
      <c r="CN22">
        <v>0.98200399999999999</v>
      </c>
      <c r="CO22">
        <v>1.79956E-2</v>
      </c>
      <c r="CP22">
        <v>0</v>
      </c>
      <c r="CQ22">
        <v>864.47900000000004</v>
      </c>
      <c r="CR22">
        <v>4.99986</v>
      </c>
      <c r="CS22">
        <v>19762.400000000001</v>
      </c>
      <c r="CT22">
        <v>17913.400000000001</v>
      </c>
      <c r="CU22">
        <v>48.875</v>
      </c>
      <c r="CV22">
        <v>50.375</v>
      </c>
      <c r="CW22">
        <v>49.5</v>
      </c>
      <c r="CX22">
        <v>49.061999999999998</v>
      </c>
      <c r="CY22">
        <v>50</v>
      </c>
      <c r="CZ22">
        <v>2155.4499999999998</v>
      </c>
      <c r="DA22">
        <v>39.5</v>
      </c>
      <c r="DB22">
        <v>0</v>
      </c>
      <c r="DC22">
        <v>118.299999952316</v>
      </c>
      <c r="DD22">
        <v>864.12392307692301</v>
      </c>
      <c r="DE22">
        <v>2.0704957311626</v>
      </c>
      <c r="DF22">
        <v>44.290598294637597</v>
      </c>
      <c r="DG22">
        <v>19757.426923076899</v>
      </c>
      <c r="DH22">
        <v>15</v>
      </c>
      <c r="DI22">
        <v>1564859339.4000001</v>
      </c>
      <c r="DJ22" t="s">
        <v>314</v>
      </c>
      <c r="DK22">
        <v>76</v>
      </c>
      <c r="DL22">
        <v>5.0999999999999997E-2</v>
      </c>
      <c r="DM22">
        <v>3.5999999999999997E-2</v>
      </c>
      <c r="DN22">
        <v>12</v>
      </c>
      <c r="DO22">
        <v>9</v>
      </c>
      <c r="DP22">
        <v>0.28999999999999998</v>
      </c>
      <c r="DQ22">
        <v>0.01</v>
      </c>
      <c r="DR22">
        <v>-2.9793930399223298</v>
      </c>
      <c r="DS22">
        <v>0.28770635242864001</v>
      </c>
      <c r="DT22">
        <v>7.0548497398534304E-2</v>
      </c>
      <c r="DU22">
        <v>1</v>
      </c>
      <c r="DV22">
        <v>0.41439789909845598</v>
      </c>
      <c r="DW22">
        <v>3.7545990292830698E-2</v>
      </c>
      <c r="DX22">
        <v>7.3007275665177701E-3</v>
      </c>
      <c r="DY22">
        <v>1</v>
      </c>
      <c r="DZ22">
        <v>2</v>
      </c>
      <c r="EA22">
        <v>2</v>
      </c>
      <c r="EB22" t="s">
        <v>284</v>
      </c>
      <c r="EC22">
        <v>1.8666199999999999</v>
      </c>
      <c r="ED22">
        <v>1.86313</v>
      </c>
      <c r="EE22">
        <v>1.8687400000000001</v>
      </c>
      <c r="EF22">
        <v>1.8667499999999999</v>
      </c>
      <c r="EG22">
        <v>1.87134</v>
      </c>
      <c r="EH22">
        <v>1.86381</v>
      </c>
      <c r="EI22">
        <v>1.8652500000000001</v>
      </c>
      <c r="EJ22">
        <v>1.86521</v>
      </c>
      <c r="EK22" t="s">
        <v>285</v>
      </c>
      <c r="EL22" t="s">
        <v>19</v>
      </c>
      <c r="EM22" t="s">
        <v>19</v>
      </c>
      <c r="EN22" t="s">
        <v>19</v>
      </c>
      <c r="EO22" t="s">
        <v>286</v>
      </c>
      <c r="EP22" t="s">
        <v>287</v>
      </c>
      <c r="EQ22" t="s">
        <v>288</v>
      </c>
      <c r="ER22" t="s">
        <v>288</v>
      </c>
      <c r="ES22" t="s">
        <v>288</v>
      </c>
      <c r="ET22" t="s">
        <v>288</v>
      </c>
      <c r="EU22">
        <v>0</v>
      </c>
      <c r="EV22">
        <v>100</v>
      </c>
      <c r="EW22">
        <v>100</v>
      </c>
      <c r="EX22">
        <v>5.0999999999999997E-2</v>
      </c>
      <c r="EY22">
        <v>3.5999999999999997E-2</v>
      </c>
      <c r="EZ22">
        <v>2</v>
      </c>
      <c r="FA22">
        <v>485.43900000000002</v>
      </c>
      <c r="FB22">
        <v>462.84800000000001</v>
      </c>
      <c r="FC22">
        <v>17.4297</v>
      </c>
      <c r="FD22">
        <v>35.072200000000002</v>
      </c>
      <c r="FE22">
        <v>29.999600000000001</v>
      </c>
      <c r="FF22">
        <v>34.976799999999997</v>
      </c>
      <c r="FG22">
        <v>34.960799999999999</v>
      </c>
      <c r="FH22">
        <v>3.8398300000000001</v>
      </c>
      <c r="FI22">
        <v>70.432599999999994</v>
      </c>
      <c r="FJ22">
        <v>0</v>
      </c>
      <c r="FK22">
        <v>17.532499999999999</v>
      </c>
      <c r="FL22">
        <v>12.5</v>
      </c>
      <c r="FM22">
        <v>9.0568799999999996</v>
      </c>
      <c r="FN22">
        <v>100.384</v>
      </c>
      <c r="FO22">
        <v>100.958</v>
      </c>
    </row>
    <row r="23" spans="1:171" x14ac:dyDescent="0.35">
      <c r="A23">
        <v>8</v>
      </c>
      <c r="B23">
        <v>1564859558.4000001</v>
      </c>
      <c r="C23">
        <v>790.5</v>
      </c>
      <c r="D23" t="s">
        <v>315</v>
      </c>
      <c r="E23" t="s">
        <v>316</v>
      </c>
      <c r="G23">
        <v>1564859558.4000001</v>
      </c>
      <c r="H23">
        <f t="shared" si="0"/>
        <v>7.8787098309597882E-3</v>
      </c>
      <c r="I23">
        <f t="shared" si="1"/>
        <v>31.490728128665804</v>
      </c>
      <c r="J23">
        <f t="shared" si="2"/>
        <v>358.83496414383728</v>
      </c>
      <c r="K23">
        <f t="shared" si="3"/>
        <v>233.76446481962898</v>
      </c>
      <c r="L23">
        <f t="shared" si="4"/>
        <v>23.235075785511974</v>
      </c>
      <c r="M23">
        <f t="shared" si="5"/>
        <v>35.666488457972989</v>
      </c>
      <c r="N23">
        <f t="shared" si="6"/>
        <v>0.47596195450403839</v>
      </c>
      <c r="O23">
        <f t="shared" si="7"/>
        <v>2.2487140019015444</v>
      </c>
      <c r="P23">
        <f t="shared" si="8"/>
        <v>0.42626857745999613</v>
      </c>
      <c r="Q23">
        <f t="shared" si="9"/>
        <v>0.27044896906009647</v>
      </c>
      <c r="R23">
        <f t="shared" si="10"/>
        <v>353.33252767254243</v>
      </c>
      <c r="S23">
        <f t="shared" si="11"/>
        <v>25.593321372695922</v>
      </c>
      <c r="T23">
        <f t="shared" si="12"/>
        <v>27.042999999999999</v>
      </c>
      <c r="U23">
        <f t="shared" si="13"/>
        <v>3.5882088177133742</v>
      </c>
      <c r="V23">
        <f t="shared" si="14"/>
        <v>54.817496067540404</v>
      </c>
      <c r="W23">
        <f t="shared" si="15"/>
        <v>1.8008927102954999</v>
      </c>
      <c r="X23">
        <f t="shared" si="16"/>
        <v>3.2852516796400688</v>
      </c>
      <c r="Y23">
        <f t="shared" si="17"/>
        <v>1.7873161074178743</v>
      </c>
      <c r="Z23">
        <f t="shared" si="18"/>
        <v>-347.45110354532665</v>
      </c>
      <c r="AA23">
        <f t="shared" si="19"/>
        <v>-181.12160789015098</v>
      </c>
      <c r="AB23">
        <f t="shared" si="20"/>
        <v>-17.260472968000887</v>
      </c>
      <c r="AC23">
        <f t="shared" si="21"/>
        <v>-192.5006567309361</v>
      </c>
      <c r="AD23">
        <v>-4.1149135341477003E-2</v>
      </c>
      <c r="AE23">
        <v>4.6193509283052797E-2</v>
      </c>
      <c r="AF23">
        <v>3.4529218184963999</v>
      </c>
      <c r="AG23">
        <v>10</v>
      </c>
      <c r="AH23">
        <v>2</v>
      </c>
      <c r="AI23">
        <f t="shared" si="22"/>
        <v>1.0003794487221742</v>
      </c>
      <c r="AJ23">
        <f t="shared" si="23"/>
        <v>3.7944872217421377E-2</v>
      </c>
      <c r="AK23">
        <f t="shared" si="24"/>
        <v>52728.044147323882</v>
      </c>
      <c r="AL23" t="s">
        <v>279</v>
      </c>
      <c r="AM23">
        <v>481.47884615384601</v>
      </c>
      <c r="AN23">
        <v>2238.31</v>
      </c>
      <c r="AO23">
        <f t="shared" si="25"/>
        <v>1756.8311538461539</v>
      </c>
      <c r="AP23">
        <f t="shared" si="26"/>
        <v>0.78489179508028561</v>
      </c>
      <c r="AQ23">
        <v>-0.96503536810971002</v>
      </c>
      <c r="AR23" t="s">
        <v>317</v>
      </c>
      <c r="AS23">
        <v>825.54365384615403</v>
      </c>
      <c r="AT23">
        <v>1124.54</v>
      </c>
      <c r="AU23">
        <f t="shared" si="27"/>
        <v>0.26588324661981433</v>
      </c>
      <c r="AV23">
        <v>0.5</v>
      </c>
      <c r="AW23">
        <f t="shared" si="28"/>
        <v>1849.1523000754676</v>
      </c>
      <c r="AX23">
        <f t="shared" si="29"/>
        <v>31.490728128665804</v>
      </c>
      <c r="AY23">
        <f t="shared" si="30"/>
        <v>245.82930851928123</v>
      </c>
      <c r="AZ23">
        <f t="shared" si="31"/>
        <v>0.47308232699592723</v>
      </c>
      <c r="BA23">
        <f t="shared" si="32"/>
        <v>1.7551698416323484E-2</v>
      </c>
      <c r="BB23">
        <f t="shared" si="33"/>
        <v>0.99042275063581553</v>
      </c>
      <c r="BC23" t="s">
        <v>318</v>
      </c>
      <c r="BD23">
        <v>592.54</v>
      </c>
      <c r="BE23">
        <f t="shared" si="34"/>
        <v>532</v>
      </c>
      <c r="BF23">
        <f t="shared" si="35"/>
        <v>0.56202320705610143</v>
      </c>
      <c r="BG23">
        <f t="shared" si="36"/>
        <v>0.67674705457020123</v>
      </c>
      <c r="BH23">
        <f t="shared" si="37"/>
        <v>0.46495787277080319</v>
      </c>
      <c r="BI23">
        <f t="shared" si="38"/>
        <v>0.63396530597813672</v>
      </c>
      <c r="BJ23">
        <v>896</v>
      </c>
      <c r="BK23">
        <v>300</v>
      </c>
      <c r="BL23">
        <v>300</v>
      </c>
      <c r="BM23">
        <v>300</v>
      </c>
      <c r="BN23">
        <v>10108.9</v>
      </c>
      <c r="BO23">
        <v>1034.3</v>
      </c>
      <c r="BP23">
        <v>-6.5646799999999998E-3</v>
      </c>
      <c r="BQ23">
        <v>-0.34582499999999999</v>
      </c>
      <c r="BR23">
        <f t="shared" si="39"/>
        <v>2199.96</v>
      </c>
      <c r="BS23">
        <f t="shared" si="40"/>
        <v>1849.1523000754676</v>
      </c>
      <c r="BT23">
        <f t="shared" si="41"/>
        <v>0.84053905528985418</v>
      </c>
      <c r="BU23">
        <f t="shared" si="42"/>
        <v>0.19107811057970847</v>
      </c>
      <c r="BV23">
        <v>6</v>
      </c>
      <c r="BW23">
        <v>0.5</v>
      </c>
      <c r="BX23" t="s">
        <v>282</v>
      </c>
      <c r="BY23">
        <v>1564859558.4000001</v>
      </c>
      <c r="BZ23">
        <v>358.83499999999998</v>
      </c>
      <c r="CA23">
        <v>399.99900000000002</v>
      </c>
      <c r="CB23">
        <v>18.118500000000001</v>
      </c>
      <c r="CC23">
        <v>8.8396399999999993</v>
      </c>
      <c r="CD23">
        <v>500.03800000000001</v>
      </c>
      <c r="CE23">
        <v>99.295199999999994</v>
      </c>
      <c r="CF23">
        <v>0.10004300000000001</v>
      </c>
      <c r="CG23">
        <v>25.548999999999999</v>
      </c>
      <c r="CH23">
        <v>27.042999999999999</v>
      </c>
      <c r="CI23">
        <v>999.9</v>
      </c>
      <c r="CJ23">
        <v>9993.75</v>
      </c>
      <c r="CK23">
        <v>0</v>
      </c>
      <c r="CL23">
        <v>-405.72199999999998</v>
      </c>
      <c r="CM23">
        <v>2199.96</v>
      </c>
      <c r="CN23">
        <v>0.98199199999999998</v>
      </c>
      <c r="CO23">
        <v>1.8008E-2</v>
      </c>
      <c r="CP23">
        <v>0</v>
      </c>
      <c r="CQ23">
        <v>825.43799999999999</v>
      </c>
      <c r="CR23">
        <v>4.99986</v>
      </c>
      <c r="CS23">
        <v>18938.3</v>
      </c>
      <c r="CT23">
        <v>17913.400000000001</v>
      </c>
      <c r="CU23">
        <v>49</v>
      </c>
      <c r="CV23">
        <v>50.561999999999998</v>
      </c>
      <c r="CW23">
        <v>49.686999999999998</v>
      </c>
      <c r="CX23">
        <v>49.311999999999998</v>
      </c>
      <c r="CY23">
        <v>50.25</v>
      </c>
      <c r="CZ23">
        <v>2155.4299999999998</v>
      </c>
      <c r="DA23">
        <v>39.53</v>
      </c>
      <c r="DB23">
        <v>0</v>
      </c>
      <c r="DC23">
        <v>127.09999990463299</v>
      </c>
      <c r="DD23">
        <v>825.54365384615403</v>
      </c>
      <c r="DE23">
        <v>0.50820511421718295</v>
      </c>
      <c r="DF23">
        <v>10.5299144958715</v>
      </c>
      <c r="DG23">
        <v>18937.1615384615</v>
      </c>
      <c r="DH23">
        <v>15</v>
      </c>
      <c r="DI23">
        <v>1564859598.9000001</v>
      </c>
      <c r="DJ23" t="s">
        <v>319</v>
      </c>
      <c r="DK23">
        <v>78</v>
      </c>
      <c r="DL23">
        <v>0.249</v>
      </c>
      <c r="DM23">
        <v>3.5000000000000003E-2</v>
      </c>
      <c r="DN23">
        <v>400</v>
      </c>
      <c r="DO23">
        <v>9</v>
      </c>
      <c r="DP23">
        <v>0.04</v>
      </c>
      <c r="DQ23">
        <v>0.01</v>
      </c>
      <c r="DR23">
        <v>31.435605034759298</v>
      </c>
      <c r="DS23">
        <v>0.273162145631001</v>
      </c>
      <c r="DT23">
        <v>6.6482337619327606E-2</v>
      </c>
      <c r="DU23">
        <v>1</v>
      </c>
      <c r="DV23">
        <v>0.486279558774808</v>
      </c>
      <c r="DW23">
        <v>-3.9229781670100598E-2</v>
      </c>
      <c r="DX23">
        <v>7.8206454319909493E-3</v>
      </c>
      <c r="DY23">
        <v>1</v>
      </c>
      <c r="DZ23">
        <v>2</v>
      </c>
      <c r="EA23">
        <v>2</v>
      </c>
      <c r="EB23" t="s">
        <v>284</v>
      </c>
      <c r="EC23">
        <v>1.8665799999999999</v>
      </c>
      <c r="ED23">
        <v>1.8631</v>
      </c>
      <c r="EE23">
        <v>1.8686700000000001</v>
      </c>
      <c r="EF23">
        <v>1.8666100000000001</v>
      </c>
      <c r="EG23">
        <v>1.8712800000000001</v>
      </c>
      <c r="EH23">
        <v>1.86372</v>
      </c>
      <c r="EI23">
        <v>1.8652299999999999</v>
      </c>
      <c r="EJ23">
        <v>1.86511</v>
      </c>
      <c r="EK23" t="s">
        <v>285</v>
      </c>
      <c r="EL23" t="s">
        <v>19</v>
      </c>
      <c r="EM23" t="s">
        <v>19</v>
      </c>
      <c r="EN23" t="s">
        <v>19</v>
      </c>
      <c r="EO23" t="s">
        <v>286</v>
      </c>
      <c r="EP23" t="s">
        <v>287</v>
      </c>
      <c r="EQ23" t="s">
        <v>288</v>
      </c>
      <c r="ER23" t="s">
        <v>288</v>
      </c>
      <c r="ES23" t="s">
        <v>288</v>
      </c>
      <c r="ET23" t="s">
        <v>288</v>
      </c>
      <c r="EU23">
        <v>0</v>
      </c>
      <c r="EV23">
        <v>100</v>
      </c>
      <c r="EW23">
        <v>100</v>
      </c>
      <c r="EX23">
        <v>0.249</v>
      </c>
      <c r="EY23">
        <v>3.5000000000000003E-2</v>
      </c>
      <c r="EZ23">
        <v>2</v>
      </c>
      <c r="FA23">
        <v>485.87200000000001</v>
      </c>
      <c r="FB23">
        <v>463.27</v>
      </c>
      <c r="FC23">
        <v>17.771599999999999</v>
      </c>
      <c r="FD23">
        <v>35.435899999999997</v>
      </c>
      <c r="FE23">
        <v>30.000699999999998</v>
      </c>
      <c r="FF23">
        <v>35.338200000000001</v>
      </c>
      <c r="FG23">
        <v>35.320500000000003</v>
      </c>
      <c r="FH23">
        <v>22.316700000000001</v>
      </c>
      <c r="FI23">
        <v>71.014099999999999</v>
      </c>
      <c r="FJ23">
        <v>0</v>
      </c>
      <c r="FK23">
        <v>17.762499999999999</v>
      </c>
      <c r="FL23">
        <v>400</v>
      </c>
      <c r="FM23">
        <v>8.9795999999999996</v>
      </c>
      <c r="FN23">
        <v>100.315</v>
      </c>
      <c r="FO23">
        <v>100.877</v>
      </c>
    </row>
    <row r="24" spans="1:171" x14ac:dyDescent="0.35">
      <c r="A24">
        <v>9</v>
      </c>
      <c r="B24">
        <v>1564859690.4000001</v>
      </c>
      <c r="C24">
        <v>922.5</v>
      </c>
      <c r="D24" t="s">
        <v>320</v>
      </c>
      <c r="E24" t="s">
        <v>321</v>
      </c>
      <c r="G24">
        <v>1564859690.4000001</v>
      </c>
      <c r="H24">
        <f t="shared" si="0"/>
        <v>6.6878953830667685E-3</v>
      </c>
      <c r="I24">
        <f t="shared" si="1"/>
        <v>37.084946633922861</v>
      </c>
      <c r="J24">
        <f t="shared" si="2"/>
        <v>451.86395783987399</v>
      </c>
      <c r="K24">
        <f t="shared" si="3"/>
        <v>277.77975544936845</v>
      </c>
      <c r="L24">
        <f t="shared" si="4"/>
        <v>27.610633853536456</v>
      </c>
      <c r="M24">
        <f t="shared" si="5"/>
        <v>44.914181277694553</v>
      </c>
      <c r="N24">
        <f t="shared" si="6"/>
        <v>0.39329649952398699</v>
      </c>
      <c r="O24">
        <f t="shared" si="7"/>
        <v>2.2494195941833648</v>
      </c>
      <c r="P24">
        <f t="shared" si="8"/>
        <v>0.35870483181094587</v>
      </c>
      <c r="Q24">
        <f t="shared" si="9"/>
        <v>0.22704436417473525</v>
      </c>
      <c r="R24">
        <f t="shared" si="10"/>
        <v>353.30793716745541</v>
      </c>
      <c r="S24">
        <f t="shared" si="11"/>
        <v>25.786530322942976</v>
      </c>
      <c r="T24">
        <f t="shared" si="12"/>
        <v>27.049600000000002</v>
      </c>
      <c r="U24">
        <f t="shared" si="13"/>
        <v>3.5895995195699339</v>
      </c>
      <c r="V24">
        <f t="shared" si="14"/>
        <v>55.036771829439246</v>
      </c>
      <c r="W24">
        <f t="shared" si="15"/>
        <v>1.7864924806114399</v>
      </c>
      <c r="X24">
        <f t="shared" si="16"/>
        <v>3.24599794142694</v>
      </c>
      <c r="Y24">
        <f t="shared" si="17"/>
        <v>1.803107038958494</v>
      </c>
      <c r="Z24">
        <f t="shared" si="18"/>
        <v>-294.9361863932445</v>
      </c>
      <c r="AA24">
        <f t="shared" si="19"/>
        <v>-206.51189063131213</v>
      </c>
      <c r="AB24">
        <f t="shared" si="20"/>
        <v>-19.654682169926243</v>
      </c>
      <c r="AC24">
        <f t="shared" si="21"/>
        <v>-167.79482202702744</v>
      </c>
      <c r="AD24">
        <v>-4.1168123783527001E-2</v>
      </c>
      <c r="AE24">
        <v>4.6214825472732798E-2</v>
      </c>
      <c r="AF24">
        <v>3.45418309755394</v>
      </c>
      <c r="AG24">
        <v>10</v>
      </c>
      <c r="AH24">
        <v>2</v>
      </c>
      <c r="AI24">
        <f t="shared" si="22"/>
        <v>1.0003790232999661</v>
      </c>
      <c r="AJ24">
        <f t="shared" si="23"/>
        <v>3.7902329996608586E-2</v>
      </c>
      <c r="AK24">
        <f t="shared" si="24"/>
        <v>52787.204553874413</v>
      </c>
      <c r="AL24" t="s">
        <v>279</v>
      </c>
      <c r="AM24">
        <v>481.47884615384601</v>
      </c>
      <c r="AN24">
        <v>2238.31</v>
      </c>
      <c r="AO24">
        <f t="shared" si="25"/>
        <v>1756.8311538461539</v>
      </c>
      <c r="AP24">
        <f t="shared" si="26"/>
        <v>0.78489179508028561</v>
      </c>
      <c r="AQ24">
        <v>-0.96503536810971002</v>
      </c>
      <c r="AR24" t="s">
        <v>322</v>
      </c>
      <c r="AS24">
        <v>846.90630769230802</v>
      </c>
      <c r="AT24">
        <v>1192.44</v>
      </c>
      <c r="AU24">
        <f t="shared" si="27"/>
        <v>0.28977029645742514</v>
      </c>
      <c r="AV24">
        <v>0.5</v>
      </c>
      <c r="AW24">
        <f t="shared" si="28"/>
        <v>1849.0335000753962</v>
      </c>
      <c r="AX24">
        <f t="shared" si="29"/>
        <v>37.084946633922861</v>
      </c>
      <c r="AY24">
        <f t="shared" si="30"/>
        <v>267.89749273827897</v>
      </c>
      <c r="AZ24">
        <f t="shared" si="31"/>
        <v>0.49755123947536145</v>
      </c>
      <c r="BA24">
        <f t="shared" si="32"/>
        <v>2.0578308613922378E-2</v>
      </c>
      <c r="BB24">
        <f t="shared" si="33"/>
        <v>0.87708396229579677</v>
      </c>
      <c r="BC24" t="s">
        <v>323</v>
      </c>
      <c r="BD24">
        <v>599.14</v>
      </c>
      <c r="BE24">
        <f t="shared" si="34"/>
        <v>593.30000000000007</v>
      </c>
      <c r="BF24">
        <f t="shared" si="35"/>
        <v>0.58239287427556374</v>
      </c>
      <c r="BG24">
        <f t="shared" si="36"/>
        <v>0.63804852455816041</v>
      </c>
      <c r="BH24">
        <f t="shared" si="37"/>
        <v>0.48600924317513777</v>
      </c>
      <c r="BI24">
        <f t="shared" si="38"/>
        <v>0.59531617350382382</v>
      </c>
      <c r="BJ24">
        <v>898</v>
      </c>
      <c r="BK24">
        <v>300</v>
      </c>
      <c r="BL24">
        <v>300</v>
      </c>
      <c r="BM24">
        <v>300</v>
      </c>
      <c r="BN24">
        <v>10108.5</v>
      </c>
      <c r="BO24">
        <v>1090.47</v>
      </c>
      <c r="BP24">
        <v>-6.56451E-3</v>
      </c>
      <c r="BQ24">
        <v>0.154053</v>
      </c>
      <c r="BR24">
        <f t="shared" si="39"/>
        <v>2199.8200000000002</v>
      </c>
      <c r="BS24">
        <f t="shared" si="40"/>
        <v>1849.0335000753962</v>
      </c>
      <c r="BT24">
        <f t="shared" si="41"/>
        <v>0.84053854409696982</v>
      </c>
      <c r="BU24">
        <f t="shared" si="42"/>
        <v>0.19107708819393965</v>
      </c>
      <c r="BV24">
        <v>6</v>
      </c>
      <c r="BW24">
        <v>0.5</v>
      </c>
      <c r="BX24" t="s">
        <v>282</v>
      </c>
      <c r="BY24">
        <v>1564859690.4000001</v>
      </c>
      <c r="BZ24">
        <v>451.86399999999998</v>
      </c>
      <c r="CA24">
        <v>499.97800000000001</v>
      </c>
      <c r="CB24">
        <v>17.973199999999999</v>
      </c>
      <c r="CC24">
        <v>10.0946</v>
      </c>
      <c r="CD24">
        <v>499.97399999999999</v>
      </c>
      <c r="CE24">
        <v>99.297600000000003</v>
      </c>
      <c r="CF24">
        <v>9.9974199999999999E-2</v>
      </c>
      <c r="CG24">
        <v>25.346699999999998</v>
      </c>
      <c r="CH24">
        <v>27.049600000000002</v>
      </c>
      <c r="CI24">
        <v>999.9</v>
      </c>
      <c r="CJ24">
        <v>9998.1200000000008</v>
      </c>
      <c r="CK24">
        <v>0</v>
      </c>
      <c r="CL24">
        <v>-401.57499999999999</v>
      </c>
      <c r="CM24">
        <v>2199.8200000000002</v>
      </c>
      <c r="CN24">
        <v>0.98200699999999996</v>
      </c>
      <c r="CO24">
        <v>1.7993100000000001E-2</v>
      </c>
      <c r="CP24">
        <v>0</v>
      </c>
      <c r="CQ24">
        <v>847.01199999999994</v>
      </c>
      <c r="CR24">
        <v>4.99986</v>
      </c>
      <c r="CS24">
        <v>19428.400000000001</v>
      </c>
      <c r="CT24">
        <v>17912.3</v>
      </c>
      <c r="CU24">
        <v>49.186999999999998</v>
      </c>
      <c r="CV24">
        <v>50.811999999999998</v>
      </c>
      <c r="CW24">
        <v>49.811999999999998</v>
      </c>
      <c r="CX24">
        <v>49.625</v>
      </c>
      <c r="CY24">
        <v>50.311999999999998</v>
      </c>
      <c r="CZ24">
        <v>2155.33</v>
      </c>
      <c r="DA24">
        <v>39.49</v>
      </c>
      <c r="DB24">
        <v>0</v>
      </c>
      <c r="DC24">
        <v>131.59999990463299</v>
      </c>
      <c r="DD24">
        <v>846.90630769230802</v>
      </c>
      <c r="DE24">
        <v>0.61217092673740303</v>
      </c>
      <c r="DF24">
        <v>39.599999817418997</v>
      </c>
      <c r="DG24">
        <v>19426.788461538501</v>
      </c>
      <c r="DH24">
        <v>15</v>
      </c>
      <c r="DI24">
        <v>1564859723.9000001</v>
      </c>
      <c r="DJ24" t="s">
        <v>324</v>
      </c>
      <c r="DK24">
        <v>79</v>
      </c>
      <c r="DL24">
        <v>0.34899999999999998</v>
      </c>
      <c r="DM24">
        <v>4.7E-2</v>
      </c>
      <c r="DN24">
        <v>500</v>
      </c>
      <c r="DO24">
        <v>10</v>
      </c>
      <c r="DP24">
        <v>0.02</v>
      </c>
      <c r="DQ24">
        <v>0.01</v>
      </c>
      <c r="DR24">
        <v>37.3048872669304</v>
      </c>
      <c r="DS24">
        <v>-0.57431202766746603</v>
      </c>
      <c r="DT24">
        <v>0.12197855068005301</v>
      </c>
      <c r="DU24">
        <v>0</v>
      </c>
      <c r="DV24">
        <v>0.39609015043442702</v>
      </c>
      <c r="DW24">
        <v>-2.4416736295859401E-2</v>
      </c>
      <c r="DX24">
        <v>5.1231870650971997E-3</v>
      </c>
      <c r="DY24">
        <v>1</v>
      </c>
      <c r="DZ24">
        <v>1</v>
      </c>
      <c r="EA24">
        <v>2</v>
      </c>
      <c r="EB24" t="s">
        <v>294</v>
      </c>
      <c r="EC24">
        <v>1.8666</v>
      </c>
      <c r="ED24">
        <v>1.8631</v>
      </c>
      <c r="EE24">
        <v>1.8687100000000001</v>
      </c>
      <c r="EF24">
        <v>1.8666100000000001</v>
      </c>
      <c r="EG24">
        <v>1.8713</v>
      </c>
      <c r="EH24">
        <v>1.86371</v>
      </c>
      <c r="EI24">
        <v>1.8652299999999999</v>
      </c>
      <c r="EJ24">
        <v>1.86511</v>
      </c>
      <c r="EK24" t="s">
        <v>285</v>
      </c>
      <c r="EL24" t="s">
        <v>19</v>
      </c>
      <c r="EM24" t="s">
        <v>19</v>
      </c>
      <c r="EN24" t="s">
        <v>19</v>
      </c>
      <c r="EO24" t="s">
        <v>286</v>
      </c>
      <c r="EP24" t="s">
        <v>287</v>
      </c>
      <c r="EQ24" t="s">
        <v>288</v>
      </c>
      <c r="ER24" t="s">
        <v>288</v>
      </c>
      <c r="ES24" t="s">
        <v>288</v>
      </c>
      <c r="ET24" t="s">
        <v>288</v>
      </c>
      <c r="EU24">
        <v>0</v>
      </c>
      <c r="EV24">
        <v>100</v>
      </c>
      <c r="EW24">
        <v>100</v>
      </c>
      <c r="EX24">
        <v>0.34899999999999998</v>
      </c>
      <c r="EY24">
        <v>4.7E-2</v>
      </c>
      <c r="EZ24">
        <v>2</v>
      </c>
      <c r="FA24">
        <v>485.23899999999998</v>
      </c>
      <c r="FB24">
        <v>463.96800000000002</v>
      </c>
      <c r="FC24">
        <v>17.435400000000001</v>
      </c>
      <c r="FD24">
        <v>35.631300000000003</v>
      </c>
      <c r="FE24">
        <v>30.000900000000001</v>
      </c>
      <c r="FF24">
        <v>35.517800000000001</v>
      </c>
      <c r="FG24">
        <v>35.500900000000001</v>
      </c>
      <c r="FH24">
        <v>26.706499999999998</v>
      </c>
      <c r="FI24">
        <v>67.340800000000002</v>
      </c>
      <c r="FJ24">
        <v>0</v>
      </c>
      <c r="FK24">
        <v>16.983799999999999</v>
      </c>
      <c r="FL24">
        <v>500</v>
      </c>
      <c r="FM24">
        <v>10.0723</v>
      </c>
      <c r="FN24">
        <v>100.285</v>
      </c>
      <c r="FO24">
        <v>100.84</v>
      </c>
    </row>
    <row r="25" spans="1:171" x14ac:dyDescent="0.35">
      <c r="A25">
        <v>10</v>
      </c>
      <c r="B25">
        <v>1564859815.4000001</v>
      </c>
      <c r="C25">
        <v>1047.5</v>
      </c>
      <c r="D25" t="s">
        <v>325</v>
      </c>
      <c r="E25" t="s">
        <v>326</v>
      </c>
      <c r="G25">
        <v>1564859815.4000001</v>
      </c>
      <c r="H25">
        <f t="shared" si="0"/>
        <v>6.3621470082488862E-3</v>
      </c>
      <c r="I25">
        <f t="shared" si="1"/>
        <v>41.46506487703703</v>
      </c>
      <c r="J25">
        <f t="shared" si="2"/>
        <v>546.02095284635141</v>
      </c>
      <c r="K25">
        <f t="shared" si="3"/>
        <v>341.36692930073428</v>
      </c>
      <c r="L25">
        <f t="shared" si="4"/>
        <v>33.932211271940083</v>
      </c>
      <c r="M25">
        <f t="shared" si="5"/>
        <v>54.275024147304165</v>
      </c>
      <c r="N25">
        <f t="shared" si="6"/>
        <v>0.37342975886157653</v>
      </c>
      <c r="O25">
        <f t="shared" si="7"/>
        <v>2.249185866159034</v>
      </c>
      <c r="P25">
        <f t="shared" si="8"/>
        <v>0.34209257540516019</v>
      </c>
      <c r="Q25">
        <f t="shared" si="9"/>
        <v>0.21640381258834385</v>
      </c>
      <c r="R25">
        <f t="shared" si="10"/>
        <v>353.32454770160439</v>
      </c>
      <c r="S25">
        <f t="shared" si="11"/>
        <v>25.884256490296057</v>
      </c>
      <c r="T25">
        <f t="shared" si="12"/>
        <v>27.043800000000001</v>
      </c>
      <c r="U25">
        <f t="shared" si="13"/>
        <v>3.588377362582603</v>
      </c>
      <c r="V25">
        <f t="shared" si="14"/>
        <v>55.172363377173014</v>
      </c>
      <c r="W25">
        <f t="shared" si="15"/>
        <v>1.7897546141546401</v>
      </c>
      <c r="X25">
        <f t="shared" si="16"/>
        <v>3.2439332024249157</v>
      </c>
      <c r="Y25">
        <f t="shared" si="17"/>
        <v>1.7986227484279629</v>
      </c>
      <c r="Z25">
        <f t="shared" si="18"/>
        <v>-280.5706830637759</v>
      </c>
      <c r="AA25">
        <f t="shared" si="19"/>
        <v>-207.08459755346991</v>
      </c>
      <c r="AB25">
        <f t="shared" si="20"/>
        <v>-19.709607862742985</v>
      </c>
      <c r="AC25">
        <f t="shared" si="21"/>
        <v>-154.0403407783844</v>
      </c>
      <c r="AD25">
        <v>-4.1161833250513702E-2</v>
      </c>
      <c r="AE25">
        <v>4.6207763798344501E-2</v>
      </c>
      <c r="AF25">
        <v>3.4537652803874601</v>
      </c>
      <c r="AG25">
        <v>10</v>
      </c>
      <c r="AH25">
        <v>2</v>
      </c>
      <c r="AI25">
        <f t="shared" si="22"/>
        <v>1.0003790647509108</v>
      </c>
      <c r="AJ25">
        <f t="shared" si="23"/>
        <v>3.7906475091076253E-2</v>
      </c>
      <c r="AK25">
        <f t="shared" si="24"/>
        <v>52781.434430251276</v>
      </c>
      <c r="AL25" t="s">
        <v>279</v>
      </c>
      <c r="AM25">
        <v>481.47884615384601</v>
      </c>
      <c r="AN25">
        <v>2238.31</v>
      </c>
      <c r="AO25">
        <f t="shared" si="25"/>
        <v>1756.8311538461539</v>
      </c>
      <c r="AP25">
        <f t="shared" si="26"/>
        <v>0.78489179508028561</v>
      </c>
      <c r="AQ25">
        <v>-0.96503536810971002</v>
      </c>
      <c r="AR25" t="s">
        <v>327</v>
      </c>
      <c r="AS25">
        <v>864.65746153846203</v>
      </c>
      <c r="AT25">
        <v>1232.1199999999999</v>
      </c>
      <c r="AU25">
        <f t="shared" si="27"/>
        <v>0.29823599849165494</v>
      </c>
      <c r="AV25">
        <v>0.5</v>
      </c>
      <c r="AW25">
        <f t="shared" si="28"/>
        <v>1849.1103000754692</v>
      </c>
      <c r="AX25">
        <f t="shared" si="29"/>
        <v>41.46506487703703</v>
      </c>
      <c r="AY25">
        <f t="shared" si="30"/>
        <v>275.73562833210565</v>
      </c>
      <c r="AZ25">
        <f t="shared" si="31"/>
        <v>0.5143167873259098</v>
      </c>
      <c r="BA25">
        <f t="shared" si="32"/>
        <v>2.2946224594290025E-2</v>
      </c>
      <c r="BB25">
        <f t="shared" si="33"/>
        <v>0.81663312015063483</v>
      </c>
      <c r="BC25" t="s">
        <v>328</v>
      </c>
      <c r="BD25">
        <v>598.41999999999996</v>
      </c>
      <c r="BE25">
        <f t="shared" si="34"/>
        <v>633.69999999999993</v>
      </c>
      <c r="BF25">
        <f t="shared" si="35"/>
        <v>0.57986829487381708</v>
      </c>
      <c r="BG25">
        <f t="shared" si="36"/>
        <v>0.61357164200037817</v>
      </c>
      <c r="BH25">
        <f t="shared" si="37"/>
        <v>0.48953156455481306</v>
      </c>
      <c r="BI25">
        <f t="shared" si="38"/>
        <v>0.57273005308289993</v>
      </c>
      <c r="BJ25">
        <v>900</v>
      </c>
      <c r="BK25">
        <v>300</v>
      </c>
      <c r="BL25">
        <v>300</v>
      </c>
      <c r="BM25">
        <v>300</v>
      </c>
      <c r="BN25">
        <v>10108.700000000001</v>
      </c>
      <c r="BO25">
        <v>1124.71</v>
      </c>
      <c r="BP25">
        <v>-6.5647400000000003E-3</v>
      </c>
      <c r="BQ25">
        <v>0.70898399999999995</v>
      </c>
      <c r="BR25">
        <f t="shared" si="39"/>
        <v>2199.91</v>
      </c>
      <c r="BS25">
        <f t="shared" si="40"/>
        <v>1849.1103000754692</v>
      </c>
      <c r="BT25">
        <f t="shared" si="41"/>
        <v>0.84053906754161278</v>
      </c>
      <c r="BU25">
        <f t="shared" si="42"/>
        <v>0.19107813508322563</v>
      </c>
      <c r="BV25">
        <v>6</v>
      </c>
      <c r="BW25">
        <v>0.5</v>
      </c>
      <c r="BX25" t="s">
        <v>282</v>
      </c>
      <c r="BY25">
        <v>1564859815.4000001</v>
      </c>
      <c r="BZ25">
        <v>546.02099999999996</v>
      </c>
      <c r="CA25">
        <v>599.928</v>
      </c>
      <c r="CB25">
        <v>18.005400000000002</v>
      </c>
      <c r="CC25">
        <v>10.5113</v>
      </c>
      <c r="CD25">
        <v>500.00799999999998</v>
      </c>
      <c r="CE25">
        <v>99.301000000000002</v>
      </c>
      <c r="CF25">
        <v>9.99916E-2</v>
      </c>
      <c r="CG25">
        <v>25.335999999999999</v>
      </c>
      <c r="CH25">
        <v>27.043800000000001</v>
      </c>
      <c r="CI25">
        <v>999.9</v>
      </c>
      <c r="CJ25">
        <v>9996.25</v>
      </c>
      <c r="CK25">
        <v>0</v>
      </c>
      <c r="CL25">
        <v>-342.73500000000001</v>
      </c>
      <c r="CM25">
        <v>2199.91</v>
      </c>
      <c r="CN25">
        <v>0.98199199999999998</v>
      </c>
      <c r="CO25">
        <v>1.8008E-2</v>
      </c>
      <c r="CP25">
        <v>0</v>
      </c>
      <c r="CQ25">
        <v>864.19600000000003</v>
      </c>
      <c r="CR25">
        <v>4.99986</v>
      </c>
      <c r="CS25">
        <v>19820.400000000001</v>
      </c>
      <c r="CT25">
        <v>17913</v>
      </c>
      <c r="CU25">
        <v>49.25</v>
      </c>
      <c r="CV25">
        <v>50.936999999999998</v>
      </c>
      <c r="CW25">
        <v>50</v>
      </c>
      <c r="CX25">
        <v>49.561999999999998</v>
      </c>
      <c r="CY25">
        <v>50.436999999999998</v>
      </c>
      <c r="CZ25">
        <v>2155.38</v>
      </c>
      <c r="DA25">
        <v>39.53</v>
      </c>
      <c r="DB25">
        <v>0</v>
      </c>
      <c r="DC25">
        <v>124.299999952316</v>
      </c>
      <c r="DD25">
        <v>864.65746153846203</v>
      </c>
      <c r="DE25">
        <v>-5.4739145387494696</v>
      </c>
      <c r="DF25">
        <v>-138.372649636722</v>
      </c>
      <c r="DG25">
        <v>19839.253846153799</v>
      </c>
      <c r="DH25">
        <v>15</v>
      </c>
      <c r="DI25">
        <v>1564859854.4000001</v>
      </c>
      <c r="DJ25" t="s">
        <v>329</v>
      </c>
      <c r="DK25">
        <v>80</v>
      </c>
      <c r="DL25">
        <v>0.39700000000000002</v>
      </c>
      <c r="DM25">
        <v>5.2999999999999999E-2</v>
      </c>
      <c r="DN25">
        <v>600</v>
      </c>
      <c r="DO25">
        <v>11</v>
      </c>
      <c r="DP25">
        <v>0.03</v>
      </c>
      <c r="DQ25">
        <v>0.01</v>
      </c>
      <c r="DR25">
        <v>41.842427830540899</v>
      </c>
      <c r="DS25">
        <v>-1.11443090197058</v>
      </c>
      <c r="DT25">
        <v>0.222961220774578</v>
      </c>
      <c r="DU25">
        <v>0</v>
      </c>
      <c r="DV25">
        <v>0.37645579725086498</v>
      </c>
      <c r="DW25">
        <v>-1.3060662550635999E-2</v>
      </c>
      <c r="DX25">
        <v>2.74707271366605E-3</v>
      </c>
      <c r="DY25">
        <v>1</v>
      </c>
      <c r="DZ25">
        <v>1</v>
      </c>
      <c r="EA25">
        <v>2</v>
      </c>
      <c r="EB25" t="s">
        <v>294</v>
      </c>
      <c r="EC25">
        <v>1.8665799999999999</v>
      </c>
      <c r="ED25">
        <v>1.8630800000000001</v>
      </c>
      <c r="EE25">
        <v>1.8687</v>
      </c>
      <c r="EF25">
        <v>1.8666100000000001</v>
      </c>
      <c r="EG25">
        <v>1.8712800000000001</v>
      </c>
      <c r="EH25">
        <v>1.86371</v>
      </c>
      <c r="EI25">
        <v>1.8652299999999999</v>
      </c>
      <c r="EJ25">
        <v>1.86511</v>
      </c>
      <c r="EK25" t="s">
        <v>285</v>
      </c>
      <c r="EL25" t="s">
        <v>19</v>
      </c>
      <c r="EM25" t="s">
        <v>19</v>
      </c>
      <c r="EN25" t="s">
        <v>19</v>
      </c>
      <c r="EO25" t="s">
        <v>286</v>
      </c>
      <c r="EP25" t="s">
        <v>287</v>
      </c>
      <c r="EQ25" t="s">
        <v>288</v>
      </c>
      <c r="ER25" t="s">
        <v>288</v>
      </c>
      <c r="ES25" t="s">
        <v>288</v>
      </c>
      <c r="ET25" t="s">
        <v>288</v>
      </c>
      <c r="EU25">
        <v>0</v>
      </c>
      <c r="EV25">
        <v>100</v>
      </c>
      <c r="EW25">
        <v>100</v>
      </c>
      <c r="EX25">
        <v>0.39700000000000002</v>
      </c>
      <c r="EY25">
        <v>5.2999999999999999E-2</v>
      </c>
      <c r="EZ25">
        <v>2</v>
      </c>
      <c r="FA25">
        <v>485.35700000000003</v>
      </c>
      <c r="FB25">
        <v>464.41199999999998</v>
      </c>
      <c r="FC25">
        <v>17.488099999999999</v>
      </c>
      <c r="FD25">
        <v>35.817900000000002</v>
      </c>
      <c r="FE25">
        <v>30.000499999999999</v>
      </c>
      <c r="FF25">
        <v>35.692500000000003</v>
      </c>
      <c r="FG25">
        <v>35.6691</v>
      </c>
      <c r="FH25">
        <v>30.941700000000001</v>
      </c>
      <c r="FI25">
        <v>65.728700000000003</v>
      </c>
      <c r="FJ25">
        <v>0</v>
      </c>
      <c r="FK25">
        <v>16.568999999999999</v>
      </c>
      <c r="FL25">
        <v>600</v>
      </c>
      <c r="FM25">
        <v>10.496</v>
      </c>
      <c r="FN25">
        <v>100.252</v>
      </c>
      <c r="FO25">
        <v>100.80500000000001</v>
      </c>
    </row>
    <row r="26" spans="1:171" x14ac:dyDescent="0.35">
      <c r="A26">
        <v>11</v>
      </c>
      <c r="B26">
        <v>1564859945.9000001</v>
      </c>
      <c r="C26">
        <v>1178</v>
      </c>
      <c r="D26" t="s">
        <v>330</v>
      </c>
      <c r="E26" t="s">
        <v>331</v>
      </c>
      <c r="G26">
        <v>1564859945.9000001</v>
      </c>
      <c r="H26">
        <f t="shared" si="0"/>
        <v>5.6344933441761112E-3</v>
      </c>
      <c r="I26">
        <f t="shared" si="1"/>
        <v>45.409045909535543</v>
      </c>
      <c r="J26">
        <f t="shared" si="2"/>
        <v>740.53694830831193</v>
      </c>
      <c r="K26">
        <f t="shared" si="3"/>
        <v>481.23604677112542</v>
      </c>
      <c r="L26">
        <f t="shared" si="4"/>
        <v>47.837905904573589</v>
      </c>
      <c r="M26">
        <f t="shared" si="5"/>
        <v>73.614055076970359</v>
      </c>
      <c r="N26">
        <f t="shared" si="6"/>
        <v>0.32185322457356985</v>
      </c>
      <c r="O26">
        <f t="shared" si="7"/>
        <v>2.248311021747754</v>
      </c>
      <c r="P26">
        <f t="shared" si="8"/>
        <v>0.2982735375248512</v>
      </c>
      <c r="Q26">
        <f t="shared" si="9"/>
        <v>0.18839534118227644</v>
      </c>
      <c r="R26">
        <f t="shared" si="10"/>
        <v>353.34792596763174</v>
      </c>
      <c r="S26">
        <f t="shared" si="11"/>
        <v>26.082862933568673</v>
      </c>
      <c r="T26">
        <f t="shared" si="12"/>
        <v>27.111599999999999</v>
      </c>
      <c r="U26">
        <f t="shared" si="13"/>
        <v>3.6026866753089815</v>
      </c>
      <c r="V26">
        <f t="shared" si="14"/>
        <v>54.880496796310176</v>
      </c>
      <c r="W26">
        <f t="shared" si="15"/>
        <v>1.7756653258520998</v>
      </c>
      <c r="X26">
        <f t="shared" si="16"/>
        <v>3.2355124853233557</v>
      </c>
      <c r="Y26">
        <f t="shared" si="17"/>
        <v>1.8270213494568817</v>
      </c>
      <c r="Z26">
        <f t="shared" si="18"/>
        <v>-248.4811564781665</v>
      </c>
      <c r="AA26">
        <f t="shared" si="19"/>
        <v>-220.51907006346283</v>
      </c>
      <c r="AB26">
        <f t="shared" si="20"/>
        <v>-20.998982124350345</v>
      </c>
      <c r="AC26">
        <f t="shared" si="21"/>
        <v>-136.65128269834793</v>
      </c>
      <c r="AD26">
        <v>-4.1138293013938697E-2</v>
      </c>
      <c r="AE26">
        <v>4.6181337820551102E-2</v>
      </c>
      <c r="AF26">
        <v>3.4522015433262401</v>
      </c>
      <c r="AG26">
        <v>10</v>
      </c>
      <c r="AH26">
        <v>2</v>
      </c>
      <c r="AI26">
        <f t="shared" si="22"/>
        <v>1.0003792165060166</v>
      </c>
      <c r="AJ26">
        <f t="shared" si="23"/>
        <v>3.7921650601657753E-2</v>
      </c>
      <c r="AK26">
        <f t="shared" si="24"/>
        <v>52760.320325403489</v>
      </c>
      <c r="AL26" t="s">
        <v>279</v>
      </c>
      <c r="AM26">
        <v>481.47884615384601</v>
      </c>
      <c r="AN26">
        <v>2238.31</v>
      </c>
      <c r="AO26">
        <f t="shared" si="25"/>
        <v>1756.8311538461539</v>
      </c>
      <c r="AP26">
        <f t="shared" si="26"/>
        <v>0.78489179508028561</v>
      </c>
      <c r="AQ26">
        <v>-0.96503536810971002</v>
      </c>
      <c r="AR26" t="s">
        <v>332</v>
      </c>
      <c r="AS26">
        <v>859.17711538461504</v>
      </c>
      <c r="AT26">
        <v>1214.02</v>
      </c>
      <c r="AU26">
        <f t="shared" si="27"/>
        <v>0.29228751142105147</v>
      </c>
      <c r="AV26">
        <v>0.5</v>
      </c>
      <c r="AW26">
        <f t="shared" si="28"/>
        <v>1849.2360000754452</v>
      </c>
      <c r="AX26">
        <f t="shared" si="29"/>
        <v>45.409045909535543</v>
      </c>
      <c r="AY26">
        <f t="shared" si="30"/>
        <v>270.2542942461356</v>
      </c>
      <c r="AZ26">
        <f t="shared" si="31"/>
        <v>0.51363239485346202</v>
      </c>
      <c r="BA26">
        <f t="shared" si="32"/>
        <v>2.5077427259556532E-2</v>
      </c>
      <c r="BB26">
        <f t="shared" si="33"/>
        <v>0.84371756643218399</v>
      </c>
      <c r="BC26" t="s">
        <v>333</v>
      </c>
      <c r="BD26">
        <v>590.46</v>
      </c>
      <c r="BE26">
        <f t="shared" si="34"/>
        <v>623.55999999999995</v>
      </c>
      <c r="BF26">
        <f t="shared" si="35"/>
        <v>0.56905972900023249</v>
      </c>
      <c r="BG26">
        <f t="shared" si="36"/>
        <v>0.6215917710956701</v>
      </c>
      <c r="BH26">
        <f t="shared" si="37"/>
        <v>0.48439993132441533</v>
      </c>
      <c r="BI26">
        <f t="shared" si="38"/>
        <v>0.58303269369829103</v>
      </c>
      <c r="BJ26">
        <v>902</v>
      </c>
      <c r="BK26">
        <v>300</v>
      </c>
      <c r="BL26">
        <v>300</v>
      </c>
      <c r="BM26">
        <v>300</v>
      </c>
      <c r="BN26">
        <v>10107.9</v>
      </c>
      <c r="BO26">
        <v>1110.74</v>
      </c>
      <c r="BP26">
        <v>-6.5640899999999999E-3</v>
      </c>
      <c r="BQ26">
        <v>-0.13745099999999999</v>
      </c>
      <c r="BR26">
        <f t="shared" si="39"/>
        <v>2200.06</v>
      </c>
      <c r="BS26">
        <f t="shared" si="40"/>
        <v>1849.2360000754452</v>
      </c>
      <c r="BT26">
        <f t="shared" si="41"/>
        <v>0.84053889442808161</v>
      </c>
      <c r="BU26">
        <f t="shared" si="42"/>
        <v>0.19107778885616322</v>
      </c>
      <c r="BV26">
        <v>6</v>
      </c>
      <c r="BW26">
        <v>0.5</v>
      </c>
      <c r="BX26" t="s">
        <v>282</v>
      </c>
      <c r="BY26">
        <v>1564859945.9000001</v>
      </c>
      <c r="BZ26">
        <v>740.53700000000003</v>
      </c>
      <c r="CA26">
        <v>800.01199999999994</v>
      </c>
      <c r="CB26">
        <v>17.8627</v>
      </c>
      <c r="CC26">
        <v>11.2249</v>
      </c>
      <c r="CD26">
        <v>500.01900000000001</v>
      </c>
      <c r="CE26">
        <v>99.306299999999993</v>
      </c>
      <c r="CF26">
        <v>0.100023</v>
      </c>
      <c r="CG26">
        <v>25.292300000000001</v>
      </c>
      <c r="CH26">
        <v>27.111599999999999</v>
      </c>
      <c r="CI26">
        <v>999.9</v>
      </c>
      <c r="CJ26">
        <v>9990</v>
      </c>
      <c r="CK26">
        <v>0</v>
      </c>
      <c r="CL26">
        <v>-243.923</v>
      </c>
      <c r="CM26">
        <v>2200.06</v>
      </c>
      <c r="CN26">
        <v>0.98199499999999995</v>
      </c>
      <c r="CO26">
        <v>1.8005500000000001E-2</v>
      </c>
      <c r="CP26">
        <v>0</v>
      </c>
      <c r="CQ26">
        <v>857.798</v>
      </c>
      <c r="CR26">
        <v>4.99986</v>
      </c>
      <c r="CS26">
        <v>19713</v>
      </c>
      <c r="CT26">
        <v>17914.2</v>
      </c>
      <c r="CU26">
        <v>49.436999999999998</v>
      </c>
      <c r="CV26">
        <v>51.125</v>
      </c>
      <c r="CW26">
        <v>50.125</v>
      </c>
      <c r="CX26">
        <v>49.75</v>
      </c>
      <c r="CY26">
        <v>50.625</v>
      </c>
      <c r="CZ26">
        <v>2155.54</v>
      </c>
      <c r="DA26">
        <v>39.520000000000003</v>
      </c>
      <c r="DB26">
        <v>0</v>
      </c>
      <c r="DC26">
        <v>130.09999990463299</v>
      </c>
      <c r="DD26">
        <v>859.17711538461504</v>
      </c>
      <c r="DE26">
        <v>-12.099658104881399</v>
      </c>
      <c r="DF26">
        <v>-274.79999958816302</v>
      </c>
      <c r="DG26">
        <v>19746.219230769198</v>
      </c>
      <c r="DH26">
        <v>15</v>
      </c>
      <c r="DI26">
        <v>1564859980.9000001</v>
      </c>
      <c r="DJ26" t="s">
        <v>334</v>
      </c>
      <c r="DK26">
        <v>81</v>
      </c>
      <c r="DL26">
        <v>0.59799999999999998</v>
      </c>
      <c r="DM26">
        <v>0.06</v>
      </c>
      <c r="DN26">
        <v>800</v>
      </c>
      <c r="DO26">
        <v>11</v>
      </c>
      <c r="DP26">
        <v>0.02</v>
      </c>
      <c r="DQ26">
        <v>0.01</v>
      </c>
      <c r="DR26">
        <v>45.728416871664201</v>
      </c>
      <c r="DS26">
        <v>-0.61665667679858904</v>
      </c>
      <c r="DT26">
        <v>0.14530355755903401</v>
      </c>
      <c r="DU26">
        <v>0</v>
      </c>
      <c r="DV26">
        <v>0.32462426080256801</v>
      </c>
      <c r="DW26">
        <v>-6.1220965112467E-3</v>
      </c>
      <c r="DX26">
        <v>1.9327378180123401E-3</v>
      </c>
      <c r="DY26">
        <v>1</v>
      </c>
      <c r="DZ26">
        <v>1</v>
      </c>
      <c r="EA26">
        <v>2</v>
      </c>
      <c r="EB26" t="s">
        <v>294</v>
      </c>
      <c r="EC26">
        <v>1.8665799999999999</v>
      </c>
      <c r="ED26">
        <v>1.8630500000000001</v>
      </c>
      <c r="EE26">
        <v>1.8687100000000001</v>
      </c>
      <c r="EF26">
        <v>1.8666199999999999</v>
      </c>
      <c r="EG26">
        <v>1.8713299999999999</v>
      </c>
      <c r="EH26">
        <v>1.86371</v>
      </c>
      <c r="EI26">
        <v>1.8652299999999999</v>
      </c>
      <c r="EJ26">
        <v>1.86514</v>
      </c>
      <c r="EK26" t="s">
        <v>285</v>
      </c>
      <c r="EL26" t="s">
        <v>19</v>
      </c>
      <c r="EM26" t="s">
        <v>19</v>
      </c>
      <c r="EN26" t="s">
        <v>19</v>
      </c>
      <c r="EO26" t="s">
        <v>286</v>
      </c>
      <c r="EP26" t="s">
        <v>287</v>
      </c>
      <c r="EQ26" t="s">
        <v>288</v>
      </c>
      <c r="ER26" t="s">
        <v>288</v>
      </c>
      <c r="ES26" t="s">
        <v>288</v>
      </c>
      <c r="ET26" t="s">
        <v>288</v>
      </c>
      <c r="EU26">
        <v>0</v>
      </c>
      <c r="EV26">
        <v>100</v>
      </c>
      <c r="EW26">
        <v>100</v>
      </c>
      <c r="EX26">
        <v>0.59799999999999998</v>
      </c>
      <c r="EY26">
        <v>0.06</v>
      </c>
      <c r="EZ26">
        <v>2</v>
      </c>
      <c r="FA26">
        <v>485.065</v>
      </c>
      <c r="FB26">
        <v>465.428</v>
      </c>
      <c r="FC26">
        <v>17.501200000000001</v>
      </c>
      <c r="FD26">
        <v>35.928600000000003</v>
      </c>
      <c r="FE26">
        <v>30.0002</v>
      </c>
      <c r="FF26">
        <v>35.816099999999999</v>
      </c>
      <c r="FG26">
        <v>35.7926</v>
      </c>
      <c r="FH26">
        <v>39.056699999999999</v>
      </c>
      <c r="FI26">
        <v>63.5366</v>
      </c>
      <c r="FJ26">
        <v>0</v>
      </c>
      <c r="FK26">
        <v>16.605799999999999</v>
      </c>
      <c r="FL26">
        <v>800</v>
      </c>
      <c r="FM26">
        <v>11.267899999999999</v>
      </c>
      <c r="FN26">
        <v>100.23399999999999</v>
      </c>
      <c r="FO26">
        <v>100.78400000000001</v>
      </c>
    </row>
    <row r="27" spans="1:171" x14ac:dyDescent="0.35">
      <c r="A27">
        <v>12</v>
      </c>
      <c r="B27">
        <v>1564860072.5</v>
      </c>
      <c r="C27">
        <v>1304.5999999046301</v>
      </c>
      <c r="D27" t="s">
        <v>335</v>
      </c>
      <c r="E27" t="s">
        <v>336</v>
      </c>
      <c r="G27">
        <v>1564860072.5</v>
      </c>
      <c r="H27">
        <f t="shared" si="0"/>
        <v>4.8498698012338541E-3</v>
      </c>
      <c r="I27">
        <f t="shared" si="1"/>
        <v>46.189875090149307</v>
      </c>
      <c r="J27">
        <f t="shared" si="2"/>
        <v>939.39594755514008</v>
      </c>
      <c r="K27">
        <f t="shared" si="3"/>
        <v>628.16041301195605</v>
      </c>
      <c r="L27">
        <f t="shared" si="4"/>
        <v>62.441427160168907</v>
      </c>
      <c r="M27">
        <f t="shared" si="5"/>
        <v>93.379370012458381</v>
      </c>
      <c r="N27">
        <f t="shared" si="6"/>
        <v>0.27169281652437544</v>
      </c>
      <c r="O27">
        <f t="shared" si="7"/>
        <v>2.2497980740807666</v>
      </c>
      <c r="P27">
        <f t="shared" si="8"/>
        <v>0.25469237622344759</v>
      </c>
      <c r="Q27">
        <f t="shared" si="9"/>
        <v>0.16062143190348413</v>
      </c>
      <c r="R27">
        <f t="shared" si="10"/>
        <v>353.33037003153152</v>
      </c>
      <c r="S27">
        <f t="shared" si="11"/>
        <v>26.148727104320113</v>
      </c>
      <c r="T27">
        <f t="shared" si="12"/>
        <v>27.1022</v>
      </c>
      <c r="U27">
        <f t="shared" si="13"/>
        <v>3.6006998191085047</v>
      </c>
      <c r="V27">
        <f t="shared" si="14"/>
        <v>54.994421722977883</v>
      </c>
      <c r="W27">
        <f t="shared" si="15"/>
        <v>1.7588777033918999</v>
      </c>
      <c r="X27">
        <f t="shared" si="16"/>
        <v>3.19828384095364</v>
      </c>
      <c r="Y27">
        <f t="shared" si="17"/>
        <v>1.8418221157166048</v>
      </c>
      <c r="Z27">
        <f t="shared" si="18"/>
        <v>-213.87925823441296</v>
      </c>
      <c r="AA27">
        <f t="shared" si="19"/>
        <v>-243.10377932889497</v>
      </c>
      <c r="AB27">
        <f t="shared" si="20"/>
        <v>-23.110732458849473</v>
      </c>
      <c r="AC27">
        <f t="shared" si="21"/>
        <v>-126.76339999062591</v>
      </c>
      <c r="AD27">
        <v>-4.11783114067861E-2</v>
      </c>
      <c r="AE27">
        <v>4.6226261972326002E-2</v>
      </c>
      <c r="AF27">
        <v>3.45485971289111</v>
      </c>
      <c r="AG27">
        <v>11</v>
      </c>
      <c r="AH27">
        <v>2</v>
      </c>
      <c r="AI27">
        <f t="shared" si="22"/>
        <v>1.0004164936794968</v>
      </c>
      <c r="AJ27">
        <f t="shared" si="23"/>
        <v>4.1649367949680993E-2</v>
      </c>
      <c r="AK27">
        <f t="shared" si="24"/>
        <v>52843.93003885293</v>
      </c>
      <c r="AL27" t="s">
        <v>279</v>
      </c>
      <c r="AM27">
        <v>481.47884615384601</v>
      </c>
      <c r="AN27">
        <v>2238.31</v>
      </c>
      <c r="AO27">
        <f t="shared" si="25"/>
        <v>1756.8311538461539</v>
      </c>
      <c r="AP27">
        <f t="shared" si="26"/>
        <v>0.78489179508028561</v>
      </c>
      <c r="AQ27">
        <v>-0.96503536810971002</v>
      </c>
      <c r="AR27" t="s">
        <v>337</v>
      </c>
      <c r="AS27">
        <v>846.93157692307705</v>
      </c>
      <c r="AT27">
        <v>1169.3499999999999</v>
      </c>
      <c r="AU27">
        <f t="shared" si="27"/>
        <v>0.27572448204294941</v>
      </c>
      <c r="AV27">
        <v>0.5</v>
      </c>
      <c r="AW27">
        <f t="shared" si="28"/>
        <v>1849.1436000754488</v>
      </c>
      <c r="AX27">
        <f t="shared" si="29"/>
        <v>46.189875090149307</v>
      </c>
      <c r="AY27">
        <f t="shared" si="30"/>
        <v>254.92708067691896</v>
      </c>
      <c r="AZ27">
        <f t="shared" si="31"/>
        <v>0.50292042587762431</v>
      </c>
      <c r="BA27">
        <f t="shared" si="32"/>
        <v>2.5500945657403244E-2</v>
      </c>
      <c r="BB27">
        <f t="shared" si="33"/>
        <v>0.91414888613332201</v>
      </c>
      <c r="BC27" t="s">
        <v>338</v>
      </c>
      <c r="BD27">
        <v>581.26</v>
      </c>
      <c r="BE27">
        <f t="shared" si="34"/>
        <v>588.08999999999992</v>
      </c>
      <c r="BF27">
        <f t="shared" si="35"/>
        <v>0.54824673617460407</v>
      </c>
      <c r="BG27">
        <f t="shared" si="36"/>
        <v>0.64509821671041911</v>
      </c>
      <c r="BH27">
        <f t="shared" si="37"/>
        <v>0.46871920893056301</v>
      </c>
      <c r="BI27">
        <f t="shared" si="38"/>
        <v>0.60845915537174555</v>
      </c>
      <c r="BJ27">
        <v>904</v>
      </c>
      <c r="BK27">
        <v>300</v>
      </c>
      <c r="BL27">
        <v>300</v>
      </c>
      <c r="BM27">
        <v>300</v>
      </c>
      <c r="BN27">
        <v>10107.4</v>
      </c>
      <c r="BO27">
        <v>1076.1500000000001</v>
      </c>
      <c r="BP27">
        <v>-6.5635900000000002E-3</v>
      </c>
      <c r="BQ27">
        <v>0.50976600000000005</v>
      </c>
      <c r="BR27">
        <f t="shared" si="39"/>
        <v>2199.9499999999998</v>
      </c>
      <c r="BS27">
        <f t="shared" si="40"/>
        <v>1849.1436000754488</v>
      </c>
      <c r="BT27">
        <f t="shared" si="41"/>
        <v>0.84053892137341712</v>
      </c>
      <c r="BU27">
        <f t="shared" si="42"/>
        <v>0.19107784274683423</v>
      </c>
      <c r="BV27">
        <v>6</v>
      </c>
      <c r="BW27">
        <v>0.5</v>
      </c>
      <c r="BX27" t="s">
        <v>282</v>
      </c>
      <c r="BY27">
        <v>1564860072.5</v>
      </c>
      <c r="BZ27">
        <v>939.39599999999996</v>
      </c>
      <c r="CA27">
        <v>1000.26</v>
      </c>
      <c r="CB27">
        <v>17.694299999999998</v>
      </c>
      <c r="CC27">
        <v>11.980600000000001</v>
      </c>
      <c r="CD27">
        <v>500.065</v>
      </c>
      <c r="CE27">
        <v>99.3035</v>
      </c>
      <c r="CF27">
        <v>0.100133</v>
      </c>
      <c r="CG27">
        <v>25.097899999999999</v>
      </c>
      <c r="CH27">
        <v>27.1022</v>
      </c>
      <c r="CI27">
        <v>999.9</v>
      </c>
      <c r="CJ27">
        <v>10000</v>
      </c>
      <c r="CK27">
        <v>0</v>
      </c>
      <c r="CL27">
        <v>-363.02600000000001</v>
      </c>
      <c r="CM27">
        <v>2199.9499999999998</v>
      </c>
      <c r="CN27">
        <v>0.98199499999999995</v>
      </c>
      <c r="CO27">
        <v>1.8005500000000001E-2</v>
      </c>
      <c r="CP27">
        <v>0</v>
      </c>
      <c r="CQ27">
        <v>845.51700000000005</v>
      </c>
      <c r="CR27">
        <v>4.99986</v>
      </c>
      <c r="CS27">
        <v>19457</v>
      </c>
      <c r="CT27">
        <v>17913.3</v>
      </c>
      <c r="CU27">
        <v>49.375</v>
      </c>
      <c r="CV27">
        <v>51.186999999999998</v>
      </c>
      <c r="CW27">
        <v>50.125</v>
      </c>
      <c r="CX27">
        <v>49.875</v>
      </c>
      <c r="CY27">
        <v>50.561999999999998</v>
      </c>
      <c r="CZ27">
        <v>2155.4299999999998</v>
      </c>
      <c r="DA27">
        <v>39.520000000000003</v>
      </c>
      <c r="DB27">
        <v>0</v>
      </c>
      <c r="DC27">
        <v>126.10000014305101</v>
      </c>
      <c r="DD27">
        <v>846.93157692307705</v>
      </c>
      <c r="DE27">
        <v>-9.0983589612349007</v>
      </c>
      <c r="DF27">
        <v>-202.618803408768</v>
      </c>
      <c r="DG27">
        <v>19481.315384615398</v>
      </c>
      <c r="DH27">
        <v>15</v>
      </c>
      <c r="DI27">
        <v>1564860112.9000001</v>
      </c>
      <c r="DJ27" t="s">
        <v>339</v>
      </c>
      <c r="DK27">
        <v>82</v>
      </c>
      <c r="DL27">
        <v>0.77700000000000002</v>
      </c>
      <c r="DM27">
        <v>6.9000000000000006E-2</v>
      </c>
      <c r="DN27">
        <v>1000</v>
      </c>
      <c r="DO27">
        <v>12</v>
      </c>
      <c r="DP27">
        <v>7.0000000000000007E-2</v>
      </c>
      <c r="DQ27">
        <v>0.02</v>
      </c>
      <c r="DR27">
        <v>46.231975574077701</v>
      </c>
      <c r="DS27">
        <v>-0.28654826818143497</v>
      </c>
      <c r="DT27">
        <v>0.105020354873162</v>
      </c>
      <c r="DU27">
        <v>1</v>
      </c>
      <c r="DV27">
        <v>0.27846826023862098</v>
      </c>
      <c r="DW27">
        <v>-3.00637230878079E-2</v>
      </c>
      <c r="DX27">
        <v>5.9769294408328804E-3</v>
      </c>
      <c r="DY27">
        <v>1</v>
      </c>
      <c r="DZ27">
        <v>2</v>
      </c>
      <c r="EA27">
        <v>2</v>
      </c>
      <c r="EB27" t="s">
        <v>284</v>
      </c>
      <c r="EC27">
        <v>1.8666</v>
      </c>
      <c r="ED27">
        <v>1.8631</v>
      </c>
      <c r="EE27">
        <v>1.8687199999999999</v>
      </c>
      <c r="EF27">
        <v>1.86663</v>
      </c>
      <c r="EG27">
        <v>1.8713200000000001</v>
      </c>
      <c r="EH27">
        <v>1.86372</v>
      </c>
      <c r="EI27">
        <v>1.8652299999999999</v>
      </c>
      <c r="EJ27">
        <v>1.8651800000000001</v>
      </c>
      <c r="EK27" t="s">
        <v>285</v>
      </c>
      <c r="EL27" t="s">
        <v>19</v>
      </c>
      <c r="EM27" t="s">
        <v>19</v>
      </c>
      <c r="EN27" t="s">
        <v>19</v>
      </c>
      <c r="EO27" t="s">
        <v>286</v>
      </c>
      <c r="EP27" t="s">
        <v>287</v>
      </c>
      <c r="EQ27" t="s">
        <v>288</v>
      </c>
      <c r="ER27" t="s">
        <v>288</v>
      </c>
      <c r="ES27" t="s">
        <v>288</v>
      </c>
      <c r="ET27" t="s">
        <v>288</v>
      </c>
      <c r="EU27">
        <v>0</v>
      </c>
      <c r="EV27">
        <v>100</v>
      </c>
      <c r="EW27">
        <v>100</v>
      </c>
      <c r="EX27">
        <v>0.77700000000000002</v>
      </c>
      <c r="EY27">
        <v>6.9000000000000006E-2</v>
      </c>
      <c r="EZ27">
        <v>2</v>
      </c>
      <c r="FA27">
        <v>484.61099999999999</v>
      </c>
      <c r="FB27">
        <v>466.76600000000002</v>
      </c>
      <c r="FC27">
        <v>17.254799999999999</v>
      </c>
      <c r="FD27">
        <v>35.952599999999997</v>
      </c>
      <c r="FE27">
        <v>30</v>
      </c>
      <c r="FF27">
        <v>35.857399999999998</v>
      </c>
      <c r="FG27">
        <v>35.836100000000002</v>
      </c>
      <c r="FH27">
        <v>46.775199999999998</v>
      </c>
      <c r="FI27">
        <v>61.180700000000002</v>
      </c>
      <c r="FJ27">
        <v>0</v>
      </c>
      <c r="FK27">
        <v>15.904</v>
      </c>
      <c r="FL27">
        <v>1000</v>
      </c>
      <c r="FM27">
        <v>11.8956</v>
      </c>
      <c r="FN27">
        <v>100.239</v>
      </c>
      <c r="FO27">
        <v>100.792</v>
      </c>
    </row>
    <row r="28" spans="1:171" x14ac:dyDescent="0.35">
      <c r="A28">
        <v>13</v>
      </c>
      <c r="B28">
        <v>1564860204.4000001</v>
      </c>
      <c r="C28">
        <v>1436.5</v>
      </c>
      <c r="D28" t="s">
        <v>340</v>
      </c>
      <c r="E28" t="s">
        <v>341</v>
      </c>
      <c r="G28">
        <v>1564860204.4000001</v>
      </c>
      <c r="H28">
        <f t="shared" si="0"/>
        <v>4.1853560242449371E-3</v>
      </c>
      <c r="I28">
        <f t="shared" si="1"/>
        <v>45.380405096996057</v>
      </c>
      <c r="J28">
        <f t="shared" si="2"/>
        <v>1139.8019483398741</v>
      </c>
      <c r="K28">
        <f t="shared" si="3"/>
        <v>777.136586159888</v>
      </c>
      <c r="L28">
        <f t="shared" si="4"/>
        <v>77.250977371237511</v>
      </c>
      <c r="M28">
        <f t="shared" si="5"/>
        <v>113.30159470935072</v>
      </c>
      <c r="N28">
        <f t="shared" si="6"/>
        <v>0.22840070143177552</v>
      </c>
      <c r="O28">
        <f t="shared" si="7"/>
        <v>2.2476158722699355</v>
      </c>
      <c r="P28">
        <f t="shared" si="8"/>
        <v>0.21624531452677606</v>
      </c>
      <c r="Q28">
        <f t="shared" si="9"/>
        <v>0.1361915015038612</v>
      </c>
      <c r="R28">
        <f t="shared" si="10"/>
        <v>353.32398605476948</v>
      </c>
      <c r="S28">
        <f t="shared" si="11"/>
        <v>26.31010096356458</v>
      </c>
      <c r="T28">
        <f t="shared" si="12"/>
        <v>27.2012</v>
      </c>
      <c r="U28">
        <f t="shared" si="13"/>
        <v>3.621673306186219</v>
      </c>
      <c r="V28">
        <f t="shared" si="14"/>
        <v>54.905701627022538</v>
      </c>
      <c r="W28">
        <f t="shared" si="15"/>
        <v>1.7497104148832701</v>
      </c>
      <c r="X28">
        <f t="shared" si="16"/>
        <v>3.1867554061491634</v>
      </c>
      <c r="Y28">
        <f t="shared" si="17"/>
        <v>1.8719628913029489</v>
      </c>
      <c r="Z28">
        <f t="shared" si="18"/>
        <v>-184.57420066920173</v>
      </c>
      <c r="AA28">
        <f t="shared" si="19"/>
        <v>-262.20726503749717</v>
      </c>
      <c r="AB28">
        <f t="shared" si="20"/>
        <v>-24.955863975825736</v>
      </c>
      <c r="AC28">
        <f t="shared" si="21"/>
        <v>-118.41334362775513</v>
      </c>
      <c r="AD28">
        <v>-4.11195938849859E-2</v>
      </c>
      <c r="AE28">
        <v>4.6160346410167898E-2</v>
      </c>
      <c r="AF28">
        <v>3.4509591736684202</v>
      </c>
      <c r="AG28">
        <v>11</v>
      </c>
      <c r="AH28">
        <v>2</v>
      </c>
      <c r="AI28">
        <f t="shared" si="22"/>
        <v>1.0004169794103999</v>
      </c>
      <c r="AJ28">
        <f t="shared" si="23"/>
        <v>4.1697941039986475E-2</v>
      </c>
      <c r="AK28">
        <f t="shared" si="24"/>
        <v>52782.398838172179</v>
      </c>
      <c r="AL28" t="s">
        <v>279</v>
      </c>
      <c r="AM28">
        <v>481.47884615384601</v>
      </c>
      <c r="AN28">
        <v>2238.31</v>
      </c>
      <c r="AO28">
        <f t="shared" si="25"/>
        <v>1756.8311538461539</v>
      </c>
      <c r="AP28">
        <f t="shared" si="26"/>
        <v>0.78489179508028561</v>
      </c>
      <c r="AQ28">
        <v>-0.96503536810971002</v>
      </c>
      <c r="AR28" t="s">
        <v>342</v>
      </c>
      <c r="AS28">
        <v>836.46746153846198</v>
      </c>
      <c r="AT28">
        <v>1132.73</v>
      </c>
      <c r="AU28">
        <f t="shared" si="27"/>
        <v>0.26154735767706161</v>
      </c>
      <c r="AV28">
        <v>0.5</v>
      </c>
      <c r="AW28">
        <f t="shared" si="28"/>
        <v>1849.1100000754502</v>
      </c>
      <c r="AX28">
        <f t="shared" si="29"/>
        <v>45.380405096996057</v>
      </c>
      <c r="AY28">
        <f t="shared" si="30"/>
        <v>241.81491728698259</v>
      </c>
      <c r="AZ28">
        <f t="shared" si="31"/>
        <v>0.49200603850873559</v>
      </c>
      <c r="BA28">
        <f t="shared" si="32"/>
        <v>2.5063647086011491E-2</v>
      </c>
      <c r="BB28">
        <f t="shared" si="33"/>
        <v>0.97603135786992479</v>
      </c>
      <c r="BC28" t="s">
        <v>343</v>
      </c>
      <c r="BD28">
        <v>575.41999999999996</v>
      </c>
      <c r="BE28">
        <f t="shared" si="34"/>
        <v>557.31000000000006</v>
      </c>
      <c r="BF28">
        <f t="shared" si="35"/>
        <v>0.531593796022928</v>
      </c>
      <c r="BG28">
        <f t="shared" si="36"/>
        <v>0.66485456043394331</v>
      </c>
      <c r="BH28">
        <f t="shared" si="37"/>
        <v>0.45491288070949748</v>
      </c>
      <c r="BI28">
        <f t="shared" si="38"/>
        <v>0.62930350340133812</v>
      </c>
      <c r="BJ28">
        <v>906</v>
      </c>
      <c r="BK28">
        <v>300</v>
      </c>
      <c r="BL28">
        <v>300</v>
      </c>
      <c r="BM28">
        <v>300</v>
      </c>
      <c r="BN28">
        <v>10106.9</v>
      </c>
      <c r="BO28">
        <v>1049.1600000000001</v>
      </c>
      <c r="BP28">
        <v>-6.5631099999999996E-3</v>
      </c>
      <c r="BQ28">
        <v>0.51354999999999995</v>
      </c>
      <c r="BR28">
        <f t="shared" si="39"/>
        <v>2199.91</v>
      </c>
      <c r="BS28">
        <f t="shared" si="40"/>
        <v>1849.1100000754502</v>
      </c>
      <c r="BT28">
        <f t="shared" si="41"/>
        <v>0.84053893117238898</v>
      </c>
      <c r="BU28">
        <f t="shared" si="42"/>
        <v>0.19107786234477808</v>
      </c>
      <c r="BV28">
        <v>6</v>
      </c>
      <c r="BW28">
        <v>0.5</v>
      </c>
      <c r="BX28" t="s">
        <v>282</v>
      </c>
      <c r="BY28">
        <v>1564860204.4000001</v>
      </c>
      <c r="BZ28">
        <v>1139.8019999999999</v>
      </c>
      <c r="CA28">
        <v>1199.96</v>
      </c>
      <c r="CB28">
        <v>17.601900000000001</v>
      </c>
      <c r="CC28">
        <v>12.67</v>
      </c>
      <c r="CD28">
        <v>500.00299999999999</v>
      </c>
      <c r="CE28">
        <v>99.304699999999997</v>
      </c>
      <c r="CF28">
        <v>9.9933300000000003E-2</v>
      </c>
      <c r="CG28">
        <v>25.037299999999998</v>
      </c>
      <c r="CH28">
        <v>27.2012</v>
      </c>
      <c r="CI28">
        <v>999.9</v>
      </c>
      <c r="CJ28">
        <v>9985.6200000000008</v>
      </c>
      <c r="CK28">
        <v>0</v>
      </c>
      <c r="CL28">
        <v>-378.32600000000002</v>
      </c>
      <c r="CM28">
        <v>2199.91</v>
      </c>
      <c r="CN28">
        <v>0.98199499999999995</v>
      </c>
      <c r="CO28">
        <v>1.8005500000000001E-2</v>
      </c>
      <c r="CP28">
        <v>0</v>
      </c>
      <c r="CQ28">
        <v>835.88</v>
      </c>
      <c r="CR28">
        <v>4.99986</v>
      </c>
      <c r="CS28">
        <v>19226.400000000001</v>
      </c>
      <c r="CT28">
        <v>17913</v>
      </c>
      <c r="CU28">
        <v>49.436999999999998</v>
      </c>
      <c r="CV28">
        <v>51.375</v>
      </c>
      <c r="CW28">
        <v>50.186999999999998</v>
      </c>
      <c r="CX28">
        <v>49.875</v>
      </c>
      <c r="CY28">
        <v>50.561999999999998</v>
      </c>
      <c r="CZ28">
        <v>2155.39</v>
      </c>
      <c r="DA28">
        <v>39.520000000000003</v>
      </c>
      <c r="DB28">
        <v>0</v>
      </c>
      <c r="DC28">
        <v>131.59999990463299</v>
      </c>
      <c r="DD28">
        <v>836.46746153846198</v>
      </c>
      <c r="DE28">
        <v>-7.1090598108592102</v>
      </c>
      <c r="DF28">
        <v>-172.72478599841301</v>
      </c>
      <c r="DG28">
        <v>19247.7846153846</v>
      </c>
      <c r="DH28">
        <v>15</v>
      </c>
      <c r="DI28">
        <v>1564860238.5</v>
      </c>
      <c r="DJ28" t="s">
        <v>344</v>
      </c>
      <c r="DK28">
        <v>83</v>
      </c>
      <c r="DL28">
        <v>0.85899999999999999</v>
      </c>
      <c r="DM28">
        <v>7.6999999999999999E-2</v>
      </c>
      <c r="DN28">
        <v>1200</v>
      </c>
      <c r="DO28">
        <v>13</v>
      </c>
      <c r="DP28">
        <v>0.05</v>
      </c>
      <c r="DQ28">
        <v>0.02</v>
      </c>
      <c r="DR28">
        <v>45.681713991512297</v>
      </c>
      <c r="DS28">
        <v>-0.75953030517165299</v>
      </c>
      <c r="DT28">
        <v>0.17305153994332001</v>
      </c>
      <c r="DU28">
        <v>0</v>
      </c>
      <c r="DV28">
        <v>0.229381995741918</v>
      </c>
      <c r="DW28">
        <v>-6.7722851802628397E-3</v>
      </c>
      <c r="DX28">
        <v>2.1643526096445198E-3</v>
      </c>
      <c r="DY28">
        <v>1</v>
      </c>
      <c r="DZ28">
        <v>1</v>
      </c>
      <c r="EA28">
        <v>2</v>
      </c>
      <c r="EB28" t="s">
        <v>294</v>
      </c>
      <c r="EC28">
        <v>1.8666</v>
      </c>
      <c r="ED28">
        <v>1.8630899999999999</v>
      </c>
      <c r="EE28">
        <v>1.8687400000000001</v>
      </c>
      <c r="EF28">
        <v>1.8666199999999999</v>
      </c>
      <c r="EG28">
        <v>1.8712800000000001</v>
      </c>
      <c r="EH28">
        <v>1.86371</v>
      </c>
      <c r="EI28">
        <v>1.8652299999999999</v>
      </c>
      <c r="EJ28">
        <v>1.8651500000000001</v>
      </c>
      <c r="EK28" t="s">
        <v>285</v>
      </c>
      <c r="EL28" t="s">
        <v>19</v>
      </c>
      <c r="EM28" t="s">
        <v>19</v>
      </c>
      <c r="EN28" t="s">
        <v>19</v>
      </c>
      <c r="EO28" t="s">
        <v>286</v>
      </c>
      <c r="EP28" t="s">
        <v>287</v>
      </c>
      <c r="EQ28" t="s">
        <v>288</v>
      </c>
      <c r="ER28" t="s">
        <v>288</v>
      </c>
      <c r="ES28" t="s">
        <v>288</v>
      </c>
      <c r="ET28" t="s">
        <v>288</v>
      </c>
      <c r="EU28">
        <v>0</v>
      </c>
      <c r="EV28">
        <v>100</v>
      </c>
      <c r="EW28">
        <v>100</v>
      </c>
      <c r="EX28">
        <v>0.85899999999999999</v>
      </c>
      <c r="EY28">
        <v>7.6999999999999999E-2</v>
      </c>
      <c r="EZ28">
        <v>2</v>
      </c>
      <c r="FA28">
        <v>484.35300000000001</v>
      </c>
      <c r="FB28">
        <v>468.19799999999998</v>
      </c>
      <c r="FC28">
        <v>17.144600000000001</v>
      </c>
      <c r="FD28">
        <v>35.945900000000002</v>
      </c>
      <c r="FE28">
        <v>30</v>
      </c>
      <c r="FF28">
        <v>35.877299999999998</v>
      </c>
      <c r="FG28">
        <v>35.859099999999998</v>
      </c>
      <c r="FH28">
        <v>54.175699999999999</v>
      </c>
      <c r="FI28">
        <v>58.935899999999997</v>
      </c>
      <c r="FJ28">
        <v>0</v>
      </c>
      <c r="FK28">
        <v>15.8246</v>
      </c>
      <c r="FL28">
        <v>1200</v>
      </c>
      <c r="FM28">
        <v>12.6435</v>
      </c>
      <c r="FN28">
        <v>100.24299999999999</v>
      </c>
      <c r="FO28">
        <v>100.798</v>
      </c>
    </row>
    <row r="29" spans="1:171" x14ac:dyDescent="0.35">
      <c r="A29">
        <v>14</v>
      </c>
      <c r="B29">
        <v>1564860327.5</v>
      </c>
      <c r="C29">
        <v>1559.5999999046301</v>
      </c>
      <c r="D29" t="s">
        <v>345</v>
      </c>
      <c r="E29" t="s">
        <v>346</v>
      </c>
      <c r="G29">
        <v>1564860327.5</v>
      </c>
      <c r="H29">
        <f t="shared" si="0"/>
        <v>3.9515607897141983E-3</v>
      </c>
      <c r="I29">
        <f t="shared" si="1"/>
        <v>44.34606067351131</v>
      </c>
      <c r="J29">
        <f t="shared" si="2"/>
        <v>1539.6319497698887</v>
      </c>
      <c r="K29">
        <f t="shared" si="3"/>
        <v>1149.7749808288231</v>
      </c>
      <c r="L29">
        <f t="shared" si="4"/>
        <v>114.29171387574698</v>
      </c>
      <c r="M29">
        <f t="shared" si="5"/>
        <v>153.04488026884306</v>
      </c>
      <c r="N29">
        <f t="shared" si="6"/>
        <v>0.21294451474769077</v>
      </c>
      <c r="O29">
        <f t="shared" si="7"/>
        <v>2.2515122862778796</v>
      </c>
      <c r="P29">
        <f t="shared" si="8"/>
        <v>0.20235495229257616</v>
      </c>
      <c r="Q29">
        <f t="shared" si="9"/>
        <v>0.12737937786688147</v>
      </c>
      <c r="R29">
        <f t="shared" si="10"/>
        <v>353.36388590954647</v>
      </c>
      <c r="S29">
        <f t="shared" si="11"/>
        <v>26.381936060180351</v>
      </c>
      <c r="T29">
        <f t="shared" si="12"/>
        <v>27.264700000000001</v>
      </c>
      <c r="U29">
        <f t="shared" si="13"/>
        <v>3.635182059087946</v>
      </c>
      <c r="V29">
        <f t="shared" si="14"/>
        <v>54.82117676805133</v>
      </c>
      <c r="W29">
        <f t="shared" si="15"/>
        <v>1.7465899419284399</v>
      </c>
      <c r="X29">
        <f t="shared" si="16"/>
        <v>3.1859767427435401</v>
      </c>
      <c r="Y29">
        <f t="shared" si="17"/>
        <v>1.8885921171595061</v>
      </c>
      <c r="Z29">
        <f t="shared" si="18"/>
        <v>-174.26383082639614</v>
      </c>
      <c r="AA29">
        <f t="shared" si="19"/>
        <v>-270.86734803808986</v>
      </c>
      <c r="AB29">
        <f t="shared" si="20"/>
        <v>-25.743170451331501</v>
      </c>
      <c r="AC29">
        <f t="shared" si="21"/>
        <v>-117.51046340627101</v>
      </c>
      <c r="AD29">
        <v>-4.1224472629134902E-2</v>
      </c>
      <c r="AE29">
        <v>4.62780819883577E-2</v>
      </c>
      <c r="AF29">
        <v>3.4579248089965899</v>
      </c>
      <c r="AG29">
        <v>11</v>
      </c>
      <c r="AH29">
        <v>2</v>
      </c>
      <c r="AI29">
        <f t="shared" si="22"/>
        <v>1.0004159558832162</v>
      </c>
      <c r="AJ29">
        <f t="shared" si="23"/>
        <v>4.1595588321619026E-2</v>
      </c>
      <c r="AK29">
        <f t="shared" si="24"/>
        <v>52912.224390861273</v>
      </c>
      <c r="AL29" t="s">
        <v>279</v>
      </c>
      <c r="AM29">
        <v>481.47884615384601</v>
      </c>
      <c r="AN29">
        <v>2238.31</v>
      </c>
      <c r="AO29">
        <f t="shared" si="25"/>
        <v>1756.8311538461539</v>
      </c>
      <c r="AP29">
        <f t="shared" si="26"/>
        <v>0.78489179508028561</v>
      </c>
      <c r="AQ29">
        <v>-0.96503536810971002</v>
      </c>
      <c r="AR29" t="s">
        <v>347</v>
      </c>
      <c r="AS29">
        <v>834.45223076923105</v>
      </c>
      <c r="AT29">
        <v>1106.31</v>
      </c>
      <c r="AU29">
        <f t="shared" si="27"/>
        <v>0.24573380809245948</v>
      </c>
      <c r="AV29">
        <v>0.5</v>
      </c>
      <c r="AW29">
        <f t="shared" si="28"/>
        <v>1849.3200000754416</v>
      </c>
      <c r="AX29">
        <f t="shared" si="29"/>
        <v>44.34606067351131</v>
      </c>
      <c r="AY29">
        <f t="shared" si="30"/>
        <v>227.22022300004286</v>
      </c>
      <c r="AZ29">
        <f t="shared" si="31"/>
        <v>0.48079652177057064</v>
      </c>
      <c r="BA29">
        <f t="shared" si="32"/>
        <v>2.4501490299014009E-2</v>
      </c>
      <c r="BB29">
        <f t="shared" si="33"/>
        <v>1.0232213394075802</v>
      </c>
      <c r="BC29" t="s">
        <v>348</v>
      </c>
      <c r="BD29">
        <v>574.4</v>
      </c>
      <c r="BE29">
        <f t="shared" si="34"/>
        <v>531.91</v>
      </c>
      <c r="BF29">
        <f t="shared" si="35"/>
        <v>0.51109730824908139</v>
      </c>
      <c r="BG29">
        <f t="shared" si="36"/>
        <v>0.68032525797669352</v>
      </c>
      <c r="BH29">
        <f t="shared" si="37"/>
        <v>0.43508997199858856</v>
      </c>
      <c r="BI29">
        <f t="shared" si="38"/>
        <v>0.64434194345982632</v>
      </c>
      <c r="BJ29">
        <v>908</v>
      </c>
      <c r="BK29">
        <v>300</v>
      </c>
      <c r="BL29">
        <v>300</v>
      </c>
      <c r="BM29">
        <v>300</v>
      </c>
      <c r="BN29">
        <v>10106.6</v>
      </c>
      <c r="BO29">
        <v>1023.98</v>
      </c>
      <c r="BP29">
        <v>-6.5629299999999998E-3</v>
      </c>
      <c r="BQ29">
        <v>0.17028799999999999</v>
      </c>
      <c r="BR29">
        <f t="shared" si="39"/>
        <v>2200.16</v>
      </c>
      <c r="BS29">
        <f t="shared" si="40"/>
        <v>1849.3200000754416</v>
      </c>
      <c r="BT29">
        <f t="shared" si="41"/>
        <v>0.84053886993466009</v>
      </c>
      <c r="BU29">
        <f t="shared" si="42"/>
        <v>0.19107773986932022</v>
      </c>
      <c r="BV29">
        <v>6</v>
      </c>
      <c r="BW29">
        <v>0.5</v>
      </c>
      <c r="BX29" t="s">
        <v>282</v>
      </c>
      <c r="BY29">
        <v>1564860327.5</v>
      </c>
      <c r="BZ29">
        <v>1539.6320000000001</v>
      </c>
      <c r="CA29">
        <v>1600.13</v>
      </c>
      <c r="CB29">
        <v>17.570699999999999</v>
      </c>
      <c r="CC29">
        <v>12.9138</v>
      </c>
      <c r="CD29">
        <v>499.96600000000001</v>
      </c>
      <c r="CE29">
        <v>99.303600000000003</v>
      </c>
      <c r="CF29">
        <v>9.9949200000000002E-2</v>
      </c>
      <c r="CG29">
        <v>25.033200000000001</v>
      </c>
      <c r="CH29">
        <v>27.264700000000001</v>
      </c>
      <c r="CI29">
        <v>999.9</v>
      </c>
      <c r="CJ29">
        <v>10011.200000000001</v>
      </c>
      <c r="CK29">
        <v>0</v>
      </c>
      <c r="CL29">
        <v>-390.44299999999998</v>
      </c>
      <c r="CM29">
        <v>2200.16</v>
      </c>
      <c r="CN29">
        <v>0.98199700000000001</v>
      </c>
      <c r="CO29">
        <v>1.8003000000000002E-2</v>
      </c>
      <c r="CP29">
        <v>0</v>
      </c>
      <c r="CQ29">
        <v>833.04</v>
      </c>
      <c r="CR29">
        <v>4.99986</v>
      </c>
      <c r="CS29">
        <v>19175.400000000001</v>
      </c>
      <c r="CT29">
        <v>17915.099999999999</v>
      </c>
      <c r="CU29">
        <v>49.5</v>
      </c>
      <c r="CV29">
        <v>51.311999999999998</v>
      </c>
      <c r="CW29">
        <v>50.25</v>
      </c>
      <c r="CX29">
        <v>49.875</v>
      </c>
      <c r="CY29">
        <v>50.561999999999998</v>
      </c>
      <c r="CZ29">
        <v>2155.64</v>
      </c>
      <c r="DA29">
        <v>39.520000000000003</v>
      </c>
      <c r="DB29">
        <v>0</v>
      </c>
      <c r="DC29">
        <v>122.5</v>
      </c>
      <c r="DD29">
        <v>834.45223076923105</v>
      </c>
      <c r="DE29">
        <v>-8.7766837479967794</v>
      </c>
      <c r="DF29">
        <v>-197.292307744184</v>
      </c>
      <c r="DG29">
        <v>19198.823076923101</v>
      </c>
      <c r="DH29">
        <v>15</v>
      </c>
      <c r="DI29">
        <v>1564860355.5</v>
      </c>
      <c r="DJ29" t="s">
        <v>349</v>
      </c>
      <c r="DK29">
        <v>84</v>
      </c>
      <c r="DL29">
        <v>0.98099999999999998</v>
      </c>
      <c r="DM29">
        <v>0.08</v>
      </c>
      <c r="DN29">
        <v>1600</v>
      </c>
      <c r="DO29">
        <v>13</v>
      </c>
      <c r="DP29">
        <v>7.0000000000000007E-2</v>
      </c>
      <c r="DQ29">
        <v>0.02</v>
      </c>
      <c r="DR29">
        <v>44.518378918712997</v>
      </c>
      <c r="DS29">
        <v>-0.257970449802296</v>
      </c>
      <c r="DT29">
        <v>0.15664911338322701</v>
      </c>
      <c r="DU29">
        <v>1</v>
      </c>
      <c r="DV29">
        <v>0.21842920752022299</v>
      </c>
      <c r="DW29">
        <v>-2.10051707222569E-2</v>
      </c>
      <c r="DX29">
        <v>4.1491048306462703E-3</v>
      </c>
      <c r="DY29">
        <v>1</v>
      </c>
      <c r="DZ29">
        <v>2</v>
      </c>
      <c r="EA29">
        <v>2</v>
      </c>
      <c r="EB29" t="s">
        <v>284</v>
      </c>
      <c r="EC29">
        <v>1.8665499999999999</v>
      </c>
      <c r="ED29">
        <v>1.8630899999999999</v>
      </c>
      <c r="EE29">
        <v>1.8687</v>
      </c>
      <c r="EF29">
        <v>1.86663</v>
      </c>
      <c r="EG29">
        <v>1.8713</v>
      </c>
      <c r="EH29">
        <v>1.86371</v>
      </c>
      <c r="EI29">
        <v>1.8652299999999999</v>
      </c>
      <c r="EJ29">
        <v>1.8651899999999999</v>
      </c>
      <c r="EK29" t="s">
        <v>285</v>
      </c>
      <c r="EL29" t="s">
        <v>19</v>
      </c>
      <c r="EM29" t="s">
        <v>19</v>
      </c>
      <c r="EN29" t="s">
        <v>19</v>
      </c>
      <c r="EO29" t="s">
        <v>286</v>
      </c>
      <c r="EP29" t="s">
        <v>287</v>
      </c>
      <c r="EQ29" t="s">
        <v>288</v>
      </c>
      <c r="ER29" t="s">
        <v>288</v>
      </c>
      <c r="ES29" t="s">
        <v>288</v>
      </c>
      <c r="ET29" t="s">
        <v>288</v>
      </c>
      <c r="EU29">
        <v>0</v>
      </c>
      <c r="EV29">
        <v>100</v>
      </c>
      <c r="EW29">
        <v>100</v>
      </c>
      <c r="EX29">
        <v>0.98099999999999998</v>
      </c>
      <c r="EY29">
        <v>0.08</v>
      </c>
      <c r="EZ29">
        <v>2</v>
      </c>
      <c r="FA29">
        <v>484.38299999999998</v>
      </c>
      <c r="FB29">
        <v>469.34899999999999</v>
      </c>
      <c r="FC29">
        <v>17.116299999999999</v>
      </c>
      <c r="FD29">
        <v>35.939300000000003</v>
      </c>
      <c r="FE29">
        <v>30</v>
      </c>
      <c r="FF29">
        <v>35.881599999999999</v>
      </c>
      <c r="FG29">
        <v>35.865699999999997</v>
      </c>
      <c r="FH29">
        <v>68.098399999999998</v>
      </c>
      <c r="FI29">
        <v>58.375900000000001</v>
      </c>
      <c r="FJ29">
        <v>0</v>
      </c>
      <c r="FK29">
        <v>15.798500000000001</v>
      </c>
      <c r="FL29">
        <v>1600</v>
      </c>
      <c r="FM29">
        <v>12.8986</v>
      </c>
      <c r="FN29">
        <v>100.247</v>
      </c>
      <c r="FO29">
        <v>100.80200000000001</v>
      </c>
    </row>
  </sheetData>
  <sortState xmlns:xlrd2="http://schemas.microsoft.com/office/spreadsheetml/2017/richdata2" ref="J34:L47">
    <sortCondition ref="J34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7</v>
      </c>
    </row>
    <row r="5" spans="1:2" x14ac:dyDescent="0.35">
      <c r="A5" t="s">
        <v>8</v>
      </c>
      <c r="B5" t="s">
        <v>9</v>
      </c>
    </row>
    <row r="6" spans="1:2" x14ac:dyDescent="0.35">
      <c r="A6" t="s">
        <v>10</v>
      </c>
      <c r="B6" t="s">
        <v>11</v>
      </c>
    </row>
    <row r="7" spans="1:2" x14ac:dyDescent="0.35">
      <c r="A7" t="s">
        <v>12</v>
      </c>
      <c r="B7" t="s">
        <v>13</v>
      </c>
    </row>
    <row r="8" spans="1:2" x14ac:dyDescent="0.35">
      <c r="A8" t="s">
        <v>14</v>
      </c>
      <c r="B8" t="s">
        <v>15</v>
      </c>
    </row>
    <row r="9" spans="1:2" x14ac:dyDescent="0.35">
      <c r="A9" t="s">
        <v>16</v>
      </c>
      <c r="B9" t="s">
        <v>17</v>
      </c>
    </row>
    <row r="10" spans="1:2" x14ac:dyDescent="0.35">
      <c r="A10" t="s">
        <v>18</v>
      </c>
      <c r="B10" t="s">
        <v>19</v>
      </c>
    </row>
    <row r="11" spans="1:2" x14ac:dyDescent="0.35">
      <c r="A11" t="s">
        <v>20</v>
      </c>
      <c r="B11" t="s">
        <v>19</v>
      </c>
    </row>
    <row r="12" spans="1:2" x14ac:dyDescent="0.35">
      <c r="A12" t="s">
        <v>21</v>
      </c>
      <c r="B12" t="s">
        <v>17</v>
      </c>
    </row>
    <row r="13" spans="1:2" x14ac:dyDescent="0.35">
      <c r="A13" t="s">
        <v>22</v>
      </c>
      <c r="B13" t="s">
        <v>11</v>
      </c>
    </row>
    <row r="14" spans="1:2" x14ac:dyDescent="0.35">
      <c r="A14" t="s">
        <v>23</v>
      </c>
      <c r="B14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Wu, Genghong</cp:lastModifiedBy>
  <dcterms:created xsi:type="dcterms:W3CDTF">2019-08-03T14:26:02Z</dcterms:created>
  <dcterms:modified xsi:type="dcterms:W3CDTF">2019-08-28T03:07:32Z</dcterms:modified>
</cp:coreProperties>
</file>