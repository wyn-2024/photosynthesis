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DC6921FD-6D56-456E-8307-0944283F1943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U29" i="1" l="1"/>
  <c r="BT29" i="1"/>
  <c r="BR29" i="1"/>
  <c r="BI29" i="1"/>
  <c r="BH29" i="1"/>
  <c r="BG29" i="1"/>
  <c r="BF29" i="1"/>
  <c r="BE29" i="1"/>
  <c r="BB29" i="1"/>
  <c r="AZ29" i="1"/>
  <c r="AU29" i="1"/>
  <c r="AO29" i="1"/>
  <c r="AP29" i="1" s="1"/>
  <c r="AK29" i="1"/>
  <c r="AI29" i="1" s="1"/>
  <c r="AJ29" i="1" s="1"/>
  <c r="X29" i="1"/>
  <c r="W29" i="1"/>
  <c r="O29" i="1"/>
  <c r="BU28" i="1"/>
  <c r="BT28" i="1"/>
  <c r="BR28" i="1"/>
  <c r="BI28" i="1"/>
  <c r="BH28" i="1"/>
  <c r="BG28" i="1"/>
  <c r="BF28" i="1"/>
  <c r="BE28" i="1"/>
  <c r="AZ28" i="1" s="1"/>
  <c r="BB28" i="1"/>
  <c r="AU28" i="1"/>
  <c r="AP28" i="1"/>
  <c r="AO28" i="1"/>
  <c r="AK28" i="1"/>
  <c r="AI28" i="1" s="1"/>
  <c r="J28" i="1" s="1"/>
  <c r="X28" i="1"/>
  <c r="W28" i="1"/>
  <c r="V28" i="1"/>
  <c r="O28" i="1"/>
  <c r="BU27" i="1"/>
  <c r="BT27" i="1"/>
  <c r="BR27" i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/>
  <c r="H27" i="1" s="1"/>
  <c r="X27" i="1"/>
  <c r="W27" i="1"/>
  <c r="V27" i="1" s="1"/>
  <c r="O27" i="1"/>
  <c r="BU26" i="1"/>
  <c r="BT26" i="1"/>
  <c r="BS26" i="1" s="1"/>
  <c r="BR26" i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X26" i="1"/>
  <c r="V26" i="1" s="1"/>
  <c r="W26" i="1"/>
  <c r="O26" i="1"/>
  <c r="H26" i="1"/>
  <c r="Z26" i="1" s="1"/>
  <c r="BU25" i="1"/>
  <c r="BT25" i="1"/>
  <c r="BR25" i="1"/>
  <c r="BS25" i="1" s="1"/>
  <c r="BI25" i="1"/>
  <c r="BH25" i="1"/>
  <c r="BG25" i="1"/>
  <c r="BF25" i="1"/>
  <c r="BE25" i="1"/>
  <c r="AZ25" i="1" s="1"/>
  <c r="BB25" i="1"/>
  <c r="AU25" i="1"/>
  <c r="AO25" i="1"/>
  <c r="AP25" i="1" s="1"/>
  <c r="AK25" i="1"/>
  <c r="AI25" i="1" s="1"/>
  <c r="X25" i="1"/>
  <c r="W25" i="1"/>
  <c r="V25" i="1" s="1"/>
  <c r="O25" i="1"/>
  <c r="BU24" i="1"/>
  <c r="R24" i="1" s="1"/>
  <c r="BT24" i="1"/>
  <c r="BR24" i="1"/>
  <c r="BS24" i="1" s="1"/>
  <c r="AW24" i="1" s="1"/>
  <c r="BI24" i="1"/>
  <c r="BH24" i="1"/>
  <c r="BG24" i="1"/>
  <c r="BF24" i="1"/>
  <c r="BE24" i="1"/>
  <c r="AZ24" i="1" s="1"/>
  <c r="BB24" i="1"/>
  <c r="AU24" i="1"/>
  <c r="AY24" i="1" s="1"/>
  <c r="AO24" i="1"/>
  <c r="AP24" i="1" s="1"/>
  <c r="AK24" i="1"/>
  <c r="AI24" i="1"/>
  <c r="X24" i="1"/>
  <c r="W24" i="1"/>
  <c r="V24" i="1" s="1"/>
  <c r="O24" i="1"/>
  <c r="J24" i="1"/>
  <c r="BU23" i="1"/>
  <c r="BT23" i="1"/>
  <c r="BR23" i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 s="1"/>
  <c r="AJ22" i="1"/>
  <c r="X22" i="1"/>
  <c r="W22" i="1"/>
  <c r="V22" i="1" s="1"/>
  <c r="O22" i="1"/>
  <c r="BU21" i="1"/>
  <c r="BT21" i="1"/>
  <c r="BR21" i="1"/>
  <c r="BS21" i="1" s="1"/>
  <c r="AW21" i="1" s="1"/>
  <c r="BI21" i="1"/>
  <c r="BH21" i="1"/>
  <c r="BG21" i="1"/>
  <c r="BF21" i="1"/>
  <c r="BE21" i="1"/>
  <c r="AZ21" i="1" s="1"/>
  <c r="BB21" i="1"/>
  <c r="AU21" i="1"/>
  <c r="AY21" i="1" s="1"/>
  <c r="AO21" i="1"/>
  <c r="AP21" i="1" s="1"/>
  <c r="AK21" i="1"/>
  <c r="AI21" i="1"/>
  <c r="J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H20" i="1" s="1"/>
  <c r="X20" i="1"/>
  <c r="V20" i="1" s="1"/>
  <c r="W20" i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I19" i="1" s="1"/>
  <c r="AX19" i="1" s="1"/>
  <c r="X19" i="1"/>
  <c r="W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AZ17" i="1" s="1"/>
  <c r="BB17" i="1"/>
  <c r="AU17" i="1"/>
  <c r="AO17" i="1"/>
  <c r="AP17" i="1" s="1"/>
  <c r="AK17" i="1"/>
  <c r="AI17" i="1"/>
  <c r="H17" i="1" s="1"/>
  <c r="X17" i="1"/>
  <c r="W17" i="1"/>
  <c r="V17" i="1" s="1"/>
  <c r="O17" i="1"/>
  <c r="M17" i="1"/>
  <c r="J17" i="1"/>
  <c r="R19" i="1" l="1"/>
  <c r="AW19" i="1"/>
  <c r="AY19" i="1" s="1"/>
  <c r="R26" i="1"/>
  <c r="AW26" i="1"/>
  <c r="AY26" i="1" s="1"/>
  <c r="BA19" i="1"/>
  <c r="H23" i="1"/>
  <c r="M23" i="1"/>
  <c r="J23" i="1"/>
  <c r="I23" i="1"/>
  <c r="AX23" i="1" s="1"/>
  <c r="M20" i="1"/>
  <c r="I17" i="1"/>
  <c r="AX17" i="1" s="1"/>
  <c r="J18" i="1"/>
  <c r="H19" i="1"/>
  <c r="Z19" i="1" s="1"/>
  <c r="V19" i="1"/>
  <c r="J20" i="1"/>
  <c r="I27" i="1"/>
  <c r="AX27" i="1" s="1"/>
  <c r="J27" i="1"/>
  <c r="BS28" i="1"/>
  <c r="V29" i="1"/>
  <c r="BS29" i="1"/>
  <c r="M27" i="1"/>
  <c r="I20" i="1"/>
  <c r="AX20" i="1" s="1"/>
  <c r="R21" i="1"/>
  <c r="Z17" i="1"/>
  <c r="BA17" i="1"/>
  <c r="AW17" i="1"/>
  <c r="AY17" i="1" s="1"/>
  <c r="R17" i="1"/>
  <c r="AW18" i="1"/>
  <c r="AY18" i="1" s="1"/>
  <c r="R18" i="1"/>
  <c r="AW20" i="1"/>
  <c r="AY20" i="1" s="1"/>
  <c r="R20" i="1"/>
  <c r="AJ18" i="1"/>
  <c r="Z20" i="1"/>
  <c r="BA20" i="1"/>
  <c r="J22" i="1"/>
  <c r="M22" i="1"/>
  <c r="I22" i="1"/>
  <c r="AX22" i="1" s="1"/>
  <c r="H22" i="1"/>
  <c r="AJ26" i="1"/>
  <c r="J26" i="1"/>
  <c r="M26" i="1"/>
  <c r="I26" i="1"/>
  <c r="AX26" i="1" s="1"/>
  <c r="BA26" i="1" s="1"/>
  <c r="S26" i="1"/>
  <c r="T26" i="1" s="1"/>
  <c r="M28" i="1"/>
  <c r="I28" i="1"/>
  <c r="AX28" i="1" s="1"/>
  <c r="H28" i="1"/>
  <c r="AJ28" i="1"/>
  <c r="R29" i="1"/>
  <c r="AW29" i="1"/>
  <c r="AY29" i="1" s="1"/>
  <c r="Z23" i="1"/>
  <c r="J25" i="1"/>
  <c r="M25" i="1"/>
  <c r="I25" i="1"/>
  <c r="AX25" i="1" s="1"/>
  <c r="H25" i="1"/>
  <c r="AJ19" i="1"/>
  <c r="J19" i="1"/>
  <c r="M24" i="1"/>
  <c r="I24" i="1"/>
  <c r="AX24" i="1" s="1"/>
  <c r="BA24" i="1" s="1"/>
  <c r="H24" i="1"/>
  <c r="S24" i="1" s="1"/>
  <c r="T24" i="1" s="1"/>
  <c r="AJ24" i="1"/>
  <c r="R25" i="1"/>
  <c r="AW25" i="1"/>
  <c r="AY25" i="1" s="1"/>
  <c r="BS27" i="1"/>
  <c r="AJ17" i="1"/>
  <c r="H18" i="1"/>
  <c r="I18" i="1"/>
  <c r="AX18" i="1" s="1"/>
  <c r="BA18" i="1" s="1"/>
  <c r="M19" i="1"/>
  <c r="S19" i="1"/>
  <c r="T19" i="1" s="1"/>
  <c r="P19" i="1" s="1"/>
  <c r="N19" i="1" s="1"/>
  <c r="Q19" i="1" s="1"/>
  <c r="K19" i="1" s="1"/>
  <c r="L19" i="1" s="1"/>
  <c r="M21" i="1"/>
  <c r="I21" i="1"/>
  <c r="AX21" i="1" s="1"/>
  <c r="BA21" i="1" s="1"/>
  <c r="H21" i="1"/>
  <c r="S21" i="1" s="1"/>
  <c r="T21" i="1" s="1"/>
  <c r="AJ21" i="1"/>
  <c r="R22" i="1"/>
  <c r="AW22" i="1"/>
  <c r="AY22" i="1" s="1"/>
  <c r="BS23" i="1"/>
  <c r="AJ25" i="1"/>
  <c r="AA26" i="1"/>
  <c r="Z27" i="1"/>
  <c r="J29" i="1"/>
  <c r="M29" i="1"/>
  <c r="I29" i="1"/>
  <c r="AX29" i="1" s="1"/>
  <c r="BA29" i="1" s="1"/>
  <c r="H29" i="1"/>
  <c r="AJ20" i="1"/>
  <c r="AJ23" i="1"/>
  <c r="AJ27" i="1"/>
  <c r="AW28" i="1" l="1"/>
  <c r="AY28" i="1" s="1"/>
  <c r="R28" i="1"/>
  <c r="S28" i="1" s="1"/>
  <c r="T28" i="1" s="1"/>
  <c r="AA28" i="1" s="1"/>
  <c r="BA28" i="1"/>
  <c r="U21" i="1"/>
  <c r="Y21" i="1" s="1"/>
  <c r="AB21" i="1"/>
  <c r="AA21" i="1"/>
  <c r="U24" i="1"/>
  <c r="Y24" i="1" s="1"/>
  <c r="AB24" i="1"/>
  <c r="AA24" i="1"/>
  <c r="Z29" i="1"/>
  <c r="BA22" i="1"/>
  <c r="S20" i="1"/>
  <c r="T20" i="1" s="1"/>
  <c r="Z18" i="1"/>
  <c r="AW27" i="1"/>
  <c r="R27" i="1"/>
  <c r="Z25" i="1"/>
  <c r="AW23" i="1"/>
  <c r="R23" i="1"/>
  <c r="AB19" i="1"/>
  <c r="U19" i="1"/>
  <c r="Y19" i="1" s="1"/>
  <c r="P24" i="1"/>
  <c r="N24" i="1" s="1"/>
  <c r="Q24" i="1" s="1"/>
  <c r="K24" i="1" s="1"/>
  <c r="L24" i="1" s="1"/>
  <c r="Z24" i="1"/>
  <c r="BA25" i="1"/>
  <c r="P28" i="1"/>
  <c r="N28" i="1" s="1"/>
  <c r="Q28" i="1" s="1"/>
  <c r="K28" i="1" s="1"/>
  <c r="L28" i="1" s="1"/>
  <c r="Z28" i="1"/>
  <c r="U26" i="1"/>
  <c r="Y26" i="1" s="1"/>
  <c r="P26" i="1"/>
  <c r="N26" i="1" s="1"/>
  <c r="Q26" i="1" s="1"/>
  <c r="K26" i="1" s="1"/>
  <c r="L26" i="1" s="1"/>
  <c r="AB26" i="1"/>
  <c r="AC26" i="1" s="1"/>
  <c r="AA19" i="1"/>
  <c r="S17" i="1"/>
  <c r="T17" i="1" s="1"/>
  <c r="S22" i="1"/>
  <c r="T22" i="1" s="1"/>
  <c r="P21" i="1"/>
  <c r="N21" i="1" s="1"/>
  <c r="Q21" i="1" s="1"/>
  <c r="K21" i="1" s="1"/>
  <c r="L21" i="1" s="1"/>
  <c r="Z21" i="1"/>
  <c r="U28" i="1"/>
  <c r="Y28" i="1" s="1"/>
  <c r="AB28" i="1"/>
  <c r="AC28" i="1" s="1"/>
  <c r="S25" i="1"/>
  <c r="T25" i="1" s="1"/>
  <c r="S29" i="1"/>
  <c r="T29" i="1" s="1"/>
  <c r="P29" i="1" s="1"/>
  <c r="N29" i="1" s="1"/>
  <c r="Q29" i="1" s="1"/>
  <c r="K29" i="1" s="1"/>
  <c r="L29" i="1" s="1"/>
  <c r="Z22" i="1"/>
  <c r="P22" i="1"/>
  <c r="N22" i="1" s="1"/>
  <c r="Q22" i="1" s="1"/>
  <c r="K22" i="1" s="1"/>
  <c r="L22" i="1" s="1"/>
  <c r="S18" i="1"/>
  <c r="T18" i="1" s="1"/>
  <c r="P18" i="1" s="1"/>
  <c r="N18" i="1" s="1"/>
  <c r="Q18" i="1" s="1"/>
  <c r="K18" i="1" s="1"/>
  <c r="L18" i="1" s="1"/>
  <c r="AC19" i="1" l="1"/>
  <c r="U25" i="1"/>
  <c r="Y25" i="1" s="1"/>
  <c r="AB25" i="1"/>
  <c r="AA25" i="1"/>
  <c r="S23" i="1"/>
  <c r="T23" i="1" s="1"/>
  <c r="S27" i="1"/>
  <c r="T27" i="1" s="1"/>
  <c r="AY23" i="1"/>
  <c r="BA23" i="1"/>
  <c r="AY27" i="1"/>
  <c r="BA27" i="1"/>
  <c r="AB20" i="1"/>
  <c r="AC20" i="1" s="1"/>
  <c r="U20" i="1"/>
  <c r="Y20" i="1" s="1"/>
  <c r="AA20" i="1"/>
  <c r="P20" i="1"/>
  <c r="N20" i="1" s="1"/>
  <c r="Q20" i="1" s="1"/>
  <c r="K20" i="1" s="1"/>
  <c r="L20" i="1" s="1"/>
  <c r="AC21" i="1"/>
  <c r="AB17" i="1"/>
  <c r="U17" i="1"/>
  <c r="Y17" i="1" s="1"/>
  <c r="AA17" i="1"/>
  <c r="P17" i="1"/>
  <c r="N17" i="1" s="1"/>
  <c r="Q17" i="1" s="1"/>
  <c r="K17" i="1" s="1"/>
  <c r="L17" i="1" s="1"/>
  <c r="U18" i="1"/>
  <c r="Y18" i="1" s="1"/>
  <c r="AB18" i="1"/>
  <c r="AA18" i="1"/>
  <c r="U29" i="1"/>
  <c r="Y29" i="1" s="1"/>
  <c r="AB29" i="1"/>
  <c r="AA29" i="1"/>
  <c r="U22" i="1"/>
  <c r="Y22" i="1" s="1"/>
  <c r="AB22" i="1"/>
  <c r="AA22" i="1"/>
  <c r="P25" i="1"/>
  <c r="N25" i="1" s="1"/>
  <c r="Q25" i="1" s="1"/>
  <c r="K25" i="1" s="1"/>
  <c r="L25" i="1" s="1"/>
  <c r="AC24" i="1"/>
  <c r="AC22" i="1" l="1"/>
  <c r="AB23" i="1"/>
  <c r="U23" i="1"/>
  <c r="Y23" i="1" s="1"/>
  <c r="AA23" i="1"/>
  <c r="P23" i="1"/>
  <c r="N23" i="1" s="1"/>
  <c r="Q23" i="1" s="1"/>
  <c r="K23" i="1" s="1"/>
  <c r="L23" i="1" s="1"/>
  <c r="AC18" i="1"/>
  <c r="AB27" i="1"/>
  <c r="U27" i="1"/>
  <c r="Y27" i="1" s="1"/>
  <c r="AA27" i="1"/>
  <c r="P27" i="1"/>
  <c r="N27" i="1" s="1"/>
  <c r="Q27" i="1" s="1"/>
  <c r="K27" i="1" s="1"/>
  <c r="L27" i="1" s="1"/>
  <c r="AC25" i="1"/>
  <c r="AC29" i="1"/>
  <c r="AC17" i="1"/>
  <c r="AC27" i="1" l="1"/>
  <c r="AC23" i="1"/>
</calcChain>
</file>

<file path=xl/sharedStrings.xml><?xml version="1.0" encoding="utf-8"?>
<sst xmlns="http://schemas.openxmlformats.org/spreadsheetml/2006/main" count="769" uniqueCount="350">
  <si>
    <t>File opened</t>
  </si>
  <si>
    <t>2019-08-03 13:11:09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</si>
  <si>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</si>
  <si>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</si>
  <si>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</si>
  <si>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</si>
  <si>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</si>
  <si>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</si>
  <si>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</si>
  <si>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</si>
  <si>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</si>
  <si>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</si>
  <si>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</si>
  <si>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{"h2oaspan2b": "0.0662632", "oxygen": "21", "h2obspan2a": "0.0975941", "h2obspan2": "0", "h2oaspanconc1": "12.19", "flowmeterzero": "0.991801", "co2bspanconc1": "1002", "h2oaspan2": "0", "co2aspan2a": "0.164928", "tazero": "0.00774765", "h2obspanconc2": "0", "co2bspanconc2": "0", "h2oaspan1": "1.00223", "h2obspan2b": "0.0963575", "h2oaspanconc2": "0", "co2bzero": "0.880288", "co2bspan2": "0", "tbzero": "0.197721", "h2oaspan2a": "0.0661155", "ssb_ref": "36526.8", "co2aspan2b": "0.163711", "h2obzero": "1.01783", "co2aspanconc1": "1002", "flowazero": "0.4286", "h2oazero": "1.00263", "co2aspan2": "0", "flowbzero": "0.20796", "chamberpressurezero": "2.57337", "co2aspanconc2": "0", "ssa_ref": "36614.9", "co2aspan1": "0.992625", "co2bspan2a": "0.163389", "co2bspan2b": "0.162103", "h2obspanconc1": "20", "co2bspan1": "0.992131", "h2obspan1": "0.998578", "co2azero": "0.869071"}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</si>
  <si>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</si>
  <si>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</si>
  <si>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</si>
  <si>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</si>
  <si>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</si>
  <si>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</si>
  <si>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</si>
  <si>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</si>
  <si>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</si>
  <si>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13:11:09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</si>
  <si>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</si>
  <si>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</si>
  <si>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</si>
  <si>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</si>
  <si>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</si>
  <si>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</si>
  <si>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</si>
  <si>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</si>
  <si>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</si>
  <si>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</si>
  <si>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</si>
  <si>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</si>
  <si>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</si>
  <si>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</si>
  <si>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</si>
  <si>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</si>
  <si>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</si>
  <si>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</si>
  <si>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</si>
  <si>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</si>
  <si>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</si>
  <si>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</si>
  <si>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</si>
  <si>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</si>
  <si>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</si>
  <si>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</si>
  <si>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</si>
  <si>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</si>
  <si>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</si>
  <si>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</si>
  <si>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</si>
  <si>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</si>
  <si>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</si>
  <si>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</si>
  <si>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</si>
  <si>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</si>
  <si>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</si>
  <si>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</si>
  <si>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</si>
  <si>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</si>
  <si>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</si>
  <si>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</si>
  <si>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</si>
  <si>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</si>
  <si>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</si>
  <si>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1.7725 75.0012 383.078 616.448 845.839 1055.29 1233.75 1400.04</t>
  </si>
  <si>
    <t>Fs_true</t>
  </si>
  <si>
    <t>-0.163169 100.236 403.285 600.985 800.55 1001.15 1200.95 1401.13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</si>
  <si>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</si>
  <si>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</si>
  <si>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</si>
  <si>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</si>
  <si>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</si>
  <si>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</si>
  <si>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</si>
  <si>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</si>
  <si>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</si>
  <si>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</si>
  <si>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</si>
  <si>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</si>
  <si>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</si>
  <si>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</si>
  <si>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</si>
  <si>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</si>
  <si>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</si>
  <si>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</si>
  <si>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</si>
  <si>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</si>
  <si>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</si>
  <si>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</si>
  <si>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</si>
  <si>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</si>
  <si>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</si>
  <si>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</si>
  <si>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</si>
  <si>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</si>
  <si>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</si>
  <si>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</si>
  <si>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</si>
  <si>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</si>
  <si>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</si>
  <si>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</si>
  <si>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</si>
  <si>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</si>
  <si>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</si>
  <si>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</si>
  <si>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</si>
  <si>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</si>
  <si>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</si>
  <si>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</si>
  <si>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</si>
  <si>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</si>
  <si>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</si>
  <si>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</si>
  <si>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</si>
  <si>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</si>
  <si>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</si>
  <si>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</si>
  <si>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</si>
  <si>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</si>
  <si>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</si>
  <si>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</si>
  <si>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</si>
  <si>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</si>
  <si>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</si>
  <si>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</si>
  <si>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</si>
  <si>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</si>
  <si>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</si>
  <si>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</si>
  <si>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</si>
  <si>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</si>
  <si>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</si>
  <si>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</si>
  <si>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</si>
  <si>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</si>
  <si>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</si>
  <si>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</si>
  <si>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</si>
  <si>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</si>
  <si>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</si>
  <si>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</si>
  <si>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</si>
  <si>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</si>
  <si>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</si>
  <si>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</si>
  <si>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</si>
  <si>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</si>
  <si>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</si>
  <si>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</si>
  <si>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</si>
  <si>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</si>
  <si>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</si>
  <si>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</si>
  <si>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</si>
  <si>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S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</si>
  <si>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</si>
  <si>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</si>
  <si>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</si>
  <si>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</si>
  <si>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</si>
  <si>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</si>
  <si>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</si>
  <si>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</si>
  <si>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</si>
  <si>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</si>
  <si>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</si>
  <si>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</si>
  <si>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</si>
  <si>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</si>
  <si>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</si>
  <si>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</si>
  <si>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</si>
  <si>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</si>
  <si>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</si>
  <si>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</si>
  <si>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</si>
  <si>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</si>
  <si>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</si>
  <si>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</si>
  <si>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</si>
  <si>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</si>
  <si>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</si>
  <si>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</si>
  <si>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</si>
  <si>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</si>
  <si>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</si>
  <si>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</si>
  <si>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</si>
  <si>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</si>
  <si>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</si>
  <si>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</si>
  <si>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</si>
  <si>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</si>
  <si>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</si>
  <si>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</si>
  <si>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</si>
  <si>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</si>
  <si>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</si>
  <si>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</si>
  <si>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</si>
  <si>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</si>
  <si>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</si>
  <si>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</si>
  <si>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</si>
  <si>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</si>
  <si>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</si>
  <si>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</si>
  <si>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</si>
  <si>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</si>
  <si>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</si>
  <si>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</si>
  <si>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</si>
  <si>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</si>
  <si>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</si>
  <si>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</si>
  <si>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</si>
  <si>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</si>
  <si>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</si>
  <si>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</si>
  <si>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</si>
  <si>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</si>
  <si>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</si>
  <si>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</si>
  <si>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</si>
  <si>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</si>
  <si>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</si>
  <si>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</si>
  <si>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</si>
  <si>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</si>
  <si>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</si>
  <si>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</si>
  <si>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</si>
  <si>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</si>
  <si>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</si>
  <si>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</si>
  <si>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</si>
  <si>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</si>
  <si>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</si>
  <si>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</si>
  <si>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</si>
  <si>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</si>
  <si>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</si>
  <si>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</si>
  <si>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</si>
  <si>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</si>
  <si>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</si>
  <si>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</si>
  <si>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</si>
  <si>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</si>
  <si>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</si>
  <si>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</si>
  <si>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</si>
  <si>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</si>
  <si>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</si>
  <si>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</si>
  <si>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</si>
  <si>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</si>
  <si>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</si>
  <si>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</si>
  <si>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</si>
  <si>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</si>
  <si>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</si>
  <si>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cm²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</si>
  <si>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</si>
  <si>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</si>
  <si>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</si>
  <si>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</si>
  <si>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</si>
  <si>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</si>
  <si>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</si>
  <si>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</si>
  <si>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</si>
  <si>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20190803 13:26:03</t>
  </si>
  <si>
    <t>13:26:03</t>
  </si>
  <si>
    <t>RECT-741-20190803-05_27_36</t>
  </si>
  <si>
    <t>MPF-854-20190803-13_26_05</t>
  </si>
  <si>
    <t>DARK-855-20190803-13_26_12</t>
  </si>
  <si>
    <t>0: Broadleaf</t>
  </si>
  <si>
    <t>13:25:17</t>
  </si>
  <si>
    <t>2/2</t>
  </si>
  <si>
    <t>5</t>
  </si>
  <si>
    <t>11111111</t>
  </si>
  <si>
    <t>oooooooo</t>
  </si>
  <si>
    <t>off</t>
  </si>
  <si>
    <t>20190803 13:28:00</t>
  </si>
  <si>
    <t>13:28:00</t>
  </si>
  <si>
    <t>MPF-856-20190803-13_28_02</t>
  </si>
  <si>
    <t>DARK-857-20190803-13_28_09</t>
  </si>
  <si>
    <t>13:27:14</t>
  </si>
  <si>
    <t>20190803 13:29:56</t>
  </si>
  <si>
    <t>13:29:56</t>
  </si>
  <si>
    <t>MPF-858-20190803-13_29_57</t>
  </si>
  <si>
    <t>DARK-859-20190803-13_30_05</t>
  </si>
  <si>
    <t>13:29:10</t>
  </si>
  <si>
    <t>20190803 13:32:13</t>
  </si>
  <si>
    <t>13:32:13</t>
  </si>
  <si>
    <t>MPF-860-20190803-13_32_14</t>
  </si>
  <si>
    <t>DARK-861-20190803-13_32_22</t>
  </si>
  <si>
    <t>13:31:28</t>
  </si>
  <si>
    <t>20190803 13:33:48</t>
  </si>
  <si>
    <t>13:33:48</t>
  </si>
  <si>
    <t>MPF-862-20190803-13_33_50</t>
  </si>
  <si>
    <t>DARK-863-20190803-13_33_57</t>
  </si>
  <si>
    <t>13:33:43</t>
  </si>
  <si>
    <t>20190803 13:36:04</t>
  </si>
  <si>
    <t>13:36:04</t>
  </si>
  <si>
    <t>MPF-864-20190803-13_36_06</t>
  </si>
  <si>
    <t>DARK-865-20190803-13_36_13</t>
  </si>
  <si>
    <t>13:35:20</t>
  </si>
  <si>
    <t>1/2</t>
  </si>
  <si>
    <t>20190803 13:40:45</t>
  </si>
  <si>
    <t>13:40:45</t>
  </si>
  <si>
    <t>MPF-868-20190803-13_40_47</t>
  </si>
  <si>
    <t>DARK-869-20190803-13_40_54</t>
  </si>
  <si>
    <t>13:39:39</t>
  </si>
  <si>
    <t>20190803 13:43:06</t>
  </si>
  <si>
    <t>13:43:06</t>
  </si>
  <si>
    <t>MPF-870-20190803-13_43_07</t>
  </si>
  <si>
    <t>DARK-871-20190803-13_43_15</t>
  </si>
  <si>
    <t>13:42:01</t>
  </si>
  <si>
    <t>20190803 13:45:00</t>
  </si>
  <si>
    <t>13:45:00</t>
  </si>
  <si>
    <t>MPF-872-20190803-13_45_02</t>
  </si>
  <si>
    <t>DARK-873-20190803-13_45_09</t>
  </si>
  <si>
    <t>13:44:15</t>
  </si>
  <si>
    <t>20190803 13:47:21</t>
  </si>
  <si>
    <t>13:47:21</t>
  </si>
  <si>
    <t>MPF-874-20190803-13_47_22</t>
  </si>
  <si>
    <t>DARK-875-20190803-13_47_30</t>
  </si>
  <si>
    <t>13:46:26</t>
  </si>
  <si>
    <t>20190803 13:49:41</t>
  </si>
  <si>
    <t>13:49:41</t>
  </si>
  <si>
    <t>MPF-876-20190803-13_49_43</t>
  </si>
  <si>
    <t>DARK-877-20190803-13_49_50</t>
  </si>
  <si>
    <t>13:48:23</t>
  </si>
  <si>
    <t>20190803 13:52:02</t>
  </si>
  <si>
    <t>13:52:02</t>
  </si>
  <si>
    <t>MPF-878-20190803-13_52_03</t>
  </si>
  <si>
    <t>DARK-879-20190803-13_52_11</t>
  </si>
  <si>
    <t>13:50:51</t>
  </si>
  <si>
    <t>20190803 13:54:22</t>
  </si>
  <si>
    <t>13:54:22</t>
  </si>
  <si>
    <t>MPF-880-20190803-13_54_24</t>
  </si>
  <si>
    <t>DARK-881-20190803-13_54_31</t>
  </si>
  <si>
    <t>13:53:24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</si>
</sst>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O29"/>
  <sheetViews>
    <sheetView tabSelected="1" topLeftCell="A12" workbookViewId="0">
      <selection activeCell="A23" sqref="A23:XFD23"/>
    </sheetView>
  </sheetViews>
  <sheetFormatPr defaultRowHeight="14.5" x14ac:dyDescent="0.35"/>
  <sheetData>
    <row r="2" spans="1:171" x14ac:dyDescent="0.35">
      <c r="A2" t="s">
        <v>25</v>
      </c>
      <c r="B2" t="s">
        <v>26</v>
      </c>
      <c r="C2" t="s">
        <v>28</v>
      </c>
      <c r="D2" t="s">
        <v>30</v>
      </c>
    </row>
    <row r="3" spans="1:171" x14ac:dyDescent="0.35">
      <c r="B3" t="s">
        <v>27</v>
      </c>
      <c r="C3" t="s">
        <v>29</v>
      </c>
      <c r="D3" t="s">
        <v>15</v>
      </c>
    </row>
    <row r="4" spans="1:171" x14ac:dyDescent="0.35">
      <c r="A4" t="s">
        <v>31</v>
      </c>
      <c r="B4" t="s">
        <v>32</v>
      </c>
    </row>
    <row r="5" spans="1:171" x14ac:dyDescent="0.35">
      <c r="B5">
        <v>2</v>
      </c>
    </row>
    <row r="6" spans="1:171" x14ac:dyDescent="0.35">
      <c r="A6" t="s">
        <v>33</v>
      </c>
      <c r="B6" t="s">
        <v>34</v>
      </c>
      <c r="C6" t="s">
        <v>35</v>
      </c>
      <c r="D6" t="s">
        <v>36</v>
      </c>
      <c r="E6" t="s">
        <v>37</v>
      </c>
    </row>
    <row r="7" spans="1:171" x14ac:dyDescent="0.35">
      <c r="B7">
        <v>0</v>
      </c>
      <c r="C7">
        <v>1</v>
      </c>
      <c r="D7">
        <v>0</v>
      </c>
      <c r="E7">
        <v>0</v>
      </c>
    </row>
    <row r="8" spans="1:171" x14ac:dyDescent="0.35">
      <c r="A8" t="s">
        <v>38</v>
      </c>
      <c r="B8" t="s">
        <v>39</v>
      </c>
      <c r="C8" t="s">
        <v>41</v>
      </c>
      <c r="D8" t="s">
        <v>43</v>
      </c>
      <c r="E8" t="s">
        <v>44</v>
      </c>
      <c r="F8" t="s">
        <v>45</v>
      </c>
      <c r="G8" t="s">
        <v>46</v>
      </c>
      <c r="H8" t="s">
        <v>47</v>
      </c>
      <c r="I8" t="s">
        <v>48</v>
      </c>
      <c r="J8" t="s">
        <v>49</v>
      </c>
      <c r="K8" t="s">
        <v>50</v>
      </c>
      <c r="L8" t="s">
        <v>51</v>
      </c>
      <c r="M8" t="s">
        <v>52</v>
      </c>
      <c r="N8" t="s">
        <v>53</v>
      </c>
      <c r="O8" t="s">
        <v>54</v>
      </c>
      <c r="P8" t="s">
        <v>55</v>
      </c>
      <c r="Q8" t="s">
        <v>56</v>
      </c>
    </row>
    <row r="9" spans="1:171" x14ac:dyDescent="0.35">
      <c r="B9" t="s">
        <v>40</v>
      </c>
      <c r="C9" t="s">
        <v>42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1" x14ac:dyDescent="0.35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</row>
    <row r="11" spans="1:171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71" x14ac:dyDescent="0.35">
      <c r="A12" t="s">
        <v>63</v>
      </c>
      <c r="B12" t="s">
        <v>64</v>
      </c>
      <c r="C12" t="s">
        <v>65</v>
      </c>
      <c r="D12" t="s">
        <v>66</v>
      </c>
      <c r="E12" t="s">
        <v>67</v>
      </c>
      <c r="F12" t="s">
        <v>68</v>
      </c>
      <c r="G12" t="s">
        <v>70</v>
      </c>
      <c r="H12" t="s">
        <v>72</v>
      </c>
    </row>
    <row r="13" spans="1:171" x14ac:dyDescent="0.35">
      <c r="B13">
        <v>-6276</v>
      </c>
      <c r="C13">
        <v>6.6</v>
      </c>
      <c r="D13">
        <v>1.7090000000000001E-5</v>
      </c>
      <c r="E13">
        <v>3.11</v>
      </c>
      <c r="F13" t="s">
        <v>69</v>
      </c>
      <c r="G13" t="s">
        <v>71</v>
      </c>
      <c r="H13">
        <v>2</v>
      </c>
    </row>
    <row r="14" spans="1:171" x14ac:dyDescent="0.35">
      <c r="A14" t="s">
        <v>73</v>
      </c>
      <c r="B14" t="s">
        <v>73</v>
      </c>
      <c r="C14" t="s">
        <v>73</v>
      </c>
      <c r="D14" t="s">
        <v>73</v>
      </c>
      <c r="E14" t="s">
        <v>73</v>
      </c>
      <c r="F14" t="s">
        <v>74</v>
      </c>
      <c r="G14" t="s">
        <v>75</v>
      </c>
      <c r="H14" t="s">
        <v>75</v>
      </c>
      <c r="I14" t="s">
        <v>75</v>
      </c>
      <c r="J14" t="s">
        <v>75</v>
      </c>
      <c r="K14" t="s">
        <v>75</v>
      </c>
      <c r="L14" t="s">
        <v>75</v>
      </c>
      <c r="M14" t="s">
        <v>75</v>
      </c>
      <c r="N14" t="s">
        <v>75</v>
      </c>
      <c r="O14" t="s">
        <v>75</v>
      </c>
      <c r="P14" t="s">
        <v>75</v>
      </c>
      <c r="Q14" t="s">
        <v>75</v>
      </c>
      <c r="R14" t="s">
        <v>75</v>
      </c>
      <c r="S14" t="s">
        <v>75</v>
      </c>
      <c r="T14" t="s">
        <v>75</v>
      </c>
      <c r="U14" t="s">
        <v>75</v>
      </c>
      <c r="V14" t="s">
        <v>75</v>
      </c>
      <c r="W14" t="s">
        <v>75</v>
      </c>
      <c r="X14" t="s">
        <v>75</v>
      </c>
      <c r="Y14" t="s">
        <v>75</v>
      </c>
      <c r="Z14" t="s">
        <v>75</v>
      </c>
      <c r="AA14" t="s">
        <v>75</v>
      </c>
      <c r="AB14" t="s">
        <v>75</v>
      </c>
      <c r="AC14" t="s">
        <v>75</v>
      </c>
      <c r="AD14" t="s">
        <v>75</v>
      </c>
      <c r="AE14" t="s">
        <v>75</v>
      </c>
      <c r="AF14" t="s">
        <v>75</v>
      </c>
      <c r="AG14" t="s">
        <v>76</v>
      </c>
      <c r="AH14" t="s">
        <v>76</v>
      </c>
      <c r="AI14" t="s">
        <v>76</v>
      </c>
      <c r="AJ14" t="s">
        <v>76</v>
      </c>
      <c r="AK14" t="s">
        <v>76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77</v>
      </c>
      <c r="AR14" t="s">
        <v>77</v>
      </c>
      <c r="AS14" t="s">
        <v>77</v>
      </c>
      <c r="AT14" t="s">
        <v>77</v>
      </c>
      <c r="AU14" t="s">
        <v>77</v>
      </c>
      <c r="AV14" t="s">
        <v>77</v>
      </c>
      <c r="AW14" t="s">
        <v>77</v>
      </c>
      <c r="AX14" t="s">
        <v>77</v>
      </c>
      <c r="AY14" t="s">
        <v>77</v>
      </c>
      <c r="AZ14" t="s">
        <v>77</v>
      </c>
      <c r="BA14" t="s">
        <v>77</v>
      </c>
      <c r="BB14" t="s">
        <v>77</v>
      </c>
      <c r="BC14" t="s">
        <v>77</v>
      </c>
      <c r="BD14" t="s">
        <v>77</v>
      </c>
      <c r="BE14" t="s">
        <v>77</v>
      </c>
      <c r="BF14" t="s">
        <v>77</v>
      </c>
      <c r="BG14" t="s">
        <v>77</v>
      </c>
      <c r="BH14" t="s">
        <v>77</v>
      </c>
      <c r="BI14" t="s">
        <v>77</v>
      </c>
      <c r="BJ14" t="s">
        <v>78</v>
      </c>
      <c r="BK14" t="s">
        <v>78</v>
      </c>
      <c r="BL14" t="s">
        <v>78</v>
      </c>
      <c r="BM14" t="s">
        <v>78</v>
      </c>
      <c r="BN14" t="s">
        <v>78</v>
      </c>
      <c r="BO14" t="s">
        <v>78</v>
      </c>
      <c r="BP14" t="s">
        <v>78</v>
      </c>
      <c r="BQ14" t="s">
        <v>78</v>
      </c>
      <c r="BR14" t="s">
        <v>79</v>
      </c>
      <c r="BS14" t="s">
        <v>79</v>
      </c>
      <c r="BT14" t="s">
        <v>79</v>
      </c>
      <c r="BU14" t="s">
        <v>79</v>
      </c>
      <c r="BV14" t="s">
        <v>31</v>
      </c>
      <c r="BW14" t="s">
        <v>31</v>
      </c>
      <c r="BX14" t="s">
        <v>31</v>
      </c>
      <c r="BY14" t="s">
        <v>80</v>
      </c>
      <c r="BZ14" t="s">
        <v>80</v>
      </c>
      <c r="CA14" t="s">
        <v>80</v>
      </c>
      <c r="CB14" t="s">
        <v>80</v>
      </c>
      <c r="CC14" t="s">
        <v>80</v>
      </c>
      <c r="CD14" t="s">
        <v>80</v>
      </c>
      <c r="CE14" t="s">
        <v>80</v>
      </c>
      <c r="CF14" t="s">
        <v>80</v>
      </c>
      <c r="CG14" t="s">
        <v>80</v>
      </c>
      <c r="CH14" t="s">
        <v>80</v>
      </c>
      <c r="CI14" t="s">
        <v>80</v>
      </c>
      <c r="CJ14" t="s">
        <v>80</v>
      </c>
      <c r="CK14" t="s">
        <v>80</v>
      </c>
      <c r="CL14" t="s">
        <v>80</v>
      </c>
      <c r="CM14" t="s">
        <v>81</v>
      </c>
      <c r="CN14" t="s">
        <v>81</v>
      </c>
      <c r="CO14" t="s">
        <v>81</v>
      </c>
      <c r="CP14" t="s">
        <v>81</v>
      </c>
      <c r="CQ14" t="s">
        <v>81</v>
      </c>
      <c r="CR14" t="s">
        <v>81</v>
      </c>
      <c r="CS14" t="s">
        <v>81</v>
      </c>
      <c r="CT14" t="s">
        <v>81</v>
      </c>
      <c r="CU14" t="s">
        <v>81</v>
      </c>
      <c r="CV14" t="s">
        <v>81</v>
      </c>
      <c r="CW14" t="s">
        <v>81</v>
      </c>
      <c r="CX14" t="s">
        <v>81</v>
      </c>
      <c r="CY14" t="s">
        <v>81</v>
      </c>
      <c r="CZ14" t="s">
        <v>81</v>
      </c>
      <c r="DA14" t="s">
        <v>81</v>
      </c>
      <c r="DB14" t="s">
        <v>81</v>
      </c>
      <c r="DC14" t="s">
        <v>81</v>
      </c>
      <c r="DD14" t="s">
        <v>82</v>
      </c>
      <c r="DE14" t="s">
        <v>82</v>
      </c>
      <c r="DF14" t="s">
        <v>82</v>
      </c>
      <c r="DG14" t="s">
        <v>82</v>
      </c>
      <c r="DH14" t="s">
        <v>82</v>
      </c>
      <c r="DI14" t="s">
        <v>83</v>
      </c>
      <c r="DJ14" t="s">
        <v>83</v>
      </c>
      <c r="DK14" t="s">
        <v>83</v>
      </c>
      <c r="DL14" t="s">
        <v>83</v>
      </c>
      <c r="DM14" t="s">
        <v>83</v>
      </c>
      <c r="DN14" t="s">
        <v>83</v>
      </c>
      <c r="DO14" t="s">
        <v>83</v>
      </c>
      <c r="DP14" t="s">
        <v>83</v>
      </c>
      <c r="DQ14" t="s">
        <v>83</v>
      </c>
      <c r="DR14" t="s">
        <v>84</v>
      </c>
      <c r="DS14" t="s">
        <v>84</v>
      </c>
      <c r="DT14" t="s">
        <v>84</v>
      </c>
      <c r="DU14" t="s">
        <v>84</v>
      </c>
      <c r="DV14" t="s">
        <v>84</v>
      </c>
      <c r="DW14" t="s">
        <v>84</v>
      </c>
      <c r="DX14" t="s">
        <v>84</v>
      </c>
      <c r="DY14" t="s">
        <v>84</v>
      </c>
      <c r="DZ14" t="s">
        <v>84</v>
      </c>
      <c r="EA14" t="s">
        <v>84</v>
      </c>
      <c r="EB14" t="s">
        <v>84</v>
      </c>
      <c r="EC14" t="s">
        <v>85</v>
      </c>
      <c r="ED14" t="s">
        <v>85</v>
      </c>
      <c r="EE14" t="s">
        <v>85</v>
      </c>
      <c r="EF14" t="s">
        <v>85</v>
      </c>
      <c r="EG14" t="s">
        <v>85</v>
      </c>
      <c r="EH14" t="s">
        <v>85</v>
      </c>
      <c r="EI14" t="s">
        <v>85</v>
      </c>
      <c r="EJ14" t="s">
        <v>85</v>
      </c>
      <c r="EK14" t="s">
        <v>85</v>
      </c>
      <c r="EL14" t="s">
        <v>85</v>
      </c>
      <c r="EM14" t="s">
        <v>85</v>
      </c>
      <c r="EN14" t="s">
        <v>85</v>
      </c>
      <c r="EO14" t="s">
        <v>85</v>
      </c>
      <c r="EP14" t="s">
        <v>85</v>
      </c>
      <c r="EQ14" t="s">
        <v>85</v>
      </c>
      <c r="ER14" t="s">
        <v>85</v>
      </c>
      <c r="ES14" t="s">
        <v>85</v>
      </c>
      <c r="ET14" t="s">
        <v>85</v>
      </c>
      <c r="EU14" t="s">
        <v>85</v>
      </c>
      <c r="EV14" t="s">
        <v>86</v>
      </c>
      <c r="EW14" t="s">
        <v>86</v>
      </c>
      <c r="EX14" t="s">
        <v>86</v>
      </c>
      <c r="EY14" t="s">
        <v>86</v>
      </c>
      <c r="EZ14" t="s">
        <v>86</v>
      </c>
      <c r="FA14" t="s">
        <v>86</v>
      </c>
      <c r="FB14" t="s">
        <v>86</v>
      </c>
      <c r="FC14" t="s">
        <v>86</v>
      </c>
      <c r="FD14" t="s">
        <v>86</v>
      </c>
      <c r="FE14" t="s">
        <v>86</v>
      </c>
      <c r="FF14" t="s">
        <v>86</v>
      </c>
      <c r="FG14" t="s">
        <v>86</v>
      </c>
      <c r="FH14" t="s">
        <v>86</v>
      </c>
      <c r="FI14" t="s">
        <v>86</v>
      </c>
      <c r="FJ14" t="s">
        <v>86</v>
      </c>
      <c r="FK14" t="s">
        <v>86</v>
      </c>
      <c r="FL14" t="s">
        <v>86</v>
      </c>
      <c r="FM14" t="s">
        <v>86</v>
      </c>
      <c r="FN14" t="s">
        <v>86</v>
      </c>
      <c r="FO14" t="s">
        <v>86</v>
      </c>
    </row>
    <row r="15" spans="1:171" x14ac:dyDescent="0.35">
      <c r="A15" t="s">
        <v>87</v>
      </c>
      <c r="B15" t="s">
        <v>88</v>
      </c>
      <c r="C15" t="s">
        <v>89</v>
      </c>
      <c r="D15" t="s">
        <v>90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  <c r="J15" t="s">
        <v>96</v>
      </c>
      <c r="K15" t="s">
        <v>97</v>
      </c>
      <c r="L15" t="s">
        <v>98</v>
      </c>
      <c r="M15" t="s">
        <v>99</v>
      </c>
      <c r="N15" t="s">
        <v>100</v>
      </c>
      <c r="O15" t="s">
        <v>101</v>
      </c>
      <c r="P15" t="s">
        <v>102</v>
      </c>
      <c r="Q15" t="s">
        <v>103</v>
      </c>
      <c r="R15" t="s">
        <v>104</v>
      </c>
      <c r="S15" t="s">
        <v>105</v>
      </c>
      <c r="T15" t="s">
        <v>106</v>
      </c>
      <c r="U15" t="s">
        <v>107</v>
      </c>
      <c r="V15" t="s">
        <v>108</v>
      </c>
      <c r="W15" t="s">
        <v>109</v>
      </c>
      <c r="X15" t="s">
        <v>110</v>
      </c>
      <c r="Y15" t="s">
        <v>111</v>
      </c>
      <c r="Z15" t="s">
        <v>112</v>
      </c>
      <c r="AA15" t="s">
        <v>113</v>
      </c>
      <c r="AB15" t="s">
        <v>114</v>
      </c>
      <c r="AC15" t="s">
        <v>115</v>
      </c>
      <c r="AD15" t="s">
        <v>116</v>
      </c>
      <c r="AE15" t="s">
        <v>117</v>
      </c>
      <c r="AF15" t="s">
        <v>118</v>
      </c>
      <c r="AG15" t="s">
        <v>76</v>
      </c>
      <c r="AH15" t="s">
        <v>119</v>
      </c>
      <c r="AI15" t="s">
        <v>120</v>
      </c>
      <c r="AJ15" t="s">
        <v>121</v>
      </c>
      <c r="AK15" t="s">
        <v>122</v>
      </c>
      <c r="AL15" t="s">
        <v>123</v>
      </c>
      <c r="AM15" t="s">
        <v>124</v>
      </c>
      <c r="AN15" t="s">
        <v>125</v>
      </c>
      <c r="AO15" t="s">
        <v>126</v>
      </c>
      <c r="AP15" t="s">
        <v>127</v>
      </c>
      <c r="AQ15" t="s">
        <v>128</v>
      </c>
      <c r="AR15" t="s">
        <v>129</v>
      </c>
      <c r="AS15" t="s">
        <v>130</v>
      </c>
      <c r="AT15" t="s">
        <v>131</v>
      </c>
      <c r="AU15" t="s">
        <v>132</v>
      </c>
      <c r="AV15" t="s">
        <v>133</v>
      </c>
      <c r="AW15" t="s">
        <v>134</v>
      </c>
      <c r="AX15" t="s">
        <v>135</v>
      </c>
      <c r="AY15" t="s">
        <v>136</v>
      </c>
      <c r="AZ15" t="s">
        <v>137</v>
      </c>
      <c r="BA15" t="s">
        <v>138</v>
      </c>
      <c r="BB15" t="s">
        <v>139</v>
      </c>
      <c r="BC15" t="s">
        <v>140</v>
      </c>
      <c r="BD15" t="s">
        <v>141</v>
      </c>
      <c r="BE15" t="s">
        <v>142</v>
      </c>
      <c r="BF15" t="s">
        <v>143</v>
      </c>
      <c r="BG15" t="s">
        <v>144</v>
      </c>
      <c r="BH15" t="s">
        <v>145</v>
      </c>
      <c r="BI15" t="s">
        <v>146</v>
      </c>
      <c r="BJ15" t="s">
        <v>147</v>
      </c>
      <c r="BK15" t="s">
        <v>148</v>
      </c>
      <c r="BL15" t="s">
        <v>149</v>
      </c>
      <c r="BM15" t="s">
        <v>150</v>
      </c>
      <c r="BN15" t="s">
        <v>151</v>
      </c>
      <c r="BO15" t="s">
        <v>152</v>
      </c>
      <c r="BP15" t="s">
        <v>153</v>
      </c>
      <c r="BQ15" t="s">
        <v>154</v>
      </c>
      <c r="BR15" t="s">
        <v>155</v>
      </c>
      <c r="BS15" t="s">
        <v>156</v>
      </c>
      <c r="BT15" t="s">
        <v>157</v>
      </c>
      <c r="BU15" t="s">
        <v>158</v>
      </c>
      <c r="BV15" t="s">
        <v>159</v>
      </c>
      <c r="BW15" t="s">
        <v>160</v>
      </c>
      <c r="BX15" t="s">
        <v>161</v>
      </c>
      <c r="BY15" t="s">
        <v>93</v>
      </c>
      <c r="BZ15" t="s">
        <v>162</v>
      </c>
      <c r="CA15" t="s">
        <v>163</v>
      </c>
      <c r="CB15" t="s">
        <v>164</v>
      </c>
      <c r="CC15" t="s">
        <v>165</v>
      </c>
      <c r="CD15" t="s">
        <v>166</v>
      </c>
      <c r="CE15" t="s">
        <v>167</v>
      </c>
      <c r="CF15" t="s">
        <v>168</v>
      </c>
      <c r="CG15" t="s">
        <v>169</v>
      </c>
      <c r="CH15" t="s">
        <v>170</v>
      </c>
      <c r="CI15" t="s">
        <v>171</v>
      </c>
      <c r="CJ15" t="s">
        <v>172</v>
      </c>
      <c r="CK15" t="s">
        <v>173</v>
      </c>
      <c r="CL15" t="s">
        <v>174</v>
      </c>
      <c r="CM15" t="s">
        <v>175</v>
      </c>
      <c r="CN15" t="s">
        <v>176</v>
      </c>
      <c r="CO15" t="s">
        <v>177</v>
      </c>
      <c r="CP15" t="s">
        <v>178</v>
      </c>
      <c r="CQ15" t="s">
        <v>179</v>
      </c>
      <c r="CR15" t="s">
        <v>180</v>
      </c>
      <c r="CS15" t="s">
        <v>181</v>
      </c>
      <c r="CT15" t="s">
        <v>182</v>
      </c>
      <c r="CU15" t="s">
        <v>183</v>
      </c>
      <c r="CV15" t="s">
        <v>184</v>
      </c>
      <c r="CW15" t="s">
        <v>185</v>
      </c>
      <c r="CX15" t="s">
        <v>186</v>
      </c>
      <c r="CY15" t="s">
        <v>187</v>
      </c>
      <c r="CZ15" t="s">
        <v>188</v>
      </c>
      <c r="DA15" t="s">
        <v>189</v>
      </c>
      <c r="DB15" t="s">
        <v>190</v>
      </c>
      <c r="DC15" t="s">
        <v>191</v>
      </c>
      <c r="DD15" t="s">
        <v>192</v>
      </c>
      <c r="DE15" t="s">
        <v>193</v>
      </c>
      <c r="DF15" t="s">
        <v>194</v>
      </c>
      <c r="DG15" t="s">
        <v>195</v>
      </c>
      <c r="DH15" t="s">
        <v>196</v>
      </c>
      <c r="DI15" t="s">
        <v>88</v>
      </c>
      <c r="DJ15" t="s">
        <v>91</v>
      </c>
      <c r="DK15" t="s">
        <v>197</v>
      </c>
      <c r="DL15" t="s">
        <v>198</v>
      </c>
      <c r="DM15" t="s">
        <v>199</v>
      </c>
      <c r="DN15" t="s">
        <v>200</v>
      </c>
      <c r="DO15" t="s">
        <v>201</v>
      </c>
      <c r="DP15" t="s">
        <v>202</v>
      </c>
      <c r="DQ15" t="s">
        <v>203</v>
      </c>
      <c r="DR15" t="s">
        <v>204</v>
      </c>
      <c r="DS15" t="s">
        <v>205</v>
      </c>
      <c r="DT15" t="s">
        <v>206</v>
      </c>
      <c r="DU15" t="s">
        <v>207</v>
      </c>
      <c r="DV15" t="s">
        <v>208</v>
      </c>
      <c r="DW15" t="s">
        <v>209</v>
      </c>
      <c r="DX15" t="s">
        <v>210</v>
      </c>
      <c r="DY15" t="s">
        <v>211</v>
      </c>
      <c r="DZ15" t="s">
        <v>212</v>
      </c>
      <c r="EA15" t="s">
        <v>213</v>
      </c>
      <c r="EB15" t="s">
        <v>214</v>
      </c>
      <c r="EC15" t="s">
        <v>215</v>
      </c>
      <c r="ED15" t="s">
        <v>216</v>
      </c>
      <c r="EE15" t="s">
        <v>217</v>
      </c>
      <c r="EF15" t="s">
        <v>218</v>
      </c>
      <c r="EG15" t="s">
        <v>219</v>
      </c>
      <c r="EH15" t="s">
        <v>220</v>
      </c>
      <c r="EI15" t="s">
        <v>221</v>
      </c>
      <c r="EJ15" t="s">
        <v>222</v>
      </c>
      <c r="EK15" t="s">
        <v>223</v>
      </c>
      <c r="EL15" t="s">
        <v>224</v>
      </c>
      <c r="EM15" t="s">
        <v>225</v>
      </c>
      <c r="EN15" t="s">
        <v>226</v>
      </c>
      <c r="EO15" t="s">
        <v>227</v>
      </c>
      <c r="EP15" t="s">
        <v>228</v>
      </c>
      <c r="EQ15" t="s">
        <v>229</v>
      </c>
      <c r="ER15" t="s">
        <v>230</v>
      </c>
      <c r="ES15" t="s">
        <v>231</v>
      </c>
      <c r="ET15" t="s">
        <v>232</v>
      </c>
      <c r="EU15" t="s">
        <v>233</v>
      </c>
      <c r="EV15" t="s">
        <v>234</v>
      </c>
      <c r="EW15" t="s">
        <v>235</v>
      </c>
      <c r="EX15" t="s">
        <v>236</v>
      </c>
      <c r="EY15" t="s">
        <v>237</v>
      </c>
      <c r="EZ15" t="s">
        <v>238</v>
      </c>
      <c r="FA15" t="s">
        <v>239</v>
      </c>
      <c r="FB15" t="s">
        <v>240</v>
      </c>
      <c r="FC15" t="s">
        <v>241</v>
      </c>
      <c r="FD15" t="s">
        <v>242</v>
      </c>
      <c r="FE15" t="s">
        <v>243</v>
      </c>
      <c r="FF15" t="s">
        <v>244</v>
      </c>
      <c r="FG15" t="s">
        <v>245</v>
      </c>
      <c r="FH15" t="s">
        <v>246</v>
      </c>
      <c r="FI15" t="s">
        <v>247</v>
      </c>
      <c r="FJ15" t="s">
        <v>248</v>
      </c>
      <c r="FK15" t="s">
        <v>249</v>
      </c>
      <c r="FL15" t="s">
        <v>250</v>
      </c>
      <c r="FM15" t="s">
        <v>251</v>
      </c>
      <c r="FN15" t="s">
        <v>252</v>
      </c>
      <c r="FO15" t="s">
        <v>253</v>
      </c>
    </row>
    <row r="16" spans="1:171" x14ac:dyDescent="0.35">
      <c r="B16" t="s">
        <v>254</v>
      </c>
      <c r="C16" t="s">
        <v>254</v>
      </c>
      <c r="G16" t="s">
        <v>254</v>
      </c>
      <c r="H16" t="s">
        <v>255</v>
      </c>
      <c r="I16" t="s">
        <v>256</v>
      </c>
      <c r="J16" t="s">
        <v>257</v>
      </c>
      <c r="K16" t="s">
        <v>257</v>
      </c>
      <c r="L16" t="s">
        <v>167</v>
      </c>
      <c r="M16" t="s">
        <v>167</v>
      </c>
      <c r="N16" t="s">
        <v>255</v>
      </c>
      <c r="O16" t="s">
        <v>255</v>
      </c>
      <c r="P16" t="s">
        <v>255</v>
      </c>
      <c r="Q16" t="s">
        <v>255</v>
      </c>
      <c r="R16" t="s">
        <v>258</v>
      </c>
      <c r="S16" t="s">
        <v>259</v>
      </c>
      <c r="T16" t="s">
        <v>259</v>
      </c>
      <c r="U16" t="s">
        <v>260</v>
      </c>
      <c r="V16" t="s">
        <v>261</v>
      </c>
      <c r="W16" t="s">
        <v>260</v>
      </c>
      <c r="X16" t="s">
        <v>260</v>
      </c>
      <c r="Y16" t="s">
        <v>260</v>
      </c>
      <c r="Z16" t="s">
        <v>258</v>
      </c>
      <c r="AA16" t="s">
        <v>258</v>
      </c>
      <c r="AB16" t="s">
        <v>258</v>
      </c>
      <c r="AC16" t="s">
        <v>258</v>
      </c>
      <c r="AG16" t="s">
        <v>262</v>
      </c>
      <c r="AH16" t="s">
        <v>261</v>
      </c>
      <c r="AJ16" t="s">
        <v>261</v>
      </c>
      <c r="AK16" t="s">
        <v>262</v>
      </c>
      <c r="AQ16" t="s">
        <v>256</v>
      </c>
      <c r="AW16" t="s">
        <v>256</v>
      </c>
      <c r="AX16" t="s">
        <v>256</v>
      </c>
      <c r="AY16" t="s">
        <v>256</v>
      </c>
      <c r="BA16" t="s">
        <v>263</v>
      </c>
      <c r="BK16" t="s">
        <v>264</v>
      </c>
      <c r="BL16" t="s">
        <v>264</v>
      </c>
      <c r="BM16" t="s">
        <v>264</v>
      </c>
      <c r="BN16" t="s">
        <v>256</v>
      </c>
      <c r="BP16" t="s">
        <v>265</v>
      </c>
      <c r="BR16" t="s">
        <v>256</v>
      </c>
      <c r="BS16" t="s">
        <v>256</v>
      </c>
      <c r="BU16" t="s">
        <v>266</v>
      </c>
      <c r="BV16" t="s">
        <v>267</v>
      </c>
      <c r="BY16" t="s">
        <v>254</v>
      </c>
      <c r="BZ16" t="s">
        <v>257</v>
      </c>
      <c r="CA16" t="s">
        <v>257</v>
      </c>
      <c r="CB16" t="s">
        <v>268</v>
      </c>
      <c r="CC16" t="s">
        <v>268</v>
      </c>
      <c r="CD16" t="s">
        <v>262</v>
      </c>
      <c r="CE16" t="s">
        <v>260</v>
      </c>
      <c r="CF16" t="s">
        <v>260</v>
      </c>
      <c r="CG16" t="s">
        <v>259</v>
      </c>
      <c r="CH16" t="s">
        <v>259</v>
      </c>
      <c r="CI16" t="s">
        <v>259</v>
      </c>
      <c r="CJ16" t="s">
        <v>269</v>
      </c>
      <c r="CK16" t="s">
        <v>256</v>
      </c>
      <c r="CL16" t="s">
        <v>256</v>
      </c>
      <c r="CM16" t="s">
        <v>256</v>
      </c>
      <c r="CR16" t="s">
        <v>256</v>
      </c>
      <c r="CU16" t="s">
        <v>259</v>
      </c>
      <c r="CV16" t="s">
        <v>259</v>
      </c>
      <c r="CW16" t="s">
        <v>259</v>
      </c>
      <c r="CX16" t="s">
        <v>259</v>
      </c>
      <c r="CY16" t="s">
        <v>259</v>
      </c>
      <c r="CZ16" t="s">
        <v>256</v>
      </c>
      <c r="DA16" t="s">
        <v>256</v>
      </c>
      <c r="DB16" t="s">
        <v>256</v>
      </c>
      <c r="DC16" t="s">
        <v>254</v>
      </c>
      <c r="DE16" t="s">
        <v>270</v>
      </c>
      <c r="DF16" t="s">
        <v>270</v>
      </c>
      <c r="DH16" t="s">
        <v>254</v>
      </c>
      <c r="DI16" t="s">
        <v>271</v>
      </c>
      <c r="DL16" t="s">
        <v>272</v>
      </c>
      <c r="DM16" t="s">
        <v>273</v>
      </c>
      <c r="DN16" t="s">
        <v>272</v>
      </c>
      <c r="DO16" t="s">
        <v>273</v>
      </c>
      <c r="DP16" t="s">
        <v>261</v>
      </c>
      <c r="DQ16" t="s">
        <v>261</v>
      </c>
      <c r="DR16" t="s">
        <v>256</v>
      </c>
      <c r="DS16" t="s">
        <v>274</v>
      </c>
      <c r="DT16" t="s">
        <v>256</v>
      </c>
      <c r="DV16" t="s">
        <v>255</v>
      </c>
      <c r="DW16" t="s">
        <v>275</v>
      </c>
      <c r="DX16" t="s">
        <v>255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N16" t="s">
        <v>276</v>
      </c>
      <c r="EU16" t="s">
        <v>276</v>
      </c>
      <c r="EV16" t="s">
        <v>261</v>
      </c>
      <c r="EW16" t="s">
        <v>261</v>
      </c>
      <c r="EX16" t="s">
        <v>272</v>
      </c>
      <c r="EY16" t="s">
        <v>273</v>
      </c>
      <c r="FA16" t="s">
        <v>262</v>
      </c>
      <c r="FB16" t="s">
        <v>262</v>
      </c>
      <c r="FC16" t="s">
        <v>259</v>
      </c>
      <c r="FD16" t="s">
        <v>259</v>
      </c>
      <c r="FE16" t="s">
        <v>259</v>
      </c>
      <c r="FF16" t="s">
        <v>259</v>
      </c>
      <c r="FG16" t="s">
        <v>259</v>
      </c>
      <c r="FH16" t="s">
        <v>261</v>
      </c>
      <c r="FI16" t="s">
        <v>261</v>
      </c>
      <c r="FJ16" t="s">
        <v>261</v>
      </c>
      <c r="FK16" t="s">
        <v>259</v>
      </c>
      <c r="FL16" t="s">
        <v>257</v>
      </c>
      <c r="FM16" t="s">
        <v>268</v>
      </c>
      <c r="FN16" t="s">
        <v>261</v>
      </c>
      <c r="FO16" t="s">
        <v>261</v>
      </c>
    </row>
    <row r="17" spans="1:171" x14ac:dyDescent="0.35">
      <c r="A17">
        <v>1</v>
      </c>
      <c r="B17">
        <v>1564856763.7</v>
      </c>
      <c r="C17">
        <v>0</v>
      </c>
      <c r="D17" t="s">
        <v>277</v>
      </c>
      <c r="E17" t="s">
        <v>278</v>
      </c>
      <c r="G17">
        <v>1564856763.7</v>
      </c>
      <c r="H17">
        <f t="shared" ref="H17:H29" si="0">CD17*AI17*(CB17-CC17)/(100*BV17*(1000-AI17*CB17))</f>
        <v>5.1264937095874099E-3</v>
      </c>
      <c r="I17">
        <f t="shared" ref="I17:I29" si="1">CD17*AI17*(CA17-BZ17*(1000-AI17*CC17)/(1000-AI17*CB17))/(100*BV17)</f>
        <v>28.978030766533028</v>
      </c>
      <c r="J17">
        <f t="shared" ref="J17:J29" si="2">BZ17 - IF(AI17&gt;1, I17*BV17*100/(AK17*CJ17), 0)</f>
        <v>363.01799999999997</v>
      </c>
      <c r="K17">
        <f t="shared" ref="K17:K29" si="3">((Q17-H17/2)*J17-I17)/(Q17+H17/2)</f>
        <v>185.91989818682228</v>
      </c>
      <c r="L17">
        <f t="shared" ref="L17:L29" si="4">K17*(CE17+CF17)/1000</f>
        <v>18.489563572052734</v>
      </c>
      <c r="M17">
        <f t="shared" ref="M17:M29" si="5">(BZ17 - IF(AI17&gt;1, I17*BV17*100/(AK17*CJ17), 0))*(CE17+CF17)/1000</f>
        <v>36.101807575511991</v>
      </c>
      <c r="N17">
        <f t="shared" ref="N17:N29" si="6">2/((1/P17-1/O17)+SIGN(P17)*SQRT((1/P17-1/O17)*(1/P17-1/O17) + 4*BW17/((BW17+1)*(BW17+1))*(2*1/P17*1/O17-1/O17*1/O17)))</f>
        <v>0.29133047006423585</v>
      </c>
      <c r="O17">
        <f t="shared" ref="O17:O29" si="7">AF17+AE17*BV17+AD17*BV17*BV17</f>
        <v>2.2518448759386689</v>
      </c>
      <c r="P17">
        <f t="shared" ref="P17:P29" si="8">H17*(1000-(1000*0.61365*EXP(17.502*T17/(240.97+T17))/(CE17+CF17)+CB17)/2)/(1000*0.61365*EXP(17.502*T17/(240.97+T17))/(CE17+CF17)-CB17)</f>
        <v>0.27189444588625761</v>
      </c>
      <c r="Q17">
        <f t="shared" ref="Q17:Q29" si="9">1/((BW17+1)/(N17/1.6)+1/(O17/1.37)) + BW17/((BW17+1)/(N17/1.6) + BW17/(O17/1.37))</f>
        <v>0.17157210493193747</v>
      </c>
      <c r="R17">
        <f t="shared" ref="R17:R29" si="10">(BS17*BU17)</f>
        <v>353.37881150400926</v>
      </c>
      <c r="S17">
        <f t="shared" ref="S17:S29" si="11">(CG17+(R17+2*0.95*0.0000000567*(((CG17+$B$7)+273)^4-(CG17+273)^4)-44100*H17)/(1.84*29.3*O17+8*0.95*0.0000000567*(CG17+273)^3))</f>
        <v>25.896901572563948</v>
      </c>
      <c r="T17">
        <f t="shared" ref="T17:T29" si="12">($C$7*CH17+$D$7*CI17+$E$7*S17)</f>
        <v>27.0107</v>
      </c>
      <c r="U17">
        <f t="shared" ref="U17:U29" si="13">0.61365*EXP(17.502*T17/(240.97+T17))</f>
        <v>3.5814095879419958</v>
      </c>
      <c r="V17">
        <f t="shared" ref="V17:V29" si="14">(W17/X17*100)</f>
        <v>55.449771656301451</v>
      </c>
      <c r="W17">
        <f t="shared" ref="W17:W29" si="15">CB17*(CE17+CF17)/1000</f>
        <v>1.7566487299591997</v>
      </c>
      <c r="X17">
        <f t="shared" ref="X17:X29" si="16">0.61365*EXP(17.502*CG17/(240.97+CG17))</f>
        <v>3.1679999348736176</v>
      </c>
      <c r="Y17">
        <f t="shared" ref="Y17:Y29" si="17">(U17-CB17*(CE17+CF17)/1000)</f>
        <v>1.8247608579827961</v>
      </c>
      <c r="Z17">
        <f t="shared" ref="Z17:Z29" si="18">(-H17*44100)</f>
        <v>-226.07837259280478</v>
      </c>
      <c r="AA17">
        <f t="shared" ref="AA17:AA29" si="19">2*29.3*O17*0.92*(CG17-T17)</f>
        <v>-251.59238767610705</v>
      </c>
      <c r="AB17">
        <f t="shared" ref="AB17:AB29" si="20">2*0.95*0.0000000567*(((CG17+$B$7)+273)^4-(T17+273)^4)</f>
        <v>-23.865904381905118</v>
      </c>
      <c r="AC17">
        <f t="shared" ref="AC17:AC29" si="21">R17+AB17+Z17+AA17</f>
        <v>-148.1578531468077</v>
      </c>
      <c r="AD17">
        <v>-4.1233432468397897E-2</v>
      </c>
      <c r="AE17">
        <v>4.6288140192855501E-2</v>
      </c>
      <c r="AF17">
        <v>3.4585196036438601</v>
      </c>
      <c r="AG17">
        <v>0</v>
      </c>
      <c r="AH17">
        <v>0</v>
      </c>
      <c r="AI17">
        <f t="shared" ref="AI17:AI29" si="22">IF(AG17*$H$13&gt;=AK17,1,(AK17/(AK17-AG17*$H$13)))</f>
        <v>1</v>
      </c>
      <c r="AJ17">
        <f t="shared" ref="AJ17:AJ29" si="23">(AI17-1)*100</f>
        <v>0</v>
      </c>
      <c r="AK17">
        <f t="shared" ref="AK17:AK29" si="24">MAX(0,($B$13+$C$13*CJ17)/(1+$D$13*CJ17)*CE17/(CG17+273)*$E$13)</f>
        <v>52941.103721949949</v>
      </c>
      <c r="AL17" t="s">
        <v>279</v>
      </c>
      <c r="AM17">
        <v>481.47884615384601</v>
      </c>
      <c r="AN17">
        <v>2238.31</v>
      </c>
      <c r="AO17">
        <f t="shared" ref="AO17:AO29" si="25">AN17-AM17</f>
        <v>1756.8311538461539</v>
      </c>
      <c r="AP17">
        <f t="shared" ref="AP17:AP29" si="26">AO17/AN17</f>
        <v>0.78489179508028561</v>
      </c>
      <c r="AQ17">
        <v>-0.96503536810971002</v>
      </c>
      <c r="AR17" t="s">
        <v>280</v>
      </c>
      <c r="AS17">
        <v>783.09211538461602</v>
      </c>
      <c r="AT17">
        <v>1153.17</v>
      </c>
      <c r="AU17">
        <f t="shared" ref="AU17:AU29" si="27">1-AS17/AT17</f>
        <v>0.3209222270917419</v>
      </c>
      <c r="AV17">
        <v>0.5</v>
      </c>
      <c r="AW17">
        <f t="shared" ref="AW17:AW29" si="28">BS17</f>
        <v>1849.3959000754576</v>
      </c>
      <c r="AX17">
        <f t="shared" ref="AX17:AX29" si="29">I17</f>
        <v>28.978030766533028</v>
      </c>
      <c r="AY17">
        <f t="shared" ref="AY17:AY29" si="30">AU17*AV17*AW17</f>
        <v>296.75612551327617</v>
      </c>
      <c r="AZ17">
        <f t="shared" ref="AZ17:AZ29" si="31">BE17/AT17</f>
        <v>0.50983809845903039</v>
      </c>
      <c r="BA17">
        <f t="shared" ref="BA17:BA29" si="32">(AX17-AQ17)/AW17</f>
        <v>1.6190728082300293E-2</v>
      </c>
      <c r="BB17">
        <f t="shared" ref="BB17:BB29" si="33">(AN17-AT17)/AT17</f>
        <v>0.94100609623906262</v>
      </c>
      <c r="BC17" t="s">
        <v>281</v>
      </c>
      <c r="BD17">
        <v>565.24</v>
      </c>
      <c r="BE17">
        <f t="shared" ref="BE17:BE29" si="34">AT17-BD17</f>
        <v>587.93000000000006</v>
      </c>
      <c r="BF17">
        <f t="shared" ref="BF17:BF29" si="35">(AT17-AS17)/(AT17-BD17)</f>
        <v>0.62945909311547976</v>
      </c>
      <c r="BG17">
        <f t="shared" ref="BG17:BG29" si="36">(AN17-AT17)/(AN17-BD17)</f>
        <v>0.64859210911677334</v>
      </c>
      <c r="BH17">
        <f t="shared" ref="BH17:BH29" si="37">(AT17-AS17)/(AT17-AM17)</f>
        <v>0.55096435690166568</v>
      </c>
      <c r="BI17">
        <f t="shared" ref="BI17:BI29" si="38">(AN17-AT17)/(AN17-AM17)</f>
        <v>0.61766891919257583</v>
      </c>
      <c r="BJ17">
        <v>854</v>
      </c>
      <c r="BK17">
        <v>300</v>
      </c>
      <c r="BL17">
        <v>300</v>
      </c>
      <c r="BM17">
        <v>300</v>
      </c>
      <c r="BN17">
        <v>10108.9</v>
      </c>
      <c r="BO17">
        <v>1042.47</v>
      </c>
      <c r="BP17">
        <v>-6.56509E-3</v>
      </c>
      <c r="BQ17">
        <v>2.7012900000000002</v>
      </c>
      <c r="BR17">
        <f t="shared" ref="BR17:BR29" si="39">$B$11*CK17+$C$11*CL17+$F$11*CM17</f>
        <v>2200.25</v>
      </c>
      <c r="BS17">
        <f t="shared" ref="BS17:BS29" si="40">BR17*BT17</f>
        <v>1849.3959000754576</v>
      </c>
      <c r="BT17">
        <f t="shared" ref="BT17:BT29" si="41">($B$11*$D$9+$C$11*$D$9+$F$11*((CZ17+CR17)/MAX(CZ17+CR17+DA17, 0.1)*$I$9+DA17/MAX(CZ17+CR17+DA17, 0.1)*$J$9))/($B$11+$C$11+$F$11)</f>
        <v>0.84053898424063522</v>
      </c>
      <c r="BU17">
        <f t="shared" ref="BU17:BU29" si="42">($B$11*$K$9+$C$11*$K$9+$F$11*((CZ17+CR17)/MAX(CZ17+CR17+DA17, 0.1)*$P$9+DA17/MAX(CZ17+CR17+DA17, 0.1)*$Q$9))/($B$11+$C$11+$F$11)</f>
        <v>0.19107796848127057</v>
      </c>
      <c r="BV17">
        <v>6</v>
      </c>
      <c r="BW17">
        <v>0.5</v>
      </c>
      <c r="BX17" t="s">
        <v>282</v>
      </c>
      <c r="BY17">
        <v>1564856763.7</v>
      </c>
      <c r="BZ17">
        <v>363.01799999999997</v>
      </c>
      <c r="CA17">
        <v>400.02100000000002</v>
      </c>
      <c r="CB17">
        <v>17.663799999999998</v>
      </c>
      <c r="CC17">
        <v>11.6213</v>
      </c>
      <c r="CD17">
        <v>500.05200000000002</v>
      </c>
      <c r="CE17">
        <v>99.349000000000004</v>
      </c>
      <c r="CF17">
        <v>0.10008400000000001</v>
      </c>
      <c r="CG17">
        <v>24.938300000000002</v>
      </c>
      <c r="CH17">
        <v>27.0107</v>
      </c>
      <c r="CI17">
        <v>999.9</v>
      </c>
      <c r="CJ17">
        <v>10008.799999999999</v>
      </c>
      <c r="CK17">
        <v>0</v>
      </c>
      <c r="CL17">
        <v>-327.58600000000001</v>
      </c>
      <c r="CM17">
        <v>2200.25</v>
      </c>
      <c r="CN17">
        <v>0.98199199999999998</v>
      </c>
      <c r="CO17">
        <v>1.8008E-2</v>
      </c>
      <c r="CP17">
        <v>0</v>
      </c>
      <c r="CQ17">
        <v>782.91300000000001</v>
      </c>
      <c r="CR17">
        <v>4.99986</v>
      </c>
      <c r="CS17">
        <v>17950.3</v>
      </c>
      <c r="CT17">
        <v>17915.7</v>
      </c>
      <c r="CU17">
        <v>49.186999999999998</v>
      </c>
      <c r="CV17">
        <v>50.75</v>
      </c>
      <c r="CW17">
        <v>49.811999999999998</v>
      </c>
      <c r="CX17">
        <v>49.186999999999998</v>
      </c>
      <c r="CY17">
        <v>50.25</v>
      </c>
      <c r="CZ17">
        <v>2155.7199999999998</v>
      </c>
      <c r="DA17">
        <v>39.53</v>
      </c>
      <c r="DB17">
        <v>0</v>
      </c>
      <c r="DC17">
        <v>1686.5999999046301</v>
      </c>
      <c r="DD17">
        <v>783.09211538461602</v>
      </c>
      <c r="DE17">
        <v>-2.1074530041007402</v>
      </c>
      <c r="DF17">
        <v>-40.988034207019197</v>
      </c>
      <c r="DG17">
        <v>17953.365384615401</v>
      </c>
      <c r="DH17">
        <v>15</v>
      </c>
      <c r="DI17">
        <v>1564856717.7</v>
      </c>
      <c r="DJ17" t="s">
        <v>283</v>
      </c>
      <c r="DK17">
        <v>57</v>
      </c>
      <c r="DL17">
        <v>0.19700000000000001</v>
      </c>
      <c r="DM17">
        <v>0.06</v>
      </c>
      <c r="DN17">
        <v>400</v>
      </c>
      <c r="DO17">
        <v>11</v>
      </c>
      <c r="DP17">
        <v>0.05</v>
      </c>
      <c r="DQ17">
        <v>0.01</v>
      </c>
      <c r="DR17">
        <v>29.006907224293201</v>
      </c>
      <c r="DS17">
        <v>2.6887446130174499E-2</v>
      </c>
      <c r="DT17">
        <v>5.4820917226238802E-2</v>
      </c>
      <c r="DU17">
        <v>1</v>
      </c>
      <c r="DV17">
        <v>0.279472999740699</v>
      </c>
      <c r="DW17">
        <v>3.79784228028784E-2</v>
      </c>
      <c r="DX17">
        <v>7.4578364048760804E-3</v>
      </c>
      <c r="DY17">
        <v>1</v>
      </c>
      <c r="DZ17">
        <v>2</v>
      </c>
      <c r="EA17">
        <v>2</v>
      </c>
      <c r="EB17" t="s">
        <v>284</v>
      </c>
      <c r="EC17">
        <v>1.86711</v>
      </c>
      <c r="ED17">
        <v>1.8635699999999999</v>
      </c>
      <c r="EE17">
        <v>1.8692200000000001</v>
      </c>
      <c r="EF17">
        <v>1.8672200000000001</v>
      </c>
      <c r="EG17">
        <v>1.87182</v>
      </c>
      <c r="EH17">
        <v>1.8643099999999999</v>
      </c>
      <c r="EI17">
        <v>1.86575</v>
      </c>
      <c r="EJ17">
        <v>1.8656900000000001</v>
      </c>
      <c r="EK17" t="s">
        <v>285</v>
      </c>
      <c r="EL17" t="s">
        <v>19</v>
      </c>
      <c r="EM17" t="s">
        <v>19</v>
      </c>
      <c r="EN17" t="s">
        <v>19</v>
      </c>
      <c r="EO17" t="s">
        <v>286</v>
      </c>
      <c r="EP17" t="s">
        <v>287</v>
      </c>
      <c r="EQ17" t="s">
        <v>288</v>
      </c>
      <c r="ER17" t="s">
        <v>288</v>
      </c>
      <c r="ES17" t="s">
        <v>288</v>
      </c>
      <c r="ET17" t="s">
        <v>288</v>
      </c>
      <c r="EU17">
        <v>0</v>
      </c>
      <c r="EV17">
        <v>100</v>
      </c>
      <c r="EW17">
        <v>100</v>
      </c>
      <c r="EX17">
        <v>0.19700000000000001</v>
      </c>
      <c r="EY17">
        <v>0.06</v>
      </c>
      <c r="EZ17">
        <v>2</v>
      </c>
      <c r="FA17">
        <v>505.46899999999999</v>
      </c>
      <c r="FB17">
        <v>471.10899999999998</v>
      </c>
      <c r="FC17">
        <v>18.252400000000002</v>
      </c>
      <c r="FD17">
        <v>35.032600000000002</v>
      </c>
      <c r="FE17">
        <v>30.000399999999999</v>
      </c>
      <c r="FF17">
        <v>35.090800000000002</v>
      </c>
      <c r="FG17">
        <v>35.079700000000003</v>
      </c>
      <c r="FH17">
        <v>22.267499999999998</v>
      </c>
      <c r="FI17">
        <v>63.465899999999998</v>
      </c>
      <c r="FJ17">
        <v>0</v>
      </c>
      <c r="FK17">
        <v>18.2</v>
      </c>
      <c r="FL17">
        <v>400</v>
      </c>
      <c r="FM17">
        <v>11.464700000000001</v>
      </c>
      <c r="FN17">
        <v>100.39</v>
      </c>
      <c r="FO17">
        <v>100.96</v>
      </c>
    </row>
    <row r="18" spans="1:171" x14ac:dyDescent="0.35">
      <c r="A18">
        <v>2</v>
      </c>
      <c r="B18">
        <v>1564856880.7</v>
      </c>
      <c r="C18">
        <v>117</v>
      </c>
      <c r="D18" t="s">
        <v>289</v>
      </c>
      <c r="E18" t="s">
        <v>290</v>
      </c>
      <c r="G18">
        <v>1564856880.7</v>
      </c>
      <c r="H18">
        <f t="shared" si="0"/>
        <v>5.0189438104508953E-3</v>
      </c>
      <c r="I18">
        <f t="shared" si="1"/>
        <v>21.024320512535294</v>
      </c>
      <c r="J18">
        <f t="shared" si="2"/>
        <v>273.19200000000001</v>
      </c>
      <c r="K18">
        <f t="shared" si="3"/>
        <v>142.28236174942015</v>
      </c>
      <c r="L18">
        <f t="shared" si="4"/>
        <v>14.14895829264594</v>
      </c>
      <c r="M18">
        <f t="shared" si="5"/>
        <v>27.166980969096002</v>
      </c>
      <c r="N18">
        <f t="shared" si="6"/>
        <v>0.28593346080020171</v>
      </c>
      <c r="O18">
        <f t="shared" si="7"/>
        <v>2.2502121393160621</v>
      </c>
      <c r="P18">
        <f t="shared" si="8"/>
        <v>0.26717339276677332</v>
      </c>
      <c r="Q18">
        <f t="shared" si="9"/>
        <v>0.16856621136212777</v>
      </c>
      <c r="R18">
        <f t="shared" si="10"/>
        <v>353.34201469194983</v>
      </c>
      <c r="S18">
        <f t="shared" si="11"/>
        <v>25.952382633271572</v>
      </c>
      <c r="T18">
        <f t="shared" si="12"/>
        <v>26.9986</v>
      </c>
      <c r="U18">
        <f t="shared" si="13"/>
        <v>3.5788654052669346</v>
      </c>
      <c r="V18">
        <f t="shared" si="14"/>
        <v>55.521366864054421</v>
      </c>
      <c r="W18">
        <f t="shared" si="15"/>
        <v>1.7609532211666001</v>
      </c>
      <c r="X18">
        <f t="shared" si="16"/>
        <v>3.1716676310911835</v>
      </c>
      <c r="Y18">
        <f t="shared" si="17"/>
        <v>1.8179121841003345</v>
      </c>
      <c r="Z18">
        <f t="shared" si="18"/>
        <v>-221.33542204088448</v>
      </c>
      <c r="AA18">
        <f t="shared" si="19"/>
        <v>-247.58859327697681</v>
      </c>
      <c r="AB18">
        <f t="shared" si="20"/>
        <v>-23.50400045682748</v>
      </c>
      <c r="AC18">
        <f t="shared" si="21"/>
        <v>-139.08600108273896</v>
      </c>
      <c r="AD18">
        <v>-4.1189458662864498E-2</v>
      </c>
      <c r="AE18">
        <v>4.6238775743827301E-2</v>
      </c>
      <c r="AF18">
        <v>3.4555999967162201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52883.377095633085</v>
      </c>
      <c r="AL18" t="s">
        <v>279</v>
      </c>
      <c r="AM18">
        <v>481.47884615384601</v>
      </c>
      <c r="AN18">
        <v>2238.31</v>
      </c>
      <c r="AO18">
        <f t="shared" si="25"/>
        <v>1756.8311538461539</v>
      </c>
      <c r="AP18">
        <f t="shared" si="26"/>
        <v>0.78489179508028561</v>
      </c>
      <c r="AQ18">
        <v>-0.96503536810971002</v>
      </c>
      <c r="AR18" t="s">
        <v>291</v>
      </c>
      <c r="AS18">
        <v>766.70434615384602</v>
      </c>
      <c r="AT18">
        <v>1079.75</v>
      </c>
      <c r="AU18">
        <f t="shared" si="27"/>
        <v>0.28992419897768373</v>
      </c>
      <c r="AV18">
        <v>0.5</v>
      </c>
      <c r="AW18">
        <f t="shared" si="28"/>
        <v>1849.210200075408</v>
      </c>
      <c r="AX18">
        <f t="shared" si="29"/>
        <v>21.024320512535294</v>
      </c>
      <c r="AY18">
        <f t="shared" si="30"/>
        <v>268.06539299911248</v>
      </c>
      <c r="AZ18">
        <f t="shared" si="31"/>
        <v>0.47534151423940729</v>
      </c>
      <c r="BA18">
        <f t="shared" si="32"/>
        <v>1.1891214897986346E-2</v>
      </c>
      <c r="BB18">
        <f t="shared" si="33"/>
        <v>1.0729891178513544</v>
      </c>
      <c r="BC18" t="s">
        <v>292</v>
      </c>
      <c r="BD18">
        <v>566.5</v>
      </c>
      <c r="BE18">
        <f t="shared" si="34"/>
        <v>513.25</v>
      </c>
      <c r="BF18">
        <f t="shared" si="35"/>
        <v>0.60992821012402143</v>
      </c>
      <c r="BG18">
        <f t="shared" si="36"/>
        <v>0.69299740999276227</v>
      </c>
      <c r="BH18">
        <f t="shared" si="37"/>
        <v>0.52325045563980843</v>
      </c>
      <c r="BI18">
        <f t="shared" si="38"/>
        <v>0.65946007245125127</v>
      </c>
      <c r="BJ18">
        <v>856</v>
      </c>
      <c r="BK18">
        <v>300</v>
      </c>
      <c r="BL18">
        <v>300</v>
      </c>
      <c r="BM18">
        <v>300</v>
      </c>
      <c r="BN18">
        <v>10109.299999999999</v>
      </c>
      <c r="BO18">
        <v>991.66399999999999</v>
      </c>
      <c r="BP18">
        <v>-6.5651599999999996E-3</v>
      </c>
      <c r="BQ18">
        <v>4.3986799999999997</v>
      </c>
      <c r="BR18">
        <f t="shared" si="39"/>
        <v>2200.0300000000002</v>
      </c>
      <c r="BS18">
        <f t="shared" si="40"/>
        <v>1849.210200075408</v>
      </c>
      <c r="BT18">
        <f t="shared" si="41"/>
        <v>0.84053862905297105</v>
      </c>
      <c r="BU18">
        <f t="shared" si="42"/>
        <v>0.19107725810594225</v>
      </c>
      <c r="BV18">
        <v>6</v>
      </c>
      <c r="BW18">
        <v>0.5</v>
      </c>
      <c r="BX18" t="s">
        <v>282</v>
      </c>
      <c r="BY18">
        <v>1564856880.7</v>
      </c>
      <c r="BZ18">
        <v>273.19200000000001</v>
      </c>
      <c r="CA18">
        <v>300.06299999999999</v>
      </c>
      <c r="CB18">
        <v>17.708200000000001</v>
      </c>
      <c r="CC18">
        <v>11.792899999999999</v>
      </c>
      <c r="CD18">
        <v>500.06599999999997</v>
      </c>
      <c r="CE18">
        <v>99.342799999999997</v>
      </c>
      <c r="CF18">
        <v>0.100013</v>
      </c>
      <c r="CG18">
        <v>24.957699999999999</v>
      </c>
      <c r="CH18">
        <v>26.9986</v>
      </c>
      <c r="CI18">
        <v>999.9</v>
      </c>
      <c r="CJ18">
        <v>9998.75</v>
      </c>
      <c r="CK18">
        <v>0</v>
      </c>
      <c r="CL18">
        <v>-282.91800000000001</v>
      </c>
      <c r="CM18">
        <v>2200.0300000000002</v>
      </c>
      <c r="CN18">
        <v>0.98200699999999996</v>
      </c>
      <c r="CO18">
        <v>1.7993100000000001E-2</v>
      </c>
      <c r="CP18">
        <v>0</v>
      </c>
      <c r="CQ18">
        <v>766.03899999999999</v>
      </c>
      <c r="CR18">
        <v>4.99986</v>
      </c>
      <c r="CS18">
        <v>17564.3</v>
      </c>
      <c r="CT18">
        <v>17914.099999999999</v>
      </c>
      <c r="CU18">
        <v>49.061999999999998</v>
      </c>
      <c r="CV18">
        <v>50.436999999999998</v>
      </c>
      <c r="CW18">
        <v>49.625</v>
      </c>
      <c r="CX18">
        <v>48.936999999999998</v>
      </c>
      <c r="CY18">
        <v>50.061999999999998</v>
      </c>
      <c r="CZ18">
        <v>2155.5300000000002</v>
      </c>
      <c r="DA18">
        <v>39.5</v>
      </c>
      <c r="DB18">
        <v>0</v>
      </c>
      <c r="DC18">
        <v>116.40000009536701</v>
      </c>
      <c r="DD18">
        <v>766.70434615384602</v>
      </c>
      <c r="DE18">
        <v>-2.9343247808977102</v>
      </c>
      <c r="DF18">
        <v>-111.781196682592</v>
      </c>
      <c r="DG18">
        <v>17576.507692307699</v>
      </c>
      <c r="DH18">
        <v>15</v>
      </c>
      <c r="DI18">
        <v>1564856834.7</v>
      </c>
      <c r="DJ18" t="s">
        <v>293</v>
      </c>
      <c r="DK18">
        <v>58</v>
      </c>
      <c r="DL18">
        <v>0.16700000000000001</v>
      </c>
      <c r="DM18">
        <v>6.0999999999999999E-2</v>
      </c>
      <c r="DN18">
        <v>300</v>
      </c>
      <c r="DO18">
        <v>12</v>
      </c>
      <c r="DP18">
        <v>0.05</v>
      </c>
      <c r="DQ18">
        <v>0.01</v>
      </c>
      <c r="DR18">
        <v>21.009143267016999</v>
      </c>
      <c r="DS18">
        <v>-0.16449438971274</v>
      </c>
      <c r="DT18">
        <v>4.4947714835095902E-2</v>
      </c>
      <c r="DU18">
        <v>1</v>
      </c>
      <c r="DV18">
        <v>0.27532504260792501</v>
      </c>
      <c r="DW18">
        <v>1.4293350201915399E-2</v>
      </c>
      <c r="DX18">
        <v>3.41217584652971E-3</v>
      </c>
      <c r="DY18">
        <v>1</v>
      </c>
      <c r="DZ18">
        <v>2</v>
      </c>
      <c r="EA18">
        <v>2</v>
      </c>
      <c r="EB18" t="s">
        <v>284</v>
      </c>
      <c r="EC18">
        <v>1.86711</v>
      </c>
      <c r="ED18">
        <v>1.8635900000000001</v>
      </c>
      <c r="EE18">
        <v>1.8692200000000001</v>
      </c>
      <c r="EF18">
        <v>1.86721</v>
      </c>
      <c r="EG18">
        <v>1.8718399999999999</v>
      </c>
      <c r="EH18">
        <v>1.86432</v>
      </c>
      <c r="EI18">
        <v>1.8657600000000001</v>
      </c>
      <c r="EJ18">
        <v>1.8656900000000001</v>
      </c>
      <c r="EK18" t="s">
        <v>285</v>
      </c>
      <c r="EL18" t="s">
        <v>19</v>
      </c>
      <c r="EM18" t="s">
        <v>19</v>
      </c>
      <c r="EN18" t="s">
        <v>19</v>
      </c>
      <c r="EO18" t="s">
        <v>286</v>
      </c>
      <c r="EP18" t="s">
        <v>287</v>
      </c>
      <c r="EQ18" t="s">
        <v>288</v>
      </c>
      <c r="ER18" t="s">
        <v>288</v>
      </c>
      <c r="ES18" t="s">
        <v>288</v>
      </c>
      <c r="ET18" t="s">
        <v>288</v>
      </c>
      <c r="EU18">
        <v>0</v>
      </c>
      <c r="EV18">
        <v>100</v>
      </c>
      <c r="EW18">
        <v>100</v>
      </c>
      <c r="EX18">
        <v>0.16700000000000001</v>
      </c>
      <c r="EY18">
        <v>6.0999999999999999E-2</v>
      </c>
      <c r="EZ18">
        <v>2</v>
      </c>
      <c r="FA18">
        <v>505.52199999999999</v>
      </c>
      <c r="FB18">
        <v>472.27199999999999</v>
      </c>
      <c r="FC18">
        <v>18.476099999999999</v>
      </c>
      <c r="FD18">
        <v>34.761899999999997</v>
      </c>
      <c r="FE18">
        <v>29.998100000000001</v>
      </c>
      <c r="FF18">
        <v>34.887799999999999</v>
      </c>
      <c r="FG18">
        <v>34.886400000000002</v>
      </c>
      <c r="FH18">
        <v>17.742799999999999</v>
      </c>
      <c r="FI18">
        <v>61.516599999999997</v>
      </c>
      <c r="FJ18">
        <v>0</v>
      </c>
      <c r="FK18">
        <v>18.457599999999999</v>
      </c>
      <c r="FL18">
        <v>300</v>
      </c>
      <c r="FM18">
        <v>11.6431</v>
      </c>
      <c r="FN18">
        <v>100.43300000000001</v>
      </c>
      <c r="FO18">
        <v>101.012</v>
      </c>
    </row>
    <row r="19" spans="1:171" x14ac:dyDescent="0.35">
      <c r="A19">
        <v>3</v>
      </c>
      <c r="B19">
        <v>1564856996.2</v>
      </c>
      <c r="C19">
        <v>232.5</v>
      </c>
      <c r="D19" t="s">
        <v>294</v>
      </c>
      <c r="E19" t="s">
        <v>295</v>
      </c>
      <c r="G19">
        <v>1564856996.2</v>
      </c>
      <c r="H19">
        <f t="shared" si="0"/>
        <v>5.0119414955531443E-3</v>
      </c>
      <c r="I19">
        <f t="shared" si="1"/>
        <v>13.151585379380531</v>
      </c>
      <c r="J19">
        <f t="shared" si="2"/>
        <v>183.09800000000001</v>
      </c>
      <c r="K19">
        <f t="shared" si="3"/>
        <v>101.06039420810353</v>
      </c>
      <c r="L19">
        <f t="shared" si="4"/>
        <v>10.050107858923099</v>
      </c>
      <c r="M19">
        <f t="shared" si="5"/>
        <v>18.208464979503798</v>
      </c>
      <c r="N19">
        <f t="shared" si="6"/>
        <v>0.28673559577127794</v>
      </c>
      <c r="O19">
        <f t="shared" si="7"/>
        <v>2.245389544299603</v>
      </c>
      <c r="P19">
        <f t="shared" si="8"/>
        <v>0.2678361999231243</v>
      </c>
      <c r="Q19">
        <f t="shared" si="9"/>
        <v>0.1689917431058261</v>
      </c>
      <c r="R19">
        <f t="shared" si="10"/>
        <v>353.33891164929383</v>
      </c>
      <c r="S19">
        <f t="shared" si="11"/>
        <v>25.896195488361823</v>
      </c>
      <c r="T19">
        <f t="shared" si="12"/>
        <v>26.984400000000001</v>
      </c>
      <c r="U19">
        <f t="shared" si="13"/>
        <v>3.5758816825071067</v>
      </c>
      <c r="V19">
        <f t="shared" si="14"/>
        <v>55.848180970303183</v>
      </c>
      <c r="W19">
        <f t="shared" si="15"/>
        <v>1.7649376457975599</v>
      </c>
      <c r="X19">
        <f t="shared" si="16"/>
        <v>3.1602419544085976</v>
      </c>
      <c r="Y19">
        <f t="shared" si="17"/>
        <v>1.8109440367095468</v>
      </c>
      <c r="Z19">
        <f t="shared" si="18"/>
        <v>-221.02661995389366</v>
      </c>
      <c r="AA19">
        <f t="shared" si="19"/>
        <v>-252.66274228955115</v>
      </c>
      <c r="AB19">
        <f t="shared" si="20"/>
        <v>-24.028219312088858</v>
      </c>
      <c r="AC19">
        <f t="shared" si="21"/>
        <v>-144.37866990623985</v>
      </c>
      <c r="AD19">
        <v>-4.1059741979255597E-2</v>
      </c>
      <c r="AE19">
        <v>4.6093157402670802E-2</v>
      </c>
      <c r="AF19">
        <v>3.44698131113678</v>
      </c>
      <c r="AG19">
        <v>0</v>
      </c>
      <c r="AH19">
        <v>0</v>
      </c>
      <c r="AI19">
        <f t="shared" si="22"/>
        <v>1</v>
      </c>
      <c r="AJ19">
        <f t="shared" si="23"/>
        <v>0</v>
      </c>
      <c r="AK19">
        <f t="shared" si="24"/>
        <v>52734.350238930361</v>
      </c>
      <c r="AL19" t="s">
        <v>279</v>
      </c>
      <c r="AM19">
        <v>481.47884615384601</v>
      </c>
      <c r="AN19">
        <v>2238.31</v>
      </c>
      <c r="AO19">
        <f t="shared" si="25"/>
        <v>1756.8311538461539</v>
      </c>
      <c r="AP19">
        <f t="shared" si="26"/>
        <v>0.78489179508028561</v>
      </c>
      <c r="AQ19">
        <v>-0.96503536810971002</v>
      </c>
      <c r="AR19" t="s">
        <v>296</v>
      </c>
      <c r="AS19">
        <v>762.10315384615399</v>
      </c>
      <c r="AT19">
        <v>1028.75</v>
      </c>
      <c r="AU19">
        <f t="shared" si="27"/>
        <v>0.25919499018599856</v>
      </c>
      <c r="AV19">
        <v>0.5</v>
      </c>
      <c r="AW19">
        <f t="shared" si="28"/>
        <v>1849.1859000754662</v>
      </c>
      <c r="AX19">
        <f t="shared" si="29"/>
        <v>13.151585379380531</v>
      </c>
      <c r="AY19">
        <f t="shared" si="30"/>
        <v>239.64986061107368</v>
      </c>
      <c r="AZ19">
        <f t="shared" si="31"/>
        <v>0.43541190765492099</v>
      </c>
      <c r="BA19">
        <f t="shared" si="32"/>
        <v>7.6339651664627849E-3</v>
      </c>
      <c r="BB19">
        <f t="shared" si="33"/>
        <v>1.1757569866342648</v>
      </c>
      <c r="BC19" t="s">
        <v>297</v>
      </c>
      <c r="BD19">
        <v>580.82000000000005</v>
      </c>
      <c r="BE19">
        <f t="shared" si="34"/>
        <v>447.92999999999995</v>
      </c>
      <c r="BF19">
        <f t="shared" si="35"/>
        <v>0.59528686659488328</v>
      </c>
      <c r="BG19">
        <f t="shared" si="36"/>
        <v>0.72975402566531333</v>
      </c>
      <c r="BH19">
        <f t="shared" si="37"/>
        <v>0.48722985722869722</v>
      </c>
      <c r="BI19">
        <f t="shared" si="38"/>
        <v>0.68848961230677341</v>
      </c>
      <c r="BJ19">
        <v>858</v>
      </c>
      <c r="BK19">
        <v>300</v>
      </c>
      <c r="BL19">
        <v>300</v>
      </c>
      <c r="BM19">
        <v>300</v>
      </c>
      <c r="BN19">
        <v>10109.200000000001</v>
      </c>
      <c r="BO19">
        <v>956.649</v>
      </c>
      <c r="BP19">
        <v>-6.56495E-3</v>
      </c>
      <c r="BQ19">
        <v>4.8813500000000003</v>
      </c>
      <c r="BR19">
        <f t="shared" si="39"/>
        <v>2200</v>
      </c>
      <c r="BS19">
        <f t="shared" si="40"/>
        <v>1849.1859000754662</v>
      </c>
      <c r="BT19">
        <f t="shared" si="41"/>
        <v>0.84053904548884828</v>
      </c>
      <c r="BU19">
        <f t="shared" si="42"/>
        <v>0.19107809097769668</v>
      </c>
      <c r="BV19">
        <v>6</v>
      </c>
      <c r="BW19">
        <v>0.5</v>
      </c>
      <c r="BX19" t="s">
        <v>282</v>
      </c>
      <c r="BY19">
        <v>1564856996.2</v>
      </c>
      <c r="BZ19">
        <v>183.09800000000001</v>
      </c>
      <c r="CA19">
        <v>199.98</v>
      </c>
      <c r="CB19">
        <v>17.747599999999998</v>
      </c>
      <c r="CC19">
        <v>11.840400000000001</v>
      </c>
      <c r="CD19">
        <v>500.03300000000002</v>
      </c>
      <c r="CE19">
        <v>99.346599999999995</v>
      </c>
      <c r="CF19">
        <v>9.9953100000000003E-2</v>
      </c>
      <c r="CG19">
        <v>24.897200000000002</v>
      </c>
      <c r="CH19">
        <v>26.984400000000001</v>
      </c>
      <c r="CI19">
        <v>999.9</v>
      </c>
      <c r="CJ19">
        <v>9966.8799999999992</v>
      </c>
      <c r="CK19">
        <v>0</v>
      </c>
      <c r="CL19">
        <v>-401.029</v>
      </c>
      <c r="CM19">
        <v>2200</v>
      </c>
      <c r="CN19">
        <v>0.98199199999999998</v>
      </c>
      <c r="CO19">
        <v>1.8008E-2</v>
      </c>
      <c r="CP19">
        <v>0</v>
      </c>
      <c r="CQ19">
        <v>761.36199999999997</v>
      </c>
      <c r="CR19">
        <v>4.99986</v>
      </c>
      <c r="CS19">
        <v>17469</v>
      </c>
      <c r="CT19">
        <v>17913.8</v>
      </c>
      <c r="CU19">
        <v>49</v>
      </c>
      <c r="CV19">
        <v>50.436999999999998</v>
      </c>
      <c r="CW19">
        <v>49.5</v>
      </c>
      <c r="CX19">
        <v>48.936999999999998</v>
      </c>
      <c r="CY19">
        <v>50</v>
      </c>
      <c r="CZ19">
        <v>2155.4699999999998</v>
      </c>
      <c r="DA19">
        <v>39.53</v>
      </c>
      <c r="DB19">
        <v>0</v>
      </c>
      <c r="DC19">
        <v>115.10000014305101</v>
      </c>
      <c r="DD19">
        <v>762.10315384615399</v>
      </c>
      <c r="DE19">
        <v>-3.9848205097833498</v>
      </c>
      <c r="DF19">
        <v>-64.369230771135705</v>
      </c>
      <c r="DG19">
        <v>17476.476923076902</v>
      </c>
      <c r="DH19">
        <v>15</v>
      </c>
      <c r="DI19">
        <v>1564856950.2</v>
      </c>
      <c r="DJ19" t="s">
        <v>298</v>
      </c>
      <c r="DK19">
        <v>59</v>
      </c>
      <c r="DL19">
        <v>0.13600000000000001</v>
      </c>
      <c r="DM19">
        <v>6.2E-2</v>
      </c>
      <c r="DN19">
        <v>200</v>
      </c>
      <c r="DO19">
        <v>12</v>
      </c>
      <c r="DP19">
        <v>0.1</v>
      </c>
      <c r="DQ19">
        <v>0.01</v>
      </c>
      <c r="DR19">
        <v>13.094680614580501</v>
      </c>
      <c r="DS19">
        <v>0.20354908971333599</v>
      </c>
      <c r="DT19">
        <v>4.46052228388727E-2</v>
      </c>
      <c r="DU19">
        <v>1</v>
      </c>
      <c r="DV19">
        <v>0.277125639071368</v>
      </c>
      <c r="DW19">
        <v>2.0602276774740601E-2</v>
      </c>
      <c r="DX19">
        <v>4.2408407326191503E-3</v>
      </c>
      <c r="DY19">
        <v>1</v>
      </c>
      <c r="DZ19">
        <v>2</v>
      </c>
      <c r="EA19">
        <v>2</v>
      </c>
      <c r="EB19" t="s">
        <v>284</v>
      </c>
      <c r="EC19">
        <v>1.8670800000000001</v>
      </c>
      <c r="ED19">
        <v>1.86358</v>
      </c>
      <c r="EE19">
        <v>1.86921</v>
      </c>
      <c r="EF19">
        <v>1.8672</v>
      </c>
      <c r="EG19">
        <v>1.8718300000000001</v>
      </c>
      <c r="EH19">
        <v>1.86432</v>
      </c>
      <c r="EI19">
        <v>1.86575</v>
      </c>
      <c r="EJ19">
        <v>1.8656900000000001</v>
      </c>
      <c r="EK19" t="s">
        <v>285</v>
      </c>
      <c r="EL19" t="s">
        <v>19</v>
      </c>
      <c r="EM19" t="s">
        <v>19</v>
      </c>
      <c r="EN19" t="s">
        <v>19</v>
      </c>
      <c r="EO19" t="s">
        <v>286</v>
      </c>
      <c r="EP19" t="s">
        <v>287</v>
      </c>
      <c r="EQ19" t="s">
        <v>288</v>
      </c>
      <c r="ER19" t="s">
        <v>288</v>
      </c>
      <c r="ES19" t="s">
        <v>288</v>
      </c>
      <c r="ET19" t="s">
        <v>288</v>
      </c>
      <c r="EU19">
        <v>0</v>
      </c>
      <c r="EV19">
        <v>100</v>
      </c>
      <c r="EW19">
        <v>100</v>
      </c>
      <c r="EX19">
        <v>0.13600000000000001</v>
      </c>
      <c r="EY19">
        <v>6.2E-2</v>
      </c>
      <c r="EZ19">
        <v>2</v>
      </c>
      <c r="FA19">
        <v>505.2</v>
      </c>
      <c r="FB19">
        <v>472.46800000000002</v>
      </c>
      <c r="FC19">
        <v>17.319700000000001</v>
      </c>
      <c r="FD19">
        <v>34.543999999999997</v>
      </c>
      <c r="FE19">
        <v>29.999199999999998</v>
      </c>
      <c r="FF19">
        <v>34.697000000000003</v>
      </c>
      <c r="FG19">
        <v>34.704900000000002</v>
      </c>
      <c r="FH19">
        <v>13.035600000000001</v>
      </c>
      <c r="FI19">
        <v>61.841999999999999</v>
      </c>
      <c r="FJ19">
        <v>0</v>
      </c>
      <c r="FK19">
        <v>17.345700000000001</v>
      </c>
      <c r="FL19">
        <v>200</v>
      </c>
      <c r="FM19">
        <v>11.587999999999999</v>
      </c>
      <c r="FN19">
        <v>100.46599999999999</v>
      </c>
      <c r="FO19">
        <v>101.051</v>
      </c>
    </row>
    <row r="20" spans="1:171" x14ac:dyDescent="0.35">
      <c r="A20">
        <v>4</v>
      </c>
      <c r="B20">
        <v>1564857133.2</v>
      </c>
      <c r="C20">
        <v>369.5</v>
      </c>
      <c r="D20" t="s">
        <v>299</v>
      </c>
      <c r="E20" t="s">
        <v>300</v>
      </c>
      <c r="G20">
        <v>1564857133.2</v>
      </c>
      <c r="H20">
        <f t="shared" si="0"/>
        <v>5.9058934515109065E-3</v>
      </c>
      <c r="I20">
        <f t="shared" si="1"/>
        <v>5.2716580582795647</v>
      </c>
      <c r="J20">
        <f t="shared" si="2"/>
        <v>93.016300000000001</v>
      </c>
      <c r="K20">
        <f t="shared" si="3"/>
        <v>64.326349893985096</v>
      </c>
      <c r="L20">
        <f t="shared" si="4"/>
        <v>6.3970923846313905</v>
      </c>
      <c r="M20">
        <f t="shared" si="5"/>
        <v>9.2502351735680897</v>
      </c>
      <c r="N20">
        <f t="shared" si="6"/>
        <v>0.34294214885925833</v>
      </c>
      <c r="O20">
        <f t="shared" si="7"/>
        <v>2.2529530667107323</v>
      </c>
      <c r="P20">
        <f t="shared" si="8"/>
        <v>0.31635847596894218</v>
      </c>
      <c r="Q20">
        <f t="shared" si="9"/>
        <v>0.19994048438247608</v>
      </c>
      <c r="R20">
        <f t="shared" si="10"/>
        <v>353.33093167835472</v>
      </c>
      <c r="S20">
        <f t="shared" si="11"/>
        <v>25.796904582196863</v>
      </c>
      <c r="T20">
        <f t="shared" si="12"/>
        <v>26.944099999999999</v>
      </c>
      <c r="U20">
        <f t="shared" si="13"/>
        <v>3.5674256162968745</v>
      </c>
      <c r="V20">
        <f t="shared" si="14"/>
        <v>55.04945417649629</v>
      </c>
      <c r="W20">
        <f t="shared" si="15"/>
        <v>1.7606377974600598</v>
      </c>
      <c r="X20">
        <f t="shared" si="16"/>
        <v>3.19828384095364</v>
      </c>
      <c r="Y20">
        <f t="shared" si="17"/>
        <v>1.8067878188368147</v>
      </c>
      <c r="Z20">
        <f t="shared" si="18"/>
        <v>-260.44990121163096</v>
      </c>
      <c r="AA20">
        <f t="shared" si="19"/>
        <v>-224.24167802335808</v>
      </c>
      <c r="AB20">
        <f t="shared" si="20"/>
        <v>-21.270838257370727</v>
      </c>
      <c r="AC20">
        <f t="shared" si="21"/>
        <v>-152.63148581400503</v>
      </c>
      <c r="AD20">
        <v>-4.1263295366220802E-2</v>
      </c>
      <c r="AE20">
        <v>4.6321663911795201E-2</v>
      </c>
      <c r="AF20">
        <v>3.4605017164239098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52949.469581063444</v>
      </c>
      <c r="AL20" t="s">
        <v>279</v>
      </c>
      <c r="AM20">
        <v>481.47884615384601</v>
      </c>
      <c r="AN20">
        <v>2238.31</v>
      </c>
      <c r="AO20">
        <f t="shared" si="25"/>
        <v>1756.8311538461539</v>
      </c>
      <c r="AP20">
        <f t="shared" si="26"/>
        <v>0.78489179508028561</v>
      </c>
      <c r="AQ20">
        <v>-0.96503536810971002</v>
      </c>
      <c r="AR20" t="s">
        <v>301</v>
      </c>
      <c r="AS20">
        <v>764.16399999999999</v>
      </c>
      <c r="AT20">
        <v>982.68600000000004</v>
      </c>
      <c r="AU20">
        <f t="shared" si="27"/>
        <v>0.22237215142985656</v>
      </c>
      <c r="AV20">
        <v>0.5</v>
      </c>
      <c r="AW20">
        <f t="shared" si="28"/>
        <v>1849.1439000754676</v>
      </c>
      <c r="AX20">
        <f t="shared" si="29"/>
        <v>5.2716580582795647</v>
      </c>
      <c r="AY20">
        <f t="shared" si="30"/>
        <v>205.59905368158871</v>
      </c>
      <c r="AZ20">
        <f t="shared" si="31"/>
        <v>0.39805797579287794</v>
      </c>
      <c r="BA20">
        <f t="shared" si="32"/>
        <v>3.3727463969325166E-3</v>
      </c>
      <c r="BB20">
        <f t="shared" si="33"/>
        <v>1.2777469099997352</v>
      </c>
      <c r="BC20" t="s">
        <v>302</v>
      </c>
      <c r="BD20">
        <v>591.52</v>
      </c>
      <c r="BE20">
        <f t="shared" si="34"/>
        <v>391.16600000000005</v>
      </c>
      <c r="BF20">
        <f t="shared" si="35"/>
        <v>0.55864262231380035</v>
      </c>
      <c r="BG20">
        <f t="shared" si="36"/>
        <v>0.76246758845997353</v>
      </c>
      <c r="BH20">
        <f t="shared" si="37"/>
        <v>0.43599138265108556</v>
      </c>
      <c r="BI20">
        <f t="shared" si="38"/>
        <v>0.71470954806961207</v>
      </c>
      <c r="BJ20">
        <v>860</v>
      </c>
      <c r="BK20">
        <v>300</v>
      </c>
      <c r="BL20">
        <v>300</v>
      </c>
      <c r="BM20">
        <v>300</v>
      </c>
      <c r="BN20">
        <v>10108.6</v>
      </c>
      <c r="BO20">
        <v>926.33399999999995</v>
      </c>
      <c r="BP20">
        <v>-6.5643300000000002E-3</v>
      </c>
      <c r="BQ20">
        <v>4.8600500000000002</v>
      </c>
      <c r="BR20">
        <f t="shared" si="39"/>
        <v>2199.9499999999998</v>
      </c>
      <c r="BS20">
        <f t="shared" si="40"/>
        <v>1849.1439000754676</v>
      </c>
      <c r="BT20">
        <f t="shared" si="41"/>
        <v>0.84053905774016124</v>
      </c>
      <c r="BU20">
        <f t="shared" si="42"/>
        <v>0.1910781154803228</v>
      </c>
      <c r="BV20">
        <v>6</v>
      </c>
      <c r="BW20">
        <v>0.5</v>
      </c>
      <c r="BX20" t="s">
        <v>282</v>
      </c>
      <c r="BY20">
        <v>1564857133.2</v>
      </c>
      <c r="BZ20">
        <v>93.016300000000001</v>
      </c>
      <c r="CA20">
        <v>100.001</v>
      </c>
      <c r="CB20">
        <v>17.7042</v>
      </c>
      <c r="CC20">
        <v>10.7431</v>
      </c>
      <c r="CD20">
        <v>500.036</v>
      </c>
      <c r="CE20">
        <v>99.347499999999997</v>
      </c>
      <c r="CF20">
        <v>9.9964300000000006E-2</v>
      </c>
      <c r="CG20">
        <v>25.097899999999999</v>
      </c>
      <c r="CH20">
        <v>26.944099999999999</v>
      </c>
      <c r="CI20">
        <v>999.9</v>
      </c>
      <c r="CJ20">
        <v>10016.200000000001</v>
      </c>
      <c r="CK20">
        <v>0</v>
      </c>
      <c r="CL20">
        <v>-422.28300000000002</v>
      </c>
      <c r="CM20">
        <v>2199.9499999999998</v>
      </c>
      <c r="CN20">
        <v>0.98199199999999998</v>
      </c>
      <c r="CO20">
        <v>1.8008E-2</v>
      </c>
      <c r="CP20">
        <v>0</v>
      </c>
      <c r="CQ20">
        <v>763.83900000000006</v>
      </c>
      <c r="CR20">
        <v>4.99986</v>
      </c>
      <c r="CS20">
        <v>17520.8</v>
      </c>
      <c r="CT20">
        <v>17913.3</v>
      </c>
      <c r="CU20">
        <v>49.061999999999998</v>
      </c>
      <c r="CV20">
        <v>50.686999999999998</v>
      </c>
      <c r="CW20">
        <v>49.625</v>
      </c>
      <c r="CX20">
        <v>49.186999999999998</v>
      </c>
      <c r="CY20">
        <v>50.125</v>
      </c>
      <c r="CZ20">
        <v>2155.42</v>
      </c>
      <c r="DA20">
        <v>39.53</v>
      </c>
      <c r="DB20">
        <v>0</v>
      </c>
      <c r="DC20">
        <v>136.5</v>
      </c>
      <c r="DD20">
        <v>764.16399999999999</v>
      </c>
      <c r="DE20">
        <v>-2.3419487324507902</v>
      </c>
      <c r="DF20">
        <v>-65.692307703296194</v>
      </c>
      <c r="DG20">
        <v>17530.4038461538</v>
      </c>
      <c r="DH20">
        <v>15</v>
      </c>
      <c r="DI20">
        <v>1564857088.2</v>
      </c>
      <c r="DJ20" t="s">
        <v>303</v>
      </c>
      <c r="DK20">
        <v>60</v>
      </c>
      <c r="DL20">
        <v>-1.4999999999999999E-2</v>
      </c>
      <c r="DM20">
        <v>5.7000000000000002E-2</v>
      </c>
      <c r="DN20">
        <v>100</v>
      </c>
      <c r="DO20">
        <v>11</v>
      </c>
      <c r="DP20">
        <v>0.17</v>
      </c>
      <c r="DQ20">
        <v>0.01</v>
      </c>
      <c r="DR20">
        <v>5.2090409278133398</v>
      </c>
      <c r="DS20">
        <v>0.22361365628259899</v>
      </c>
      <c r="DT20">
        <v>0.12607839997499301</v>
      </c>
      <c r="DU20">
        <v>1</v>
      </c>
      <c r="DV20">
        <v>0.33158549689661398</v>
      </c>
      <c r="DW20">
        <v>5.4459184057600203E-2</v>
      </c>
      <c r="DX20">
        <v>1.40494537622239E-2</v>
      </c>
      <c r="DY20">
        <v>1</v>
      </c>
      <c r="DZ20">
        <v>2</v>
      </c>
      <c r="EA20">
        <v>2</v>
      </c>
      <c r="EB20" t="s">
        <v>284</v>
      </c>
      <c r="EC20">
        <v>1.8670800000000001</v>
      </c>
      <c r="ED20">
        <v>1.8636200000000001</v>
      </c>
      <c r="EE20">
        <v>1.86921</v>
      </c>
      <c r="EF20">
        <v>1.86721</v>
      </c>
      <c r="EG20">
        <v>1.87182</v>
      </c>
      <c r="EH20">
        <v>1.86432</v>
      </c>
      <c r="EI20">
        <v>1.86578</v>
      </c>
      <c r="EJ20">
        <v>1.8656900000000001</v>
      </c>
      <c r="EK20" t="s">
        <v>285</v>
      </c>
      <c r="EL20" t="s">
        <v>19</v>
      </c>
      <c r="EM20" t="s">
        <v>19</v>
      </c>
      <c r="EN20" t="s">
        <v>19</v>
      </c>
      <c r="EO20" t="s">
        <v>286</v>
      </c>
      <c r="EP20" t="s">
        <v>287</v>
      </c>
      <c r="EQ20" t="s">
        <v>288</v>
      </c>
      <c r="ER20" t="s">
        <v>288</v>
      </c>
      <c r="ES20" t="s">
        <v>288</v>
      </c>
      <c r="ET20" t="s">
        <v>288</v>
      </c>
      <c r="EU20">
        <v>0</v>
      </c>
      <c r="EV20">
        <v>100</v>
      </c>
      <c r="EW20">
        <v>100</v>
      </c>
      <c r="EX20">
        <v>-1.4999999999999999E-2</v>
      </c>
      <c r="EY20">
        <v>5.7000000000000002E-2</v>
      </c>
      <c r="EZ20">
        <v>2</v>
      </c>
      <c r="FA20">
        <v>505.49299999999999</v>
      </c>
      <c r="FB20">
        <v>471.57</v>
      </c>
      <c r="FC20">
        <v>18.689900000000002</v>
      </c>
      <c r="FD20">
        <v>34.490299999999998</v>
      </c>
      <c r="FE20">
        <v>29.9999</v>
      </c>
      <c r="FF20">
        <v>34.598999999999997</v>
      </c>
      <c r="FG20">
        <v>34.606699999999996</v>
      </c>
      <c r="FH20">
        <v>8.1418199999999992</v>
      </c>
      <c r="FI20">
        <v>65.123000000000005</v>
      </c>
      <c r="FJ20">
        <v>0</v>
      </c>
      <c r="FK20">
        <v>18.702000000000002</v>
      </c>
      <c r="FL20">
        <v>100</v>
      </c>
      <c r="FM20">
        <v>10.799099999999999</v>
      </c>
      <c r="FN20">
        <v>100.476</v>
      </c>
      <c r="FO20">
        <v>101.057</v>
      </c>
    </row>
    <row r="21" spans="1:171" x14ac:dyDescent="0.35">
      <c r="A21">
        <v>5</v>
      </c>
      <c r="B21">
        <v>1564857228.7</v>
      </c>
      <c r="C21">
        <v>465</v>
      </c>
      <c r="D21" t="s">
        <v>304</v>
      </c>
      <c r="E21" t="s">
        <v>305</v>
      </c>
      <c r="G21">
        <v>1564857228.7</v>
      </c>
      <c r="H21">
        <f t="shared" si="0"/>
        <v>6.1744537670657389E-3</v>
      </c>
      <c r="I21">
        <f t="shared" si="1"/>
        <v>0.75969368043362773</v>
      </c>
      <c r="J21">
        <f t="shared" si="2"/>
        <v>48.628399999999999</v>
      </c>
      <c r="K21">
        <f t="shared" si="3"/>
        <v>43.710504527460913</v>
      </c>
      <c r="L21">
        <f t="shared" si="4"/>
        <v>4.3468055559419456</v>
      </c>
      <c r="M21">
        <f t="shared" si="5"/>
        <v>4.83586729509768</v>
      </c>
      <c r="N21">
        <f t="shared" si="6"/>
        <v>0.3660877854958679</v>
      </c>
      <c r="O21">
        <f t="shared" si="7"/>
        <v>2.247689628803422</v>
      </c>
      <c r="P21">
        <f t="shared" si="8"/>
        <v>0.33589912994232635</v>
      </c>
      <c r="Q21">
        <f t="shared" si="9"/>
        <v>0.21244144669617637</v>
      </c>
      <c r="R21">
        <f t="shared" si="10"/>
        <v>353.33666506304178</v>
      </c>
      <c r="S21">
        <f t="shared" si="11"/>
        <v>25.883428669238398</v>
      </c>
      <c r="T21">
        <f t="shared" si="12"/>
        <v>27.013200000000001</v>
      </c>
      <c r="U21">
        <f t="shared" si="13"/>
        <v>3.5819354422707894</v>
      </c>
      <c r="V21">
        <f t="shared" si="14"/>
        <v>55.805322379331102</v>
      </c>
      <c r="W21">
        <f t="shared" si="15"/>
        <v>1.8034410631770001</v>
      </c>
      <c r="X21">
        <f t="shared" si="16"/>
        <v>3.2316649851393922</v>
      </c>
      <c r="Y21">
        <f t="shared" si="17"/>
        <v>1.7784943790937893</v>
      </c>
      <c r="Z21">
        <f t="shared" si="18"/>
        <v>-272.29341112759909</v>
      </c>
      <c r="AA21">
        <f t="shared" si="19"/>
        <v>-210.95781098534837</v>
      </c>
      <c r="AB21">
        <f t="shared" si="20"/>
        <v>-20.08212190047805</v>
      </c>
      <c r="AC21">
        <f t="shared" si="21"/>
        <v>-149.99667895038374</v>
      </c>
      <c r="AD21">
        <v>-4.1121577646856901E-2</v>
      </c>
      <c r="AE21">
        <v>4.61625733566551E-2</v>
      </c>
      <c r="AF21">
        <v>3.4510909839503401</v>
      </c>
      <c r="AG21">
        <v>0</v>
      </c>
      <c r="AH21">
        <v>0</v>
      </c>
      <c r="AI21">
        <f t="shared" si="22"/>
        <v>1</v>
      </c>
      <c r="AJ21">
        <f t="shared" si="23"/>
        <v>0</v>
      </c>
      <c r="AK21">
        <f t="shared" si="24"/>
        <v>52744.157382151265</v>
      </c>
      <c r="AL21" t="s">
        <v>279</v>
      </c>
      <c r="AM21">
        <v>481.47884615384601</v>
      </c>
      <c r="AN21">
        <v>2238.31</v>
      </c>
      <c r="AO21">
        <f t="shared" si="25"/>
        <v>1756.8311538461539</v>
      </c>
      <c r="AP21">
        <f t="shared" si="26"/>
        <v>0.78489179508028561</v>
      </c>
      <c r="AQ21">
        <v>-0.96503536810971002</v>
      </c>
      <c r="AR21" t="s">
        <v>306</v>
      </c>
      <c r="AS21">
        <v>766.96623076923095</v>
      </c>
      <c r="AT21">
        <v>966.69899999999996</v>
      </c>
      <c r="AU21">
        <f t="shared" si="27"/>
        <v>0.20661319524564425</v>
      </c>
      <c r="AV21">
        <v>0.5</v>
      </c>
      <c r="AW21">
        <f t="shared" si="28"/>
        <v>1849.1847000753901</v>
      </c>
      <c r="AX21">
        <f t="shared" si="29"/>
        <v>0.75969368043362773</v>
      </c>
      <c r="AY21">
        <f t="shared" si="30"/>
        <v>191.03297974096733</v>
      </c>
      <c r="AZ21">
        <f t="shared" si="31"/>
        <v>0.38168964693249907</v>
      </c>
      <c r="BA21">
        <f t="shared" si="32"/>
        <v>9.3269701424255876E-4</v>
      </c>
      <c r="BB21">
        <f t="shared" si="33"/>
        <v>1.3154156567866522</v>
      </c>
      <c r="BC21" t="s">
        <v>307</v>
      </c>
      <c r="BD21">
        <v>597.72</v>
      </c>
      <c r="BE21">
        <f t="shared" si="34"/>
        <v>368.97899999999993</v>
      </c>
      <c r="BF21">
        <f t="shared" si="35"/>
        <v>0.54131202380289678</v>
      </c>
      <c r="BG21">
        <f t="shared" si="36"/>
        <v>0.77509371628499502</v>
      </c>
      <c r="BH21">
        <f t="shared" si="37"/>
        <v>0.41163329191412185</v>
      </c>
      <c r="BI21">
        <f t="shared" si="38"/>
        <v>0.72380945500432259</v>
      </c>
      <c r="BJ21">
        <v>862</v>
      </c>
      <c r="BK21">
        <v>300</v>
      </c>
      <c r="BL21">
        <v>300</v>
      </c>
      <c r="BM21">
        <v>300</v>
      </c>
      <c r="BN21">
        <v>10108.799999999999</v>
      </c>
      <c r="BO21">
        <v>913.34</v>
      </c>
      <c r="BP21">
        <v>-6.5644500000000003E-3</v>
      </c>
      <c r="BQ21">
        <v>4.0160499999999999</v>
      </c>
      <c r="BR21">
        <f t="shared" si="39"/>
        <v>2200</v>
      </c>
      <c r="BS21">
        <f t="shared" si="40"/>
        <v>1849.1847000753901</v>
      </c>
      <c r="BT21">
        <f t="shared" si="41"/>
        <v>0.84053850003426822</v>
      </c>
      <c r="BU21">
        <f t="shared" si="42"/>
        <v>0.1910770000685364</v>
      </c>
      <c r="BV21">
        <v>6</v>
      </c>
      <c r="BW21">
        <v>0.5</v>
      </c>
      <c r="BX21" t="s">
        <v>282</v>
      </c>
      <c r="BY21">
        <v>1564857228.7</v>
      </c>
      <c r="BZ21">
        <v>48.628399999999999</v>
      </c>
      <c r="CA21">
        <v>49.901600000000002</v>
      </c>
      <c r="CB21">
        <v>18.135000000000002</v>
      </c>
      <c r="CC21">
        <v>10.8528</v>
      </c>
      <c r="CD21">
        <v>499.50400000000002</v>
      </c>
      <c r="CE21">
        <v>99.346699999999998</v>
      </c>
      <c r="CF21">
        <v>9.8630200000000001E-2</v>
      </c>
      <c r="CG21">
        <v>25.272300000000001</v>
      </c>
      <c r="CH21">
        <v>27.013200000000001</v>
      </c>
      <c r="CI21">
        <v>999.9</v>
      </c>
      <c r="CJ21">
        <v>9981.8799999999992</v>
      </c>
      <c r="CK21">
        <v>0</v>
      </c>
      <c r="CL21">
        <v>-430.37200000000001</v>
      </c>
      <c r="CM21">
        <v>2200</v>
      </c>
      <c r="CN21">
        <v>0.98200699999999996</v>
      </c>
      <c r="CO21">
        <v>1.7993100000000001E-2</v>
      </c>
      <c r="CP21">
        <v>0</v>
      </c>
      <c r="CQ21">
        <v>766.66200000000003</v>
      </c>
      <c r="CR21">
        <v>4.99986</v>
      </c>
      <c r="CS21">
        <v>17595</v>
      </c>
      <c r="CT21">
        <v>17913.8</v>
      </c>
      <c r="CU21">
        <v>49</v>
      </c>
      <c r="CV21">
        <v>50.75</v>
      </c>
      <c r="CW21">
        <v>49.686999999999998</v>
      </c>
      <c r="CX21">
        <v>49.25</v>
      </c>
      <c r="CY21">
        <v>50.125</v>
      </c>
      <c r="CZ21">
        <v>2155.5100000000002</v>
      </c>
      <c r="DA21">
        <v>39.49</v>
      </c>
      <c r="DB21">
        <v>0</v>
      </c>
      <c r="DC21">
        <v>94.799999952316298</v>
      </c>
      <c r="DD21">
        <v>766.96623076923095</v>
      </c>
      <c r="DE21">
        <v>0.17148718882025199</v>
      </c>
      <c r="DF21">
        <v>8.8957264879451206</v>
      </c>
      <c r="DG21">
        <v>17593.384615384599</v>
      </c>
      <c r="DH21">
        <v>15</v>
      </c>
      <c r="DI21">
        <v>1564857223.2</v>
      </c>
      <c r="DJ21" t="s">
        <v>308</v>
      </c>
      <c r="DK21">
        <v>61</v>
      </c>
      <c r="DL21">
        <v>6.4000000000000001E-2</v>
      </c>
      <c r="DM21">
        <v>5.5E-2</v>
      </c>
      <c r="DN21">
        <v>50</v>
      </c>
      <c r="DO21">
        <v>11</v>
      </c>
      <c r="DP21">
        <v>0.23</v>
      </c>
      <c r="DQ21">
        <v>0.01</v>
      </c>
      <c r="DR21">
        <v>6.6611256487956599E-2</v>
      </c>
      <c r="DS21">
        <v>0.27134486252448797</v>
      </c>
      <c r="DT21">
        <v>0.124977396908149</v>
      </c>
      <c r="DU21">
        <v>1</v>
      </c>
      <c r="DV21">
        <v>1.7891238595942899E-2</v>
      </c>
      <c r="DW21">
        <v>0.136101643553488</v>
      </c>
      <c r="DX21">
        <v>6.0067121848165997E-2</v>
      </c>
      <c r="DY21">
        <v>1</v>
      </c>
      <c r="DZ21">
        <v>2</v>
      </c>
      <c r="EA21">
        <v>2</v>
      </c>
      <c r="EB21" t="s">
        <v>284</v>
      </c>
      <c r="EC21">
        <v>1.8671</v>
      </c>
      <c r="ED21">
        <v>1.8635900000000001</v>
      </c>
      <c r="EE21">
        <v>1.8692200000000001</v>
      </c>
      <c r="EF21">
        <v>1.8672</v>
      </c>
      <c r="EG21">
        <v>1.87182</v>
      </c>
      <c r="EH21">
        <v>1.8643099999999999</v>
      </c>
      <c r="EI21">
        <v>1.86582</v>
      </c>
      <c r="EJ21">
        <v>1.8656999999999999</v>
      </c>
      <c r="EK21" t="s">
        <v>285</v>
      </c>
      <c r="EL21" t="s">
        <v>19</v>
      </c>
      <c r="EM21" t="s">
        <v>19</v>
      </c>
      <c r="EN21" t="s">
        <v>19</v>
      </c>
      <c r="EO21" t="s">
        <v>286</v>
      </c>
      <c r="EP21" t="s">
        <v>287</v>
      </c>
      <c r="EQ21" t="s">
        <v>288</v>
      </c>
      <c r="ER21" t="s">
        <v>288</v>
      </c>
      <c r="ES21" t="s">
        <v>288</v>
      </c>
      <c r="ET21" t="s">
        <v>288</v>
      </c>
      <c r="EU21">
        <v>0</v>
      </c>
      <c r="EV21">
        <v>100</v>
      </c>
      <c r="EW21">
        <v>100</v>
      </c>
      <c r="EX21">
        <v>6.4000000000000001E-2</v>
      </c>
      <c r="EY21">
        <v>5.5E-2</v>
      </c>
      <c r="EZ21">
        <v>2</v>
      </c>
      <c r="FA21">
        <v>500.99400000000003</v>
      </c>
      <c r="FB21">
        <v>469.86900000000003</v>
      </c>
      <c r="FC21">
        <v>17.862500000000001</v>
      </c>
      <c r="FD21">
        <v>34.474600000000002</v>
      </c>
      <c r="FE21">
        <v>29.9999</v>
      </c>
      <c r="FF21">
        <v>34.603499999999997</v>
      </c>
      <c r="FG21">
        <v>34.594200000000001</v>
      </c>
      <c r="FH21">
        <v>5.66683</v>
      </c>
      <c r="FI21">
        <v>65.046099999999996</v>
      </c>
      <c r="FJ21">
        <v>0</v>
      </c>
      <c r="FK21">
        <v>17.848500000000001</v>
      </c>
      <c r="FL21">
        <v>50</v>
      </c>
      <c r="FM21">
        <v>10.6236</v>
      </c>
      <c r="FN21">
        <v>100.47199999999999</v>
      </c>
      <c r="FO21">
        <v>101.054</v>
      </c>
    </row>
    <row r="22" spans="1:171" x14ac:dyDescent="0.35">
      <c r="A22">
        <v>6</v>
      </c>
      <c r="B22">
        <v>1564857364.7</v>
      </c>
      <c r="C22">
        <v>601</v>
      </c>
      <c r="D22" t="s">
        <v>309</v>
      </c>
      <c r="E22" t="s">
        <v>310</v>
      </c>
      <c r="G22">
        <v>1564857364.7</v>
      </c>
      <c r="H22">
        <f t="shared" si="0"/>
        <v>7.2184457035556039E-3</v>
      </c>
      <c r="I22">
        <f t="shared" si="1"/>
        <v>-3.0319327147569854</v>
      </c>
      <c r="J22">
        <f t="shared" si="2"/>
        <v>16.008900000000001</v>
      </c>
      <c r="K22">
        <f t="shared" si="3"/>
        <v>27.538940176118309</v>
      </c>
      <c r="L22">
        <f t="shared" si="4"/>
        <v>2.7386828619743997</v>
      </c>
      <c r="M22">
        <f t="shared" si="5"/>
        <v>1.59204747127788</v>
      </c>
      <c r="N22">
        <f t="shared" si="6"/>
        <v>0.4353484174100703</v>
      </c>
      <c r="O22">
        <f t="shared" si="7"/>
        <v>2.2525892971695969</v>
      </c>
      <c r="P22">
        <f t="shared" si="8"/>
        <v>0.3934390660408047</v>
      </c>
      <c r="Q22">
        <f t="shared" si="9"/>
        <v>0.24932773962072924</v>
      </c>
      <c r="R22">
        <f t="shared" si="10"/>
        <v>353.31816372485486</v>
      </c>
      <c r="S22">
        <f t="shared" si="11"/>
        <v>25.69495091230046</v>
      </c>
      <c r="T22">
        <f t="shared" si="12"/>
        <v>26.993400000000001</v>
      </c>
      <c r="U22">
        <f t="shared" si="13"/>
        <v>3.5777725222918924</v>
      </c>
      <c r="V22">
        <f t="shared" si="14"/>
        <v>55.251828538808368</v>
      </c>
      <c r="W22">
        <f t="shared" si="15"/>
        <v>1.8025582551044399</v>
      </c>
      <c r="X22">
        <f t="shared" si="16"/>
        <v>3.2624409051699343</v>
      </c>
      <c r="Y22">
        <f t="shared" si="17"/>
        <v>1.7752142671874525</v>
      </c>
      <c r="Z22">
        <f t="shared" si="18"/>
        <v>-318.33345552680214</v>
      </c>
      <c r="AA22">
        <f t="shared" si="19"/>
        <v>-189.65533764497297</v>
      </c>
      <c r="AB22">
        <f t="shared" si="20"/>
        <v>-18.027546951418358</v>
      </c>
      <c r="AC22">
        <f t="shared" si="21"/>
        <v>-172.6981763983386</v>
      </c>
      <c r="AD22">
        <v>-4.1253491241263499E-2</v>
      </c>
      <c r="AE22">
        <v>4.63106579226421E-2</v>
      </c>
      <c r="AF22">
        <v>3.4598510343192301</v>
      </c>
      <c r="AG22">
        <v>0</v>
      </c>
      <c r="AH22">
        <v>0</v>
      </c>
      <c r="AI22">
        <f t="shared" si="22"/>
        <v>1</v>
      </c>
      <c r="AJ22">
        <f t="shared" si="23"/>
        <v>0</v>
      </c>
      <c r="AK22">
        <f t="shared" si="24"/>
        <v>52878.200684758165</v>
      </c>
      <c r="AL22" t="s">
        <v>279</v>
      </c>
      <c r="AM22">
        <v>481.47884615384601</v>
      </c>
      <c r="AN22">
        <v>2238.31</v>
      </c>
      <c r="AO22">
        <f t="shared" si="25"/>
        <v>1756.8311538461539</v>
      </c>
      <c r="AP22">
        <f t="shared" si="26"/>
        <v>0.78489179508028561</v>
      </c>
      <c r="AQ22">
        <v>-0.96503536810971002</v>
      </c>
      <c r="AR22" t="s">
        <v>311</v>
      </c>
      <c r="AS22">
        <v>775.33173076923094</v>
      </c>
      <c r="AT22">
        <v>940.61500000000001</v>
      </c>
      <c r="AU22">
        <f t="shared" si="27"/>
        <v>0.17571830050633797</v>
      </c>
      <c r="AV22">
        <v>0.5</v>
      </c>
      <c r="AW22">
        <f t="shared" si="28"/>
        <v>1849.0767000754706</v>
      </c>
      <c r="AX22">
        <f t="shared" si="29"/>
        <v>-3.0319327147569854</v>
      </c>
      <c r="AY22">
        <f t="shared" si="30"/>
        <v>162.45830762156464</v>
      </c>
      <c r="AZ22">
        <f t="shared" si="31"/>
        <v>0.36352280157131245</v>
      </c>
      <c r="BA22">
        <f t="shared" si="32"/>
        <v>-1.117799681626465E-3</v>
      </c>
      <c r="BB22">
        <f t="shared" si="33"/>
        <v>1.3796239694242596</v>
      </c>
      <c r="BC22" t="s">
        <v>312</v>
      </c>
      <c r="BD22">
        <v>598.67999999999995</v>
      </c>
      <c r="BE22">
        <f t="shared" si="34"/>
        <v>341.93500000000006</v>
      </c>
      <c r="BF22">
        <f t="shared" si="35"/>
        <v>0.48337628271680011</v>
      </c>
      <c r="BG22">
        <f t="shared" si="36"/>
        <v>0.79145599921933596</v>
      </c>
      <c r="BH22">
        <f t="shared" si="37"/>
        <v>0.35998748485868898</v>
      </c>
      <c r="BI22">
        <f t="shared" si="38"/>
        <v>0.73865664162376266</v>
      </c>
      <c r="BJ22">
        <v>864</v>
      </c>
      <c r="BK22">
        <v>300</v>
      </c>
      <c r="BL22">
        <v>300</v>
      </c>
      <c r="BM22">
        <v>300</v>
      </c>
      <c r="BN22">
        <v>10107.9</v>
      </c>
      <c r="BO22">
        <v>898.88599999999997</v>
      </c>
      <c r="BP22">
        <v>-6.5635800000000003E-3</v>
      </c>
      <c r="BQ22">
        <v>2.96875</v>
      </c>
      <c r="BR22">
        <f t="shared" si="39"/>
        <v>2199.87</v>
      </c>
      <c r="BS22">
        <f t="shared" si="40"/>
        <v>1849.0767000754706</v>
      </c>
      <c r="BT22">
        <f t="shared" si="41"/>
        <v>0.84053907734342059</v>
      </c>
      <c r="BU22">
        <f t="shared" si="42"/>
        <v>0.19107815468684131</v>
      </c>
      <c r="BV22">
        <v>6</v>
      </c>
      <c r="BW22">
        <v>0.5</v>
      </c>
      <c r="BX22" t="s">
        <v>282</v>
      </c>
      <c r="BY22">
        <v>1564857364.7</v>
      </c>
      <c r="BZ22">
        <v>16.008900000000001</v>
      </c>
      <c r="CA22">
        <v>12.509</v>
      </c>
      <c r="CB22">
        <v>18.125699999999998</v>
      </c>
      <c r="CC22">
        <v>9.6199600000000007</v>
      </c>
      <c r="CD22">
        <v>499.964</v>
      </c>
      <c r="CE22">
        <v>99.347700000000003</v>
      </c>
      <c r="CF22">
        <v>9.9949200000000002E-2</v>
      </c>
      <c r="CG22">
        <v>25.431699999999999</v>
      </c>
      <c r="CH22">
        <v>26.993400000000001</v>
      </c>
      <c r="CI22">
        <v>999.9</v>
      </c>
      <c r="CJ22">
        <v>10013.799999999999</v>
      </c>
      <c r="CK22">
        <v>0</v>
      </c>
      <c r="CL22">
        <v>-437.29500000000002</v>
      </c>
      <c r="CM22">
        <v>2199.87</v>
      </c>
      <c r="CN22">
        <v>0.98199199999999998</v>
      </c>
      <c r="CO22">
        <v>1.8008E-2</v>
      </c>
      <c r="CP22">
        <v>0</v>
      </c>
      <c r="CQ22">
        <v>775.47199999999998</v>
      </c>
      <c r="CR22">
        <v>4.99986</v>
      </c>
      <c r="CS22">
        <v>17786.7</v>
      </c>
      <c r="CT22">
        <v>17912.7</v>
      </c>
      <c r="CU22">
        <v>49.125</v>
      </c>
      <c r="CV22">
        <v>51.061999999999998</v>
      </c>
      <c r="CW22">
        <v>49.811999999999998</v>
      </c>
      <c r="CX22">
        <v>49.5</v>
      </c>
      <c r="CY22">
        <v>50.311999999999998</v>
      </c>
      <c r="CZ22">
        <v>2155.34</v>
      </c>
      <c r="DA22">
        <v>39.53</v>
      </c>
      <c r="DB22">
        <v>0</v>
      </c>
      <c r="DC22">
        <v>135.5</v>
      </c>
      <c r="DD22">
        <v>775.33173076923094</v>
      </c>
      <c r="DE22">
        <v>2.76892308679732</v>
      </c>
      <c r="DF22">
        <v>59.258119756088199</v>
      </c>
      <c r="DG22">
        <v>17780.1192307692</v>
      </c>
      <c r="DH22">
        <v>15</v>
      </c>
      <c r="DI22">
        <v>1564857320.7</v>
      </c>
      <c r="DJ22" t="s">
        <v>313</v>
      </c>
      <c r="DK22">
        <v>62</v>
      </c>
      <c r="DL22">
        <v>1.6E-2</v>
      </c>
      <c r="DM22">
        <v>4.2000000000000003E-2</v>
      </c>
      <c r="DN22">
        <v>12</v>
      </c>
      <c r="DO22">
        <v>10</v>
      </c>
      <c r="DP22">
        <v>0.26</v>
      </c>
      <c r="DQ22">
        <v>0.01</v>
      </c>
      <c r="DR22">
        <v>-3.0133748285827799</v>
      </c>
      <c r="DS22">
        <v>-0.29409490691578599</v>
      </c>
      <c r="DT22">
        <v>0.16813161244163199</v>
      </c>
      <c r="DU22">
        <v>1</v>
      </c>
      <c r="DV22">
        <v>0.41551616518602902</v>
      </c>
      <c r="DW22">
        <v>0.104531716357238</v>
      </c>
      <c r="DX22">
        <v>3.5136346359887799E-2</v>
      </c>
      <c r="DY22">
        <v>1</v>
      </c>
      <c r="DZ22">
        <v>2</v>
      </c>
      <c r="EA22">
        <v>2</v>
      </c>
      <c r="EB22" t="s">
        <v>284</v>
      </c>
      <c r="EC22">
        <v>1.8671</v>
      </c>
      <c r="ED22">
        <v>1.8636299999999999</v>
      </c>
      <c r="EE22">
        <v>1.86921</v>
      </c>
      <c r="EF22">
        <v>1.8672200000000001</v>
      </c>
      <c r="EG22">
        <v>1.8718300000000001</v>
      </c>
      <c r="EH22">
        <v>1.86432</v>
      </c>
      <c r="EI22">
        <v>1.86578</v>
      </c>
      <c r="EJ22">
        <v>1.8656900000000001</v>
      </c>
      <c r="EK22" t="s">
        <v>285</v>
      </c>
      <c r="EL22" t="s">
        <v>19</v>
      </c>
      <c r="EM22" t="s">
        <v>19</v>
      </c>
      <c r="EN22" t="s">
        <v>19</v>
      </c>
      <c r="EO22" t="s">
        <v>286</v>
      </c>
      <c r="EP22" t="s">
        <v>287</v>
      </c>
      <c r="EQ22" t="s">
        <v>288</v>
      </c>
      <c r="ER22" t="s">
        <v>288</v>
      </c>
      <c r="ES22" t="s">
        <v>288</v>
      </c>
      <c r="ET22" t="s">
        <v>288</v>
      </c>
      <c r="EU22">
        <v>0</v>
      </c>
      <c r="EV22">
        <v>100</v>
      </c>
      <c r="EW22">
        <v>100</v>
      </c>
      <c r="EX22">
        <v>1.6E-2</v>
      </c>
      <c r="EY22">
        <v>4.2000000000000003E-2</v>
      </c>
      <c r="EZ22">
        <v>2</v>
      </c>
      <c r="FA22">
        <v>506.12200000000001</v>
      </c>
      <c r="FB22">
        <v>469.63900000000001</v>
      </c>
      <c r="FC22">
        <v>18.656500000000001</v>
      </c>
      <c r="FD22">
        <v>34.565600000000003</v>
      </c>
      <c r="FE22">
        <v>30.000399999999999</v>
      </c>
      <c r="FF22">
        <v>34.6173</v>
      </c>
      <c r="FG22">
        <v>34.618000000000002</v>
      </c>
      <c r="FH22">
        <v>3.8467500000000001</v>
      </c>
      <c r="FI22">
        <v>68.316800000000001</v>
      </c>
      <c r="FJ22">
        <v>0</v>
      </c>
      <c r="FK22">
        <v>18.659700000000001</v>
      </c>
      <c r="FL22">
        <v>12.5</v>
      </c>
      <c r="FM22">
        <v>9.5457400000000003</v>
      </c>
      <c r="FN22">
        <v>100.455</v>
      </c>
      <c r="FO22">
        <v>101.035</v>
      </c>
    </row>
    <row r="23" spans="1:171" x14ac:dyDescent="0.35">
      <c r="A23">
        <v>8</v>
      </c>
      <c r="B23">
        <v>1564857645.7</v>
      </c>
      <c r="C23">
        <v>882</v>
      </c>
      <c r="D23" t="s">
        <v>315</v>
      </c>
      <c r="E23" t="s">
        <v>316</v>
      </c>
      <c r="G23">
        <v>1564857645.7</v>
      </c>
      <c r="H23">
        <f t="shared" si="0"/>
        <v>6.3364003709624334E-3</v>
      </c>
      <c r="I23">
        <f t="shared" si="1"/>
        <v>31.956378049267489</v>
      </c>
      <c r="J23">
        <f t="shared" si="2"/>
        <v>358.88400000000001</v>
      </c>
      <c r="K23">
        <f t="shared" si="3"/>
        <v>204.74817767474346</v>
      </c>
      <c r="L23">
        <f t="shared" si="4"/>
        <v>20.362056803583535</v>
      </c>
      <c r="M23">
        <f t="shared" si="5"/>
        <v>35.690751814679999</v>
      </c>
      <c r="N23">
        <f t="shared" si="6"/>
        <v>0.37805460295674781</v>
      </c>
      <c r="O23">
        <f t="shared" si="7"/>
        <v>2.2525054002026632</v>
      </c>
      <c r="P23">
        <f t="shared" si="8"/>
        <v>0.34601508372377715</v>
      </c>
      <c r="Q23">
        <f t="shared" si="9"/>
        <v>0.21891132839916633</v>
      </c>
      <c r="R23">
        <f t="shared" si="10"/>
        <v>353.35111795601426</v>
      </c>
      <c r="S23">
        <f t="shared" si="11"/>
        <v>26.09056723440548</v>
      </c>
      <c r="T23">
        <f t="shared" si="12"/>
        <v>26.975999999999999</v>
      </c>
      <c r="U23">
        <f t="shared" si="13"/>
        <v>3.574117685795466</v>
      </c>
      <c r="V23">
        <f t="shared" si="14"/>
        <v>54.904252741503065</v>
      </c>
      <c r="W23">
        <f t="shared" si="15"/>
        <v>1.802179891232</v>
      </c>
      <c r="X23">
        <f t="shared" si="16"/>
        <v>3.2824049162765512</v>
      </c>
      <c r="Y23">
        <f t="shared" si="17"/>
        <v>1.771937794563466</v>
      </c>
      <c r="Z23">
        <f t="shared" si="18"/>
        <v>-279.43525635944331</v>
      </c>
      <c r="AA23">
        <f t="shared" si="19"/>
        <v>-175.06368174926229</v>
      </c>
      <c r="AB23">
        <f t="shared" si="20"/>
        <v>-16.648268111683006</v>
      </c>
      <c r="AC23">
        <f t="shared" si="21"/>
        <v>-117.79608826437436</v>
      </c>
      <c r="AD23">
        <v>-4.1251230298250598E-2</v>
      </c>
      <c r="AE23">
        <v>4.6308119816040702E-2</v>
      </c>
      <c r="AF23">
        <v>3.4597009720434402</v>
      </c>
      <c r="AG23">
        <v>0</v>
      </c>
      <c r="AH23">
        <v>0</v>
      </c>
      <c r="AI23">
        <f t="shared" si="22"/>
        <v>1</v>
      </c>
      <c r="AJ23">
        <f t="shared" si="23"/>
        <v>0</v>
      </c>
      <c r="AK23">
        <f t="shared" si="24"/>
        <v>52857.265016408805</v>
      </c>
      <c r="AL23" t="s">
        <v>279</v>
      </c>
      <c r="AM23">
        <v>481.47884615384601</v>
      </c>
      <c r="AN23">
        <v>2238.31</v>
      </c>
      <c r="AO23">
        <f t="shared" si="25"/>
        <v>1756.8311538461539</v>
      </c>
      <c r="AP23">
        <f t="shared" si="26"/>
        <v>0.78489179508028561</v>
      </c>
      <c r="AQ23">
        <v>-0.96503536810971002</v>
      </c>
      <c r="AR23" t="s">
        <v>317</v>
      </c>
      <c r="AS23">
        <v>752.21761538461499</v>
      </c>
      <c r="AT23">
        <v>1103.03</v>
      </c>
      <c r="AU23">
        <f t="shared" si="27"/>
        <v>0.31804428221842107</v>
      </c>
      <c r="AV23">
        <v>0.5</v>
      </c>
      <c r="AW23">
        <f t="shared" si="28"/>
        <v>1849.2528000754444</v>
      </c>
      <c r="AX23">
        <f t="shared" si="29"/>
        <v>31.956378049267489</v>
      </c>
      <c r="AY23">
        <f t="shared" si="30"/>
        <v>294.07213972020003</v>
      </c>
      <c r="AZ23">
        <f t="shared" si="31"/>
        <v>0.50889821673027924</v>
      </c>
      <c r="BA23">
        <f t="shared" si="32"/>
        <v>1.7802548908420791E-2</v>
      </c>
      <c r="BB23">
        <f t="shared" si="33"/>
        <v>1.0292376453949574</v>
      </c>
      <c r="BC23" t="s">
        <v>318</v>
      </c>
      <c r="BD23">
        <v>541.70000000000005</v>
      </c>
      <c r="BE23">
        <f t="shared" si="34"/>
        <v>561.32999999999993</v>
      </c>
      <c r="BF23">
        <f t="shared" si="35"/>
        <v>0.624966391633059</v>
      </c>
      <c r="BG23">
        <f t="shared" si="36"/>
        <v>0.6691461207938183</v>
      </c>
      <c r="BH23">
        <f t="shared" si="37"/>
        <v>0.56441434054873929</v>
      </c>
      <c r="BI23">
        <f t="shared" si="38"/>
        <v>0.64620894131720108</v>
      </c>
      <c r="BJ23">
        <v>868</v>
      </c>
      <c r="BK23">
        <v>300</v>
      </c>
      <c r="BL23">
        <v>300</v>
      </c>
      <c r="BM23">
        <v>300</v>
      </c>
      <c r="BN23">
        <v>10108</v>
      </c>
      <c r="BO23">
        <v>994.93799999999999</v>
      </c>
      <c r="BP23">
        <v>-6.5643300000000002E-3</v>
      </c>
      <c r="BQ23">
        <v>0.61273200000000005</v>
      </c>
      <c r="BR23">
        <f t="shared" si="39"/>
        <v>2200.08</v>
      </c>
      <c r="BS23">
        <f t="shared" si="40"/>
        <v>1849.2528000754444</v>
      </c>
      <c r="BT23">
        <f t="shared" si="41"/>
        <v>0.84053888952921918</v>
      </c>
      <c r="BU23">
        <f t="shared" si="42"/>
        <v>0.19107777905843837</v>
      </c>
      <c r="BV23">
        <v>6</v>
      </c>
      <c r="BW23">
        <v>0.5</v>
      </c>
      <c r="BX23" t="s">
        <v>282</v>
      </c>
      <c r="BY23">
        <v>1564857645.7</v>
      </c>
      <c r="BZ23">
        <v>358.88400000000001</v>
      </c>
      <c r="CA23">
        <v>399.96</v>
      </c>
      <c r="CB23">
        <v>18.121600000000001</v>
      </c>
      <c r="CC23">
        <v>10.655799999999999</v>
      </c>
      <c r="CD23">
        <v>500.00599999999997</v>
      </c>
      <c r="CE23">
        <v>99.349199999999996</v>
      </c>
      <c r="CF23">
        <v>0.10007000000000001</v>
      </c>
      <c r="CG23">
        <v>25.534400000000002</v>
      </c>
      <c r="CH23">
        <v>26.975999999999999</v>
      </c>
      <c r="CI23">
        <v>999.9</v>
      </c>
      <c r="CJ23">
        <v>10013.1</v>
      </c>
      <c r="CK23">
        <v>0</v>
      </c>
      <c r="CL23">
        <v>-417.964</v>
      </c>
      <c r="CM23">
        <v>2200.08</v>
      </c>
      <c r="CN23">
        <v>0.98199499999999995</v>
      </c>
      <c r="CO23">
        <v>1.8005500000000001E-2</v>
      </c>
      <c r="CP23">
        <v>0</v>
      </c>
      <c r="CQ23">
        <v>752.74</v>
      </c>
      <c r="CR23">
        <v>4.99986</v>
      </c>
      <c r="CS23">
        <v>17282.599999999999</v>
      </c>
      <c r="CT23">
        <v>17914.400000000001</v>
      </c>
      <c r="CU23">
        <v>49.375</v>
      </c>
      <c r="CV23">
        <v>50.561999999999998</v>
      </c>
      <c r="CW23">
        <v>49.875</v>
      </c>
      <c r="CX23">
        <v>49.436999999999998</v>
      </c>
      <c r="CY23">
        <v>50.5</v>
      </c>
      <c r="CZ23">
        <v>2155.56</v>
      </c>
      <c r="DA23">
        <v>39.520000000000003</v>
      </c>
      <c r="DB23">
        <v>0</v>
      </c>
      <c r="DC23">
        <v>140.200000047684</v>
      </c>
      <c r="DD23">
        <v>752.21761538461499</v>
      </c>
      <c r="DE23">
        <v>2.9474871746642299</v>
      </c>
      <c r="DF23">
        <v>52.215384624033298</v>
      </c>
      <c r="DG23">
        <v>17275.2961538462</v>
      </c>
      <c r="DH23">
        <v>15</v>
      </c>
      <c r="DI23">
        <v>1564857579.7</v>
      </c>
      <c r="DJ23" t="s">
        <v>319</v>
      </c>
      <c r="DK23">
        <v>64</v>
      </c>
      <c r="DL23">
        <v>0.25600000000000001</v>
      </c>
      <c r="DM23">
        <v>3.9E-2</v>
      </c>
      <c r="DN23">
        <v>400</v>
      </c>
      <c r="DO23">
        <v>10</v>
      </c>
      <c r="DP23">
        <v>0.02</v>
      </c>
      <c r="DQ23">
        <v>0.01</v>
      </c>
      <c r="DR23">
        <v>32.465272020775998</v>
      </c>
      <c r="DS23">
        <v>-1.3380969202139701</v>
      </c>
      <c r="DT23">
        <v>0.25857453510059603</v>
      </c>
      <c r="DU23">
        <v>0</v>
      </c>
      <c r="DV23">
        <v>0.39124469031372</v>
      </c>
      <c r="DW23">
        <v>-5.9295988868142899E-2</v>
      </c>
      <c r="DX23">
        <v>1.18244100035176E-2</v>
      </c>
      <c r="DY23">
        <v>1</v>
      </c>
      <c r="DZ23">
        <v>1</v>
      </c>
      <c r="EA23">
        <v>2</v>
      </c>
      <c r="EB23" t="s">
        <v>314</v>
      </c>
      <c r="EC23">
        <v>1.8670800000000001</v>
      </c>
      <c r="ED23">
        <v>1.8635600000000001</v>
      </c>
      <c r="EE23">
        <v>1.8692</v>
      </c>
      <c r="EF23">
        <v>1.8672</v>
      </c>
      <c r="EG23">
        <v>1.8717999999999999</v>
      </c>
      <c r="EH23">
        <v>1.86432</v>
      </c>
      <c r="EI23">
        <v>1.8657300000000001</v>
      </c>
      <c r="EJ23">
        <v>1.8656900000000001</v>
      </c>
      <c r="EK23" t="s">
        <v>285</v>
      </c>
      <c r="EL23" t="s">
        <v>19</v>
      </c>
      <c r="EM23" t="s">
        <v>19</v>
      </c>
      <c r="EN23" t="s">
        <v>19</v>
      </c>
      <c r="EO23" t="s">
        <v>286</v>
      </c>
      <c r="EP23" t="s">
        <v>287</v>
      </c>
      <c r="EQ23" t="s">
        <v>288</v>
      </c>
      <c r="ER23" t="s">
        <v>288</v>
      </c>
      <c r="ES23" t="s">
        <v>288</v>
      </c>
      <c r="ET23" t="s">
        <v>288</v>
      </c>
      <c r="EU23">
        <v>0</v>
      </c>
      <c r="EV23">
        <v>100</v>
      </c>
      <c r="EW23">
        <v>100</v>
      </c>
      <c r="EX23">
        <v>0.25600000000000001</v>
      </c>
      <c r="EY23">
        <v>3.9E-2</v>
      </c>
      <c r="EZ23">
        <v>2</v>
      </c>
      <c r="FA23">
        <v>505.09699999999998</v>
      </c>
      <c r="FB23">
        <v>470.91199999999998</v>
      </c>
      <c r="FC23">
        <v>17.9251</v>
      </c>
      <c r="FD23">
        <v>34.717300000000002</v>
      </c>
      <c r="FE23">
        <v>29.9998</v>
      </c>
      <c r="FF23">
        <v>34.759300000000003</v>
      </c>
      <c r="FG23">
        <v>34.760100000000001</v>
      </c>
      <c r="FH23">
        <v>22.288399999999999</v>
      </c>
      <c r="FI23">
        <v>64.6417</v>
      </c>
      <c r="FJ23">
        <v>0</v>
      </c>
      <c r="FK23">
        <v>17.947199999999999</v>
      </c>
      <c r="FL23">
        <v>400</v>
      </c>
      <c r="FM23">
        <v>10.7317</v>
      </c>
      <c r="FN23">
        <v>100.423</v>
      </c>
      <c r="FO23">
        <v>100.995</v>
      </c>
    </row>
    <row r="24" spans="1:171" x14ac:dyDescent="0.35">
      <c r="A24">
        <v>9</v>
      </c>
      <c r="B24">
        <v>1564857786.2</v>
      </c>
      <c r="C24">
        <v>1022.5</v>
      </c>
      <c r="D24" t="s">
        <v>320</v>
      </c>
      <c r="E24" t="s">
        <v>321</v>
      </c>
      <c r="G24">
        <v>1564857786.2</v>
      </c>
      <c r="H24">
        <f t="shared" si="0"/>
        <v>5.5011355806898667E-3</v>
      </c>
      <c r="I24">
        <f t="shared" si="1"/>
        <v>37.416598428495227</v>
      </c>
      <c r="J24">
        <f t="shared" si="2"/>
        <v>452.07400000000001</v>
      </c>
      <c r="K24">
        <f t="shared" si="3"/>
        <v>240.9841942479901</v>
      </c>
      <c r="L24">
        <f t="shared" si="4"/>
        <v>23.965371858367341</v>
      </c>
      <c r="M24">
        <f t="shared" si="5"/>
        <v>44.957809582940797</v>
      </c>
      <c r="N24">
        <f t="shared" si="6"/>
        <v>0.31798774557507842</v>
      </c>
      <c r="O24">
        <f t="shared" si="7"/>
        <v>2.2504834693435942</v>
      </c>
      <c r="P24">
        <f t="shared" si="8"/>
        <v>0.2949698360990653</v>
      </c>
      <c r="Q24">
        <f t="shared" si="9"/>
        <v>0.1862851776964789</v>
      </c>
      <c r="R24">
        <f t="shared" si="10"/>
        <v>353.33731565510578</v>
      </c>
      <c r="S24">
        <f t="shared" si="11"/>
        <v>26.311948131534628</v>
      </c>
      <c r="T24">
        <f t="shared" si="12"/>
        <v>27.067</v>
      </c>
      <c r="U24">
        <f t="shared" si="13"/>
        <v>3.5932681708778382</v>
      </c>
      <c r="V24">
        <f t="shared" si="14"/>
        <v>54.678547984442062</v>
      </c>
      <c r="W24">
        <f t="shared" si="15"/>
        <v>1.7887693629103996</v>
      </c>
      <c r="X24">
        <f t="shared" si="16"/>
        <v>3.2714280624631185</v>
      </c>
      <c r="Y24">
        <f t="shared" si="17"/>
        <v>1.8044988079674387</v>
      </c>
      <c r="Z24">
        <f t="shared" si="18"/>
        <v>-242.60007910842313</v>
      </c>
      <c r="AA24">
        <f t="shared" si="19"/>
        <v>-192.79029496601103</v>
      </c>
      <c r="AB24">
        <f t="shared" si="20"/>
        <v>-18.353717548190744</v>
      </c>
      <c r="AC24">
        <f t="shared" si="21"/>
        <v>-100.40677596751911</v>
      </c>
      <c r="AD24">
        <v>-4.1196764279621399E-2</v>
      </c>
      <c r="AE24">
        <v>4.6246976938644102E-2</v>
      </c>
      <c r="AF24">
        <v>3.4560851217780999</v>
      </c>
      <c r="AG24">
        <v>0</v>
      </c>
      <c r="AH24">
        <v>0</v>
      </c>
      <c r="AI24">
        <f t="shared" si="22"/>
        <v>1</v>
      </c>
      <c r="AJ24">
        <f t="shared" si="23"/>
        <v>0</v>
      </c>
      <c r="AK24">
        <f t="shared" si="24"/>
        <v>52800.285698482825</v>
      </c>
      <c r="AL24" t="s">
        <v>279</v>
      </c>
      <c r="AM24">
        <v>481.47884615384601</v>
      </c>
      <c r="AN24">
        <v>2238.31</v>
      </c>
      <c r="AO24">
        <f t="shared" si="25"/>
        <v>1756.8311538461539</v>
      </c>
      <c r="AP24">
        <f t="shared" si="26"/>
        <v>0.78489179508028561</v>
      </c>
      <c r="AQ24">
        <v>-0.96503536810971002</v>
      </c>
      <c r="AR24" t="s">
        <v>322</v>
      </c>
      <c r="AS24">
        <v>774.56630769230799</v>
      </c>
      <c r="AT24">
        <v>1174.5</v>
      </c>
      <c r="AU24">
        <f t="shared" si="27"/>
        <v>0.34051399941055094</v>
      </c>
      <c r="AV24">
        <v>0.5</v>
      </c>
      <c r="AW24">
        <f t="shared" si="28"/>
        <v>1849.177500075466</v>
      </c>
      <c r="AX24">
        <f t="shared" si="29"/>
        <v>37.416598428495227</v>
      </c>
      <c r="AY24">
        <f t="shared" si="30"/>
        <v>314.83541308535064</v>
      </c>
      <c r="AZ24">
        <f t="shared" si="31"/>
        <v>0.53031928480204349</v>
      </c>
      <c r="BA24">
        <f t="shared" si="32"/>
        <v>2.0756057109195068E-2</v>
      </c>
      <c r="BB24">
        <f t="shared" si="33"/>
        <v>0.90575564069816938</v>
      </c>
      <c r="BC24" t="s">
        <v>323</v>
      </c>
      <c r="BD24">
        <v>551.64</v>
      </c>
      <c r="BE24">
        <f t="shared" si="34"/>
        <v>622.86</v>
      </c>
      <c r="BF24">
        <f t="shared" si="35"/>
        <v>0.64209243218009182</v>
      </c>
      <c r="BG24">
        <f t="shared" si="36"/>
        <v>0.63071614482975324</v>
      </c>
      <c r="BH24">
        <f t="shared" si="37"/>
        <v>0.57708727949807226</v>
      </c>
      <c r="BI24">
        <f t="shared" si="38"/>
        <v>0.60552774105300167</v>
      </c>
      <c r="BJ24">
        <v>870</v>
      </c>
      <c r="BK24">
        <v>300</v>
      </c>
      <c r="BL24">
        <v>300</v>
      </c>
      <c r="BM24">
        <v>300</v>
      </c>
      <c r="BN24">
        <v>10109.299999999999</v>
      </c>
      <c r="BO24">
        <v>1051.54</v>
      </c>
      <c r="BP24">
        <v>-6.5654600000000004E-3</v>
      </c>
      <c r="BQ24">
        <v>-0.31079099999999998</v>
      </c>
      <c r="BR24">
        <f t="shared" si="39"/>
        <v>2199.9899999999998</v>
      </c>
      <c r="BS24">
        <f t="shared" si="40"/>
        <v>1849.177500075466</v>
      </c>
      <c r="BT24">
        <f t="shared" si="41"/>
        <v>0.8405390479390662</v>
      </c>
      <c r="BU24">
        <f t="shared" si="42"/>
        <v>0.19107809587813279</v>
      </c>
      <c r="BV24">
        <v>6</v>
      </c>
      <c r="BW24">
        <v>0.5</v>
      </c>
      <c r="BX24" t="s">
        <v>282</v>
      </c>
      <c r="BY24">
        <v>1564857786.2</v>
      </c>
      <c r="BZ24">
        <v>452.07400000000001</v>
      </c>
      <c r="CA24">
        <v>499.96100000000001</v>
      </c>
      <c r="CB24">
        <v>17.986999999999998</v>
      </c>
      <c r="CC24">
        <v>11.504</v>
      </c>
      <c r="CD24">
        <v>499.971</v>
      </c>
      <c r="CE24">
        <v>99.347999999999999</v>
      </c>
      <c r="CF24">
        <v>9.9899199999999994E-2</v>
      </c>
      <c r="CG24">
        <v>25.478000000000002</v>
      </c>
      <c r="CH24">
        <v>27.067</v>
      </c>
      <c r="CI24">
        <v>999.9</v>
      </c>
      <c r="CJ24">
        <v>10000</v>
      </c>
      <c r="CK24">
        <v>0</v>
      </c>
      <c r="CL24">
        <v>-429.64100000000002</v>
      </c>
      <c r="CM24">
        <v>2199.9899999999998</v>
      </c>
      <c r="CN24">
        <v>0.98199199999999998</v>
      </c>
      <c r="CO24">
        <v>1.8008E-2</v>
      </c>
      <c r="CP24">
        <v>0</v>
      </c>
      <c r="CQ24">
        <v>774.798</v>
      </c>
      <c r="CR24">
        <v>4.99986</v>
      </c>
      <c r="CS24">
        <v>17785.400000000001</v>
      </c>
      <c r="CT24">
        <v>17913.7</v>
      </c>
      <c r="CU24">
        <v>49.061999999999998</v>
      </c>
      <c r="CV24">
        <v>50.061999999999998</v>
      </c>
      <c r="CW24">
        <v>49.561999999999998</v>
      </c>
      <c r="CX24">
        <v>49</v>
      </c>
      <c r="CY24">
        <v>50.186999999999998</v>
      </c>
      <c r="CZ24">
        <v>2155.46</v>
      </c>
      <c r="DA24">
        <v>39.53</v>
      </c>
      <c r="DB24">
        <v>0</v>
      </c>
      <c r="DC24">
        <v>140.10000014305101</v>
      </c>
      <c r="DD24">
        <v>774.56630769230799</v>
      </c>
      <c r="DE24">
        <v>1.72478632546831</v>
      </c>
      <c r="DF24">
        <v>41.976068385950803</v>
      </c>
      <c r="DG24">
        <v>17778.892307692298</v>
      </c>
      <c r="DH24">
        <v>15</v>
      </c>
      <c r="DI24">
        <v>1564857721.7</v>
      </c>
      <c r="DJ24" t="s">
        <v>324</v>
      </c>
      <c r="DK24">
        <v>65</v>
      </c>
      <c r="DL24">
        <v>0.34100000000000003</v>
      </c>
      <c r="DM24">
        <v>5.5E-2</v>
      </c>
      <c r="DN24">
        <v>500</v>
      </c>
      <c r="DO24">
        <v>11</v>
      </c>
      <c r="DP24">
        <v>0.04</v>
      </c>
      <c r="DQ24">
        <v>0.01</v>
      </c>
      <c r="DR24">
        <v>37.6212543722514</v>
      </c>
      <c r="DS24">
        <v>-0.55534974760415201</v>
      </c>
      <c r="DT24">
        <v>0.112442025771363</v>
      </c>
      <c r="DU24">
        <v>0</v>
      </c>
      <c r="DV24">
        <v>0.32249529314830899</v>
      </c>
      <c r="DW24">
        <v>-1.45370618858425E-2</v>
      </c>
      <c r="DX24">
        <v>2.9598757688965101E-3</v>
      </c>
      <c r="DY24">
        <v>1</v>
      </c>
      <c r="DZ24">
        <v>1</v>
      </c>
      <c r="EA24">
        <v>2</v>
      </c>
      <c r="EB24" t="s">
        <v>314</v>
      </c>
      <c r="EC24">
        <v>1.86713</v>
      </c>
      <c r="ED24">
        <v>1.8636900000000001</v>
      </c>
      <c r="EE24">
        <v>1.86924</v>
      </c>
      <c r="EF24">
        <v>1.8672200000000001</v>
      </c>
      <c r="EG24">
        <v>1.8718900000000001</v>
      </c>
      <c r="EH24">
        <v>1.86432</v>
      </c>
      <c r="EI24">
        <v>1.86582</v>
      </c>
      <c r="EJ24">
        <v>1.86571</v>
      </c>
      <c r="EK24" t="s">
        <v>285</v>
      </c>
      <c r="EL24" t="s">
        <v>19</v>
      </c>
      <c r="EM24" t="s">
        <v>19</v>
      </c>
      <c r="EN24" t="s">
        <v>19</v>
      </c>
      <c r="EO24" t="s">
        <v>286</v>
      </c>
      <c r="EP24" t="s">
        <v>287</v>
      </c>
      <c r="EQ24" t="s">
        <v>288</v>
      </c>
      <c r="ER24" t="s">
        <v>288</v>
      </c>
      <c r="ES24" t="s">
        <v>288</v>
      </c>
      <c r="ET24" t="s">
        <v>288</v>
      </c>
      <c r="EU24">
        <v>0</v>
      </c>
      <c r="EV24">
        <v>100</v>
      </c>
      <c r="EW24">
        <v>100</v>
      </c>
      <c r="EX24">
        <v>0.34100000000000003</v>
      </c>
      <c r="EY24">
        <v>5.5E-2</v>
      </c>
      <c r="EZ24">
        <v>2</v>
      </c>
      <c r="FA24">
        <v>505.02699999999999</v>
      </c>
      <c r="FB24">
        <v>470.82900000000001</v>
      </c>
      <c r="FC24">
        <v>18.677900000000001</v>
      </c>
      <c r="FD24">
        <v>34.764299999999999</v>
      </c>
      <c r="FE24">
        <v>30.000399999999999</v>
      </c>
      <c r="FF24">
        <v>34.806800000000003</v>
      </c>
      <c r="FG24">
        <v>34.800899999999999</v>
      </c>
      <c r="FH24">
        <v>26.656199999999998</v>
      </c>
      <c r="FI24">
        <v>60.6447</v>
      </c>
      <c r="FJ24">
        <v>0</v>
      </c>
      <c r="FK24">
        <v>18.633199999999999</v>
      </c>
      <c r="FL24">
        <v>500</v>
      </c>
      <c r="FM24">
        <v>11.597</v>
      </c>
      <c r="FN24">
        <v>100.414</v>
      </c>
      <c r="FO24">
        <v>100.988</v>
      </c>
    </row>
    <row r="25" spans="1:171" x14ac:dyDescent="0.35">
      <c r="A25">
        <v>10</v>
      </c>
      <c r="B25">
        <v>1564857900.7</v>
      </c>
      <c r="C25">
        <v>1137</v>
      </c>
      <c r="D25" t="s">
        <v>325</v>
      </c>
      <c r="E25" t="s">
        <v>326</v>
      </c>
      <c r="G25">
        <v>1564857900.7</v>
      </c>
      <c r="H25">
        <f t="shared" si="0"/>
        <v>5.5915053822361369E-3</v>
      </c>
      <c r="I25">
        <f t="shared" si="1"/>
        <v>44.475332511531853</v>
      </c>
      <c r="J25">
        <f t="shared" si="2"/>
        <v>542.98400000000004</v>
      </c>
      <c r="K25">
        <f t="shared" si="3"/>
        <v>301.11340743326576</v>
      </c>
      <c r="L25">
        <f t="shared" si="4"/>
        <v>29.944173720715707</v>
      </c>
      <c r="M25">
        <f t="shared" si="5"/>
        <v>53.996955373608003</v>
      </c>
      <c r="N25">
        <f t="shared" si="6"/>
        <v>0.33143010651473631</v>
      </c>
      <c r="O25">
        <f t="shared" si="7"/>
        <v>2.2483296288113048</v>
      </c>
      <c r="P25">
        <f t="shared" si="8"/>
        <v>0.30648475026604088</v>
      </c>
      <c r="Q25">
        <f t="shared" si="9"/>
        <v>0.19363751340298607</v>
      </c>
      <c r="R25">
        <f t="shared" si="10"/>
        <v>353.33347307464248</v>
      </c>
      <c r="S25">
        <f t="shared" si="11"/>
        <v>26.098738408605882</v>
      </c>
      <c r="T25">
        <f t="shared" si="12"/>
        <v>26.97</v>
      </c>
      <c r="U25">
        <f t="shared" si="13"/>
        <v>3.5728581532606825</v>
      </c>
      <c r="V25">
        <f t="shared" si="14"/>
        <v>55.863968322136017</v>
      </c>
      <c r="W25">
        <f t="shared" si="15"/>
        <v>1.8076684690512002</v>
      </c>
      <c r="X25">
        <f t="shared" si="16"/>
        <v>3.235839707317953</v>
      </c>
      <c r="Y25">
        <f t="shared" si="17"/>
        <v>1.7651896842094823</v>
      </c>
      <c r="Z25">
        <f t="shared" si="18"/>
        <v>-246.58538735661364</v>
      </c>
      <c r="AA25">
        <f t="shared" si="19"/>
        <v>-203.15122308564406</v>
      </c>
      <c r="AB25">
        <f t="shared" si="20"/>
        <v>-19.331372876485762</v>
      </c>
      <c r="AC25">
        <f t="shared" si="21"/>
        <v>-115.73451024410099</v>
      </c>
      <c r="AD25">
        <v>-4.1138793605131702E-2</v>
      </c>
      <c r="AE25">
        <v>4.6181899778019397E-2</v>
      </c>
      <c r="AF25">
        <v>3.4522347999279299</v>
      </c>
      <c r="AG25">
        <v>0</v>
      </c>
      <c r="AH25">
        <v>0</v>
      </c>
      <c r="AI25">
        <f t="shared" si="22"/>
        <v>1</v>
      </c>
      <c r="AJ25">
        <f t="shared" si="23"/>
        <v>0</v>
      </c>
      <c r="AK25">
        <f t="shared" si="24"/>
        <v>52761.465626948462</v>
      </c>
      <c r="AL25" t="s">
        <v>279</v>
      </c>
      <c r="AM25">
        <v>481.47884615384601</v>
      </c>
      <c r="AN25">
        <v>2238.31</v>
      </c>
      <c r="AO25">
        <f t="shared" si="25"/>
        <v>1756.8311538461539</v>
      </c>
      <c r="AP25">
        <f t="shared" si="26"/>
        <v>0.78489179508028561</v>
      </c>
      <c r="AQ25">
        <v>-0.96503536810971002</v>
      </c>
      <c r="AR25" t="s">
        <v>327</v>
      </c>
      <c r="AS25">
        <v>801.85276923076901</v>
      </c>
      <c r="AT25">
        <v>1249.1199999999999</v>
      </c>
      <c r="AU25">
        <f t="shared" si="27"/>
        <v>0.35806586298292475</v>
      </c>
      <c r="AV25">
        <v>0.5</v>
      </c>
      <c r="AW25">
        <f t="shared" si="28"/>
        <v>1849.1679000753909</v>
      </c>
      <c r="AX25">
        <f t="shared" si="29"/>
        <v>44.475332511531853</v>
      </c>
      <c r="AY25">
        <f t="shared" si="30"/>
        <v>331.06194997040882</v>
      </c>
      <c r="AZ25">
        <f t="shared" si="31"/>
        <v>0.55639169975662861</v>
      </c>
      <c r="BA25">
        <f t="shared" si="32"/>
        <v>2.457341373803263E-2</v>
      </c>
      <c r="BB25">
        <f t="shared" si="33"/>
        <v>0.79190950429102103</v>
      </c>
      <c r="BC25" t="s">
        <v>328</v>
      </c>
      <c r="BD25">
        <v>554.12</v>
      </c>
      <c r="BE25">
        <f t="shared" si="34"/>
        <v>694.99999999999989</v>
      </c>
      <c r="BF25">
        <f t="shared" si="35"/>
        <v>0.64354997232982869</v>
      </c>
      <c r="BG25">
        <f t="shared" si="36"/>
        <v>0.5873387206906584</v>
      </c>
      <c r="BH25">
        <f t="shared" si="37"/>
        <v>0.58265144921981282</v>
      </c>
      <c r="BI25">
        <f t="shared" si="38"/>
        <v>0.56305353979772588</v>
      </c>
      <c r="BJ25">
        <v>872</v>
      </c>
      <c r="BK25">
        <v>300</v>
      </c>
      <c r="BL25">
        <v>300</v>
      </c>
      <c r="BM25">
        <v>300</v>
      </c>
      <c r="BN25">
        <v>10109.700000000001</v>
      </c>
      <c r="BO25">
        <v>1114.42</v>
      </c>
      <c r="BP25">
        <v>-6.56611E-3</v>
      </c>
      <c r="BQ25">
        <v>1.7397499999999999</v>
      </c>
      <c r="BR25">
        <f t="shared" si="39"/>
        <v>2199.98</v>
      </c>
      <c r="BS25">
        <f t="shared" si="40"/>
        <v>1849.1679000753909</v>
      </c>
      <c r="BT25">
        <f t="shared" si="41"/>
        <v>0.84053850492976789</v>
      </c>
      <c r="BU25">
        <f t="shared" si="42"/>
        <v>0.19107700985953574</v>
      </c>
      <c r="BV25">
        <v>6</v>
      </c>
      <c r="BW25">
        <v>0.5</v>
      </c>
      <c r="BX25" t="s">
        <v>282</v>
      </c>
      <c r="BY25">
        <v>1564857900.7</v>
      </c>
      <c r="BZ25">
        <v>542.98400000000004</v>
      </c>
      <c r="CA25">
        <v>599.98699999999997</v>
      </c>
      <c r="CB25">
        <v>18.177600000000002</v>
      </c>
      <c r="CC25">
        <v>11.590999999999999</v>
      </c>
      <c r="CD25">
        <v>500.09399999999999</v>
      </c>
      <c r="CE25">
        <v>99.344800000000006</v>
      </c>
      <c r="CF25">
        <v>0.100037</v>
      </c>
      <c r="CG25">
        <v>25.294</v>
      </c>
      <c r="CH25">
        <v>26.97</v>
      </c>
      <c r="CI25">
        <v>999.9</v>
      </c>
      <c r="CJ25">
        <v>9986.25</v>
      </c>
      <c r="CK25">
        <v>0</v>
      </c>
      <c r="CL25">
        <v>-430.00900000000001</v>
      </c>
      <c r="CM25">
        <v>2199.98</v>
      </c>
      <c r="CN25">
        <v>0.98200699999999996</v>
      </c>
      <c r="CO25">
        <v>1.7993100000000001E-2</v>
      </c>
      <c r="CP25">
        <v>0</v>
      </c>
      <c r="CQ25">
        <v>801.91</v>
      </c>
      <c r="CR25">
        <v>4.99986</v>
      </c>
      <c r="CS25">
        <v>18399.400000000001</v>
      </c>
      <c r="CT25">
        <v>17913.599999999999</v>
      </c>
      <c r="CU25">
        <v>49</v>
      </c>
      <c r="CV25">
        <v>50.25</v>
      </c>
      <c r="CW25">
        <v>49.561999999999998</v>
      </c>
      <c r="CX25">
        <v>48.936999999999998</v>
      </c>
      <c r="CY25">
        <v>50.125</v>
      </c>
      <c r="CZ25">
        <v>2155.4899999999998</v>
      </c>
      <c r="DA25">
        <v>39.49</v>
      </c>
      <c r="DB25">
        <v>0</v>
      </c>
      <c r="DC25">
        <v>113.90000009536701</v>
      </c>
      <c r="DD25">
        <v>801.85276923076901</v>
      </c>
      <c r="DE25">
        <v>-5.1350436514345503E-2</v>
      </c>
      <c r="DF25">
        <v>8.2188034152589804</v>
      </c>
      <c r="DG25">
        <v>18398.307692307699</v>
      </c>
      <c r="DH25">
        <v>15</v>
      </c>
      <c r="DI25">
        <v>1564857855.2</v>
      </c>
      <c r="DJ25" t="s">
        <v>329</v>
      </c>
      <c r="DK25">
        <v>66</v>
      </c>
      <c r="DL25">
        <v>0.46100000000000002</v>
      </c>
      <c r="DM25">
        <v>6.2E-2</v>
      </c>
      <c r="DN25">
        <v>600</v>
      </c>
      <c r="DO25">
        <v>12</v>
      </c>
      <c r="DP25">
        <v>0.03</v>
      </c>
      <c r="DQ25">
        <v>0.01</v>
      </c>
      <c r="DR25">
        <v>44.485245769478503</v>
      </c>
      <c r="DS25">
        <v>0.246397069941928</v>
      </c>
      <c r="DT25">
        <v>0.313526828714423</v>
      </c>
      <c r="DU25">
        <v>1</v>
      </c>
      <c r="DV25">
        <v>0.31942722876234297</v>
      </c>
      <c r="DW25">
        <v>3.47631158635585E-2</v>
      </c>
      <c r="DX25">
        <v>7.3785142934242503E-3</v>
      </c>
      <c r="DY25">
        <v>1</v>
      </c>
      <c r="DZ25">
        <v>2</v>
      </c>
      <c r="EA25">
        <v>2</v>
      </c>
      <c r="EB25" t="s">
        <v>284</v>
      </c>
      <c r="EC25">
        <v>1.8671199999999999</v>
      </c>
      <c r="ED25">
        <v>1.86358</v>
      </c>
      <c r="EE25">
        <v>1.8692</v>
      </c>
      <c r="EF25">
        <v>1.86721</v>
      </c>
      <c r="EG25">
        <v>1.8717999999999999</v>
      </c>
      <c r="EH25">
        <v>1.86432</v>
      </c>
      <c r="EI25">
        <v>1.8657300000000001</v>
      </c>
      <c r="EJ25">
        <v>1.8656900000000001</v>
      </c>
      <c r="EK25" t="s">
        <v>285</v>
      </c>
      <c r="EL25" t="s">
        <v>19</v>
      </c>
      <c r="EM25" t="s">
        <v>19</v>
      </c>
      <c r="EN25" t="s">
        <v>19</v>
      </c>
      <c r="EO25" t="s">
        <v>286</v>
      </c>
      <c r="EP25" t="s">
        <v>287</v>
      </c>
      <c r="EQ25" t="s">
        <v>288</v>
      </c>
      <c r="ER25" t="s">
        <v>288</v>
      </c>
      <c r="ES25" t="s">
        <v>288</v>
      </c>
      <c r="ET25" t="s">
        <v>288</v>
      </c>
      <c r="EU25">
        <v>0</v>
      </c>
      <c r="EV25">
        <v>100</v>
      </c>
      <c r="EW25">
        <v>100</v>
      </c>
      <c r="EX25">
        <v>0.46100000000000002</v>
      </c>
      <c r="EY25">
        <v>6.2E-2</v>
      </c>
      <c r="EZ25">
        <v>2</v>
      </c>
      <c r="FA25">
        <v>505.11799999999999</v>
      </c>
      <c r="FB25">
        <v>470.44499999999999</v>
      </c>
      <c r="FC25">
        <v>18.018899999999999</v>
      </c>
      <c r="FD25">
        <v>34.809899999999999</v>
      </c>
      <c r="FE25">
        <v>29.994199999999999</v>
      </c>
      <c r="FF25">
        <v>34.840699999999998</v>
      </c>
      <c r="FG25">
        <v>34.838299999999997</v>
      </c>
      <c r="FH25">
        <v>30.865500000000001</v>
      </c>
      <c r="FI25">
        <v>62.552199999999999</v>
      </c>
      <c r="FJ25">
        <v>0</v>
      </c>
      <c r="FK25">
        <v>18.244700000000002</v>
      </c>
      <c r="FL25">
        <v>600</v>
      </c>
      <c r="FM25">
        <v>11.310600000000001</v>
      </c>
      <c r="FN25">
        <v>100.414</v>
      </c>
      <c r="FO25">
        <v>100.985</v>
      </c>
    </row>
    <row r="26" spans="1:171" x14ac:dyDescent="0.35">
      <c r="A26">
        <v>11</v>
      </c>
      <c r="B26">
        <v>1564858041.2</v>
      </c>
      <c r="C26">
        <v>1277.5</v>
      </c>
      <c r="D26" t="s">
        <v>330</v>
      </c>
      <c r="E26" t="s">
        <v>331</v>
      </c>
      <c r="G26">
        <v>1564858041.2</v>
      </c>
      <c r="H26">
        <f t="shared" si="0"/>
        <v>5.1996058415525919E-3</v>
      </c>
      <c r="I26">
        <f t="shared" si="1"/>
        <v>51.922758010755018</v>
      </c>
      <c r="J26">
        <f t="shared" si="2"/>
        <v>733.03200000000004</v>
      </c>
      <c r="K26">
        <f t="shared" si="3"/>
        <v>420.29649707853304</v>
      </c>
      <c r="L26">
        <f t="shared" si="4"/>
        <v>41.795364672079813</v>
      </c>
      <c r="M26">
        <f t="shared" si="5"/>
        <v>72.894587438304001</v>
      </c>
      <c r="N26">
        <f t="shared" si="6"/>
        <v>0.29865134303358759</v>
      </c>
      <c r="O26">
        <f t="shared" si="7"/>
        <v>2.248677002776228</v>
      </c>
      <c r="P26">
        <f t="shared" si="8"/>
        <v>0.27823625806574875</v>
      </c>
      <c r="Q26">
        <f t="shared" si="9"/>
        <v>0.17561544593760417</v>
      </c>
      <c r="R26">
        <f t="shared" si="10"/>
        <v>353.32549310364504</v>
      </c>
      <c r="S26">
        <f t="shared" si="11"/>
        <v>26.198659813654867</v>
      </c>
      <c r="T26">
        <f t="shared" si="12"/>
        <v>27.0411</v>
      </c>
      <c r="U26">
        <f t="shared" si="13"/>
        <v>3.5878085513439988</v>
      </c>
      <c r="V26">
        <f t="shared" si="14"/>
        <v>55.09558191030699</v>
      </c>
      <c r="W26">
        <f t="shared" si="15"/>
        <v>1.7796043799976</v>
      </c>
      <c r="X26">
        <f t="shared" si="16"/>
        <v>3.2300310084658186</v>
      </c>
      <c r="Y26">
        <f t="shared" si="17"/>
        <v>1.8082041713463988</v>
      </c>
      <c r="Z26">
        <f t="shared" si="18"/>
        <v>-229.30261761246931</v>
      </c>
      <c r="AA26">
        <f t="shared" si="19"/>
        <v>-215.46327791978729</v>
      </c>
      <c r="AB26">
        <f t="shared" si="20"/>
        <v>-20.504015255080731</v>
      </c>
      <c r="AC26">
        <f t="shared" si="21"/>
        <v>-111.94441768369228</v>
      </c>
      <c r="AD26">
        <v>-4.1148139793437302E-2</v>
      </c>
      <c r="AE26">
        <v>4.6192391693163498E-2</v>
      </c>
      <c r="AF26">
        <v>3.4528556851809902</v>
      </c>
      <c r="AG26">
        <v>0</v>
      </c>
      <c r="AH26">
        <v>0</v>
      </c>
      <c r="AI26">
        <f t="shared" si="22"/>
        <v>1</v>
      </c>
      <c r="AJ26">
        <f t="shared" si="23"/>
        <v>0</v>
      </c>
      <c r="AK26">
        <f t="shared" si="24"/>
        <v>52778.259787873918</v>
      </c>
      <c r="AL26" t="s">
        <v>279</v>
      </c>
      <c r="AM26">
        <v>481.47884615384601</v>
      </c>
      <c r="AN26">
        <v>2238.31</v>
      </c>
      <c r="AO26">
        <f t="shared" si="25"/>
        <v>1756.8311538461539</v>
      </c>
      <c r="AP26">
        <f t="shared" si="26"/>
        <v>0.78489179508028561</v>
      </c>
      <c r="AQ26">
        <v>-0.96503536810971002</v>
      </c>
      <c r="AR26" t="s">
        <v>332</v>
      </c>
      <c r="AS26">
        <v>806.150653846154</v>
      </c>
      <c r="AT26">
        <v>1257.69</v>
      </c>
      <c r="AU26">
        <f t="shared" si="27"/>
        <v>0.3590227688491171</v>
      </c>
      <c r="AV26">
        <v>0.5</v>
      </c>
      <c r="AW26">
        <f t="shared" si="28"/>
        <v>1849.1259000753923</v>
      </c>
      <c r="AX26">
        <f t="shared" si="29"/>
        <v>51.922758010755018</v>
      </c>
      <c r="AY26">
        <f t="shared" si="30"/>
        <v>331.93915029784159</v>
      </c>
      <c r="AZ26">
        <f t="shared" si="31"/>
        <v>0.56119552512940396</v>
      </c>
      <c r="BA26">
        <f t="shared" si="32"/>
        <v>2.8601510246927152E-2</v>
      </c>
      <c r="BB26">
        <f t="shared" si="33"/>
        <v>0.77969928996811599</v>
      </c>
      <c r="BC26" t="s">
        <v>333</v>
      </c>
      <c r="BD26">
        <v>551.88</v>
      </c>
      <c r="BE26">
        <f t="shared" si="34"/>
        <v>705.81000000000006</v>
      </c>
      <c r="BF26">
        <f t="shared" si="35"/>
        <v>0.63974631438183938</v>
      </c>
      <c r="BG26">
        <f t="shared" si="36"/>
        <v>0.5814768475418487</v>
      </c>
      <c r="BH26">
        <f t="shared" si="37"/>
        <v>0.58172231088982995</v>
      </c>
      <c r="BI26">
        <f t="shared" si="38"/>
        <v>0.55817543868867037</v>
      </c>
      <c r="BJ26">
        <v>874</v>
      </c>
      <c r="BK26">
        <v>300</v>
      </c>
      <c r="BL26">
        <v>300</v>
      </c>
      <c r="BM26">
        <v>300</v>
      </c>
      <c r="BN26">
        <v>10109.6</v>
      </c>
      <c r="BO26">
        <v>1129.52</v>
      </c>
      <c r="BP26">
        <v>-6.5658499999999998E-3</v>
      </c>
      <c r="BQ26">
        <v>5.4283400000000004</v>
      </c>
      <c r="BR26">
        <f t="shared" si="39"/>
        <v>2199.9299999999998</v>
      </c>
      <c r="BS26">
        <f t="shared" si="40"/>
        <v>1849.1259000753923</v>
      </c>
      <c r="BT26">
        <f t="shared" si="41"/>
        <v>0.84053851716890648</v>
      </c>
      <c r="BU26">
        <f t="shared" si="42"/>
        <v>0.19107703433781295</v>
      </c>
      <c r="BV26">
        <v>6</v>
      </c>
      <c r="BW26">
        <v>0.5</v>
      </c>
      <c r="BX26" t="s">
        <v>282</v>
      </c>
      <c r="BY26">
        <v>1564858041.2</v>
      </c>
      <c r="BZ26">
        <v>733.03200000000004</v>
      </c>
      <c r="CA26">
        <v>799.90800000000002</v>
      </c>
      <c r="CB26">
        <v>17.895800000000001</v>
      </c>
      <c r="CC26">
        <v>11.7684</v>
      </c>
      <c r="CD26">
        <v>500.03800000000001</v>
      </c>
      <c r="CE26">
        <v>99.342500000000001</v>
      </c>
      <c r="CF26">
        <v>0.10007199999999999</v>
      </c>
      <c r="CG26">
        <v>25.2638</v>
      </c>
      <c r="CH26">
        <v>27.0411</v>
      </c>
      <c r="CI26">
        <v>999.9</v>
      </c>
      <c r="CJ26">
        <v>9988.75</v>
      </c>
      <c r="CK26">
        <v>0</v>
      </c>
      <c r="CL26">
        <v>-411.23200000000003</v>
      </c>
      <c r="CM26">
        <v>2199.9299999999998</v>
      </c>
      <c r="CN26">
        <v>0.98200699999999996</v>
      </c>
      <c r="CO26">
        <v>1.7993100000000001E-2</v>
      </c>
      <c r="CP26">
        <v>0</v>
      </c>
      <c r="CQ26">
        <v>804.90300000000002</v>
      </c>
      <c r="CR26">
        <v>4.99986</v>
      </c>
      <c r="CS26">
        <v>18502.400000000001</v>
      </c>
      <c r="CT26">
        <v>17913.2</v>
      </c>
      <c r="CU26">
        <v>49.125</v>
      </c>
      <c r="CV26">
        <v>50.686999999999998</v>
      </c>
      <c r="CW26">
        <v>49.75</v>
      </c>
      <c r="CX26">
        <v>49.311999999999998</v>
      </c>
      <c r="CY26">
        <v>50.311999999999998</v>
      </c>
      <c r="CZ26">
        <v>2155.44</v>
      </c>
      <c r="DA26">
        <v>39.49</v>
      </c>
      <c r="DB26">
        <v>0</v>
      </c>
      <c r="DC26">
        <v>139.799999952316</v>
      </c>
      <c r="DD26">
        <v>806.150653846154</v>
      </c>
      <c r="DE26">
        <v>-8.3778803315817107</v>
      </c>
      <c r="DF26">
        <v>-184.451282021157</v>
      </c>
      <c r="DG26">
        <v>18519.723076923099</v>
      </c>
      <c r="DH26">
        <v>15</v>
      </c>
      <c r="DI26">
        <v>1564857986.8</v>
      </c>
      <c r="DJ26" t="s">
        <v>334</v>
      </c>
      <c r="DK26">
        <v>67</v>
      </c>
      <c r="DL26">
        <v>0.58899999999999997</v>
      </c>
      <c r="DM26">
        <v>5.8000000000000003E-2</v>
      </c>
      <c r="DN26">
        <v>800</v>
      </c>
      <c r="DO26">
        <v>11</v>
      </c>
      <c r="DP26">
        <v>0.03</v>
      </c>
      <c r="DQ26">
        <v>0.02</v>
      </c>
      <c r="DR26">
        <v>52.3297006406939</v>
      </c>
      <c r="DS26">
        <v>-1.1948289677514199</v>
      </c>
      <c r="DT26">
        <v>0.24097359695262399</v>
      </c>
      <c r="DU26">
        <v>0</v>
      </c>
      <c r="DV26">
        <v>0.30261921047491902</v>
      </c>
      <c r="DW26">
        <v>-1.2290217176625999E-2</v>
      </c>
      <c r="DX26">
        <v>2.6848017215426599E-3</v>
      </c>
      <c r="DY26">
        <v>1</v>
      </c>
      <c r="DZ26">
        <v>1</v>
      </c>
      <c r="EA26">
        <v>2</v>
      </c>
      <c r="EB26" t="s">
        <v>314</v>
      </c>
      <c r="EC26">
        <v>1.86707</v>
      </c>
      <c r="ED26">
        <v>1.8635699999999999</v>
      </c>
      <c r="EE26">
        <v>1.8692</v>
      </c>
      <c r="EF26">
        <v>1.86721</v>
      </c>
      <c r="EG26">
        <v>1.8717999999999999</v>
      </c>
      <c r="EH26">
        <v>1.86432</v>
      </c>
      <c r="EI26">
        <v>1.86571</v>
      </c>
      <c r="EJ26">
        <v>1.86568</v>
      </c>
      <c r="EK26" t="s">
        <v>285</v>
      </c>
      <c r="EL26" t="s">
        <v>19</v>
      </c>
      <c r="EM26" t="s">
        <v>19</v>
      </c>
      <c r="EN26" t="s">
        <v>19</v>
      </c>
      <c r="EO26" t="s">
        <v>286</v>
      </c>
      <c r="EP26" t="s">
        <v>287</v>
      </c>
      <c r="EQ26" t="s">
        <v>288</v>
      </c>
      <c r="ER26" t="s">
        <v>288</v>
      </c>
      <c r="ES26" t="s">
        <v>288</v>
      </c>
      <c r="ET26" t="s">
        <v>288</v>
      </c>
      <c r="EU26">
        <v>0</v>
      </c>
      <c r="EV26">
        <v>100</v>
      </c>
      <c r="EW26">
        <v>100</v>
      </c>
      <c r="EX26">
        <v>0.58899999999999997</v>
      </c>
      <c r="EY26">
        <v>5.8000000000000003E-2</v>
      </c>
      <c r="EZ26">
        <v>2</v>
      </c>
      <c r="FA26">
        <v>504.64600000000002</v>
      </c>
      <c r="FB26">
        <v>470.15199999999999</v>
      </c>
      <c r="FC26">
        <v>17.443300000000001</v>
      </c>
      <c r="FD26">
        <v>34.962299999999999</v>
      </c>
      <c r="FE26">
        <v>30.000599999999999</v>
      </c>
      <c r="FF26">
        <v>34.953200000000002</v>
      </c>
      <c r="FG26">
        <v>34.947600000000001</v>
      </c>
      <c r="FH26">
        <v>38.959600000000002</v>
      </c>
      <c r="FI26">
        <v>60.531399999999998</v>
      </c>
      <c r="FJ26">
        <v>0</v>
      </c>
      <c r="FK26">
        <v>17.399699999999999</v>
      </c>
      <c r="FL26">
        <v>800</v>
      </c>
      <c r="FM26">
        <v>11.7737</v>
      </c>
      <c r="FN26">
        <v>100.38800000000001</v>
      </c>
      <c r="FO26">
        <v>100.95399999999999</v>
      </c>
    </row>
    <row r="27" spans="1:171" x14ac:dyDescent="0.35">
      <c r="A27">
        <v>12</v>
      </c>
      <c r="B27">
        <v>1564858181.7</v>
      </c>
      <c r="C27">
        <v>1418</v>
      </c>
      <c r="D27" t="s">
        <v>335</v>
      </c>
      <c r="E27" t="s">
        <v>336</v>
      </c>
      <c r="G27">
        <v>1564858181.7</v>
      </c>
      <c r="H27">
        <f t="shared" si="0"/>
        <v>3.7886486531326473E-3</v>
      </c>
      <c r="I27">
        <f t="shared" si="1"/>
        <v>52.536043654196476</v>
      </c>
      <c r="J27">
        <f t="shared" si="2"/>
        <v>932.64300000000003</v>
      </c>
      <c r="K27">
        <f t="shared" si="3"/>
        <v>478.0402319060467</v>
      </c>
      <c r="L27">
        <f t="shared" si="4"/>
        <v>47.534863116070198</v>
      </c>
      <c r="M27">
        <f t="shared" si="5"/>
        <v>92.739176291492996</v>
      </c>
      <c r="N27">
        <f t="shared" si="6"/>
        <v>0.20261531053767995</v>
      </c>
      <c r="O27">
        <f t="shared" si="7"/>
        <v>2.2471558789834982</v>
      </c>
      <c r="P27">
        <f t="shared" si="8"/>
        <v>0.19298556444949169</v>
      </c>
      <c r="Q27">
        <f t="shared" si="9"/>
        <v>0.12144302475093008</v>
      </c>
      <c r="R27">
        <f t="shared" si="10"/>
        <v>353.29525815935045</v>
      </c>
      <c r="S27">
        <f t="shared" si="11"/>
        <v>26.437707486557304</v>
      </c>
      <c r="T27">
        <f t="shared" si="12"/>
        <v>27.2974</v>
      </c>
      <c r="U27">
        <f t="shared" si="13"/>
        <v>3.6421556738479768</v>
      </c>
      <c r="V27">
        <f t="shared" si="14"/>
        <v>54.706057466527049</v>
      </c>
      <c r="W27">
        <f t="shared" si="15"/>
        <v>1.7428911023475999</v>
      </c>
      <c r="X27">
        <f t="shared" si="16"/>
        <v>3.1859197739007628</v>
      </c>
      <c r="Y27">
        <f t="shared" si="17"/>
        <v>1.8992645715003769</v>
      </c>
      <c r="Z27">
        <f t="shared" si="18"/>
        <v>-167.07940560314975</v>
      </c>
      <c r="AA27">
        <f t="shared" si="19"/>
        <v>-274.34115811479859</v>
      </c>
      <c r="AB27">
        <f t="shared" si="20"/>
        <v>-26.128122248996466</v>
      </c>
      <c r="AC27">
        <f t="shared" si="21"/>
        <v>-114.25342780759436</v>
      </c>
      <c r="AD27">
        <v>-4.1107223191330103E-2</v>
      </c>
      <c r="AE27">
        <v>4.6146459222807003E-2</v>
      </c>
      <c r="AF27">
        <v>3.4501371585345399</v>
      </c>
      <c r="AG27">
        <v>0</v>
      </c>
      <c r="AH27">
        <v>0</v>
      </c>
      <c r="AI27">
        <f t="shared" si="22"/>
        <v>1</v>
      </c>
      <c r="AJ27">
        <f t="shared" si="23"/>
        <v>0</v>
      </c>
      <c r="AK27">
        <f t="shared" si="24"/>
        <v>52768.632715335349</v>
      </c>
      <c r="AL27" t="s">
        <v>279</v>
      </c>
      <c r="AM27">
        <v>481.47884615384601</v>
      </c>
      <c r="AN27">
        <v>2238.31</v>
      </c>
      <c r="AO27">
        <f t="shared" si="25"/>
        <v>1756.8311538461539</v>
      </c>
      <c r="AP27">
        <f t="shared" si="26"/>
        <v>0.78489179508028561</v>
      </c>
      <c r="AQ27">
        <v>-0.96503536810971002</v>
      </c>
      <c r="AR27" t="s">
        <v>337</v>
      </c>
      <c r="AS27">
        <v>789.397307692308</v>
      </c>
      <c r="AT27">
        <v>1218.68</v>
      </c>
      <c r="AU27">
        <f t="shared" si="27"/>
        <v>0.35225218458306695</v>
      </c>
      <c r="AV27">
        <v>0.5</v>
      </c>
      <c r="AW27">
        <f t="shared" si="28"/>
        <v>1848.9588000754566</v>
      </c>
      <c r="AX27">
        <f t="shared" si="29"/>
        <v>52.536043654196476</v>
      </c>
      <c r="AY27">
        <f t="shared" si="30"/>
        <v>325.64988826533283</v>
      </c>
      <c r="AZ27">
        <f t="shared" si="31"/>
        <v>0.551760921652936</v>
      </c>
      <c r="BA27">
        <f t="shared" si="32"/>
        <v>2.8935787547090173E-2</v>
      </c>
      <c r="BB27">
        <f t="shared" si="33"/>
        <v>0.83666754193061332</v>
      </c>
      <c r="BC27" t="s">
        <v>338</v>
      </c>
      <c r="BD27">
        <v>546.26</v>
      </c>
      <c r="BE27">
        <f t="shared" si="34"/>
        <v>672.42000000000007</v>
      </c>
      <c r="BF27">
        <f t="shared" si="35"/>
        <v>0.63841452114406472</v>
      </c>
      <c r="BG27">
        <f t="shared" si="36"/>
        <v>0.60260039596938619</v>
      </c>
      <c r="BH27">
        <f t="shared" si="37"/>
        <v>0.58231418937425961</v>
      </c>
      <c r="BI27">
        <f t="shared" si="38"/>
        <v>0.58038019064482571</v>
      </c>
      <c r="BJ27">
        <v>876</v>
      </c>
      <c r="BK27">
        <v>300</v>
      </c>
      <c r="BL27">
        <v>300</v>
      </c>
      <c r="BM27">
        <v>300</v>
      </c>
      <c r="BN27">
        <v>10108.6</v>
      </c>
      <c r="BO27">
        <v>1099.6300000000001</v>
      </c>
      <c r="BP27">
        <v>-6.5651399999999997E-3</v>
      </c>
      <c r="BQ27">
        <v>6.7994399999999997</v>
      </c>
      <c r="BR27">
        <f t="shared" si="39"/>
        <v>2199.73</v>
      </c>
      <c r="BS27">
        <f t="shared" si="40"/>
        <v>1848.9588000754566</v>
      </c>
      <c r="BT27">
        <f t="shared" si="41"/>
        <v>0.84053897527217269</v>
      </c>
      <c r="BU27">
        <f t="shared" si="42"/>
        <v>0.19107795054434548</v>
      </c>
      <c r="BV27">
        <v>6</v>
      </c>
      <c r="BW27">
        <v>0.5</v>
      </c>
      <c r="BX27" t="s">
        <v>282</v>
      </c>
      <c r="BY27">
        <v>1564858181.7</v>
      </c>
      <c r="BZ27">
        <v>932.64300000000003</v>
      </c>
      <c r="CA27">
        <v>999.91899999999998</v>
      </c>
      <c r="CB27">
        <v>17.5276</v>
      </c>
      <c r="CC27">
        <v>13.061400000000001</v>
      </c>
      <c r="CD27">
        <v>500.05500000000001</v>
      </c>
      <c r="CE27">
        <v>99.3369</v>
      </c>
      <c r="CF27">
        <v>0.100051</v>
      </c>
      <c r="CG27">
        <v>25.032900000000001</v>
      </c>
      <c r="CH27">
        <v>27.2974</v>
      </c>
      <c r="CI27">
        <v>999.9</v>
      </c>
      <c r="CJ27">
        <v>9979.3799999999992</v>
      </c>
      <c r="CK27">
        <v>0</v>
      </c>
      <c r="CL27">
        <v>-420.24400000000003</v>
      </c>
      <c r="CM27">
        <v>2199.73</v>
      </c>
      <c r="CN27">
        <v>0.98199199999999998</v>
      </c>
      <c r="CO27">
        <v>1.8008E-2</v>
      </c>
      <c r="CP27">
        <v>0</v>
      </c>
      <c r="CQ27">
        <v>788.649</v>
      </c>
      <c r="CR27">
        <v>4.99986</v>
      </c>
      <c r="CS27">
        <v>18145.7</v>
      </c>
      <c r="CT27">
        <v>17911.599999999999</v>
      </c>
      <c r="CU27">
        <v>49.186999999999998</v>
      </c>
      <c r="CV27">
        <v>51.061999999999998</v>
      </c>
      <c r="CW27">
        <v>49.936999999999998</v>
      </c>
      <c r="CX27">
        <v>49.625</v>
      </c>
      <c r="CY27">
        <v>50.375</v>
      </c>
      <c r="CZ27">
        <v>2155.21</v>
      </c>
      <c r="DA27">
        <v>39.520000000000003</v>
      </c>
      <c r="DB27">
        <v>0</v>
      </c>
      <c r="DC27">
        <v>139.799999952316</v>
      </c>
      <c r="DD27">
        <v>789.397307692308</v>
      </c>
      <c r="DE27">
        <v>-6.8527863353655798</v>
      </c>
      <c r="DF27">
        <v>-160.03076926878501</v>
      </c>
      <c r="DG27">
        <v>18166.757692307699</v>
      </c>
      <c r="DH27">
        <v>15</v>
      </c>
      <c r="DI27">
        <v>1564858103.8</v>
      </c>
      <c r="DJ27" t="s">
        <v>339</v>
      </c>
      <c r="DK27">
        <v>68</v>
      </c>
      <c r="DL27">
        <v>0.85699999999999998</v>
      </c>
      <c r="DM27">
        <v>6.3E-2</v>
      </c>
      <c r="DN27">
        <v>1000</v>
      </c>
      <c r="DO27">
        <v>12</v>
      </c>
      <c r="DP27">
        <v>0.02</v>
      </c>
      <c r="DQ27">
        <v>0.01</v>
      </c>
      <c r="DR27">
        <v>53.4435986826429</v>
      </c>
      <c r="DS27">
        <v>-2.3627705432714099</v>
      </c>
      <c r="DT27">
        <v>0.46277146624794002</v>
      </c>
      <c r="DU27">
        <v>0</v>
      </c>
      <c r="DV27">
        <v>0.213494875359964</v>
      </c>
      <c r="DW27">
        <v>-3.9227738634161201E-2</v>
      </c>
      <c r="DX27">
        <v>7.6123874436921802E-3</v>
      </c>
      <c r="DY27">
        <v>1</v>
      </c>
      <c r="DZ27">
        <v>1</v>
      </c>
      <c r="EA27">
        <v>2</v>
      </c>
      <c r="EB27" t="s">
        <v>314</v>
      </c>
      <c r="EC27">
        <v>1.86707</v>
      </c>
      <c r="ED27">
        <v>1.86361</v>
      </c>
      <c r="EE27">
        <v>1.8692</v>
      </c>
      <c r="EF27">
        <v>1.8672</v>
      </c>
      <c r="EG27">
        <v>1.8717999999999999</v>
      </c>
      <c r="EH27">
        <v>1.8643000000000001</v>
      </c>
      <c r="EI27">
        <v>1.86572</v>
      </c>
      <c r="EJ27">
        <v>1.8656900000000001</v>
      </c>
      <c r="EK27" t="s">
        <v>285</v>
      </c>
      <c r="EL27" t="s">
        <v>19</v>
      </c>
      <c r="EM27" t="s">
        <v>19</v>
      </c>
      <c r="EN27" t="s">
        <v>19</v>
      </c>
      <c r="EO27" t="s">
        <v>286</v>
      </c>
      <c r="EP27" t="s">
        <v>287</v>
      </c>
      <c r="EQ27" t="s">
        <v>288</v>
      </c>
      <c r="ER27" t="s">
        <v>288</v>
      </c>
      <c r="ES27" t="s">
        <v>288</v>
      </c>
      <c r="ET27" t="s">
        <v>288</v>
      </c>
      <c r="EU27">
        <v>0</v>
      </c>
      <c r="EV27">
        <v>100</v>
      </c>
      <c r="EW27">
        <v>100</v>
      </c>
      <c r="EX27">
        <v>0.85699999999999998</v>
      </c>
      <c r="EY27">
        <v>6.3E-2</v>
      </c>
      <c r="EZ27">
        <v>2</v>
      </c>
      <c r="FA27">
        <v>503.96699999999998</v>
      </c>
      <c r="FB27">
        <v>470.012</v>
      </c>
      <c r="FC27">
        <v>17.149100000000001</v>
      </c>
      <c r="FD27">
        <v>35.153100000000002</v>
      </c>
      <c r="FE27">
        <v>30.000900000000001</v>
      </c>
      <c r="FF27">
        <v>35.093400000000003</v>
      </c>
      <c r="FG27">
        <v>35.085599999999999</v>
      </c>
      <c r="FH27">
        <v>46.7014</v>
      </c>
      <c r="FI27">
        <v>56.822299999999998</v>
      </c>
      <c r="FJ27">
        <v>0</v>
      </c>
      <c r="FK27">
        <v>15.7719</v>
      </c>
      <c r="FL27">
        <v>1000</v>
      </c>
      <c r="FM27">
        <v>13.119199999999999</v>
      </c>
      <c r="FN27">
        <v>100.36</v>
      </c>
      <c r="FO27">
        <v>100.923</v>
      </c>
    </row>
    <row r="28" spans="1:171" x14ac:dyDescent="0.35">
      <c r="A28">
        <v>13</v>
      </c>
      <c r="B28">
        <v>1564858322.3</v>
      </c>
      <c r="C28">
        <v>1558.5999999046301</v>
      </c>
      <c r="D28" t="s">
        <v>340</v>
      </c>
      <c r="E28" t="s">
        <v>341</v>
      </c>
      <c r="G28">
        <v>1564858322.3</v>
      </c>
      <c r="H28">
        <f t="shared" si="0"/>
        <v>2.9407254225107143E-3</v>
      </c>
      <c r="I28">
        <f t="shared" si="1"/>
        <v>53.64468247699444</v>
      </c>
      <c r="J28">
        <f t="shared" si="2"/>
        <v>1131.74</v>
      </c>
      <c r="K28">
        <f t="shared" si="3"/>
        <v>519.4867363094454</v>
      </c>
      <c r="L28">
        <f t="shared" si="4"/>
        <v>51.649250826897031</v>
      </c>
      <c r="M28">
        <f t="shared" si="5"/>
        <v>112.52168543532001</v>
      </c>
      <c r="N28">
        <f t="shared" si="6"/>
        <v>0.1512101488573184</v>
      </c>
      <c r="O28">
        <f t="shared" si="7"/>
        <v>2.24857739377252</v>
      </c>
      <c r="P28">
        <f t="shared" si="8"/>
        <v>0.14577970295053727</v>
      </c>
      <c r="Q28">
        <f t="shared" si="9"/>
        <v>9.1583970267297712E-2</v>
      </c>
      <c r="R28">
        <f t="shared" si="10"/>
        <v>353.32717804315041</v>
      </c>
      <c r="S28">
        <f t="shared" si="11"/>
        <v>26.6121246767954</v>
      </c>
      <c r="T28">
        <f t="shared" si="12"/>
        <v>27.503399999999999</v>
      </c>
      <c r="U28">
        <f t="shared" si="13"/>
        <v>3.686356385270257</v>
      </c>
      <c r="V28">
        <f t="shared" si="14"/>
        <v>54.820826960679348</v>
      </c>
      <c r="W28">
        <f t="shared" si="15"/>
        <v>1.7354293098281999</v>
      </c>
      <c r="X28">
        <f t="shared" si="16"/>
        <v>3.1656386925227338</v>
      </c>
      <c r="Y28">
        <f t="shared" si="17"/>
        <v>1.9509270754420571</v>
      </c>
      <c r="Z28">
        <f t="shared" si="18"/>
        <v>-129.68599113272251</v>
      </c>
      <c r="AA28">
        <f t="shared" si="19"/>
        <v>-312.47034475821806</v>
      </c>
      <c r="AB28">
        <f t="shared" si="20"/>
        <v>-29.755590552910192</v>
      </c>
      <c r="AC28">
        <f t="shared" si="21"/>
        <v>-118.58474840070033</v>
      </c>
      <c r="AD28">
        <v>-4.1145459653609502E-2</v>
      </c>
      <c r="AE28">
        <v>4.6189383001413703E-2</v>
      </c>
      <c r="AF28">
        <v>3.4526776432939799</v>
      </c>
      <c r="AG28">
        <v>0</v>
      </c>
      <c r="AH28">
        <v>0</v>
      </c>
      <c r="AI28">
        <f t="shared" si="22"/>
        <v>1</v>
      </c>
      <c r="AJ28">
        <f t="shared" si="23"/>
        <v>0</v>
      </c>
      <c r="AK28">
        <f t="shared" si="24"/>
        <v>52834.427200517581</v>
      </c>
      <c r="AL28" t="s">
        <v>279</v>
      </c>
      <c r="AM28">
        <v>481.47884615384601</v>
      </c>
      <c r="AN28">
        <v>2238.31</v>
      </c>
      <c r="AO28">
        <f t="shared" si="25"/>
        <v>1756.8311538461539</v>
      </c>
      <c r="AP28">
        <f t="shared" si="26"/>
        <v>0.78489179508028561</v>
      </c>
      <c r="AQ28">
        <v>-0.96503536810971002</v>
      </c>
      <c r="AR28" t="s">
        <v>342</v>
      </c>
      <c r="AS28">
        <v>786.23334615384601</v>
      </c>
      <c r="AT28">
        <v>1229.5</v>
      </c>
      <c r="AU28">
        <f t="shared" si="27"/>
        <v>0.36052594863452947</v>
      </c>
      <c r="AV28">
        <v>0.5</v>
      </c>
      <c r="AW28">
        <f t="shared" si="28"/>
        <v>1849.1268000754496</v>
      </c>
      <c r="AX28">
        <f t="shared" si="29"/>
        <v>53.64468247699444</v>
      </c>
      <c r="AY28">
        <f t="shared" si="30"/>
        <v>333.32909687136669</v>
      </c>
      <c r="AZ28">
        <f t="shared" si="31"/>
        <v>0.55336315575437167</v>
      </c>
      <c r="BA28">
        <f t="shared" si="32"/>
        <v>2.953270583871042E-2</v>
      </c>
      <c r="BB28">
        <f t="shared" si="33"/>
        <v>0.82050427002846682</v>
      </c>
      <c r="BC28" t="s">
        <v>343</v>
      </c>
      <c r="BD28">
        <v>549.14</v>
      </c>
      <c r="BE28">
        <f t="shared" si="34"/>
        <v>680.36</v>
      </c>
      <c r="BF28">
        <f t="shared" si="35"/>
        <v>0.65151780505343349</v>
      </c>
      <c r="BG28">
        <f t="shared" si="36"/>
        <v>0.59722230444537849</v>
      </c>
      <c r="BH28">
        <f t="shared" si="37"/>
        <v>0.59258571975802832</v>
      </c>
      <c r="BI28">
        <f t="shared" si="38"/>
        <v>0.57422137454214428</v>
      </c>
      <c r="BJ28">
        <v>878</v>
      </c>
      <c r="BK28">
        <v>300</v>
      </c>
      <c r="BL28">
        <v>300</v>
      </c>
      <c r="BM28">
        <v>300</v>
      </c>
      <c r="BN28">
        <v>10107.9</v>
      </c>
      <c r="BO28">
        <v>1104.29</v>
      </c>
      <c r="BP28">
        <v>-6.5648199999999999E-3</v>
      </c>
      <c r="BQ28">
        <v>6.0794699999999997</v>
      </c>
      <c r="BR28">
        <f t="shared" si="39"/>
        <v>2199.9299999999998</v>
      </c>
      <c r="BS28">
        <f t="shared" si="40"/>
        <v>1849.1268000754496</v>
      </c>
      <c r="BT28">
        <f t="shared" si="41"/>
        <v>0.84053892627285853</v>
      </c>
      <c r="BU28">
        <f t="shared" si="42"/>
        <v>0.19107785254571708</v>
      </c>
      <c r="BV28">
        <v>6</v>
      </c>
      <c r="BW28">
        <v>0.5</v>
      </c>
      <c r="BX28" t="s">
        <v>282</v>
      </c>
      <c r="BY28">
        <v>1564858322.3</v>
      </c>
      <c r="BZ28">
        <v>1131.74</v>
      </c>
      <c r="CA28">
        <v>1200.0999999999999</v>
      </c>
      <c r="CB28">
        <v>17.454899999999999</v>
      </c>
      <c r="CC28">
        <v>13.988</v>
      </c>
      <c r="CD28">
        <v>500.05399999999997</v>
      </c>
      <c r="CE28">
        <v>99.323599999999999</v>
      </c>
      <c r="CF28">
        <v>0.100018</v>
      </c>
      <c r="CG28">
        <v>24.925799999999999</v>
      </c>
      <c r="CH28">
        <v>27.503399999999999</v>
      </c>
      <c r="CI28">
        <v>999.9</v>
      </c>
      <c r="CJ28">
        <v>9990</v>
      </c>
      <c r="CK28">
        <v>0</v>
      </c>
      <c r="CL28">
        <v>-412.93799999999999</v>
      </c>
      <c r="CM28">
        <v>2199.9299999999998</v>
      </c>
      <c r="CN28">
        <v>0.98199499999999995</v>
      </c>
      <c r="CO28">
        <v>1.8005500000000001E-2</v>
      </c>
      <c r="CP28">
        <v>0</v>
      </c>
      <c r="CQ28">
        <v>785.98400000000004</v>
      </c>
      <c r="CR28">
        <v>4.99986</v>
      </c>
      <c r="CS28">
        <v>18110.7</v>
      </c>
      <c r="CT28">
        <v>17913.2</v>
      </c>
      <c r="CU28">
        <v>49.375</v>
      </c>
      <c r="CV28">
        <v>51.25</v>
      </c>
      <c r="CW28">
        <v>50.061999999999998</v>
      </c>
      <c r="CX28">
        <v>49.75</v>
      </c>
      <c r="CY28">
        <v>50.5</v>
      </c>
      <c r="CZ28">
        <v>2155.41</v>
      </c>
      <c r="DA28">
        <v>39.520000000000003</v>
      </c>
      <c r="DB28">
        <v>0</v>
      </c>
      <c r="DC28">
        <v>140.299999952316</v>
      </c>
      <c r="DD28">
        <v>786.23334615384601</v>
      </c>
      <c r="DE28">
        <v>-0.59039315070022802</v>
      </c>
      <c r="DF28">
        <v>-4.0239316596311498</v>
      </c>
      <c r="DG28">
        <v>18111.9653846154</v>
      </c>
      <c r="DH28">
        <v>15</v>
      </c>
      <c r="DI28">
        <v>1564858251.8</v>
      </c>
      <c r="DJ28" t="s">
        <v>344</v>
      </c>
      <c r="DK28">
        <v>69</v>
      </c>
      <c r="DL28">
        <v>0.97399999999999998</v>
      </c>
      <c r="DM28">
        <v>8.6999999999999994E-2</v>
      </c>
      <c r="DN28">
        <v>1200</v>
      </c>
      <c r="DO28">
        <v>13</v>
      </c>
      <c r="DP28">
        <v>0.03</v>
      </c>
      <c r="DQ28">
        <v>0.02</v>
      </c>
      <c r="DR28">
        <v>53.920588535815298</v>
      </c>
      <c r="DS28">
        <v>-1.0110983820585799</v>
      </c>
      <c r="DT28">
        <v>0.214532316293509</v>
      </c>
      <c r="DU28">
        <v>0</v>
      </c>
      <c r="DV28">
        <v>0.15344250669383899</v>
      </c>
      <c r="DW28">
        <v>-1.1218607355945501E-2</v>
      </c>
      <c r="DX28">
        <v>2.3830638602099002E-3</v>
      </c>
      <c r="DY28">
        <v>1</v>
      </c>
      <c r="DZ28">
        <v>1</v>
      </c>
      <c r="EA28">
        <v>2</v>
      </c>
      <c r="EB28" t="s">
        <v>314</v>
      </c>
      <c r="EC28">
        <v>1.86707</v>
      </c>
      <c r="ED28">
        <v>1.8635600000000001</v>
      </c>
      <c r="EE28">
        <v>1.8692</v>
      </c>
      <c r="EF28">
        <v>1.8671899999999999</v>
      </c>
      <c r="EG28">
        <v>1.8717999999999999</v>
      </c>
      <c r="EH28">
        <v>1.86429</v>
      </c>
      <c r="EI28">
        <v>1.8656900000000001</v>
      </c>
      <c r="EJ28">
        <v>1.8656699999999999</v>
      </c>
      <c r="EK28" t="s">
        <v>285</v>
      </c>
      <c r="EL28" t="s">
        <v>19</v>
      </c>
      <c r="EM28" t="s">
        <v>19</v>
      </c>
      <c r="EN28" t="s">
        <v>19</v>
      </c>
      <c r="EO28" t="s">
        <v>286</v>
      </c>
      <c r="EP28" t="s">
        <v>287</v>
      </c>
      <c r="EQ28" t="s">
        <v>288</v>
      </c>
      <c r="ER28" t="s">
        <v>288</v>
      </c>
      <c r="ES28" t="s">
        <v>288</v>
      </c>
      <c r="ET28" t="s">
        <v>288</v>
      </c>
      <c r="EU28">
        <v>0</v>
      </c>
      <c r="EV28">
        <v>100</v>
      </c>
      <c r="EW28">
        <v>100</v>
      </c>
      <c r="EX28">
        <v>0.97399999999999998</v>
      </c>
      <c r="EY28">
        <v>8.6999999999999994E-2</v>
      </c>
      <c r="EZ28">
        <v>2</v>
      </c>
      <c r="FA28">
        <v>503.45299999999997</v>
      </c>
      <c r="FB28">
        <v>469.63499999999999</v>
      </c>
      <c r="FC28">
        <v>17.057300000000001</v>
      </c>
      <c r="FD28">
        <v>35.397399999999998</v>
      </c>
      <c r="FE28">
        <v>30.000599999999999</v>
      </c>
      <c r="FF28">
        <v>35.294800000000002</v>
      </c>
      <c r="FG28">
        <v>35.276699999999998</v>
      </c>
      <c r="FH28">
        <v>54.1038</v>
      </c>
      <c r="FI28">
        <v>54.097000000000001</v>
      </c>
      <c r="FJ28">
        <v>0</v>
      </c>
      <c r="FK28">
        <v>15.7011</v>
      </c>
      <c r="FL28">
        <v>1200</v>
      </c>
      <c r="FM28">
        <v>14.0097</v>
      </c>
      <c r="FN28">
        <v>100.321</v>
      </c>
      <c r="FO28">
        <v>100.872</v>
      </c>
    </row>
    <row r="29" spans="1:171" x14ac:dyDescent="0.35">
      <c r="A29">
        <v>14</v>
      </c>
      <c r="B29">
        <v>1564858462.8</v>
      </c>
      <c r="C29">
        <v>1699.0999999046301</v>
      </c>
      <c r="D29" t="s">
        <v>345</v>
      </c>
      <c r="E29" t="s">
        <v>346</v>
      </c>
      <c r="G29">
        <v>1564858462.8</v>
      </c>
      <c r="H29">
        <f t="shared" si="0"/>
        <v>2.3774875184604054E-3</v>
      </c>
      <c r="I29">
        <f t="shared" si="1"/>
        <v>55.77777145365733</v>
      </c>
      <c r="J29">
        <f t="shared" si="2"/>
        <v>1528.55</v>
      </c>
      <c r="K29">
        <f t="shared" si="3"/>
        <v>728.54831041938985</v>
      </c>
      <c r="L29">
        <f t="shared" si="4"/>
        <v>72.428754862104711</v>
      </c>
      <c r="M29">
        <f t="shared" si="5"/>
        <v>151.96105963205</v>
      </c>
      <c r="N29">
        <f t="shared" si="6"/>
        <v>0.11987888851864051</v>
      </c>
      <c r="O29">
        <f t="shared" si="7"/>
        <v>2.2500685413736417</v>
      </c>
      <c r="P29">
        <f t="shared" si="8"/>
        <v>0.11644036292999359</v>
      </c>
      <c r="Q29">
        <f t="shared" si="9"/>
        <v>7.3075949395537798E-2</v>
      </c>
      <c r="R29">
        <f t="shared" si="10"/>
        <v>353.33196602572224</v>
      </c>
      <c r="S29">
        <f t="shared" si="11"/>
        <v>26.604132761389845</v>
      </c>
      <c r="T29">
        <f t="shared" si="12"/>
        <v>27.535900000000002</v>
      </c>
      <c r="U29">
        <f t="shared" si="13"/>
        <v>3.6933723790562483</v>
      </c>
      <c r="V29">
        <f t="shared" si="14"/>
        <v>54.928304978805187</v>
      </c>
      <c r="W29">
        <f t="shared" si="15"/>
        <v>1.7187590668676997</v>
      </c>
      <c r="X29">
        <f t="shared" si="16"/>
        <v>3.1290954045112183</v>
      </c>
      <c r="Y29">
        <f t="shared" si="17"/>
        <v>1.9746133121885485</v>
      </c>
      <c r="Z29">
        <f t="shared" si="18"/>
        <v>-104.84719956410387</v>
      </c>
      <c r="AA29">
        <f t="shared" si="19"/>
        <v>-340.21395276503193</v>
      </c>
      <c r="AB29">
        <f t="shared" si="20"/>
        <v>-32.349883260624736</v>
      </c>
      <c r="AC29">
        <f t="shared" si="21"/>
        <v>-124.07906956403829</v>
      </c>
      <c r="AD29">
        <v>-4.11855925811579E-2</v>
      </c>
      <c r="AE29">
        <v>4.6234435728424297E-2</v>
      </c>
      <c r="AF29">
        <v>3.45534325992478</v>
      </c>
      <c r="AG29">
        <v>0</v>
      </c>
      <c r="AH29">
        <v>0</v>
      </c>
      <c r="AI29">
        <f t="shared" si="22"/>
        <v>1</v>
      </c>
      <c r="AJ29">
        <f t="shared" si="23"/>
        <v>0</v>
      </c>
      <c r="AK29">
        <f t="shared" si="24"/>
        <v>52918.222989890302</v>
      </c>
      <c r="AL29" t="s">
        <v>279</v>
      </c>
      <c r="AM29">
        <v>481.47884615384601</v>
      </c>
      <c r="AN29">
        <v>2238.31</v>
      </c>
      <c r="AO29">
        <f t="shared" si="25"/>
        <v>1756.8311538461539</v>
      </c>
      <c r="AP29">
        <f t="shared" si="26"/>
        <v>0.78489179508028561</v>
      </c>
      <c r="AQ29">
        <v>-0.96503536810971002</v>
      </c>
      <c r="AR29" t="s">
        <v>347</v>
      </c>
      <c r="AS29">
        <v>773.8415</v>
      </c>
      <c r="AT29">
        <v>1181.5899999999999</v>
      </c>
      <c r="AU29">
        <f t="shared" si="27"/>
        <v>0.34508458940918585</v>
      </c>
      <c r="AV29">
        <v>0.5</v>
      </c>
      <c r="AW29">
        <f t="shared" si="28"/>
        <v>1849.1520000754485</v>
      </c>
      <c r="AX29">
        <f t="shared" si="29"/>
        <v>55.77777145365733</v>
      </c>
      <c r="AY29">
        <f t="shared" si="30"/>
        <v>319.05692935060546</v>
      </c>
      <c r="AZ29">
        <f t="shared" si="31"/>
        <v>0.54383500198884549</v>
      </c>
      <c r="BA29">
        <f t="shared" si="32"/>
        <v>3.0685853201603674E-2</v>
      </c>
      <c r="BB29">
        <f t="shared" si="33"/>
        <v>0.89432036493199851</v>
      </c>
      <c r="BC29" t="s">
        <v>348</v>
      </c>
      <c r="BD29">
        <v>539</v>
      </c>
      <c r="BE29">
        <f t="shared" si="34"/>
        <v>642.58999999999992</v>
      </c>
      <c r="BF29">
        <f t="shared" si="35"/>
        <v>0.63453913070542645</v>
      </c>
      <c r="BG29">
        <f t="shared" si="36"/>
        <v>0.62185239891485367</v>
      </c>
      <c r="BH29">
        <f t="shared" si="37"/>
        <v>0.58240537628914957</v>
      </c>
      <c r="BI29">
        <f t="shared" si="38"/>
        <v>0.60149206580642023</v>
      </c>
      <c r="BJ29">
        <v>880</v>
      </c>
      <c r="BK29">
        <v>300</v>
      </c>
      <c r="BL29">
        <v>300</v>
      </c>
      <c r="BM29">
        <v>300</v>
      </c>
      <c r="BN29">
        <v>10107.9</v>
      </c>
      <c r="BO29">
        <v>1068.05</v>
      </c>
      <c r="BP29">
        <v>-6.5645E-3</v>
      </c>
      <c r="BQ29">
        <v>5.2650100000000002</v>
      </c>
      <c r="BR29">
        <f t="shared" si="39"/>
        <v>2199.96</v>
      </c>
      <c r="BS29">
        <f t="shared" si="40"/>
        <v>1849.1520000754485</v>
      </c>
      <c r="BT29">
        <f t="shared" si="41"/>
        <v>0.84053891892372978</v>
      </c>
      <c r="BU29">
        <f t="shared" si="42"/>
        <v>0.19107783784745963</v>
      </c>
      <c r="BV29">
        <v>6</v>
      </c>
      <c r="BW29">
        <v>0.5</v>
      </c>
      <c r="BX29" t="s">
        <v>282</v>
      </c>
      <c r="BY29">
        <v>1564858462.8</v>
      </c>
      <c r="BZ29">
        <v>1528.55</v>
      </c>
      <c r="CA29">
        <v>1599.83</v>
      </c>
      <c r="CB29">
        <v>17.288699999999999</v>
      </c>
      <c r="CC29">
        <v>14.4856</v>
      </c>
      <c r="CD29">
        <v>500.1</v>
      </c>
      <c r="CE29">
        <v>99.315100000000001</v>
      </c>
      <c r="CF29">
        <v>0.10007099999999999</v>
      </c>
      <c r="CG29">
        <v>24.731300000000001</v>
      </c>
      <c r="CH29">
        <v>27.535900000000002</v>
      </c>
      <c r="CI29">
        <v>999.9</v>
      </c>
      <c r="CJ29">
        <v>10000.6</v>
      </c>
      <c r="CK29">
        <v>0</v>
      </c>
      <c r="CL29">
        <v>-103.515</v>
      </c>
      <c r="CM29">
        <v>2199.96</v>
      </c>
      <c r="CN29">
        <v>0.98199499999999995</v>
      </c>
      <c r="CO29">
        <v>1.8005500000000001E-2</v>
      </c>
      <c r="CP29">
        <v>0</v>
      </c>
      <c r="CQ29">
        <v>773.56600000000003</v>
      </c>
      <c r="CR29">
        <v>4.99986</v>
      </c>
      <c r="CS29">
        <v>17819</v>
      </c>
      <c r="CT29">
        <v>17913.400000000001</v>
      </c>
      <c r="CU29">
        <v>49.375</v>
      </c>
      <c r="CV29">
        <v>50.936999999999998</v>
      </c>
      <c r="CW29">
        <v>50</v>
      </c>
      <c r="CX29">
        <v>49.625</v>
      </c>
      <c r="CY29">
        <v>50.5</v>
      </c>
      <c r="CZ29">
        <v>2155.44</v>
      </c>
      <c r="DA29">
        <v>39.520000000000003</v>
      </c>
      <c r="DB29">
        <v>0</v>
      </c>
      <c r="DC29">
        <v>140.200000047684</v>
      </c>
      <c r="DD29">
        <v>773.8415</v>
      </c>
      <c r="DE29">
        <v>-2.3136751861667801</v>
      </c>
      <c r="DF29">
        <v>-49.210256418354099</v>
      </c>
      <c r="DG29">
        <v>17829.2153846154</v>
      </c>
      <c r="DH29">
        <v>15</v>
      </c>
      <c r="DI29">
        <v>1564858404.7</v>
      </c>
      <c r="DJ29" t="s">
        <v>349</v>
      </c>
      <c r="DK29">
        <v>70</v>
      </c>
      <c r="DL29">
        <v>0.83099999999999996</v>
      </c>
      <c r="DM29">
        <v>9.8000000000000004E-2</v>
      </c>
      <c r="DN29">
        <v>1600</v>
      </c>
      <c r="DO29">
        <v>14</v>
      </c>
      <c r="DP29">
        <v>0.06</v>
      </c>
      <c r="DQ29">
        <v>0.03</v>
      </c>
      <c r="DR29">
        <v>56.069674987686597</v>
      </c>
      <c r="DS29">
        <v>-0.63805107581504905</v>
      </c>
      <c r="DT29">
        <v>0.179813598801668</v>
      </c>
      <c r="DU29">
        <v>0</v>
      </c>
      <c r="DV29">
        <v>0.123891750882375</v>
      </c>
      <c r="DW29">
        <v>-1.9109917623673402E-2</v>
      </c>
      <c r="DX29">
        <v>3.8298938105452E-3</v>
      </c>
      <c r="DY29">
        <v>1</v>
      </c>
      <c r="DZ29">
        <v>1</v>
      </c>
      <c r="EA29">
        <v>2</v>
      </c>
      <c r="EB29" t="s">
        <v>314</v>
      </c>
      <c r="EC29">
        <v>1.86707</v>
      </c>
      <c r="ED29">
        <v>1.8635600000000001</v>
      </c>
      <c r="EE29">
        <v>1.8692</v>
      </c>
      <c r="EF29">
        <v>1.86714</v>
      </c>
      <c r="EG29">
        <v>1.8717999999999999</v>
      </c>
      <c r="EH29">
        <v>1.86426</v>
      </c>
      <c r="EI29">
        <v>1.8656900000000001</v>
      </c>
      <c r="EJ29">
        <v>1.8656699999999999</v>
      </c>
      <c r="EK29" t="s">
        <v>285</v>
      </c>
      <c r="EL29" t="s">
        <v>19</v>
      </c>
      <c r="EM29" t="s">
        <v>19</v>
      </c>
      <c r="EN29" t="s">
        <v>19</v>
      </c>
      <c r="EO29" t="s">
        <v>286</v>
      </c>
      <c r="EP29" t="s">
        <v>287</v>
      </c>
      <c r="EQ29" t="s">
        <v>288</v>
      </c>
      <c r="ER29" t="s">
        <v>288</v>
      </c>
      <c r="ES29" t="s">
        <v>288</v>
      </c>
      <c r="ET29" t="s">
        <v>288</v>
      </c>
      <c r="EU29">
        <v>0</v>
      </c>
      <c r="EV29">
        <v>100</v>
      </c>
      <c r="EW29">
        <v>100</v>
      </c>
      <c r="EX29">
        <v>0.83099999999999996</v>
      </c>
      <c r="EY29">
        <v>9.8000000000000004E-2</v>
      </c>
      <c r="EZ29">
        <v>2</v>
      </c>
      <c r="FA29">
        <v>503.29500000000002</v>
      </c>
      <c r="FB29">
        <v>470.35399999999998</v>
      </c>
      <c r="FC29">
        <v>16.862300000000001</v>
      </c>
      <c r="FD29">
        <v>35.478299999999997</v>
      </c>
      <c r="FE29">
        <v>30</v>
      </c>
      <c r="FF29">
        <v>35.401000000000003</v>
      </c>
      <c r="FG29">
        <v>35.377299999999998</v>
      </c>
      <c r="FH29">
        <v>68.064800000000005</v>
      </c>
      <c r="FI29">
        <v>52.771900000000002</v>
      </c>
      <c r="FJ29">
        <v>0</v>
      </c>
      <c r="FK29">
        <v>15.550800000000001</v>
      </c>
      <c r="FL29">
        <v>1600</v>
      </c>
      <c r="FM29">
        <v>14.5168</v>
      </c>
      <c r="FN29">
        <v>100.306</v>
      </c>
      <c r="FO29">
        <v>100.858</v>
      </c>
    </row>
  </sheetData>
  <sortState xmlns:xlrd2="http://schemas.microsoft.com/office/spreadsheetml/2017/richdata2" ref="J33:L46">
    <sortCondition ref="J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2019-08-03T13:54:39Z</dcterms:created>
  <dcterms:modified xsi:type="dcterms:W3CDTF">2019-08-28T03:06:44Z</dcterms:modified>
</cp:coreProperties>
</file>