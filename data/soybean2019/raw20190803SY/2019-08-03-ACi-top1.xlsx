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067218D7-B7C2-4BCA-85EE-2CDC06A01B7D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29" i="1" l="1"/>
  <c r="BT29" i="1"/>
  <c r="BR29" i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AJ29" i="1" s="1"/>
  <c r="X29" i="1"/>
  <c r="W29" i="1"/>
  <c r="V29" i="1" s="1"/>
  <c r="O29" i="1"/>
  <c r="BU28" i="1"/>
  <c r="BT28" i="1"/>
  <c r="BS28" i="1" s="1"/>
  <c r="AW28" i="1" s="1"/>
  <c r="AY28" i="1" s="1"/>
  <c r="BR28" i="1"/>
  <c r="BI28" i="1"/>
  <c r="BH28" i="1"/>
  <c r="BG28" i="1"/>
  <c r="BF28" i="1"/>
  <c r="BE28" i="1"/>
  <c r="AZ28" i="1" s="1"/>
  <c r="BB28" i="1"/>
  <c r="AU28" i="1"/>
  <c r="AP28" i="1"/>
  <c r="AO28" i="1"/>
  <c r="AK28" i="1"/>
  <c r="AI28" i="1" s="1"/>
  <c r="X28" i="1"/>
  <c r="W28" i="1"/>
  <c r="V28" i="1"/>
  <c r="O28" i="1"/>
  <c r="BU27" i="1"/>
  <c r="BT27" i="1"/>
  <c r="BS27" i="1"/>
  <c r="R27" i="1" s="1"/>
  <c r="BR27" i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O27" i="1"/>
  <c r="I27" i="1"/>
  <c r="AX27" i="1" s="1"/>
  <c r="H27" i="1"/>
  <c r="BU26" i="1"/>
  <c r="BT26" i="1"/>
  <c r="BR26" i="1"/>
  <c r="BI26" i="1"/>
  <c r="BH26" i="1"/>
  <c r="BG26" i="1"/>
  <c r="BF26" i="1"/>
  <c r="BE26" i="1"/>
  <c r="AZ26" i="1" s="1"/>
  <c r="BB26" i="1"/>
  <c r="AU26" i="1"/>
  <c r="AP26" i="1"/>
  <c r="AO26" i="1"/>
  <c r="AK26" i="1"/>
  <c r="AI26" i="1" s="1"/>
  <c r="AJ26" i="1" s="1"/>
  <c r="X26" i="1"/>
  <c r="W26" i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/>
  <c r="X25" i="1"/>
  <c r="W25" i="1"/>
  <c r="V25" i="1" s="1"/>
  <c r="O25" i="1"/>
  <c r="BU24" i="1"/>
  <c r="BT24" i="1"/>
  <c r="BS24" i="1" s="1"/>
  <c r="AW24" i="1" s="1"/>
  <c r="AY24" i="1" s="1"/>
  <c r="BR24" i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M24" i="1" s="1"/>
  <c r="X24" i="1"/>
  <c r="W24" i="1"/>
  <c r="V24" i="1" s="1"/>
  <c r="O24" i="1"/>
  <c r="BU23" i="1"/>
  <c r="BT23" i="1"/>
  <c r="BS23" i="1"/>
  <c r="BR23" i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 s="1"/>
  <c r="X23" i="1"/>
  <c r="W23" i="1"/>
  <c r="O23" i="1"/>
  <c r="BU22" i="1"/>
  <c r="BT22" i="1"/>
  <c r="BR22" i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/>
  <c r="X22" i="1"/>
  <c r="W22" i="1"/>
  <c r="V22" i="1" s="1"/>
  <c r="O22" i="1"/>
  <c r="BU21" i="1"/>
  <c r="BT21" i="1"/>
  <c r="BR21" i="1"/>
  <c r="BI21" i="1"/>
  <c r="BH21" i="1"/>
  <c r="BG21" i="1"/>
  <c r="BF21" i="1"/>
  <c r="BE21" i="1"/>
  <c r="AZ21" i="1" s="1"/>
  <c r="BB21" i="1"/>
  <c r="AU21" i="1"/>
  <c r="AO21" i="1"/>
  <c r="AP21" i="1" s="1"/>
  <c r="AK21" i="1"/>
  <c r="AI21" i="1"/>
  <c r="J21" i="1" s="1"/>
  <c r="X21" i="1"/>
  <c r="W21" i="1"/>
  <c r="V21" i="1" s="1"/>
  <c r="O21" i="1"/>
  <c r="BU20" i="1"/>
  <c r="BT20" i="1"/>
  <c r="BS20" i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 s="1"/>
  <c r="X20" i="1"/>
  <c r="W20" i="1"/>
  <c r="O20" i="1"/>
  <c r="I20" i="1"/>
  <c r="AX20" i="1" s="1"/>
  <c r="H20" i="1"/>
  <c r="BU19" i="1"/>
  <c r="BT19" i="1"/>
  <c r="BR19" i="1"/>
  <c r="BI19" i="1"/>
  <c r="BH19" i="1"/>
  <c r="BG19" i="1"/>
  <c r="BF19" i="1"/>
  <c r="BE19" i="1"/>
  <c r="AZ19" i="1" s="1"/>
  <c r="BB19" i="1"/>
  <c r="AU19" i="1"/>
  <c r="AP19" i="1"/>
  <c r="AO19" i="1"/>
  <c r="AK19" i="1"/>
  <c r="AI19" i="1" s="1"/>
  <c r="H19" i="1" s="1"/>
  <c r="X19" i="1"/>
  <c r="V19" i="1" s="1"/>
  <c r="W19" i="1"/>
  <c r="O19" i="1"/>
  <c r="BU18" i="1"/>
  <c r="BT18" i="1"/>
  <c r="BR18" i="1"/>
  <c r="BS18" i="1" s="1"/>
  <c r="AW18" i="1" s="1"/>
  <c r="AY18" i="1" s="1"/>
  <c r="BI18" i="1"/>
  <c r="BH18" i="1"/>
  <c r="BG18" i="1"/>
  <c r="BF18" i="1"/>
  <c r="BE18" i="1"/>
  <c r="AZ18" i="1" s="1"/>
  <c r="BB18" i="1"/>
  <c r="AU18" i="1"/>
  <c r="AP18" i="1"/>
  <c r="AO18" i="1"/>
  <c r="AK18" i="1"/>
  <c r="AI18" i="1" s="1"/>
  <c r="J18" i="1" s="1"/>
  <c r="X18" i="1"/>
  <c r="W18" i="1"/>
  <c r="V18" i="1"/>
  <c r="O18" i="1"/>
  <c r="BU17" i="1"/>
  <c r="BT17" i="1"/>
  <c r="BR17" i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X17" i="1"/>
  <c r="W17" i="1"/>
  <c r="V17" i="1"/>
  <c r="O17" i="1"/>
  <c r="H17" i="1" l="1"/>
  <c r="M17" i="1"/>
  <c r="I17" i="1"/>
  <c r="AX17" i="1" s="1"/>
  <c r="J17" i="1"/>
  <c r="BS19" i="1"/>
  <c r="BS21" i="1"/>
  <c r="AW21" i="1" s="1"/>
  <c r="AY21" i="1" s="1"/>
  <c r="BS22" i="1"/>
  <c r="AW22" i="1" s="1"/>
  <c r="AY22" i="1" s="1"/>
  <c r="I24" i="1"/>
  <c r="AX24" i="1" s="1"/>
  <c r="BA24" i="1" s="1"/>
  <c r="H26" i="1"/>
  <c r="Z26" i="1" s="1"/>
  <c r="BS26" i="1"/>
  <c r="R28" i="1"/>
  <c r="BS29" i="1"/>
  <c r="R21" i="1"/>
  <c r="R23" i="1"/>
  <c r="J24" i="1"/>
  <c r="R18" i="1"/>
  <c r="V20" i="1"/>
  <c r="R22" i="1"/>
  <c r="V26" i="1"/>
  <c r="V27" i="1"/>
  <c r="Z19" i="1"/>
  <c r="R20" i="1"/>
  <c r="AW20" i="1"/>
  <c r="BA20" i="1" s="1"/>
  <c r="M22" i="1"/>
  <c r="I22" i="1"/>
  <c r="AX22" i="1" s="1"/>
  <c r="BA22" i="1" s="1"/>
  <c r="H22" i="1"/>
  <c r="J22" i="1"/>
  <c r="AJ22" i="1"/>
  <c r="AW25" i="1"/>
  <c r="AY25" i="1" s="1"/>
  <c r="R25" i="1"/>
  <c r="M18" i="1"/>
  <c r="I18" i="1"/>
  <c r="AX18" i="1" s="1"/>
  <c r="BA18" i="1" s="1"/>
  <c r="AJ18" i="1"/>
  <c r="H18" i="1"/>
  <c r="S22" i="1"/>
  <c r="T22" i="1" s="1"/>
  <c r="AJ23" i="1"/>
  <c r="J23" i="1"/>
  <c r="I23" i="1"/>
  <c r="AX23" i="1" s="1"/>
  <c r="H23" i="1"/>
  <c r="M23" i="1"/>
  <c r="Z27" i="1"/>
  <c r="Z17" i="1"/>
  <c r="Z20" i="1"/>
  <c r="BS17" i="1"/>
  <c r="M19" i="1"/>
  <c r="I19" i="1"/>
  <c r="AX19" i="1" s="1"/>
  <c r="AJ19" i="1"/>
  <c r="J19" i="1"/>
  <c r="R19" i="1"/>
  <c r="AW19" i="1"/>
  <c r="AY19" i="1" s="1"/>
  <c r="R26" i="1"/>
  <c r="AW26" i="1"/>
  <c r="H28" i="1"/>
  <c r="AJ28" i="1"/>
  <c r="J29" i="1"/>
  <c r="S27" i="1"/>
  <c r="T27" i="1" s="1"/>
  <c r="H21" i="1"/>
  <c r="AJ21" i="1"/>
  <c r="AJ17" i="1"/>
  <c r="AJ20" i="1"/>
  <c r="J20" i="1"/>
  <c r="S23" i="1"/>
  <c r="T23" i="1" s="1"/>
  <c r="M25" i="1"/>
  <c r="I25" i="1"/>
  <c r="AX25" i="1" s="1"/>
  <c r="BA25" i="1" s="1"/>
  <c r="H25" i="1"/>
  <c r="AY26" i="1"/>
  <c r="AJ27" i="1"/>
  <c r="J27" i="1"/>
  <c r="J28" i="1"/>
  <c r="M21" i="1"/>
  <c r="AW27" i="1"/>
  <c r="BA27" i="1" s="1"/>
  <c r="M28" i="1"/>
  <c r="M20" i="1"/>
  <c r="I21" i="1"/>
  <c r="AX21" i="1" s="1"/>
  <c r="BA21" i="1" s="1"/>
  <c r="V23" i="1"/>
  <c r="AW23" i="1"/>
  <c r="AY23" i="1" s="1"/>
  <c r="R24" i="1"/>
  <c r="H24" i="1"/>
  <c r="AJ24" i="1"/>
  <c r="J25" i="1"/>
  <c r="AJ25" i="1"/>
  <c r="J26" i="1"/>
  <c r="M26" i="1"/>
  <c r="I26" i="1"/>
  <c r="AX26" i="1" s="1"/>
  <c r="BA26" i="1" s="1"/>
  <c r="M27" i="1"/>
  <c r="I28" i="1"/>
  <c r="AX28" i="1" s="1"/>
  <c r="BA28" i="1" s="1"/>
  <c r="M29" i="1"/>
  <c r="I29" i="1"/>
  <c r="AX29" i="1" s="1"/>
  <c r="H29" i="1"/>
  <c r="BA19" i="1" l="1"/>
  <c r="AW29" i="1"/>
  <c r="AY29" i="1" s="1"/>
  <c r="R29" i="1"/>
  <c r="S29" i="1" s="1"/>
  <c r="T29" i="1" s="1"/>
  <c r="S24" i="1"/>
  <c r="T24" i="1" s="1"/>
  <c r="U27" i="1"/>
  <c r="Y27" i="1" s="1"/>
  <c r="AB27" i="1"/>
  <c r="Z28" i="1"/>
  <c r="S26" i="1"/>
  <c r="T26" i="1" s="1"/>
  <c r="S19" i="1"/>
  <c r="T19" i="1" s="1"/>
  <c r="AA27" i="1"/>
  <c r="Z18" i="1"/>
  <c r="AB23" i="1"/>
  <c r="U23" i="1"/>
  <c r="Y23" i="1" s="1"/>
  <c r="AY27" i="1"/>
  <c r="Z25" i="1"/>
  <c r="AY20" i="1"/>
  <c r="Z23" i="1"/>
  <c r="P23" i="1"/>
  <c r="N23" i="1" s="1"/>
  <c r="Q23" i="1" s="1"/>
  <c r="K23" i="1" s="1"/>
  <c r="L23" i="1" s="1"/>
  <c r="S25" i="1"/>
  <c r="T25" i="1" s="1"/>
  <c r="P25" i="1" s="1"/>
  <c r="N25" i="1" s="1"/>
  <c r="Q25" i="1" s="1"/>
  <c r="K25" i="1" s="1"/>
  <c r="L25" i="1" s="1"/>
  <c r="P22" i="1"/>
  <c r="N22" i="1" s="1"/>
  <c r="Q22" i="1" s="1"/>
  <c r="K22" i="1" s="1"/>
  <c r="L22" i="1" s="1"/>
  <c r="Z22" i="1"/>
  <c r="S20" i="1"/>
  <c r="T20" i="1" s="1"/>
  <c r="U22" i="1"/>
  <c r="Y22" i="1" s="1"/>
  <c r="AB22" i="1"/>
  <c r="S28" i="1"/>
  <c r="T28" i="1" s="1"/>
  <c r="P28" i="1" s="1"/>
  <c r="N28" i="1" s="1"/>
  <c r="Q28" i="1" s="1"/>
  <c r="K28" i="1" s="1"/>
  <c r="L28" i="1" s="1"/>
  <c r="S18" i="1"/>
  <c r="T18" i="1" s="1"/>
  <c r="P18" i="1" s="1"/>
  <c r="N18" i="1" s="1"/>
  <c r="Q18" i="1" s="1"/>
  <c r="K18" i="1" s="1"/>
  <c r="L18" i="1" s="1"/>
  <c r="Z29" i="1"/>
  <c r="P24" i="1"/>
  <c r="N24" i="1" s="1"/>
  <c r="Q24" i="1" s="1"/>
  <c r="K24" i="1" s="1"/>
  <c r="L24" i="1" s="1"/>
  <c r="Z24" i="1"/>
  <c r="AA23" i="1"/>
  <c r="Z21" i="1"/>
  <c r="AW17" i="1"/>
  <c r="R17" i="1"/>
  <c r="S21" i="1"/>
  <c r="T21" i="1" s="1"/>
  <c r="P27" i="1"/>
  <c r="N27" i="1" s="1"/>
  <c r="Q27" i="1" s="1"/>
  <c r="K27" i="1" s="1"/>
  <c r="L27" i="1" s="1"/>
  <c r="BA23" i="1"/>
  <c r="AA22" i="1"/>
  <c r="U29" i="1" l="1"/>
  <c r="Y29" i="1" s="1"/>
  <c r="P29" i="1"/>
  <c r="N29" i="1" s="1"/>
  <c r="Q29" i="1" s="1"/>
  <c r="K29" i="1" s="1"/>
  <c r="L29" i="1" s="1"/>
  <c r="AB29" i="1"/>
  <c r="AA29" i="1"/>
  <c r="AC27" i="1"/>
  <c r="BA29" i="1"/>
  <c r="S17" i="1"/>
  <c r="T17" i="1" s="1"/>
  <c r="AY17" i="1"/>
  <c r="BA17" i="1"/>
  <c r="AC22" i="1"/>
  <c r="AB24" i="1"/>
  <c r="U24" i="1"/>
  <c r="Y24" i="1" s="1"/>
  <c r="AA24" i="1"/>
  <c r="U26" i="1"/>
  <c r="Y26" i="1" s="1"/>
  <c r="AB26" i="1"/>
  <c r="AA26" i="1"/>
  <c r="P26" i="1"/>
  <c r="N26" i="1" s="1"/>
  <c r="Q26" i="1" s="1"/>
  <c r="K26" i="1" s="1"/>
  <c r="L26" i="1" s="1"/>
  <c r="AB21" i="1"/>
  <c r="AC21" i="1" s="1"/>
  <c r="U21" i="1"/>
  <c r="Y21" i="1" s="1"/>
  <c r="AA21" i="1"/>
  <c r="P21" i="1"/>
  <c r="N21" i="1" s="1"/>
  <c r="Q21" i="1" s="1"/>
  <c r="K21" i="1" s="1"/>
  <c r="L21" i="1" s="1"/>
  <c r="U18" i="1"/>
  <c r="Y18" i="1" s="1"/>
  <c r="AB18" i="1"/>
  <c r="AC18" i="1" s="1"/>
  <c r="AA18" i="1"/>
  <c r="U25" i="1"/>
  <c r="Y25" i="1" s="1"/>
  <c r="AB25" i="1"/>
  <c r="AC25" i="1" s="1"/>
  <c r="AA25" i="1"/>
  <c r="AC29" i="1"/>
  <c r="AB28" i="1"/>
  <c r="AC28" i="1" s="1"/>
  <c r="U28" i="1"/>
  <c r="Y28" i="1" s="1"/>
  <c r="AA28" i="1"/>
  <c r="AB20" i="1"/>
  <c r="U20" i="1"/>
  <c r="Y20" i="1" s="1"/>
  <c r="AA20" i="1"/>
  <c r="P20" i="1"/>
  <c r="N20" i="1" s="1"/>
  <c r="Q20" i="1" s="1"/>
  <c r="K20" i="1" s="1"/>
  <c r="L20" i="1" s="1"/>
  <c r="AC23" i="1"/>
  <c r="U19" i="1"/>
  <c r="Y19" i="1" s="1"/>
  <c r="AB19" i="1"/>
  <c r="AC19" i="1" s="1"/>
  <c r="P19" i="1"/>
  <c r="N19" i="1" s="1"/>
  <c r="Q19" i="1" s="1"/>
  <c r="K19" i="1" s="1"/>
  <c r="L19" i="1" s="1"/>
  <c r="AA19" i="1"/>
  <c r="AC20" i="1" l="1"/>
  <c r="AC26" i="1"/>
  <c r="AC24" i="1"/>
  <c r="AB17" i="1"/>
  <c r="U17" i="1"/>
  <c r="Y17" i="1" s="1"/>
  <c r="AA17" i="1"/>
  <c r="P17" i="1"/>
  <c r="N17" i="1" s="1"/>
  <c r="Q17" i="1" s="1"/>
  <c r="K17" i="1" s="1"/>
  <c r="L17" i="1" s="1"/>
  <c r="AC17" i="1" l="1"/>
</calcChain>
</file>

<file path=xl/sharedStrings.xml><?xml version="1.0" encoding="utf-8"?>
<sst xmlns="http://schemas.openxmlformats.org/spreadsheetml/2006/main" count="769" uniqueCount="350">
  <si>
    <t>File opened</t>
  </si>
  <si>
    <t>2019-08-03 12:09:52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</si>
  <si>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</si>
  <si>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</si>
  <si>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</si>
  <si>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</si>
  <si>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</si>
  <si>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</si>
  <si>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</si>
  <si>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</si>
  <si>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</si>
  <si>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</si>
  <si>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</si>
  <si>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{"h2oaspan2b": "0.0662632", "oxygen": "21", "h2obspan2a": "0.0975941", "h2obspan2": "0", "h2oaspanconc1": "12.19", "flowmeterzero": "0.991801", "co2bspanconc1": "1002", "h2oaspan2": "0", "co2aspan2a": "0.164928", "tazero": "0.00774765", "h2obspanconc2": "0", "co2bspanconc2": "0", "h2oaspan1": "1.00223", "h2obspan2b": "0.0963575", "h2oaspanconc2": "0", "co2bzero": "0.880288", "co2bspan2": "0", "tbzero": "0.197721", "h2oaspan2a": "0.0661155", "ssb_ref": "36526.8", "co2aspan2b": "0.163711", "h2obzero": "1.01783", "co2aspanconc1": "1002", "flowazero": "0.4286", "h2oazero": "1.00263", "co2aspan2": "0", "flowbzero": "0.20796", "chamberpressurezero": "2.57337", "co2aspanconc2": "0", "ssa_ref": "36614.9", "co2aspan1": "0.992625", "co2bspan2a": "0.163389", "co2bspan2b": "0.162103", "h2obspanconc1": "20", "co2bspan1": "0.992131", "h2obspan1": "0.998578", "co2azero": "0.869071"}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</si>
  <si>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</si>
  <si>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</si>
  <si>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</si>
  <si>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</si>
  <si>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</si>
  <si>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</si>
  <si>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</si>
  <si>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</si>
  <si>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</si>
  <si>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12:09:52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</si>
  <si>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</si>
  <si>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</si>
  <si>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</si>
  <si>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</si>
  <si>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</si>
  <si>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</si>
  <si>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</si>
  <si>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</si>
  <si>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</si>
  <si>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</si>
  <si>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</si>
  <si>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</si>
  <si>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</si>
  <si>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</si>
  <si>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</si>
  <si>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</si>
  <si>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</si>
  <si>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</si>
  <si>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</si>
  <si>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</si>
  <si>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</si>
  <si>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</si>
  <si>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</si>
  <si>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</si>
  <si>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</si>
  <si>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</si>
  <si>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</si>
  <si>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</si>
  <si>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</si>
  <si>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</si>
  <si>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</si>
  <si>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</si>
  <si>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</si>
  <si>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</si>
  <si>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</si>
  <si>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</si>
  <si>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</si>
  <si>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</si>
  <si>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</si>
  <si>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</si>
  <si>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</si>
  <si>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</si>
  <si>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</si>
  <si>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</si>
  <si>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</si>
  <si>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1.7725 75.0012 383.078 616.448 845.839 1055.29 1233.75 1400.04</t>
  </si>
  <si>
    <t>Fs_true</t>
  </si>
  <si>
    <t>-0.163169 100.236 403.285 600.985 800.55 1001.15 1200.95 1401.13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</si>
  <si>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</si>
  <si>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</si>
  <si>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</si>
  <si>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</si>
  <si>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</si>
  <si>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</si>
  <si>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</si>
  <si>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</si>
  <si>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</si>
  <si>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</si>
  <si>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</si>
  <si>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</si>
  <si>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</si>
  <si>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</si>
  <si>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</si>
  <si>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</si>
  <si>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</si>
  <si>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</si>
  <si>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</si>
  <si>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</si>
  <si>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</si>
  <si>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</si>
  <si>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</si>
  <si>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</si>
  <si>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</si>
  <si>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</si>
  <si>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</si>
  <si>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</si>
  <si>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</si>
  <si>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</si>
  <si>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</si>
  <si>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</si>
  <si>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</si>
  <si>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</si>
  <si>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</si>
  <si>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</si>
  <si>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</si>
  <si>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</si>
  <si>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</si>
  <si>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</si>
  <si>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</si>
  <si>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</si>
  <si>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</si>
  <si>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</si>
  <si>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</si>
  <si>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</si>
  <si>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</si>
  <si>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</si>
  <si>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</si>
  <si>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</si>
  <si>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</si>
  <si>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</si>
  <si>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</si>
  <si>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</si>
  <si>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</si>
  <si>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</si>
  <si>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</si>
  <si>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</si>
  <si>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</si>
  <si>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</si>
  <si>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</si>
  <si>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</si>
  <si>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</si>
  <si>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</si>
  <si>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</si>
  <si>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</si>
  <si>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</si>
  <si>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</si>
  <si>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</si>
  <si>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</si>
  <si>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</si>
  <si>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</si>
  <si>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</si>
  <si>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</si>
  <si>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</si>
  <si>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</si>
  <si>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</si>
  <si>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</si>
  <si>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</si>
  <si>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</si>
  <si>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</si>
  <si>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</si>
  <si>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</si>
  <si>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</si>
  <si>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</si>
  <si>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</si>
  <si>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</si>
  <si>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</si>
  <si>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</si>
  <si>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</si>
  <si>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</si>
  <si>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</si>
  <si>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</si>
  <si>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</si>
  <si>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</si>
  <si>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</si>
  <si>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</si>
  <si>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</si>
  <si>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</si>
  <si>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</si>
  <si>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</si>
  <si>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</si>
  <si>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</si>
  <si>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</si>
  <si>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</si>
  <si>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</si>
  <si>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</si>
  <si>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</si>
  <si>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</si>
  <si>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</si>
  <si>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</si>
  <si>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</si>
  <si>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</si>
  <si>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</si>
  <si>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</si>
  <si>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</si>
  <si>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</si>
  <si>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</si>
  <si>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</si>
  <si>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</si>
  <si>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</si>
  <si>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</si>
  <si>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</si>
  <si>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</si>
  <si>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</si>
  <si>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</si>
  <si>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</si>
  <si>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</si>
  <si>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</si>
  <si>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</si>
  <si>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</si>
  <si>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</si>
  <si>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</si>
  <si>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</si>
  <si>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</si>
  <si>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</si>
  <si>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</si>
  <si>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</si>
  <si>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</si>
  <si>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</si>
  <si>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</si>
  <si>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</si>
  <si>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</si>
  <si>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</si>
  <si>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</si>
  <si>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</si>
  <si>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</si>
  <si>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</si>
  <si>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</si>
  <si>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</si>
  <si>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</si>
  <si>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</si>
  <si>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</si>
  <si>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</si>
  <si>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</si>
  <si>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</si>
  <si>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</si>
  <si>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</si>
  <si>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</si>
  <si>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</si>
  <si>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</si>
  <si>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</si>
  <si>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</si>
  <si>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</si>
  <si>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</si>
  <si>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</si>
  <si>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</si>
  <si>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</si>
  <si>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</si>
  <si>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</si>
  <si>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</si>
  <si>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</si>
  <si>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</si>
  <si>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</si>
  <si>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</si>
  <si>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</si>
  <si>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</si>
  <si>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</si>
  <si>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</si>
  <si>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</si>
  <si>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</si>
  <si>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</si>
  <si>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</si>
  <si>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</si>
  <si>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</si>
  <si>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</si>
  <si>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</si>
  <si>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</si>
  <si>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</si>
  <si>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</si>
  <si>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</si>
  <si>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</si>
  <si>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</si>
  <si>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</si>
  <si>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</si>
  <si>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</si>
  <si>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</si>
  <si>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</si>
  <si>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</si>
  <si>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</si>
  <si>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</si>
  <si>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</si>
  <si>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</si>
  <si>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</si>
  <si>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</si>
  <si>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20190803 12:28:26</t>
  </si>
  <si>
    <t>12:28:26</t>
  </si>
  <si>
    <t>RECT-741-20190803-05_27_36</t>
  </si>
  <si>
    <t>MPF-826-20190803-12_28_28</t>
  </si>
  <si>
    <t>DARK-827-20190803-12_28_35</t>
  </si>
  <si>
    <t>0: Broadleaf</t>
  </si>
  <si>
    <t>12:27:40</t>
  </si>
  <si>
    <t>2/2</t>
  </si>
  <si>
    <t>5</t>
  </si>
  <si>
    <t>11111111</t>
  </si>
  <si>
    <t>oooooooo</t>
  </si>
  <si>
    <t>off</t>
  </si>
  <si>
    <t>20190803 12:30:24</t>
  </si>
  <si>
    <t>12:30:24</t>
  </si>
  <si>
    <t>MPF-828-20190803-12_30_26</t>
  </si>
  <si>
    <t>DARK-829-20190803-12_30_33</t>
  </si>
  <si>
    <t>12:29:38</t>
  </si>
  <si>
    <t>20190803 12:32:45</t>
  </si>
  <si>
    <t>12:32:45</t>
  </si>
  <si>
    <t>MPF-830-20190803-12_32_46</t>
  </si>
  <si>
    <t>DARK-831-20190803-12_32_54</t>
  </si>
  <si>
    <t>12:32:02</t>
  </si>
  <si>
    <t>1/2</t>
  </si>
  <si>
    <t>20190803 12:35:02</t>
  </si>
  <si>
    <t>12:35:02</t>
  </si>
  <si>
    <t>MPF-832-20190803-12_35_04</t>
  </si>
  <si>
    <t>DARK-833-20190803-12_35_11</t>
  </si>
  <si>
    <t>12:34:17</t>
  </si>
  <si>
    <t>20190803 12:36:43</t>
  </si>
  <si>
    <t>12:36:43</t>
  </si>
  <si>
    <t>MPF-834-20190803-12_36_45</t>
  </si>
  <si>
    <t>DARK-835-20190803-12_36_52</t>
  </si>
  <si>
    <t>12:36:38</t>
  </si>
  <si>
    <t>20190803 12:39:04</t>
  </si>
  <si>
    <t>12:39:04</t>
  </si>
  <si>
    <t>MPF-836-20190803-12_39_05</t>
  </si>
  <si>
    <t>DARK-837-20190803-12_39_13</t>
  </si>
  <si>
    <t>12:38:22</t>
  </si>
  <si>
    <t>20190803 12:43:41</t>
  </si>
  <si>
    <t>12:43:41</t>
  </si>
  <si>
    <t>MPF-840-20190803-12_43_43</t>
  </si>
  <si>
    <t>DARK-841-20190803-12_43_51</t>
  </si>
  <si>
    <t>12:44:14</t>
  </si>
  <si>
    <t>20190803 12:46:13</t>
  </si>
  <si>
    <t>12:46:13</t>
  </si>
  <si>
    <t>MPF-842-20190803-12_46_15</t>
  </si>
  <si>
    <t>DARK-843-20190803-12_46_23</t>
  </si>
  <si>
    <t>12:45:28</t>
  </si>
  <si>
    <t>20190803 12:48:34</t>
  </si>
  <si>
    <t>12:48:34</t>
  </si>
  <si>
    <t>MPF-844-20190803-12_48_35</t>
  </si>
  <si>
    <t>DARK-845-20190803-12_48_43</t>
  </si>
  <si>
    <t>12:47:39</t>
  </si>
  <si>
    <t>20190803 12:50:55</t>
  </si>
  <si>
    <t>12:50:55</t>
  </si>
  <si>
    <t>MPF-846-20190803-12_50_56</t>
  </si>
  <si>
    <t>DARK-847-20190803-12_51_03</t>
  </si>
  <si>
    <t>12:49:41</t>
  </si>
  <si>
    <t>20190803 12:53:15</t>
  </si>
  <si>
    <t>12:53:15</t>
  </si>
  <si>
    <t>MPF-848-20190803-12_53_16</t>
  </si>
  <si>
    <t>DARK-849-20190803-12_53_24</t>
  </si>
  <si>
    <t>12:52:06</t>
  </si>
  <si>
    <t>20190803 12:55:36</t>
  </si>
  <si>
    <t>12:55:36</t>
  </si>
  <si>
    <t>MPF-850-20190803-12_55_37</t>
  </si>
  <si>
    <t>DARK-851-20190803-12_55_44</t>
  </si>
  <si>
    <t>12:54:18</t>
  </si>
  <si>
    <t>20190803 12:57:56</t>
  </si>
  <si>
    <t>12:57:56</t>
  </si>
  <si>
    <t>MPF-852-20190803-12_57_57</t>
  </si>
  <si>
    <t>DARK-853-20190803-12_58_05</t>
  </si>
  <si>
    <t>12:56:50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</si>
</sst>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O29"/>
  <sheetViews>
    <sheetView tabSelected="1" topLeftCell="A12" workbookViewId="0">
      <selection activeCell="K25" sqref="K25"/>
    </sheetView>
  </sheetViews>
  <sheetFormatPr defaultRowHeight="14.5" x14ac:dyDescent="0.35"/>
  <sheetData>
    <row r="2" spans="1:171" x14ac:dyDescent="0.35">
      <c r="A2" t="s">
        <v>25</v>
      </c>
      <c r="B2" t="s">
        <v>26</v>
      </c>
      <c r="C2" t="s">
        <v>28</v>
      </c>
      <c r="D2" t="s">
        <v>30</v>
      </c>
    </row>
    <row r="3" spans="1:171" x14ac:dyDescent="0.35">
      <c r="B3" t="s">
        <v>27</v>
      </c>
      <c r="C3" t="s">
        <v>29</v>
      </c>
      <c r="D3" t="s">
        <v>15</v>
      </c>
    </row>
    <row r="4" spans="1:171" x14ac:dyDescent="0.35">
      <c r="A4" t="s">
        <v>31</v>
      </c>
      <c r="B4" t="s">
        <v>32</v>
      </c>
    </row>
    <row r="5" spans="1:171" x14ac:dyDescent="0.35">
      <c r="B5">
        <v>2</v>
      </c>
    </row>
    <row r="6" spans="1:171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</row>
    <row r="7" spans="1:171" x14ac:dyDescent="0.35">
      <c r="B7">
        <v>0</v>
      </c>
      <c r="C7">
        <v>1</v>
      </c>
      <c r="D7">
        <v>0</v>
      </c>
      <c r="E7">
        <v>0</v>
      </c>
    </row>
    <row r="8" spans="1:171" x14ac:dyDescent="0.35">
      <c r="A8" t="s">
        <v>38</v>
      </c>
      <c r="B8" t="s">
        <v>39</v>
      </c>
      <c r="C8" t="s">
        <v>41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</row>
    <row r="9" spans="1:171" x14ac:dyDescent="0.35">
      <c r="B9" t="s">
        <v>40</v>
      </c>
      <c r="C9" t="s">
        <v>42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1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</row>
    <row r="11" spans="1:171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71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70</v>
      </c>
      <c r="H12" t="s">
        <v>72</v>
      </c>
    </row>
    <row r="13" spans="1:171" x14ac:dyDescent="0.35">
      <c r="B13">
        <v>-6276</v>
      </c>
      <c r="C13">
        <v>6.6</v>
      </c>
      <c r="D13">
        <v>1.7090000000000001E-5</v>
      </c>
      <c r="E13">
        <v>3.11</v>
      </c>
      <c r="F13" t="s">
        <v>69</v>
      </c>
      <c r="G13" t="s">
        <v>71</v>
      </c>
      <c r="H13">
        <v>2</v>
      </c>
    </row>
    <row r="14" spans="1:171" x14ac:dyDescent="0.35">
      <c r="A14" t="s">
        <v>73</v>
      </c>
      <c r="B14" t="s">
        <v>73</v>
      </c>
      <c r="C14" t="s">
        <v>73</v>
      </c>
      <c r="D14" t="s">
        <v>73</v>
      </c>
      <c r="E14" t="s">
        <v>73</v>
      </c>
      <c r="F14" t="s">
        <v>74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78</v>
      </c>
      <c r="BK14" t="s">
        <v>78</v>
      </c>
      <c r="BL14" t="s">
        <v>78</v>
      </c>
      <c r="BM14" t="s">
        <v>78</v>
      </c>
      <c r="BN14" t="s">
        <v>78</v>
      </c>
      <c r="BO14" t="s">
        <v>78</v>
      </c>
      <c r="BP14" t="s">
        <v>78</v>
      </c>
      <c r="BQ14" t="s">
        <v>78</v>
      </c>
      <c r="BR14" t="s">
        <v>79</v>
      </c>
      <c r="BS14" t="s">
        <v>79</v>
      </c>
      <c r="BT14" t="s">
        <v>79</v>
      </c>
      <c r="BU14" t="s">
        <v>79</v>
      </c>
      <c r="BV14" t="s">
        <v>31</v>
      </c>
      <c r="BW14" t="s">
        <v>31</v>
      </c>
      <c r="BX14" t="s">
        <v>31</v>
      </c>
      <c r="BY14" t="s">
        <v>80</v>
      </c>
      <c r="BZ14" t="s">
        <v>80</v>
      </c>
      <c r="CA14" t="s">
        <v>80</v>
      </c>
      <c r="CB14" t="s">
        <v>80</v>
      </c>
      <c r="CC14" t="s">
        <v>80</v>
      </c>
      <c r="CD14" t="s">
        <v>80</v>
      </c>
      <c r="CE14" t="s">
        <v>80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81</v>
      </c>
      <c r="CN14" t="s">
        <v>81</v>
      </c>
      <c r="CO14" t="s">
        <v>81</v>
      </c>
      <c r="CP14" t="s">
        <v>81</v>
      </c>
      <c r="CQ14" t="s">
        <v>81</v>
      </c>
      <c r="CR14" t="s">
        <v>81</v>
      </c>
      <c r="CS14" t="s">
        <v>81</v>
      </c>
      <c r="CT14" t="s">
        <v>81</v>
      </c>
      <c r="CU14" t="s">
        <v>81</v>
      </c>
      <c r="CV14" t="s">
        <v>81</v>
      </c>
      <c r="CW14" t="s">
        <v>81</v>
      </c>
      <c r="CX14" t="s">
        <v>81</v>
      </c>
      <c r="CY14" t="s">
        <v>81</v>
      </c>
      <c r="CZ14" t="s">
        <v>81</v>
      </c>
      <c r="DA14" t="s">
        <v>81</v>
      </c>
      <c r="DB14" t="s">
        <v>81</v>
      </c>
      <c r="DC14" t="s">
        <v>81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83</v>
      </c>
      <c r="DJ14" t="s">
        <v>83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84</v>
      </c>
      <c r="DS14" t="s">
        <v>84</v>
      </c>
      <c r="DT14" t="s">
        <v>84</v>
      </c>
      <c r="DU14" t="s">
        <v>84</v>
      </c>
      <c r="DV14" t="s">
        <v>84</v>
      </c>
      <c r="DW14" t="s">
        <v>84</v>
      </c>
      <c r="DX14" t="s">
        <v>84</v>
      </c>
      <c r="DY14" t="s">
        <v>84</v>
      </c>
      <c r="DZ14" t="s">
        <v>84</v>
      </c>
      <c r="EA14" t="s">
        <v>84</v>
      </c>
      <c r="EB14" t="s">
        <v>84</v>
      </c>
      <c r="EC14" t="s">
        <v>85</v>
      </c>
      <c r="ED14" t="s">
        <v>85</v>
      </c>
      <c r="EE14" t="s">
        <v>85</v>
      </c>
      <c r="EF14" t="s">
        <v>85</v>
      </c>
      <c r="EG14" t="s">
        <v>85</v>
      </c>
      <c r="EH14" t="s">
        <v>85</v>
      </c>
      <c r="EI14" t="s">
        <v>85</v>
      </c>
      <c r="EJ14" t="s">
        <v>85</v>
      </c>
      <c r="EK14" t="s">
        <v>85</v>
      </c>
      <c r="EL14" t="s">
        <v>85</v>
      </c>
      <c r="EM14" t="s">
        <v>85</v>
      </c>
      <c r="EN14" t="s">
        <v>85</v>
      </c>
      <c r="EO14" t="s">
        <v>85</v>
      </c>
      <c r="EP14" t="s">
        <v>85</v>
      </c>
      <c r="EQ14" t="s">
        <v>85</v>
      </c>
      <c r="ER14" t="s">
        <v>85</v>
      </c>
      <c r="ES14" t="s">
        <v>85</v>
      </c>
      <c r="ET14" t="s">
        <v>85</v>
      </c>
      <c r="EU14" t="s">
        <v>85</v>
      </c>
      <c r="EV14" t="s">
        <v>86</v>
      </c>
      <c r="EW14" t="s">
        <v>86</v>
      </c>
      <c r="EX14" t="s">
        <v>86</v>
      </c>
      <c r="EY14" t="s">
        <v>86</v>
      </c>
      <c r="EZ14" t="s">
        <v>86</v>
      </c>
      <c r="FA14" t="s">
        <v>86</v>
      </c>
      <c r="FB14" t="s">
        <v>86</v>
      </c>
      <c r="FC14" t="s">
        <v>86</v>
      </c>
      <c r="FD14" t="s">
        <v>86</v>
      </c>
      <c r="FE14" t="s">
        <v>86</v>
      </c>
      <c r="FF14" t="s">
        <v>86</v>
      </c>
      <c r="FG14" t="s">
        <v>86</v>
      </c>
      <c r="FH14" t="s">
        <v>86</v>
      </c>
      <c r="FI14" t="s">
        <v>86</v>
      </c>
      <c r="FJ14" t="s">
        <v>86</v>
      </c>
      <c r="FK14" t="s">
        <v>86</v>
      </c>
      <c r="FL14" t="s">
        <v>86</v>
      </c>
      <c r="FM14" t="s">
        <v>86</v>
      </c>
      <c r="FN14" t="s">
        <v>86</v>
      </c>
      <c r="FO14" t="s">
        <v>86</v>
      </c>
    </row>
    <row r="15" spans="1:171" x14ac:dyDescent="0.3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  <c r="K15" t="s">
        <v>97</v>
      </c>
      <c r="L15" t="s">
        <v>98</v>
      </c>
      <c r="M15" t="s">
        <v>99</v>
      </c>
      <c r="N15" t="s">
        <v>100</v>
      </c>
      <c r="O15" t="s">
        <v>101</v>
      </c>
      <c r="P15" t="s">
        <v>102</v>
      </c>
      <c r="Q15" t="s">
        <v>103</v>
      </c>
      <c r="R15" t="s">
        <v>104</v>
      </c>
      <c r="S15" t="s">
        <v>105</v>
      </c>
      <c r="T15" t="s">
        <v>106</v>
      </c>
      <c r="U15" t="s">
        <v>107</v>
      </c>
      <c r="V15" t="s">
        <v>108</v>
      </c>
      <c r="W15" t="s">
        <v>109</v>
      </c>
      <c r="X15" t="s">
        <v>110</v>
      </c>
      <c r="Y15" t="s">
        <v>111</v>
      </c>
      <c r="Z15" t="s">
        <v>112</v>
      </c>
      <c r="AA15" t="s">
        <v>113</v>
      </c>
      <c r="AB15" t="s">
        <v>114</v>
      </c>
      <c r="AC15" t="s">
        <v>115</v>
      </c>
      <c r="AD15" t="s">
        <v>116</v>
      </c>
      <c r="AE15" t="s">
        <v>117</v>
      </c>
      <c r="AF15" t="s">
        <v>118</v>
      </c>
      <c r="AG15" t="s">
        <v>76</v>
      </c>
      <c r="AH15" t="s">
        <v>119</v>
      </c>
      <c r="AI15" t="s">
        <v>120</v>
      </c>
      <c r="AJ15" t="s">
        <v>121</v>
      </c>
      <c r="AK15" t="s">
        <v>122</v>
      </c>
      <c r="AL15" t="s">
        <v>123</v>
      </c>
      <c r="AM15" t="s">
        <v>124</v>
      </c>
      <c r="AN15" t="s">
        <v>125</v>
      </c>
      <c r="AO15" t="s">
        <v>126</v>
      </c>
      <c r="AP15" t="s">
        <v>127</v>
      </c>
      <c r="AQ15" t="s">
        <v>128</v>
      </c>
      <c r="AR15" t="s">
        <v>129</v>
      </c>
      <c r="AS15" t="s">
        <v>130</v>
      </c>
      <c r="AT15" t="s">
        <v>131</v>
      </c>
      <c r="AU15" t="s">
        <v>132</v>
      </c>
      <c r="AV15" t="s">
        <v>133</v>
      </c>
      <c r="AW15" t="s">
        <v>134</v>
      </c>
      <c r="AX15" t="s">
        <v>135</v>
      </c>
      <c r="AY15" t="s">
        <v>136</v>
      </c>
      <c r="AZ15" t="s">
        <v>137</v>
      </c>
      <c r="BA15" t="s">
        <v>138</v>
      </c>
      <c r="BB15" t="s">
        <v>139</v>
      </c>
      <c r="BC15" t="s">
        <v>140</v>
      </c>
      <c r="BD15" t="s">
        <v>141</v>
      </c>
      <c r="BE15" t="s">
        <v>142</v>
      </c>
      <c r="BF15" t="s">
        <v>143</v>
      </c>
      <c r="BG15" t="s">
        <v>144</v>
      </c>
      <c r="BH15" t="s">
        <v>145</v>
      </c>
      <c r="BI15" t="s">
        <v>146</v>
      </c>
      <c r="BJ15" t="s">
        <v>147</v>
      </c>
      <c r="BK15" t="s">
        <v>148</v>
      </c>
      <c r="BL15" t="s">
        <v>149</v>
      </c>
      <c r="BM15" t="s">
        <v>150</v>
      </c>
      <c r="BN15" t="s">
        <v>151</v>
      </c>
      <c r="BO15" t="s">
        <v>152</v>
      </c>
      <c r="BP15" t="s">
        <v>153</v>
      </c>
      <c r="BQ15" t="s">
        <v>154</v>
      </c>
      <c r="BR15" t="s">
        <v>155</v>
      </c>
      <c r="BS15" t="s">
        <v>156</v>
      </c>
      <c r="BT15" t="s">
        <v>157</v>
      </c>
      <c r="BU15" t="s">
        <v>158</v>
      </c>
      <c r="BV15" t="s">
        <v>159</v>
      </c>
      <c r="BW15" t="s">
        <v>160</v>
      </c>
      <c r="BX15" t="s">
        <v>161</v>
      </c>
      <c r="BY15" t="s">
        <v>93</v>
      </c>
      <c r="BZ15" t="s">
        <v>162</v>
      </c>
      <c r="CA15" t="s">
        <v>163</v>
      </c>
      <c r="CB15" t="s">
        <v>164</v>
      </c>
      <c r="CC15" t="s">
        <v>165</v>
      </c>
      <c r="CD15" t="s">
        <v>166</v>
      </c>
      <c r="CE15" t="s">
        <v>167</v>
      </c>
      <c r="CF15" t="s">
        <v>168</v>
      </c>
      <c r="CG15" t="s">
        <v>169</v>
      </c>
      <c r="CH15" t="s">
        <v>170</v>
      </c>
      <c r="CI15" t="s">
        <v>171</v>
      </c>
      <c r="CJ15" t="s">
        <v>172</v>
      </c>
      <c r="CK15" t="s">
        <v>173</v>
      </c>
      <c r="CL15" t="s">
        <v>174</v>
      </c>
      <c r="CM15" t="s">
        <v>175</v>
      </c>
      <c r="CN15" t="s">
        <v>176</v>
      </c>
      <c r="CO15" t="s">
        <v>177</v>
      </c>
      <c r="CP15" t="s">
        <v>178</v>
      </c>
      <c r="CQ15" t="s">
        <v>179</v>
      </c>
      <c r="CR15" t="s">
        <v>180</v>
      </c>
      <c r="CS15" t="s">
        <v>181</v>
      </c>
      <c r="CT15" t="s">
        <v>182</v>
      </c>
      <c r="CU15" t="s">
        <v>183</v>
      </c>
      <c r="CV15" t="s">
        <v>184</v>
      </c>
      <c r="CW15" t="s">
        <v>185</v>
      </c>
      <c r="CX15" t="s">
        <v>186</v>
      </c>
      <c r="CY15" t="s">
        <v>187</v>
      </c>
      <c r="CZ15" t="s">
        <v>188</v>
      </c>
      <c r="DA15" t="s">
        <v>189</v>
      </c>
      <c r="DB15" t="s">
        <v>190</v>
      </c>
      <c r="DC15" t="s">
        <v>191</v>
      </c>
      <c r="DD15" t="s">
        <v>192</v>
      </c>
      <c r="DE15" t="s">
        <v>193</v>
      </c>
      <c r="DF15" t="s">
        <v>194</v>
      </c>
      <c r="DG15" t="s">
        <v>195</v>
      </c>
      <c r="DH15" t="s">
        <v>196</v>
      </c>
      <c r="DI15" t="s">
        <v>88</v>
      </c>
      <c r="DJ15" t="s">
        <v>91</v>
      </c>
      <c r="DK15" t="s">
        <v>197</v>
      </c>
      <c r="DL15" t="s">
        <v>198</v>
      </c>
      <c r="DM15" t="s">
        <v>199</v>
      </c>
      <c r="DN15" t="s">
        <v>200</v>
      </c>
      <c r="DO15" t="s">
        <v>201</v>
      </c>
      <c r="DP15" t="s">
        <v>202</v>
      </c>
      <c r="DQ15" t="s">
        <v>203</v>
      </c>
      <c r="DR15" t="s">
        <v>204</v>
      </c>
      <c r="DS15" t="s">
        <v>205</v>
      </c>
      <c r="DT15" t="s">
        <v>206</v>
      </c>
      <c r="DU15" t="s">
        <v>207</v>
      </c>
      <c r="DV15" t="s">
        <v>208</v>
      </c>
      <c r="DW15" t="s">
        <v>209</v>
      </c>
      <c r="DX15" t="s">
        <v>210</v>
      </c>
      <c r="DY15" t="s">
        <v>211</v>
      </c>
      <c r="DZ15" t="s">
        <v>212</v>
      </c>
      <c r="EA15" t="s">
        <v>213</v>
      </c>
      <c r="EB15" t="s">
        <v>214</v>
      </c>
      <c r="EC15" t="s">
        <v>215</v>
      </c>
      <c r="ED15" t="s">
        <v>216</v>
      </c>
      <c r="EE15" t="s">
        <v>217</v>
      </c>
      <c r="EF15" t="s">
        <v>218</v>
      </c>
      <c r="EG15" t="s">
        <v>219</v>
      </c>
      <c r="EH15" t="s">
        <v>220</v>
      </c>
      <c r="EI15" t="s">
        <v>221</v>
      </c>
      <c r="EJ15" t="s">
        <v>222</v>
      </c>
      <c r="EK15" t="s">
        <v>223</v>
      </c>
      <c r="EL15" t="s">
        <v>224</v>
      </c>
      <c r="EM15" t="s">
        <v>225</v>
      </c>
      <c r="EN15" t="s">
        <v>226</v>
      </c>
      <c r="EO15" t="s">
        <v>227</v>
      </c>
      <c r="EP15" t="s">
        <v>228</v>
      </c>
      <c r="EQ15" t="s">
        <v>229</v>
      </c>
      <c r="ER15" t="s">
        <v>230</v>
      </c>
      <c r="ES15" t="s">
        <v>231</v>
      </c>
      <c r="ET15" t="s">
        <v>232</v>
      </c>
      <c r="EU15" t="s">
        <v>233</v>
      </c>
      <c r="EV15" t="s">
        <v>234</v>
      </c>
      <c r="EW15" t="s">
        <v>235</v>
      </c>
      <c r="EX15" t="s">
        <v>236</v>
      </c>
      <c r="EY15" t="s">
        <v>237</v>
      </c>
      <c r="EZ15" t="s">
        <v>238</v>
      </c>
      <c r="FA15" t="s">
        <v>239</v>
      </c>
      <c r="FB15" t="s">
        <v>240</v>
      </c>
      <c r="FC15" t="s">
        <v>241</v>
      </c>
      <c r="FD15" t="s">
        <v>242</v>
      </c>
      <c r="FE15" t="s">
        <v>243</v>
      </c>
      <c r="FF15" t="s">
        <v>244</v>
      </c>
      <c r="FG15" t="s">
        <v>245</v>
      </c>
      <c r="FH15" t="s">
        <v>246</v>
      </c>
      <c r="FI15" t="s">
        <v>247</v>
      </c>
      <c r="FJ15" t="s">
        <v>248</v>
      </c>
      <c r="FK15" t="s">
        <v>249</v>
      </c>
      <c r="FL15" t="s">
        <v>250</v>
      </c>
      <c r="FM15" t="s">
        <v>251</v>
      </c>
      <c r="FN15" t="s">
        <v>252</v>
      </c>
      <c r="FO15" t="s">
        <v>253</v>
      </c>
    </row>
    <row r="16" spans="1:171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V16" t="s">
        <v>267</v>
      </c>
      <c r="BY16" t="s">
        <v>254</v>
      </c>
      <c r="BZ16" t="s">
        <v>257</v>
      </c>
      <c r="CA16" t="s">
        <v>257</v>
      </c>
      <c r="CB16" t="s">
        <v>268</v>
      </c>
      <c r="CC16" t="s">
        <v>268</v>
      </c>
      <c r="CD16" t="s">
        <v>262</v>
      </c>
      <c r="CE16" t="s">
        <v>260</v>
      </c>
      <c r="CF16" t="s">
        <v>260</v>
      </c>
      <c r="CG16" t="s">
        <v>259</v>
      </c>
      <c r="CH16" t="s">
        <v>259</v>
      </c>
      <c r="CI16" t="s">
        <v>259</v>
      </c>
      <c r="CJ16" t="s">
        <v>269</v>
      </c>
      <c r="CK16" t="s">
        <v>256</v>
      </c>
      <c r="CL16" t="s">
        <v>256</v>
      </c>
      <c r="CM16" t="s">
        <v>256</v>
      </c>
      <c r="CR16" t="s">
        <v>256</v>
      </c>
      <c r="CU16" t="s">
        <v>259</v>
      </c>
      <c r="CV16" t="s">
        <v>259</v>
      </c>
      <c r="CW16" t="s">
        <v>259</v>
      </c>
      <c r="CX16" t="s">
        <v>259</v>
      </c>
      <c r="CY16" t="s">
        <v>259</v>
      </c>
      <c r="CZ16" t="s">
        <v>256</v>
      </c>
      <c r="DA16" t="s">
        <v>256</v>
      </c>
      <c r="DB16" t="s">
        <v>256</v>
      </c>
      <c r="DC16" t="s">
        <v>254</v>
      </c>
      <c r="DE16" t="s">
        <v>270</v>
      </c>
      <c r="DF16" t="s">
        <v>270</v>
      </c>
      <c r="DH16" t="s">
        <v>254</v>
      </c>
      <c r="DI16" t="s">
        <v>271</v>
      </c>
      <c r="DL16" t="s">
        <v>272</v>
      </c>
      <c r="DM16" t="s">
        <v>273</v>
      </c>
      <c r="DN16" t="s">
        <v>272</v>
      </c>
      <c r="DO16" t="s">
        <v>273</v>
      </c>
      <c r="DP16" t="s">
        <v>261</v>
      </c>
      <c r="DQ16" t="s">
        <v>261</v>
      </c>
      <c r="DR16" t="s">
        <v>256</v>
      </c>
      <c r="DS16" t="s">
        <v>274</v>
      </c>
      <c r="DT16" t="s">
        <v>256</v>
      </c>
      <c r="DV16" t="s">
        <v>255</v>
      </c>
      <c r="DW16" t="s">
        <v>275</v>
      </c>
      <c r="DX16" t="s">
        <v>255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N16" t="s">
        <v>276</v>
      </c>
      <c r="EU16" t="s">
        <v>276</v>
      </c>
      <c r="EV16" t="s">
        <v>261</v>
      </c>
      <c r="EW16" t="s">
        <v>261</v>
      </c>
      <c r="EX16" t="s">
        <v>272</v>
      </c>
      <c r="EY16" t="s">
        <v>273</v>
      </c>
      <c r="FA16" t="s">
        <v>262</v>
      </c>
      <c r="FB16" t="s">
        <v>262</v>
      </c>
      <c r="FC16" t="s">
        <v>259</v>
      </c>
      <c r="FD16" t="s">
        <v>259</v>
      </c>
      <c r="FE16" t="s">
        <v>259</v>
      </c>
      <c r="FF16" t="s">
        <v>259</v>
      </c>
      <c r="FG16" t="s">
        <v>259</v>
      </c>
      <c r="FH16" t="s">
        <v>261</v>
      </c>
      <c r="FI16" t="s">
        <v>261</v>
      </c>
      <c r="FJ16" t="s">
        <v>261</v>
      </c>
      <c r="FK16" t="s">
        <v>259</v>
      </c>
      <c r="FL16" t="s">
        <v>257</v>
      </c>
      <c r="FM16" t="s">
        <v>268</v>
      </c>
      <c r="FN16" t="s">
        <v>261</v>
      </c>
      <c r="FO16" t="s">
        <v>261</v>
      </c>
    </row>
    <row r="17" spans="1:171" x14ac:dyDescent="0.35">
      <c r="A17">
        <v>1</v>
      </c>
      <c r="B17">
        <v>1564853306.9000001</v>
      </c>
      <c r="C17">
        <v>0</v>
      </c>
      <c r="D17" t="s">
        <v>277</v>
      </c>
      <c r="E17" t="s">
        <v>278</v>
      </c>
      <c r="G17">
        <v>1564853306.9000001</v>
      </c>
      <c r="H17">
        <f t="shared" ref="H17:H29" si="0">CD17*AI17*(CB17-CC17)/(100*BV17*(1000-AI17*CB17))</f>
        <v>5.2321030328627595E-3</v>
      </c>
      <c r="I17">
        <f t="shared" ref="I17:I29" si="1">CD17*AI17*(CA17-BZ17*(1000-AI17*CC17)/(1000-AI17*CB17))/(100*BV17)</f>
        <v>29.012620894616404</v>
      </c>
      <c r="J17">
        <f t="shared" ref="J17:J29" si="2">BZ17 - IF(AI17&gt;1, I17*BV17*100/(AK17*CJ17), 0)</f>
        <v>362.93</v>
      </c>
      <c r="K17">
        <f t="shared" ref="K17:K29" si="3">((Q17-H17/2)*J17-I17)/(Q17+H17/2)</f>
        <v>184.76931797219567</v>
      </c>
      <c r="L17">
        <f t="shared" ref="L17:L29" si="4">K17*(CE17+CF17)/1000</f>
        <v>18.381419714280543</v>
      </c>
      <c r="M17">
        <f t="shared" ref="M17:M29" si="5">(BZ17 - IF(AI17&gt;1, I17*BV17*100/(AK17*CJ17), 0))*(CE17+CF17)/1000</f>
        <v>36.105392010526998</v>
      </c>
      <c r="N17">
        <f t="shared" ref="N17:N29" si="6">2/((1/P17-1/O17)+SIGN(P17)*SQRT((1/P17-1/O17)*(1/P17-1/O17) + 4*BW17/((BW17+1)*(BW17+1))*(2*1/P17*1/O17-1/O17*1/O17)))</f>
        <v>0.29012556032118086</v>
      </c>
      <c r="O17">
        <f t="shared" ref="O17:O29" si="7">AF17+AE17*BV17+AD17*BV17*BV17</f>
        <v>2.2482512775472463</v>
      </c>
      <c r="P17">
        <f t="shared" ref="P17:P29" si="8">H17*(1000-(1000*0.61365*EXP(17.502*T17/(240.97+T17))/(CE17+CF17)+CB17)/2)/(1000*0.61365*EXP(17.502*T17/(240.97+T17))/(CE17+CF17)-CB17)</f>
        <v>0.27081564950756276</v>
      </c>
      <c r="Q17">
        <f t="shared" ref="Q17:Q29" si="9">1/((BW17+1)/(N17/1.6)+1/(O17/1.37)) + BW17/((BW17+1)/(N17/1.6) + BW17/(O17/1.37))</f>
        <v>0.17088748302610665</v>
      </c>
      <c r="R17">
        <f t="shared" ref="R17:R29" si="10">(BS17*BU17)</f>
        <v>353.29892284865196</v>
      </c>
      <c r="S17">
        <f t="shared" ref="S17:S29" si="11">(CG17+(R17+2*0.95*0.0000000567*(((CG17+$B$7)+273)^4-(CG17+273)^4)-44100*H17)/(1.84*29.3*O17+8*0.95*0.0000000567*(CG17+273)^3))</f>
        <v>25.550726780973491</v>
      </c>
      <c r="T17">
        <f t="shared" ref="T17:T29" si="12">($C$7*CH17+$D$7*CI17+$E$7*S17)</f>
        <v>27.003299999999999</v>
      </c>
      <c r="U17">
        <f t="shared" ref="U17:U29" si="13">0.61365*EXP(17.502*T17/(240.97+T17))</f>
        <v>3.5798534540596498</v>
      </c>
      <c r="V17">
        <f t="shared" ref="V17:V29" si="14">(W17/X17*100)</f>
        <v>54.958950975954991</v>
      </c>
      <c r="W17">
        <f t="shared" ref="W17:W29" si="15">CB17*(CE17+CF17)/1000</f>
        <v>1.7089500883763702</v>
      </c>
      <c r="X17">
        <f t="shared" ref="X17:X29" si="16">0.61365*EXP(17.502*CG17/(240.97+CG17))</f>
        <v>3.1095027434640272</v>
      </c>
      <c r="Y17">
        <f t="shared" ref="Y17:Y29" si="17">(U17-CB17*(CE17+CF17)/1000)</f>
        <v>1.8709033656832796</v>
      </c>
      <c r="Z17">
        <f t="shared" ref="Z17:Z29" si="18">(-H17*44100)</f>
        <v>-230.73574374924769</v>
      </c>
      <c r="AA17">
        <f t="shared" ref="AA17:AA29" si="19">2*29.3*O17*0.92*(CG17-T17)</f>
        <v>-288.12287804646456</v>
      </c>
      <c r="AB17">
        <f t="shared" ref="AB17:AB29" si="20">2*0.95*0.0000000567*(((CG17+$B$7)+273)^4-(T17+273)^4)</f>
        <v>-27.331097259260019</v>
      </c>
      <c r="AC17">
        <f t="shared" ref="AC17:AC29" si="21">R17+AB17+Z17+AA17</f>
        <v>-192.89079620632029</v>
      </c>
      <c r="AD17">
        <v>-4.1136685723764402E-2</v>
      </c>
      <c r="AE17">
        <v>4.6179533496524101E-2</v>
      </c>
      <c r="AF17">
        <v>3.45209476262362</v>
      </c>
      <c r="AG17">
        <v>0</v>
      </c>
      <c r="AH17">
        <v>0</v>
      </c>
      <c r="AI17">
        <f t="shared" ref="AI17:AI29" si="22">IF(AG17*$H$13&gt;=AK17,1,(AK17/(AK17-AG17*$H$13)))</f>
        <v>1</v>
      </c>
      <c r="AJ17">
        <f t="shared" ref="AJ17:AJ29" si="23">(AI17-1)*100</f>
        <v>0</v>
      </c>
      <c r="AK17">
        <f t="shared" ref="AK17:AK29" si="24">MAX(0,($B$13+$C$13*CJ17)/(1+$D$13*CJ17)*CE17/(CG17+273)*$E$13)</f>
        <v>52878.076993192059</v>
      </c>
      <c r="AL17" t="s">
        <v>279</v>
      </c>
      <c r="AM17">
        <v>481.47884615384601</v>
      </c>
      <c r="AN17">
        <v>2238.31</v>
      </c>
      <c r="AO17">
        <f t="shared" ref="AO17:AO29" si="25">AN17-AM17</f>
        <v>1756.8311538461539</v>
      </c>
      <c r="AP17">
        <f t="shared" ref="AP17:AP29" si="26">AO17/AN17</f>
        <v>0.78489179508028561</v>
      </c>
      <c r="AQ17">
        <v>-0.96503536810971002</v>
      </c>
      <c r="AR17" t="s">
        <v>280</v>
      </c>
      <c r="AS17">
        <v>869.52776923076897</v>
      </c>
      <c r="AT17">
        <v>1216.2</v>
      </c>
      <c r="AU17">
        <f t="shared" ref="AU17:AU29" si="27">1-AS17/AT17</f>
        <v>0.28504541257131311</v>
      </c>
      <c r="AV17">
        <v>0.5</v>
      </c>
      <c r="AW17">
        <f t="shared" ref="AW17:AW29" si="28">BS17</f>
        <v>1848.9834000754174</v>
      </c>
      <c r="AX17">
        <f t="shared" ref="AX17:AX29" si="29">I17</f>
        <v>29.012620894616404</v>
      </c>
      <c r="AY17">
        <f t="shared" ref="AY17:AY29" si="30">AU17*AV17*AW17</f>
        <v>263.52211805600331</v>
      </c>
      <c r="AZ17">
        <f t="shared" ref="AZ17:AZ29" si="31">BE17/AT17</f>
        <v>0.50222002960039469</v>
      </c>
      <c r="BA17">
        <f t="shared" ref="BA17:BA29" si="32">(AX17-AQ17)/AW17</f>
        <v>1.6213047808597614E-2</v>
      </c>
      <c r="BB17">
        <f t="shared" ref="BB17:BB29" si="33">(AN17-AT17)/AT17</f>
        <v>0.84041276105903628</v>
      </c>
      <c r="BC17" t="s">
        <v>281</v>
      </c>
      <c r="BD17">
        <v>605.4</v>
      </c>
      <c r="BE17">
        <f t="shared" ref="BE17:BE29" si="34">AT17-BD17</f>
        <v>610.80000000000007</v>
      </c>
      <c r="BF17">
        <f t="shared" ref="BF17:BF29" si="35">(AT17-AS17)/(AT17-BD17)</f>
        <v>0.56757077729081706</v>
      </c>
      <c r="BG17">
        <f t="shared" ref="BG17:BG29" si="36">(AN17-AT17)/(AN17-BD17)</f>
        <v>0.62594386708391769</v>
      </c>
      <c r="BH17">
        <f t="shared" ref="BH17:BH29" si="37">(AT17-AS17)/(AT17-AM17)</f>
        <v>0.47184190757875205</v>
      </c>
      <c r="BI17">
        <f t="shared" ref="BI17:BI29" si="38">(AN17-AT17)/(AN17-AM17)</f>
        <v>0.58179182317113343</v>
      </c>
      <c r="BJ17">
        <v>826</v>
      </c>
      <c r="BK17">
        <v>300</v>
      </c>
      <c r="BL17">
        <v>300</v>
      </c>
      <c r="BM17">
        <v>300</v>
      </c>
      <c r="BN17">
        <v>10111.9</v>
      </c>
      <c r="BO17">
        <v>1118</v>
      </c>
      <c r="BP17">
        <v>-6.5676800000000002E-3</v>
      </c>
      <c r="BQ17">
        <v>1.80908</v>
      </c>
      <c r="BR17">
        <f t="shared" ref="BR17:BR29" si="39">$B$11*CK17+$C$11*CL17+$F$11*CM17</f>
        <v>2199.7600000000002</v>
      </c>
      <c r="BS17">
        <f t="shared" ref="BS17:BS29" si="40">BR17*BT17</f>
        <v>1848.9834000754174</v>
      </c>
      <c r="BT17">
        <f t="shared" ref="BT17:BT29" si="41">($B$11*$D$9+$C$11*$D$9+$F$11*((CZ17+CR17)/MAX(CZ17+CR17+DA17, 0.1)*$I$9+DA17/MAX(CZ17+CR17+DA17, 0.1)*$J$9))/($B$11+$C$11+$F$11)</f>
        <v>0.84053869516466218</v>
      </c>
      <c r="BU17">
        <f t="shared" ref="BU17:BU29" si="42">($B$11*$K$9+$C$11*$K$9+$F$11*((CZ17+CR17)/MAX(CZ17+CR17+DA17, 0.1)*$P$9+DA17/MAX(CZ17+CR17+DA17, 0.1)*$Q$9))/($B$11+$C$11+$F$11)</f>
        <v>0.19107739032932441</v>
      </c>
      <c r="BV17">
        <v>6</v>
      </c>
      <c r="BW17">
        <v>0.5</v>
      </c>
      <c r="BX17" t="s">
        <v>282</v>
      </c>
      <c r="BY17">
        <v>1564853306.9000001</v>
      </c>
      <c r="BZ17">
        <v>362.93</v>
      </c>
      <c r="CA17">
        <v>400.02699999999999</v>
      </c>
      <c r="CB17">
        <v>17.1783</v>
      </c>
      <c r="CC17">
        <v>11.007099999999999</v>
      </c>
      <c r="CD17">
        <v>499.95699999999999</v>
      </c>
      <c r="CE17">
        <v>99.383200000000002</v>
      </c>
      <c r="CF17">
        <v>9.9873900000000002E-2</v>
      </c>
      <c r="CG17">
        <v>24.626200000000001</v>
      </c>
      <c r="CH17">
        <v>27.003299999999999</v>
      </c>
      <c r="CI17">
        <v>999.9</v>
      </c>
      <c r="CJ17">
        <v>9981.8799999999992</v>
      </c>
      <c r="CK17">
        <v>0</v>
      </c>
      <c r="CL17">
        <v>-437.99700000000001</v>
      </c>
      <c r="CM17">
        <v>2199.7600000000002</v>
      </c>
      <c r="CN17">
        <v>0.98200200000000004</v>
      </c>
      <c r="CO17">
        <v>1.79981E-2</v>
      </c>
      <c r="CP17">
        <v>0</v>
      </c>
      <c r="CQ17">
        <v>868.92600000000004</v>
      </c>
      <c r="CR17">
        <v>4.99986</v>
      </c>
      <c r="CS17">
        <v>19783.3</v>
      </c>
      <c r="CT17">
        <v>17911.8</v>
      </c>
      <c r="CU17">
        <v>47.436999999999998</v>
      </c>
      <c r="CV17">
        <v>49.125</v>
      </c>
      <c r="CW17">
        <v>48.125</v>
      </c>
      <c r="CX17">
        <v>47.936999999999998</v>
      </c>
      <c r="CY17">
        <v>48.686999999999998</v>
      </c>
      <c r="CZ17">
        <v>2155.2600000000002</v>
      </c>
      <c r="DA17">
        <v>39.5</v>
      </c>
      <c r="DB17">
        <v>0</v>
      </c>
      <c r="DC17">
        <v>3901.4000000953702</v>
      </c>
      <c r="DD17">
        <v>869.52776923076897</v>
      </c>
      <c r="DE17">
        <v>-2.87808546629469</v>
      </c>
      <c r="DF17">
        <v>-37.364102490209497</v>
      </c>
      <c r="DG17">
        <v>19790.503846153799</v>
      </c>
      <c r="DH17">
        <v>15</v>
      </c>
      <c r="DI17">
        <v>1564853260.9000001</v>
      </c>
      <c r="DJ17" t="s">
        <v>283</v>
      </c>
      <c r="DK17">
        <v>43</v>
      </c>
      <c r="DL17">
        <v>9.2999999999999999E-2</v>
      </c>
      <c r="DM17">
        <v>0.05</v>
      </c>
      <c r="DN17">
        <v>400</v>
      </c>
      <c r="DO17">
        <v>11</v>
      </c>
      <c r="DP17">
        <v>0.05</v>
      </c>
      <c r="DQ17">
        <v>0.01</v>
      </c>
      <c r="DR17">
        <v>29.008129802057599</v>
      </c>
      <c r="DS17">
        <v>-0.10827475762363099</v>
      </c>
      <c r="DT17">
        <v>8.8026206229544005E-2</v>
      </c>
      <c r="DU17">
        <v>1</v>
      </c>
      <c r="DV17">
        <v>0.28662182597956898</v>
      </c>
      <c r="DW17">
        <v>2.8003368005368699E-2</v>
      </c>
      <c r="DX17">
        <v>6.9799737032170102E-3</v>
      </c>
      <c r="DY17">
        <v>1</v>
      </c>
      <c r="DZ17">
        <v>2</v>
      </c>
      <c r="EA17">
        <v>2</v>
      </c>
      <c r="EB17" t="s">
        <v>284</v>
      </c>
      <c r="EC17">
        <v>1.8666199999999999</v>
      </c>
      <c r="ED17">
        <v>1.8631200000000001</v>
      </c>
      <c r="EE17">
        <v>1.8687499999999999</v>
      </c>
      <c r="EF17">
        <v>1.8667100000000001</v>
      </c>
      <c r="EG17">
        <v>1.87134</v>
      </c>
      <c r="EH17">
        <v>1.8638600000000001</v>
      </c>
      <c r="EI17">
        <v>1.8653500000000001</v>
      </c>
      <c r="EJ17">
        <v>1.86524</v>
      </c>
      <c r="EK17" t="s">
        <v>285</v>
      </c>
      <c r="EL17" t="s">
        <v>19</v>
      </c>
      <c r="EM17" t="s">
        <v>19</v>
      </c>
      <c r="EN17" t="s">
        <v>19</v>
      </c>
      <c r="EO17" t="s">
        <v>286</v>
      </c>
      <c r="EP17" t="s">
        <v>287</v>
      </c>
      <c r="EQ17" t="s">
        <v>288</v>
      </c>
      <c r="ER17" t="s">
        <v>288</v>
      </c>
      <c r="ES17" t="s">
        <v>288</v>
      </c>
      <c r="ET17" t="s">
        <v>288</v>
      </c>
      <c r="EU17">
        <v>0</v>
      </c>
      <c r="EV17">
        <v>100</v>
      </c>
      <c r="EW17">
        <v>100</v>
      </c>
      <c r="EX17">
        <v>9.2999999999999999E-2</v>
      </c>
      <c r="EY17">
        <v>0.05</v>
      </c>
      <c r="EZ17">
        <v>2</v>
      </c>
      <c r="FA17">
        <v>508.01499999999999</v>
      </c>
      <c r="FB17">
        <v>473.41199999999998</v>
      </c>
      <c r="FC17">
        <v>17.348099999999999</v>
      </c>
      <c r="FD17">
        <v>34.964599999999997</v>
      </c>
      <c r="FE17">
        <v>29.9999</v>
      </c>
      <c r="FF17">
        <v>34.863999999999997</v>
      </c>
      <c r="FG17">
        <v>34.841900000000003</v>
      </c>
      <c r="FH17">
        <v>22.1797</v>
      </c>
      <c r="FI17">
        <v>68.079499999999996</v>
      </c>
      <c r="FJ17">
        <v>0</v>
      </c>
      <c r="FK17">
        <v>17.3538</v>
      </c>
      <c r="FL17">
        <v>400</v>
      </c>
      <c r="FM17">
        <v>11.048400000000001</v>
      </c>
      <c r="FN17">
        <v>100.383</v>
      </c>
      <c r="FO17">
        <v>100.92</v>
      </c>
    </row>
    <row r="18" spans="1:171" x14ac:dyDescent="0.35">
      <c r="A18">
        <v>2</v>
      </c>
      <c r="B18">
        <v>1564853424.9000001</v>
      </c>
      <c r="C18">
        <v>118</v>
      </c>
      <c r="D18" t="s">
        <v>289</v>
      </c>
      <c r="E18" t="s">
        <v>290</v>
      </c>
      <c r="G18">
        <v>1564853424.9000001</v>
      </c>
      <c r="H18">
        <f t="shared" si="0"/>
        <v>5.2772392595019212E-3</v>
      </c>
      <c r="I18">
        <f t="shared" si="1"/>
        <v>21.327297111234529</v>
      </c>
      <c r="J18">
        <f t="shared" si="2"/>
        <v>272.72800000000001</v>
      </c>
      <c r="K18">
        <f t="shared" si="3"/>
        <v>143.55092059843821</v>
      </c>
      <c r="L18">
        <f t="shared" si="4"/>
        <v>14.280667223754037</v>
      </c>
      <c r="M18">
        <f t="shared" si="5"/>
        <v>27.131402532031998</v>
      </c>
      <c r="N18">
        <f t="shared" si="6"/>
        <v>0.29502349329300215</v>
      </c>
      <c r="O18">
        <f t="shared" si="7"/>
        <v>2.2482251213747162</v>
      </c>
      <c r="P18">
        <f t="shared" si="8"/>
        <v>0.27507990813252464</v>
      </c>
      <c r="Q18">
        <f t="shared" si="9"/>
        <v>0.17360431855611352</v>
      </c>
      <c r="R18">
        <f t="shared" si="10"/>
        <v>353.354782645527</v>
      </c>
      <c r="S18">
        <f t="shared" si="11"/>
        <v>25.538441087320599</v>
      </c>
      <c r="T18">
        <f t="shared" si="12"/>
        <v>27.035</v>
      </c>
      <c r="U18">
        <f t="shared" si="13"/>
        <v>3.5865237490522137</v>
      </c>
      <c r="V18">
        <f t="shared" si="14"/>
        <v>55.596713768344344</v>
      </c>
      <c r="W18">
        <f t="shared" si="15"/>
        <v>1.7290190791831999</v>
      </c>
      <c r="X18">
        <f t="shared" si="16"/>
        <v>3.1099303573724328</v>
      </c>
      <c r="Y18">
        <f t="shared" si="17"/>
        <v>1.8575046698690139</v>
      </c>
      <c r="Z18">
        <f t="shared" si="18"/>
        <v>-232.72625134403472</v>
      </c>
      <c r="AA18">
        <f t="shared" si="19"/>
        <v>-291.68299161736218</v>
      </c>
      <c r="AB18">
        <f t="shared" si="20"/>
        <v>-27.673862106675973</v>
      </c>
      <c r="AC18">
        <f t="shared" si="21"/>
        <v>-198.72832242254589</v>
      </c>
      <c r="AD18">
        <v>-4.1135982059908399E-2</v>
      </c>
      <c r="AE18">
        <v>4.6178743572201399E-2</v>
      </c>
      <c r="AF18">
        <v>3.4520480140982102</v>
      </c>
      <c r="AG18">
        <v>0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52876.763865077155</v>
      </c>
      <c r="AL18" t="s">
        <v>279</v>
      </c>
      <c r="AM18">
        <v>481.47884615384601</v>
      </c>
      <c r="AN18">
        <v>2238.31</v>
      </c>
      <c r="AO18">
        <f t="shared" si="25"/>
        <v>1756.8311538461539</v>
      </c>
      <c r="AP18">
        <f t="shared" si="26"/>
        <v>0.78489179508028561</v>
      </c>
      <c r="AQ18">
        <v>-0.96503536810971002</v>
      </c>
      <c r="AR18" t="s">
        <v>291</v>
      </c>
      <c r="AS18">
        <v>852.32019230769197</v>
      </c>
      <c r="AT18">
        <v>1150.48</v>
      </c>
      <c r="AU18">
        <f t="shared" si="27"/>
        <v>0.25916122635100836</v>
      </c>
      <c r="AV18">
        <v>0.5</v>
      </c>
      <c r="AW18">
        <f t="shared" si="28"/>
        <v>1849.2774000754052</v>
      </c>
      <c r="AX18">
        <f t="shared" si="29"/>
        <v>21.327297111234529</v>
      </c>
      <c r="AY18">
        <f t="shared" si="30"/>
        <v>239.63049943337316</v>
      </c>
      <c r="AZ18">
        <f t="shared" si="31"/>
        <v>0.47395869550100822</v>
      </c>
      <c r="BA18">
        <f t="shared" si="32"/>
        <v>1.2054617916400891E-2</v>
      </c>
      <c r="BB18">
        <f t="shared" si="33"/>
        <v>0.94554446839579998</v>
      </c>
      <c r="BC18" t="s">
        <v>292</v>
      </c>
      <c r="BD18">
        <v>605.20000000000005</v>
      </c>
      <c r="BE18">
        <f t="shared" si="34"/>
        <v>545.28</v>
      </c>
      <c r="BF18">
        <f t="shared" si="35"/>
        <v>0.54680129051552973</v>
      </c>
      <c r="BG18">
        <f t="shared" si="36"/>
        <v>0.66610944761834778</v>
      </c>
      <c r="BH18">
        <f t="shared" si="37"/>
        <v>0.44567906344878139</v>
      </c>
      <c r="BI18">
        <f t="shared" si="38"/>
        <v>0.61920008511828872</v>
      </c>
      <c r="BJ18">
        <v>828</v>
      </c>
      <c r="BK18">
        <v>300</v>
      </c>
      <c r="BL18">
        <v>300</v>
      </c>
      <c r="BM18">
        <v>300</v>
      </c>
      <c r="BN18">
        <v>10110.4</v>
      </c>
      <c r="BO18">
        <v>1066.94</v>
      </c>
      <c r="BP18">
        <v>-6.56641E-3</v>
      </c>
      <c r="BQ18">
        <v>1.89185</v>
      </c>
      <c r="BR18">
        <f t="shared" si="39"/>
        <v>2200.11</v>
      </c>
      <c r="BS18">
        <f t="shared" si="40"/>
        <v>1849.2774000754052</v>
      </c>
      <c r="BT18">
        <f t="shared" si="41"/>
        <v>0.84053860946743808</v>
      </c>
      <c r="BU18">
        <f t="shared" si="42"/>
        <v>0.19107721893487628</v>
      </c>
      <c r="BV18">
        <v>6</v>
      </c>
      <c r="BW18">
        <v>0.5</v>
      </c>
      <c r="BX18" t="s">
        <v>282</v>
      </c>
      <c r="BY18">
        <v>1564853424.9000001</v>
      </c>
      <c r="BZ18">
        <v>272.72800000000001</v>
      </c>
      <c r="CA18">
        <v>300.04599999999999</v>
      </c>
      <c r="CB18">
        <v>17.380299999999998</v>
      </c>
      <c r="CC18">
        <v>11.158099999999999</v>
      </c>
      <c r="CD18">
        <v>500.03399999999999</v>
      </c>
      <c r="CE18">
        <v>99.381500000000003</v>
      </c>
      <c r="CF18">
        <v>0.10004399999999999</v>
      </c>
      <c r="CG18">
        <v>24.628499999999999</v>
      </c>
      <c r="CH18">
        <v>27.035</v>
      </c>
      <c r="CI18">
        <v>999.9</v>
      </c>
      <c r="CJ18">
        <v>9981.8799999999992</v>
      </c>
      <c r="CK18">
        <v>0</v>
      </c>
      <c r="CL18">
        <v>-439.75900000000001</v>
      </c>
      <c r="CM18">
        <v>2200.11</v>
      </c>
      <c r="CN18">
        <v>0.98200699999999996</v>
      </c>
      <c r="CO18">
        <v>1.7993100000000001E-2</v>
      </c>
      <c r="CP18">
        <v>0</v>
      </c>
      <c r="CQ18">
        <v>852.09699999999998</v>
      </c>
      <c r="CR18">
        <v>4.99986</v>
      </c>
      <c r="CS18">
        <v>19420.3</v>
      </c>
      <c r="CT18">
        <v>17914.7</v>
      </c>
      <c r="CU18">
        <v>47.686999999999998</v>
      </c>
      <c r="CV18">
        <v>49.25</v>
      </c>
      <c r="CW18">
        <v>48.311999999999998</v>
      </c>
      <c r="CX18">
        <v>48.125</v>
      </c>
      <c r="CY18">
        <v>48.875</v>
      </c>
      <c r="CZ18">
        <v>2155.61</v>
      </c>
      <c r="DA18">
        <v>39.5</v>
      </c>
      <c r="DB18">
        <v>0</v>
      </c>
      <c r="DC18">
        <v>117.59999990463299</v>
      </c>
      <c r="DD18">
        <v>852.32019230769197</v>
      </c>
      <c r="DE18">
        <v>-1.9243418717241501</v>
      </c>
      <c r="DF18">
        <v>-56.813675248057898</v>
      </c>
      <c r="DG18">
        <v>19426.0769230769</v>
      </c>
      <c r="DH18">
        <v>15</v>
      </c>
      <c r="DI18">
        <v>1564853378.9000001</v>
      </c>
      <c r="DJ18" t="s">
        <v>293</v>
      </c>
      <c r="DK18">
        <v>44</v>
      </c>
      <c r="DL18">
        <v>0.08</v>
      </c>
      <c r="DM18">
        <v>5.3999999999999999E-2</v>
      </c>
      <c r="DN18">
        <v>300</v>
      </c>
      <c r="DO18">
        <v>11</v>
      </c>
      <c r="DP18">
        <v>0.04</v>
      </c>
      <c r="DQ18">
        <v>0.01</v>
      </c>
      <c r="DR18">
        <v>21.2201286603899</v>
      </c>
      <c r="DS18">
        <v>0.275421162333925</v>
      </c>
      <c r="DT18">
        <v>7.8044997576975597E-2</v>
      </c>
      <c r="DU18">
        <v>1</v>
      </c>
      <c r="DV18">
        <v>0.281172307193155</v>
      </c>
      <c r="DW18">
        <v>4.3743734898867202E-2</v>
      </c>
      <c r="DX18">
        <v>9.1098308704341598E-3</v>
      </c>
      <c r="DY18">
        <v>1</v>
      </c>
      <c r="DZ18">
        <v>2</v>
      </c>
      <c r="EA18">
        <v>2</v>
      </c>
      <c r="EB18" t="s">
        <v>284</v>
      </c>
      <c r="EC18">
        <v>1.8666100000000001</v>
      </c>
      <c r="ED18">
        <v>1.8631</v>
      </c>
      <c r="EE18">
        <v>1.8687400000000001</v>
      </c>
      <c r="EF18">
        <v>1.86673</v>
      </c>
      <c r="EG18">
        <v>1.87134</v>
      </c>
      <c r="EH18">
        <v>1.86382</v>
      </c>
      <c r="EI18">
        <v>1.8653200000000001</v>
      </c>
      <c r="EJ18">
        <v>1.8652299999999999</v>
      </c>
      <c r="EK18" t="s">
        <v>285</v>
      </c>
      <c r="EL18" t="s">
        <v>19</v>
      </c>
      <c r="EM18" t="s">
        <v>19</v>
      </c>
      <c r="EN18" t="s">
        <v>19</v>
      </c>
      <c r="EO18" t="s">
        <v>286</v>
      </c>
      <c r="EP18" t="s">
        <v>287</v>
      </c>
      <c r="EQ18" t="s">
        <v>288</v>
      </c>
      <c r="ER18" t="s">
        <v>288</v>
      </c>
      <c r="ES18" t="s">
        <v>288</v>
      </c>
      <c r="ET18" t="s">
        <v>288</v>
      </c>
      <c r="EU18">
        <v>0</v>
      </c>
      <c r="EV18">
        <v>100</v>
      </c>
      <c r="EW18">
        <v>100</v>
      </c>
      <c r="EX18">
        <v>0.08</v>
      </c>
      <c r="EY18">
        <v>5.3999999999999999E-2</v>
      </c>
      <c r="EZ18">
        <v>2</v>
      </c>
      <c r="FA18">
        <v>508.08</v>
      </c>
      <c r="FB18">
        <v>473.66399999999999</v>
      </c>
      <c r="FC18">
        <v>17.002199999999998</v>
      </c>
      <c r="FD18">
        <v>34.961399999999998</v>
      </c>
      <c r="FE18">
        <v>30.0001</v>
      </c>
      <c r="FF18">
        <v>34.879899999999999</v>
      </c>
      <c r="FG18">
        <v>34.860799999999998</v>
      </c>
      <c r="FH18">
        <v>17.680800000000001</v>
      </c>
      <c r="FI18">
        <v>67.4649</v>
      </c>
      <c r="FJ18">
        <v>0</v>
      </c>
      <c r="FK18">
        <v>16.0367</v>
      </c>
      <c r="FL18">
        <v>300</v>
      </c>
      <c r="FM18">
        <v>11.1031</v>
      </c>
      <c r="FN18">
        <v>100.386</v>
      </c>
      <c r="FO18">
        <v>100.926</v>
      </c>
    </row>
    <row r="19" spans="1:171" x14ac:dyDescent="0.35">
      <c r="A19">
        <v>3</v>
      </c>
      <c r="B19">
        <v>1564853565.4000001</v>
      </c>
      <c r="C19">
        <v>258.5</v>
      </c>
      <c r="D19" t="s">
        <v>294</v>
      </c>
      <c r="E19" t="s">
        <v>295</v>
      </c>
      <c r="G19">
        <v>1564853565.4000001</v>
      </c>
      <c r="H19">
        <f t="shared" si="0"/>
        <v>5.9820074329009851E-3</v>
      </c>
      <c r="I19">
        <f t="shared" si="1"/>
        <v>14.024111564882126</v>
      </c>
      <c r="J19">
        <f t="shared" si="2"/>
        <v>181.86500000000001</v>
      </c>
      <c r="K19">
        <f t="shared" si="3"/>
        <v>107.89523667685633</v>
      </c>
      <c r="L19">
        <f t="shared" si="4"/>
        <v>10.733802284024808</v>
      </c>
      <c r="M19">
        <f t="shared" si="5"/>
        <v>18.092577693959502</v>
      </c>
      <c r="N19">
        <f t="shared" si="6"/>
        <v>0.3454642855787175</v>
      </c>
      <c r="O19">
        <f t="shared" si="7"/>
        <v>2.252469595272069</v>
      </c>
      <c r="P19">
        <f t="shared" si="8"/>
        <v>0.31849931895414235</v>
      </c>
      <c r="Q19">
        <f t="shared" si="9"/>
        <v>0.20130908685769913</v>
      </c>
      <c r="R19">
        <f t="shared" si="10"/>
        <v>353.35590593858853</v>
      </c>
      <c r="S19">
        <f t="shared" si="11"/>
        <v>25.369098158985413</v>
      </c>
      <c r="T19">
        <f t="shared" si="12"/>
        <v>26.921199999999999</v>
      </c>
      <c r="U19">
        <f t="shared" si="13"/>
        <v>3.5626283384076816</v>
      </c>
      <c r="V19">
        <f t="shared" si="14"/>
        <v>55.855889497566558</v>
      </c>
      <c r="W19">
        <f t="shared" si="15"/>
        <v>1.7439766571270903</v>
      </c>
      <c r="X19">
        <f t="shared" si="16"/>
        <v>3.1222789088392711</v>
      </c>
      <c r="Y19">
        <f t="shared" si="17"/>
        <v>1.8186516812805913</v>
      </c>
      <c r="Z19">
        <f t="shared" si="18"/>
        <v>-263.80652779093344</v>
      </c>
      <c r="AA19">
        <f t="shared" si="19"/>
        <v>-270.363197522333</v>
      </c>
      <c r="AB19">
        <f t="shared" si="20"/>
        <v>-25.596614875578172</v>
      </c>
      <c r="AC19">
        <f t="shared" si="21"/>
        <v>-206.41043425025606</v>
      </c>
      <c r="AD19">
        <v>-4.1250265412872897E-2</v>
      </c>
      <c r="AE19">
        <v>4.6307036647675603E-2</v>
      </c>
      <c r="AF19">
        <v>3.4596369302494399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53005.906533542788</v>
      </c>
      <c r="AL19" t="s">
        <v>279</v>
      </c>
      <c r="AM19">
        <v>481.47884615384601</v>
      </c>
      <c r="AN19">
        <v>2238.31</v>
      </c>
      <c r="AO19">
        <f t="shared" si="25"/>
        <v>1756.8311538461539</v>
      </c>
      <c r="AP19">
        <f t="shared" si="26"/>
        <v>0.78489179508028561</v>
      </c>
      <c r="AQ19">
        <v>-0.96503536810971002</v>
      </c>
      <c r="AR19" t="s">
        <v>296</v>
      </c>
      <c r="AS19">
        <v>845.94276923076904</v>
      </c>
      <c r="AT19">
        <v>1099.04</v>
      </c>
      <c r="AU19">
        <f t="shared" si="27"/>
        <v>0.23028937142345218</v>
      </c>
      <c r="AV19">
        <v>0.5</v>
      </c>
      <c r="AW19">
        <f t="shared" si="28"/>
        <v>1849.2780000754437</v>
      </c>
      <c r="AX19">
        <f t="shared" si="29"/>
        <v>14.024111564882126</v>
      </c>
      <c r="AY19">
        <f t="shared" si="30"/>
        <v>212.93453411229635</v>
      </c>
      <c r="AZ19">
        <f t="shared" si="31"/>
        <v>0.43794584364536321</v>
      </c>
      <c r="BA19">
        <f t="shared" si="32"/>
        <v>8.1054048836250326E-3</v>
      </c>
      <c r="BB19">
        <f t="shared" si="33"/>
        <v>1.0366046731693115</v>
      </c>
      <c r="BC19" t="s">
        <v>297</v>
      </c>
      <c r="BD19">
        <v>617.72</v>
      </c>
      <c r="BE19">
        <f t="shared" si="34"/>
        <v>481.31999999999994</v>
      </c>
      <c r="BF19">
        <f t="shared" si="35"/>
        <v>0.52583983788172306</v>
      </c>
      <c r="BG19">
        <f t="shared" si="36"/>
        <v>0.70299705662752454</v>
      </c>
      <c r="BH19">
        <f t="shared" si="37"/>
        <v>0.40983347024492767</v>
      </c>
      <c r="BI19">
        <f t="shared" si="38"/>
        <v>0.64848007590589785</v>
      </c>
      <c r="BJ19">
        <v>830</v>
      </c>
      <c r="BK19">
        <v>300</v>
      </c>
      <c r="BL19">
        <v>300</v>
      </c>
      <c r="BM19">
        <v>300</v>
      </c>
      <c r="BN19">
        <v>10108.700000000001</v>
      </c>
      <c r="BO19">
        <v>1028.4100000000001</v>
      </c>
      <c r="BP19">
        <v>-6.5649699999999998E-3</v>
      </c>
      <c r="BQ19">
        <v>2.1686999999999999</v>
      </c>
      <c r="BR19">
        <f t="shared" si="39"/>
        <v>2200.11</v>
      </c>
      <c r="BS19">
        <f t="shared" si="40"/>
        <v>1849.2780000754437</v>
      </c>
      <c r="BT19">
        <f t="shared" si="41"/>
        <v>0.84053888218109263</v>
      </c>
      <c r="BU19">
        <f t="shared" si="42"/>
        <v>0.1910777643621851</v>
      </c>
      <c r="BV19">
        <v>6</v>
      </c>
      <c r="BW19">
        <v>0.5</v>
      </c>
      <c r="BX19" t="s">
        <v>282</v>
      </c>
      <c r="BY19">
        <v>1564853565.4000001</v>
      </c>
      <c r="BZ19">
        <v>181.86500000000001</v>
      </c>
      <c r="CA19">
        <v>199.999</v>
      </c>
      <c r="CB19">
        <v>17.5303</v>
      </c>
      <c r="CC19">
        <v>10.4779</v>
      </c>
      <c r="CD19">
        <v>500.012</v>
      </c>
      <c r="CE19">
        <v>99.383600000000001</v>
      </c>
      <c r="CF19">
        <v>9.9960300000000002E-2</v>
      </c>
      <c r="CG19">
        <v>24.694800000000001</v>
      </c>
      <c r="CH19">
        <v>26.921199999999999</v>
      </c>
      <c r="CI19">
        <v>999.9</v>
      </c>
      <c r="CJ19">
        <v>10009.4</v>
      </c>
      <c r="CK19">
        <v>0</v>
      </c>
      <c r="CL19">
        <v>-439.90800000000002</v>
      </c>
      <c r="CM19">
        <v>2200.11</v>
      </c>
      <c r="CN19">
        <v>0.98199499999999995</v>
      </c>
      <c r="CO19">
        <v>1.8005500000000001E-2</v>
      </c>
      <c r="CP19">
        <v>0</v>
      </c>
      <c r="CQ19">
        <v>846.11</v>
      </c>
      <c r="CR19">
        <v>4.99986</v>
      </c>
      <c r="CS19">
        <v>19301.7</v>
      </c>
      <c r="CT19">
        <v>17914.599999999999</v>
      </c>
      <c r="CU19">
        <v>47.936999999999998</v>
      </c>
      <c r="CV19">
        <v>49.561999999999998</v>
      </c>
      <c r="CW19">
        <v>48.625</v>
      </c>
      <c r="CX19">
        <v>48.5</v>
      </c>
      <c r="CY19">
        <v>49.125</v>
      </c>
      <c r="CZ19">
        <v>2155.59</v>
      </c>
      <c r="DA19">
        <v>39.520000000000003</v>
      </c>
      <c r="DB19">
        <v>0</v>
      </c>
      <c r="DC19">
        <v>139.700000047684</v>
      </c>
      <c r="DD19">
        <v>845.94276923076904</v>
      </c>
      <c r="DE19">
        <v>-2.01839316567417</v>
      </c>
      <c r="DF19">
        <v>-55.794871743232598</v>
      </c>
      <c r="DG19">
        <v>19307.3</v>
      </c>
      <c r="DH19">
        <v>15</v>
      </c>
      <c r="DI19">
        <v>1564853522.9000001</v>
      </c>
      <c r="DJ19" t="s">
        <v>298</v>
      </c>
      <c r="DK19">
        <v>45</v>
      </c>
      <c r="DL19">
        <v>2.9000000000000001E-2</v>
      </c>
      <c r="DM19">
        <v>5.0999999999999997E-2</v>
      </c>
      <c r="DN19">
        <v>200</v>
      </c>
      <c r="DO19">
        <v>11</v>
      </c>
      <c r="DP19">
        <v>0.08</v>
      </c>
      <c r="DQ19">
        <v>0.01</v>
      </c>
      <c r="DR19">
        <v>13.526495336047301</v>
      </c>
      <c r="DS19">
        <v>3.5538991949587602</v>
      </c>
      <c r="DT19">
        <v>1.5349074020290501</v>
      </c>
      <c r="DU19">
        <v>0</v>
      </c>
      <c r="DV19">
        <v>0.31131178140973798</v>
      </c>
      <c r="DW19">
        <v>0.14554845160291799</v>
      </c>
      <c r="DX19">
        <v>4.3556020190970303E-2</v>
      </c>
      <c r="DY19">
        <v>1</v>
      </c>
      <c r="DZ19">
        <v>1</v>
      </c>
      <c r="EA19">
        <v>2</v>
      </c>
      <c r="EB19" t="s">
        <v>299</v>
      </c>
      <c r="EC19">
        <v>1.8666499999999999</v>
      </c>
      <c r="ED19">
        <v>1.8631200000000001</v>
      </c>
      <c r="EE19">
        <v>1.86883</v>
      </c>
      <c r="EF19">
        <v>1.86676</v>
      </c>
      <c r="EG19">
        <v>1.8713599999999999</v>
      </c>
      <c r="EH19">
        <v>1.8638600000000001</v>
      </c>
      <c r="EI19">
        <v>1.86538</v>
      </c>
      <c r="EJ19">
        <v>1.86527</v>
      </c>
      <c r="EK19" t="s">
        <v>285</v>
      </c>
      <c r="EL19" t="s">
        <v>19</v>
      </c>
      <c r="EM19" t="s">
        <v>19</v>
      </c>
      <c r="EN19" t="s">
        <v>19</v>
      </c>
      <c r="EO19" t="s">
        <v>286</v>
      </c>
      <c r="EP19" t="s">
        <v>287</v>
      </c>
      <c r="EQ19" t="s">
        <v>288</v>
      </c>
      <c r="ER19" t="s">
        <v>288</v>
      </c>
      <c r="ES19" t="s">
        <v>288</v>
      </c>
      <c r="ET19" t="s">
        <v>288</v>
      </c>
      <c r="EU19">
        <v>0</v>
      </c>
      <c r="EV19">
        <v>100</v>
      </c>
      <c r="EW19">
        <v>100</v>
      </c>
      <c r="EX19">
        <v>2.9000000000000001E-2</v>
      </c>
      <c r="EY19">
        <v>5.0999999999999997E-2</v>
      </c>
      <c r="EZ19">
        <v>2</v>
      </c>
      <c r="FA19">
        <v>508.572</v>
      </c>
      <c r="FB19">
        <v>472.69900000000001</v>
      </c>
      <c r="FC19">
        <v>17.529199999999999</v>
      </c>
      <c r="FD19">
        <v>35.0334</v>
      </c>
      <c r="FE19">
        <v>29.9983</v>
      </c>
      <c r="FF19">
        <v>34.933999999999997</v>
      </c>
      <c r="FG19">
        <v>34.911900000000003</v>
      </c>
      <c r="FH19">
        <v>12.993600000000001</v>
      </c>
      <c r="FI19">
        <v>69.087000000000003</v>
      </c>
      <c r="FJ19">
        <v>0</v>
      </c>
      <c r="FK19">
        <v>17.6799</v>
      </c>
      <c r="FL19">
        <v>200</v>
      </c>
      <c r="FM19">
        <v>10.3858</v>
      </c>
      <c r="FN19">
        <v>100.38200000000001</v>
      </c>
      <c r="FO19">
        <v>100.92100000000001</v>
      </c>
    </row>
    <row r="20" spans="1:171" x14ac:dyDescent="0.35">
      <c r="A20">
        <v>4</v>
      </c>
      <c r="B20">
        <v>1564853702.9000001</v>
      </c>
      <c r="C20">
        <v>396</v>
      </c>
      <c r="D20" t="s">
        <v>300</v>
      </c>
      <c r="E20" t="s">
        <v>301</v>
      </c>
      <c r="G20">
        <v>1564853702.9000001</v>
      </c>
      <c r="H20">
        <f t="shared" si="0"/>
        <v>7.0039560164447453E-3</v>
      </c>
      <c r="I20">
        <f t="shared" si="1"/>
        <v>5.7337563088002756</v>
      </c>
      <c r="J20">
        <f t="shared" si="2"/>
        <v>92.332999999999998</v>
      </c>
      <c r="K20">
        <f t="shared" si="3"/>
        <v>65.957692332742596</v>
      </c>
      <c r="L20">
        <f t="shared" si="4"/>
        <v>6.56170017241132</v>
      </c>
      <c r="M20">
        <f t="shared" si="5"/>
        <v>9.1856073278429999</v>
      </c>
      <c r="N20">
        <f t="shared" si="6"/>
        <v>0.41461243741883586</v>
      </c>
      <c r="O20">
        <f t="shared" si="7"/>
        <v>2.2539953296099631</v>
      </c>
      <c r="P20">
        <f t="shared" si="8"/>
        <v>0.37643457036795563</v>
      </c>
      <c r="Q20">
        <f t="shared" si="9"/>
        <v>0.23840809410014718</v>
      </c>
      <c r="R20">
        <f t="shared" si="10"/>
        <v>353.31760207800824</v>
      </c>
      <c r="S20">
        <f t="shared" si="11"/>
        <v>25.398838715059892</v>
      </c>
      <c r="T20">
        <f t="shared" si="12"/>
        <v>26.9785</v>
      </c>
      <c r="U20">
        <f t="shared" si="13"/>
        <v>3.5746426054035023</v>
      </c>
      <c r="V20">
        <f t="shared" si="14"/>
        <v>55.559014955254071</v>
      </c>
      <c r="W20">
        <f t="shared" si="15"/>
        <v>1.7734023023931</v>
      </c>
      <c r="X20">
        <f t="shared" si="16"/>
        <v>3.1919253856846757</v>
      </c>
      <c r="Y20">
        <f t="shared" si="17"/>
        <v>1.8012403030104023</v>
      </c>
      <c r="Z20">
        <f t="shared" si="18"/>
        <v>-308.87446032521325</v>
      </c>
      <c r="AA20">
        <f t="shared" si="19"/>
        <v>-232.58429634581066</v>
      </c>
      <c r="AB20">
        <f t="shared" si="20"/>
        <v>-22.052116602880737</v>
      </c>
      <c r="AC20">
        <f t="shared" si="21"/>
        <v>-210.19327119589641</v>
      </c>
      <c r="AD20">
        <v>-4.1291393844298398E-2</v>
      </c>
      <c r="AE20">
        <v>4.6353206914999202E-2</v>
      </c>
      <c r="AF20">
        <v>3.4623662665147101</v>
      </c>
      <c r="AG20">
        <v>0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52990.764087326468</v>
      </c>
      <c r="AL20" t="s">
        <v>279</v>
      </c>
      <c r="AM20">
        <v>481.47884615384601</v>
      </c>
      <c r="AN20">
        <v>2238.31</v>
      </c>
      <c r="AO20">
        <f t="shared" si="25"/>
        <v>1756.8311538461539</v>
      </c>
      <c r="AP20">
        <f t="shared" si="26"/>
        <v>0.78489179508028561</v>
      </c>
      <c r="AQ20">
        <v>-0.96503536810971002</v>
      </c>
      <c r="AR20" t="s">
        <v>302</v>
      </c>
      <c r="AS20">
        <v>850.55792307692298</v>
      </c>
      <c r="AT20">
        <v>1060.05</v>
      </c>
      <c r="AU20">
        <f t="shared" si="27"/>
        <v>0.19762471291267114</v>
      </c>
      <c r="AV20">
        <v>0.5</v>
      </c>
      <c r="AW20">
        <f t="shared" si="28"/>
        <v>1849.0764000754516</v>
      </c>
      <c r="AX20">
        <f t="shared" si="29"/>
        <v>5.7337563088002756</v>
      </c>
      <c r="AY20">
        <f t="shared" si="30"/>
        <v>182.71159635925329</v>
      </c>
      <c r="AZ20">
        <f t="shared" si="31"/>
        <v>0.39661336729399554</v>
      </c>
      <c r="BA20">
        <f t="shared" si="32"/>
        <v>3.6227771208570082E-3</v>
      </c>
      <c r="BB20">
        <f t="shared" si="33"/>
        <v>1.1115136078486865</v>
      </c>
      <c r="BC20" t="s">
        <v>303</v>
      </c>
      <c r="BD20">
        <v>639.62</v>
      </c>
      <c r="BE20">
        <f t="shared" si="34"/>
        <v>420.42999999999995</v>
      </c>
      <c r="BF20">
        <f t="shared" si="35"/>
        <v>0.49828051500386988</v>
      </c>
      <c r="BG20">
        <f t="shared" si="36"/>
        <v>0.73701593179415648</v>
      </c>
      <c r="BH20">
        <f t="shared" si="37"/>
        <v>0.36208524315538615</v>
      </c>
      <c r="BI20">
        <f t="shared" si="38"/>
        <v>0.67067344372877646</v>
      </c>
      <c r="BJ20">
        <v>832</v>
      </c>
      <c r="BK20">
        <v>300</v>
      </c>
      <c r="BL20">
        <v>300</v>
      </c>
      <c r="BM20">
        <v>300</v>
      </c>
      <c r="BN20">
        <v>10107.299999999999</v>
      </c>
      <c r="BO20">
        <v>1002.44</v>
      </c>
      <c r="BP20">
        <v>-6.5638199999999997E-3</v>
      </c>
      <c r="BQ20">
        <v>2.0271599999999999</v>
      </c>
      <c r="BR20">
        <f t="shared" si="39"/>
        <v>2199.87</v>
      </c>
      <c r="BS20">
        <f t="shared" si="40"/>
        <v>1849.0764000754516</v>
      </c>
      <c r="BT20">
        <f t="shared" si="41"/>
        <v>0.84053894097171733</v>
      </c>
      <c r="BU20">
        <f t="shared" si="42"/>
        <v>0.19107788194343461</v>
      </c>
      <c r="BV20">
        <v>6</v>
      </c>
      <c r="BW20">
        <v>0.5</v>
      </c>
      <c r="BX20" t="s">
        <v>282</v>
      </c>
      <c r="BY20">
        <v>1564853702.9000001</v>
      </c>
      <c r="BZ20">
        <v>92.332999999999998</v>
      </c>
      <c r="CA20">
        <v>99.988900000000001</v>
      </c>
      <c r="CB20">
        <v>17.8261</v>
      </c>
      <c r="CC20">
        <v>9.5718700000000005</v>
      </c>
      <c r="CD20">
        <v>500.04199999999997</v>
      </c>
      <c r="CE20">
        <v>99.383399999999995</v>
      </c>
      <c r="CF20">
        <v>0.10007099999999999</v>
      </c>
      <c r="CG20">
        <v>25.064499999999999</v>
      </c>
      <c r="CH20">
        <v>26.9785</v>
      </c>
      <c r="CI20">
        <v>999.9</v>
      </c>
      <c r="CJ20">
        <v>10019.4</v>
      </c>
      <c r="CK20">
        <v>0</v>
      </c>
      <c r="CL20">
        <v>-440.61700000000002</v>
      </c>
      <c r="CM20">
        <v>2199.87</v>
      </c>
      <c r="CN20">
        <v>0.98199499999999995</v>
      </c>
      <c r="CO20">
        <v>1.8005500000000001E-2</v>
      </c>
      <c r="CP20">
        <v>0</v>
      </c>
      <c r="CQ20">
        <v>850.39</v>
      </c>
      <c r="CR20">
        <v>4.99986</v>
      </c>
      <c r="CS20">
        <v>19415.7</v>
      </c>
      <c r="CT20">
        <v>17912.7</v>
      </c>
      <c r="CU20">
        <v>48.186999999999998</v>
      </c>
      <c r="CV20">
        <v>49.811999999999998</v>
      </c>
      <c r="CW20">
        <v>48.875</v>
      </c>
      <c r="CX20">
        <v>48.75</v>
      </c>
      <c r="CY20">
        <v>49.436999999999998</v>
      </c>
      <c r="CZ20">
        <v>2155.35</v>
      </c>
      <c r="DA20">
        <v>39.520000000000003</v>
      </c>
      <c r="DB20">
        <v>0</v>
      </c>
      <c r="DC20">
        <v>137.200000047684</v>
      </c>
      <c r="DD20">
        <v>850.55792307692298</v>
      </c>
      <c r="DE20">
        <v>-2.9984957387622999</v>
      </c>
      <c r="DF20">
        <v>-55.658119689843602</v>
      </c>
      <c r="DG20">
        <v>19423.9230769231</v>
      </c>
      <c r="DH20">
        <v>15</v>
      </c>
      <c r="DI20">
        <v>1564853657.9000001</v>
      </c>
      <c r="DJ20" t="s">
        <v>304</v>
      </c>
      <c r="DK20">
        <v>46</v>
      </c>
      <c r="DL20">
        <v>-6.3E-2</v>
      </c>
      <c r="DM20">
        <v>4.3999999999999997E-2</v>
      </c>
      <c r="DN20">
        <v>100</v>
      </c>
      <c r="DO20">
        <v>10</v>
      </c>
      <c r="DP20">
        <v>0.15</v>
      </c>
      <c r="DQ20">
        <v>0.02</v>
      </c>
      <c r="DR20">
        <v>5.6705602229359098</v>
      </c>
      <c r="DS20">
        <v>0.28049383769808001</v>
      </c>
      <c r="DT20">
        <v>0.13307993281063099</v>
      </c>
      <c r="DU20">
        <v>1</v>
      </c>
      <c r="DV20">
        <v>0.396356606584436</v>
      </c>
      <c r="DW20">
        <v>8.8832969904172804E-2</v>
      </c>
      <c r="DX20">
        <v>2.0500321466480599E-2</v>
      </c>
      <c r="DY20">
        <v>1</v>
      </c>
      <c r="DZ20">
        <v>2</v>
      </c>
      <c r="EA20">
        <v>2</v>
      </c>
      <c r="EB20" t="s">
        <v>284</v>
      </c>
      <c r="EC20">
        <v>1.8666199999999999</v>
      </c>
      <c r="ED20">
        <v>1.86313</v>
      </c>
      <c r="EE20">
        <v>1.8687800000000001</v>
      </c>
      <c r="EF20">
        <v>1.8667499999999999</v>
      </c>
      <c r="EG20">
        <v>1.87137</v>
      </c>
      <c r="EH20">
        <v>1.8638600000000001</v>
      </c>
      <c r="EI20">
        <v>1.86537</v>
      </c>
      <c r="EJ20">
        <v>1.86524</v>
      </c>
      <c r="EK20" t="s">
        <v>285</v>
      </c>
      <c r="EL20" t="s">
        <v>19</v>
      </c>
      <c r="EM20" t="s">
        <v>19</v>
      </c>
      <c r="EN20" t="s">
        <v>19</v>
      </c>
      <c r="EO20" t="s">
        <v>286</v>
      </c>
      <c r="EP20" t="s">
        <v>287</v>
      </c>
      <c r="EQ20" t="s">
        <v>288</v>
      </c>
      <c r="ER20" t="s">
        <v>288</v>
      </c>
      <c r="ES20" t="s">
        <v>288</v>
      </c>
      <c r="ET20" t="s">
        <v>288</v>
      </c>
      <c r="EU20">
        <v>0</v>
      </c>
      <c r="EV20">
        <v>100</v>
      </c>
      <c r="EW20">
        <v>100</v>
      </c>
      <c r="EX20">
        <v>-6.3E-2</v>
      </c>
      <c r="EY20">
        <v>4.3999999999999997E-2</v>
      </c>
      <c r="EZ20">
        <v>2</v>
      </c>
      <c r="FA20">
        <v>509.17099999999999</v>
      </c>
      <c r="FB20">
        <v>471.74</v>
      </c>
      <c r="FC20">
        <v>18.243099999999998</v>
      </c>
      <c r="FD20">
        <v>35.133299999999998</v>
      </c>
      <c r="FE20">
        <v>30.000699999999998</v>
      </c>
      <c r="FF20">
        <v>35.021500000000003</v>
      </c>
      <c r="FG20">
        <v>34.998600000000003</v>
      </c>
      <c r="FH20">
        <v>8.1244899999999998</v>
      </c>
      <c r="FI20">
        <v>71.638400000000004</v>
      </c>
      <c r="FJ20">
        <v>0</v>
      </c>
      <c r="FK20">
        <v>18.231999999999999</v>
      </c>
      <c r="FL20">
        <v>100</v>
      </c>
      <c r="FM20">
        <v>9.4182699999999997</v>
      </c>
      <c r="FN20">
        <v>100.366</v>
      </c>
      <c r="FO20">
        <v>100.905</v>
      </c>
    </row>
    <row r="21" spans="1:171" x14ac:dyDescent="0.35">
      <c r="A21">
        <v>5</v>
      </c>
      <c r="B21">
        <v>1564853803.9000001</v>
      </c>
      <c r="C21">
        <v>497</v>
      </c>
      <c r="D21" t="s">
        <v>305</v>
      </c>
      <c r="E21" t="s">
        <v>306</v>
      </c>
      <c r="G21">
        <v>1564853803.9000001</v>
      </c>
      <c r="H21">
        <f t="shared" si="0"/>
        <v>7.2116623474756773E-3</v>
      </c>
      <c r="I21">
        <f t="shared" si="1"/>
        <v>0.83771593165089087</v>
      </c>
      <c r="J21">
        <f t="shared" si="2"/>
        <v>48.500799999999998</v>
      </c>
      <c r="K21">
        <f t="shared" si="3"/>
        <v>43.742474325698531</v>
      </c>
      <c r="L21">
        <f t="shared" si="4"/>
        <v>4.3515970632028091</v>
      </c>
      <c r="M21">
        <f t="shared" si="5"/>
        <v>4.8249657134505597</v>
      </c>
      <c r="N21">
        <f t="shared" si="6"/>
        <v>0.42891241775372363</v>
      </c>
      <c r="O21">
        <f t="shared" si="7"/>
        <v>2.2537080086609587</v>
      </c>
      <c r="P21">
        <f t="shared" si="8"/>
        <v>0.38818923421980034</v>
      </c>
      <c r="Q21">
        <f t="shared" si="9"/>
        <v>0.24595407836475008</v>
      </c>
      <c r="R21">
        <f t="shared" si="10"/>
        <v>353.34154199086731</v>
      </c>
      <c r="S21">
        <f t="shared" si="11"/>
        <v>25.581583905113153</v>
      </c>
      <c r="T21">
        <f t="shared" si="12"/>
        <v>27.031300000000002</v>
      </c>
      <c r="U21">
        <f t="shared" si="13"/>
        <v>3.5857446384410769</v>
      </c>
      <c r="V21">
        <f t="shared" si="14"/>
        <v>55.168625041589351</v>
      </c>
      <c r="W21">
        <f t="shared" si="15"/>
        <v>1.78750590579642</v>
      </c>
      <c r="X21">
        <f t="shared" si="16"/>
        <v>3.2400769539731922</v>
      </c>
      <c r="Y21">
        <f t="shared" si="17"/>
        <v>1.7982387326446569</v>
      </c>
      <c r="Z21">
        <f t="shared" si="18"/>
        <v>-318.03430952367739</v>
      </c>
      <c r="AA21">
        <f t="shared" si="19"/>
        <v>-208.41221964127351</v>
      </c>
      <c r="AB21">
        <f t="shared" si="20"/>
        <v>-19.792940896232675</v>
      </c>
      <c r="AC21">
        <f t="shared" si="21"/>
        <v>-192.89792807031625</v>
      </c>
      <c r="AD21">
        <v>-4.1283646749401E-2</v>
      </c>
      <c r="AE21">
        <v>4.6344510122294097E-2</v>
      </c>
      <c r="AF21">
        <v>3.4618522309056301</v>
      </c>
      <c r="AG21">
        <v>0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52936.570431444074</v>
      </c>
      <c r="AL21" t="s">
        <v>279</v>
      </c>
      <c r="AM21">
        <v>481.47884615384601</v>
      </c>
      <c r="AN21">
        <v>2238.31</v>
      </c>
      <c r="AO21">
        <f t="shared" si="25"/>
        <v>1756.8311538461539</v>
      </c>
      <c r="AP21">
        <f t="shared" si="26"/>
        <v>0.78489179508028561</v>
      </c>
      <c r="AQ21">
        <v>-0.96503536810971002</v>
      </c>
      <c r="AR21" t="s">
        <v>307</v>
      </c>
      <c r="AS21">
        <v>855.52273076923098</v>
      </c>
      <c r="AT21">
        <v>1044.8800000000001</v>
      </c>
      <c r="AU21">
        <f t="shared" si="27"/>
        <v>0.18122393885495858</v>
      </c>
      <c r="AV21">
        <v>0.5</v>
      </c>
      <c r="AW21">
        <f t="shared" si="28"/>
        <v>1849.2024000754466</v>
      </c>
      <c r="AX21">
        <f t="shared" si="29"/>
        <v>0.83771593165089087</v>
      </c>
      <c r="AY21">
        <f t="shared" si="30"/>
        <v>167.55987134085768</v>
      </c>
      <c r="AZ21">
        <f t="shared" si="31"/>
        <v>0.38048388331674454</v>
      </c>
      <c r="BA21">
        <f t="shared" si="32"/>
        <v>9.7488046721497311E-4</v>
      </c>
      <c r="BB21">
        <f t="shared" si="33"/>
        <v>1.1421694357246763</v>
      </c>
      <c r="BC21" t="s">
        <v>308</v>
      </c>
      <c r="BD21">
        <v>647.32000000000005</v>
      </c>
      <c r="BE21">
        <f t="shared" si="34"/>
        <v>397.56000000000006</v>
      </c>
      <c r="BF21">
        <f t="shared" si="35"/>
        <v>0.47629859450339346</v>
      </c>
      <c r="BG21">
        <f t="shared" si="36"/>
        <v>0.75011785114928442</v>
      </c>
      <c r="BH21">
        <f t="shared" si="37"/>
        <v>0.33609670114817736</v>
      </c>
      <c r="BI21">
        <f t="shared" si="38"/>
        <v>0.67930830881913462</v>
      </c>
      <c r="BJ21">
        <v>834</v>
      </c>
      <c r="BK21">
        <v>300</v>
      </c>
      <c r="BL21">
        <v>300</v>
      </c>
      <c r="BM21">
        <v>300</v>
      </c>
      <c r="BN21">
        <v>10106.4</v>
      </c>
      <c r="BO21">
        <v>991.05700000000002</v>
      </c>
      <c r="BP21">
        <v>-6.56304E-3</v>
      </c>
      <c r="BQ21">
        <v>0.90332000000000001</v>
      </c>
      <c r="BR21">
        <f t="shared" si="39"/>
        <v>2200.02</v>
      </c>
      <c r="BS21">
        <f t="shared" si="40"/>
        <v>1849.2024000754466</v>
      </c>
      <c r="BT21">
        <f t="shared" si="41"/>
        <v>0.84053890422607369</v>
      </c>
      <c r="BU21">
        <f t="shared" si="42"/>
        <v>0.19107780845214734</v>
      </c>
      <c r="BV21">
        <v>6</v>
      </c>
      <c r="BW21">
        <v>0.5</v>
      </c>
      <c r="BX21" t="s">
        <v>282</v>
      </c>
      <c r="BY21">
        <v>1564853803.9000001</v>
      </c>
      <c r="BZ21">
        <v>48.500799999999998</v>
      </c>
      <c r="CA21">
        <v>49.926900000000003</v>
      </c>
      <c r="CB21">
        <v>17.9681</v>
      </c>
      <c r="CC21">
        <v>9.4629499999999993</v>
      </c>
      <c r="CD21">
        <v>499.60899999999998</v>
      </c>
      <c r="CE21">
        <v>99.383600000000001</v>
      </c>
      <c r="CF21">
        <v>9.8588200000000001E-2</v>
      </c>
      <c r="CG21">
        <v>25.315999999999999</v>
      </c>
      <c r="CH21">
        <v>27.031300000000002</v>
      </c>
      <c r="CI21">
        <v>999.9</v>
      </c>
      <c r="CJ21">
        <v>10017.5</v>
      </c>
      <c r="CK21">
        <v>0</v>
      </c>
      <c r="CL21">
        <v>-440.33300000000003</v>
      </c>
      <c r="CM21">
        <v>2200.02</v>
      </c>
      <c r="CN21">
        <v>0.98199700000000001</v>
      </c>
      <c r="CO21">
        <v>1.8003000000000002E-2</v>
      </c>
      <c r="CP21">
        <v>0</v>
      </c>
      <c r="CQ21">
        <v>855.572</v>
      </c>
      <c r="CR21">
        <v>4.99986</v>
      </c>
      <c r="CS21">
        <v>19543.599999999999</v>
      </c>
      <c r="CT21">
        <v>17913.900000000001</v>
      </c>
      <c r="CU21">
        <v>48.436999999999998</v>
      </c>
      <c r="CV21">
        <v>50.061999999999998</v>
      </c>
      <c r="CW21">
        <v>49.061999999999998</v>
      </c>
      <c r="CX21">
        <v>48.936999999999998</v>
      </c>
      <c r="CY21">
        <v>49.625</v>
      </c>
      <c r="CZ21">
        <v>2155.5</v>
      </c>
      <c r="DA21">
        <v>39.520000000000003</v>
      </c>
      <c r="DB21">
        <v>0</v>
      </c>
      <c r="DC21">
        <v>100.5</v>
      </c>
      <c r="DD21">
        <v>855.52273076923098</v>
      </c>
      <c r="DE21">
        <v>0.34847861909612199</v>
      </c>
      <c r="DF21">
        <v>2.3965811609388399</v>
      </c>
      <c r="DG21">
        <v>19543.357692307702</v>
      </c>
      <c r="DH21">
        <v>15</v>
      </c>
      <c r="DI21">
        <v>1564853798.4000001</v>
      </c>
      <c r="DJ21" t="s">
        <v>309</v>
      </c>
      <c r="DK21">
        <v>47</v>
      </c>
      <c r="DL21">
        <v>5.0999999999999997E-2</v>
      </c>
      <c r="DM21">
        <v>3.5999999999999997E-2</v>
      </c>
      <c r="DN21">
        <v>50</v>
      </c>
      <c r="DO21">
        <v>9</v>
      </c>
      <c r="DP21">
        <v>0.28000000000000003</v>
      </c>
      <c r="DQ21">
        <v>0.01</v>
      </c>
      <c r="DR21">
        <v>7.8413824798463094E-2</v>
      </c>
      <c r="DS21">
        <v>0.23118606296907701</v>
      </c>
      <c r="DT21">
        <v>0.14090480898692301</v>
      </c>
      <c r="DU21">
        <v>1</v>
      </c>
      <c r="DV21">
        <v>2.3579802460083898E-2</v>
      </c>
      <c r="DW21">
        <v>0.11484441136066301</v>
      </c>
      <c r="DX21">
        <v>6.8946214689428895E-2</v>
      </c>
      <c r="DY21">
        <v>1</v>
      </c>
      <c r="DZ21">
        <v>2</v>
      </c>
      <c r="EA21">
        <v>2</v>
      </c>
      <c r="EB21" t="s">
        <v>284</v>
      </c>
      <c r="EC21">
        <v>1.86663</v>
      </c>
      <c r="ED21">
        <v>1.86311</v>
      </c>
      <c r="EE21">
        <v>1.86876</v>
      </c>
      <c r="EF21">
        <v>1.86669</v>
      </c>
      <c r="EG21">
        <v>1.8713599999999999</v>
      </c>
      <c r="EH21">
        <v>1.86385</v>
      </c>
      <c r="EI21">
        <v>1.86528</v>
      </c>
      <c r="EJ21">
        <v>1.86524</v>
      </c>
      <c r="EK21" t="s">
        <v>285</v>
      </c>
      <c r="EL21" t="s">
        <v>19</v>
      </c>
      <c r="EM21" t="s">
        <v>19</v>
      </c>
      <c r="EN21" t="s">
        <v>19</v>
      </c>
      <c r="EO21" t="s">
        <v>286</v>
      </c>
      <c r="EP21" t="s">
        <v>287</v>
      </c>
      <c r="EQ21" t="s">
        <v>288</v>
      </c>
      <c r="ER21" t="s">
        <v>288</v>
      </c>
      <c r="ES21" t="s">
        <v>288</v>
      </c>
      <c r="ET21" t="s">
        <v>288</v>
      </c>
      <c r="EU21">
        <v>0</v>
      </c>
      <c r="EV21">
        <v>100</v>
      </c>
      <c r="EW21">
        <v>100</v>
      </c>
      <c r="EX21">
        <v>5.0999999999999997E-2</v>
      </c>
      <c r="EY21">
        <v>3.5999999999999997E-2</v>
      </c>
      <c r="EZ21">
        <v>2</v>
      </c>
      <c r="FA21">
        <v>505.24</v>
      </c>
      <c r="FB21">
        <v>470.298</v>
      </c>
      <c r="FC21">
        <v>18.1035</v>
      </c>
      <c r="FD21">
        <v>35.181600000000003</v>
      </c>
      <c r="FE21">
        <v>30.000399999999999</v>
      </c>
      <c r="FF21">
        <v>35.136200000000002</v>
      </c>
      <c r="FG21">
        <v>35.093699999999998</v>
      </c>
      <c r="FH21">
        <v>5.6630599999999998</v>
      </c>
      <c r="FI21">
        <v>71.137900000000002</v>
      </c>
      <c r="FJ21">
        <v>0</v>
      </c>
      <c r="FK21">
        <v>18.084</v>
      </c>
      <c r="FL21">
        <v>50</v>
      </c>
      <c r="FM21">
        <v>9.3992100000000001</v>
      </c>
      <c r="FN21">
        <v>100.354</v>
      </c>
      <c r="FO21">
        <v>100.892</v>
      </c>
    </row>
    <row r="22" spans="1:171" x14ac:dyDescent="0.35">
      <c r="A22">
        <v>6</v>
      </c>
      <c r="B22">
        <v>1564853944.4000001</v>
      </c>
      <c r="C22">
        <v>637.5</v>
      </c>
      <c r="D22" t="s">
        <v>310</v>
      </c>
      <c r="E22" t="s">
        <v>311</v>
      </c>
      <c r="G22">
        <v>1564853944.4000001</v>
      </c>
      <c r="H22">
        <f t="shared" si="0"/>
        <v>8.1901010376647307E-3</v>
      </c>
      <c r="I22">
        <f t="shared" si="1"/>
        <v>-3.0403769143653343</v>
      </c>
      <c r="J22">
        <f t="shared" si="2"/>
        <v>16.002600000000001</v>
      </c>
      <c r="K22">
        <f t="shared" si="3"/>
        <v>26.090005097955466</v>
      </c>
      <c r="L22">
        <f t="shared" si="4"/>
        <v>2.5953034319221544</v>
      </c>
      <c r="M22">
        <f t="shared" si="5"/>
        <v>1.5918587422174202</v>
      </c>
      <c r="N22">
        <f t="shared" si="6"/>
        <v>0.5028885221727053</v>
      </c>
      <c r="O22">
        <f t="shared" si="7"/>
        <v>2.2501355963146912</v>
      </c>
      <c r="P22">
        <f t="shared" si="8"/>
        <v>0.44779191331984186</v>
      </c>
      <c r="Q22">
        <f t="shared" si="9"/>
        <v>0.28431549463610217</v>
      </c>
      <c r="R22">
        <f t="shared" si="10"/>
        <v>353.34736432100442</v>
      </c>
      <c r="S22">
        <f t="shared" si="11"/>
        <v>25.353075676410612</v>
      </c>
      <c r="T22">
        <f t="shared" si="12"/>
        <v>26.962900000000001</v>
      </c>
      <c r="U22">
        <f t="shared" si="13"/>
        <v>3.5713682069725485</v>
      </c>
      <c r="V22">
        <f t="shared" si="14"/>
        <v>55.271610565776328</v>
      </c>
      <c r="W22">
        <f t="shared" si="15"/>
        <v>1.8011044188108705</v>
      </c>
      <c r="X22">
        <f t="shared" si="16"/>
        <v>3.2586429097582652</v>
      </c>
      <c r="Y22">
        <f t="shared" si="17"/>
        <v>1.7702637881616781</v>
      </c>
      <c r="Z22">
        <f t="shared" si="18"/>
        <v>-361.18345576101461</v>
      </c>
      <c r="AA22">
        <f t="shared" si="19"/>
        <v>-188.12647836441741</v>
      </c>
      <c r="AB22">
        <f t="shared" si="20"/>
        <v>-17.897224879543206</v>
      </c>
      <c r="AC22">
        <f t="shared" si="21"/>
        <v>-213.85979468397082</v>
      </c>
      <c r="AD22">
        <v>-4.11873978709065E-2</v>
      </c>
      <c r="AE22">
        <v>4.6236462324319202E-2</v>
      </c>
      <c r="AF22">
        <v>3.45546314572141</v>
      </c>
      <c r="AG22">
        <v>0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52801.016396247607</v>
      </c>
      <c r="AL22" t="s">
        <v>279</v>
      </c>
      <c r="AM22">
        <v>481.47884615384601</v>
      </c>
      <c r="AN22">
        <v>2238.31</v>
      </c>
      <c r="AO22">
        <f t="shared" si="25"/>
        <v>1756.8311538461539</v>
      </c>
      <c r="AP22">
        <f t="shared" si="26"/>
        <v>0.78489179508028561</v>
      </c>
      <c r="AQ22">
        <v>-0.96503536810971002</v>
      </c>
      <c r="AR22" t="s">
        <v>312</v>
      </c>
      <c r="AS22">
        <v>867.31015384615398</v>
      </c>
      <c r="AT22">
        <v>1019.23</v>
      </c>
      <c r="AU22">
        <f t="shared" si="27"/>
        <v>0.14905354645550661</v>
      </c>
      <c r="AV22">
        <v>0.5</v>
      </c>
      <c r="AW22">
        <f t="shared" si="28"/>
        <v>1849.2357000754257</v>
      </c>
      <c r="AX22">
        <f t="shared" si="29"/>
        <v>-3.0403769143653343</v>
      </c>
      <c r="AY22">
        <f t="shared" si="30"/>
        <v>137.81756966418689</v>
      </c>
      <c r="AZ22">
        <f t="shared" si="31"/>
        <v>0.36032102665737858</v>
      </c>
      <c r="BA22">
        <f t="shared" si="32"/>
        <v>-1.1222698902962863E-3</v>
      </c>
      <c r="BB22">
        <f t="shared" si="33"/>
        <v>1.1960793932674665</v>
      </c>
      <c r="BC22" t="s">
        <v>313</v>
      </c>
      <c r="BD22">
        <v>651.98</v>
      </c>
      <c r="BE22">
        <f t="shared" si="34"/>
        <v>367.25</v>
      </c>
      <c r="BF22">
        <f t="shared" si="35"/>
        <v>0.41366874378174551</v>
      </c>
      <c r="BG22">
        <f t="shared" si="36"/>
        <v>0.76849079321452662</v>
      </c>
      <c r="BH22">
        <f t="shared" si="37"/>
        <v>0.28250956798004195</v>
      </c>
      <c r="BI22">
        <f t="shared" si="38"/>
        <v>0.69390845974647086</v>
      </c>
      <c r="BJ22">
        <v>836</v>
      </c>
      <c r="BK22">
        <v>300</v>
      </c>
      <c r="BL22">
        <v>300</v>
      </c>
      <c r="BM22">
        <v>300</v>
      </c>
      <c r="BN22">
        <v>10104.9</v>
      </c>
      <c r="BO22">
        <v>977.37699999999995</v>
      </c>
      <c r="BP22">
        <v>-6.5617699999999998E-3</v>
      </c>
      <c r="BQ22">
        <v>0.83471700000000004</v>
      </c>
      <c r="BR22">
        <f t="shared" si="39"/>
        <v>2200.06</v>
      </c>
      <c r="BS22">
        <f t="shared" si="40"/>
        <v>1849.2357000754257</v>
      </c>
      <c r="BT22">
        <f t="shared" si="41"/>
        <v>0.84053875806815526</v>
      </c>
      <c r="BU22">
        <f t="shared" si="42"/>
        <v>0.19107751613631094</v>
      </c>
      <c r="BV22">
        <v>6</v>
      </c>
      <c r="BW22">
        <v>0.5</v>
      </c>
      <c r="BX22" t="s">
        <v>282</v>
      </c>
      <c r="BY22">
        <v>1564853944.4000001</v>
      </c>
      <c r="BZ22">
        <v>16.002600000000001</v>
      </c>
      <c r="CA22">
        <v>12.5115</v>
      </c>
      <c r="CB22">
        <v>18.106100000000001</v>
      </c>
      <c r="CC22">
        <v>8.4561399999999995</v>
      </c>
      <c r="CD22">
        <v>500.01100000000002</v>
      </c>
      <c r="CE22">
        <v>99.375100000000003</v>
      </c>
      <c r="CF22">
        <v>9.9906700000000001E-2</v>
      </c>
      <c r="CG22">
        <v>25.412099999999999</v>
      </c>
      <c r="CH22">
        <v>26.962900000000001</v>
      </c>
      <c r="CI22">
        <v>999.9</v>
      </c>
      <c r="CJ22">
        <v>9995</v>
      </c>
      <c r="CK22">
        <v>0</v>
      </c>
      <c r="CL22">
        <v>-441.40600000000001</v>
      </c>
      <c r="CM22">
        <v>2200.06</v>
      </c>
      <c r="CN22">
        <v>0.98199899999999996</v>
      </c>
      <c r="CO22">
        <v>1.8000499999999999E-2</v>
      </c>
      <c r="CP22">
        <v>0</v>
      </c>
      <c r="CQ22">
        <v>867.21199999999999</v>
      </c>
      <c r="CR22">
        <v>4.99986</v>
      </c>
      <c r="CS22">
        <v>19826.7</v>
      </c>
      <c r="CT22">
        <v>17914.2</v>
      </c>
      <c r="CU22">
        <v>48.75</v>
      </c>
      <c r="CV22">
        <v>50.561999999999998</v>
      </c>
      <c r="CW22">
        <v>49.436999999999998</v>
      </c>
      <c r="CX22">
        <v>49.186999999999998</v>
      </c>
      <c r="CY22">
        <v>49.936999999999998</v>
      </c>
      <c r="CZ22">
        <v>2155.5500000000002</v>
      </c>
      <c r="DA22">
        <v>39.51</v>
      </c>
      <c r="DB22">
        <v>0</v>
      </c>
      <c r="DC22">
        <v>139.799999952316</v>
      </c>
      <c r="DD22">
        <v>867.31015384615398</v>
      </c>
      <c r="DE22">
        <v>2.5436581283378201</v>
      </c>
      <c r="DF22">
        <v>82.324786239654699</v>
      </c>
      <c r="DG22">
        <v>19815.992307692301</v>
      </c>
      <c r="DH22">
        <v>15</v>
      </c>
      <c r="DI22">
        <v>1564853902.4000001</v>
      </c>
      <c r="DJ22" t="s">
        <v>314</v>
      </c>
      <c r="DK22">
        <v>48</v>
      </c>
      <c r="DL22">
        <v>-4.0000000000000001E-3</v>
      </c>
      <c r="DM22">
        <v>3.3000000000000002E-2</v>
      </c>
      <c r="DN22">
        <v>12</v>
      </c>
      <c r="DO22">
        <v>9</v>
      </c>
      <c r="DP22">
        <v>0.28999999999999998</v>
      </c>
      <c r="DQ22">
        <v>0.02</v>
      </c>
      <c r="DR22">
        <v>-2.9204226682027699</v>
      </c>
      <c r="DS22">
        <v>-1.1432218117431701</v>
      </c>
      <c r="DT22">
        <v>0.50542031407004395</v>
      </c>
      <c r="DU22">
        <v>0</v>
      </c>
      <c r="DV22">
        <v>0.46456188017968297</v>
      </c>
      <c r="DW22">
        <v>0.272207035823129</v>
      </c>
      <c r="DX22">
        <v>9.5763457917041994E-2</v>
      </c>
      <c r="DY22">
        <v>1</v>
      </c>
      <c r="DZ22">
        <v>1</v>
      </c>
      <c r="EA22">
        <v>2</v>
      </c>
      <c r="EB22" t="s">
        <v>299</v>
      </c>
      <c r="EC22">
        <v>1.86663</v>
      </c>
      <c r="ED22">
        <v>1.8631</v>
      </c>
      <c r="EE22">
        <v>1.86876</v>
      </c>
      <c r="EF22">
        <v>1.8667499999999999</v>
      </c>
      <c r="EG22">
        <v>1.8713500000000001</v>
      </c>
      <c r="EH22">
        <v>1.8638600000000001</v>
      </c>
      <c r="EI22">
        <v>1.8653500000000001</v>
      </c>
      <c r="EJ22">
        <v>1.8652299999999999</v>
      </c>
      <c r="EK22" t="s">
        <v>285</v>
      </c>
      <c r="EL22" t="s">
        <v>19</v>
      </c>
      <c r="EM22" t="s">
        <v>19</v>
      </c>
      <c r="EN22" t="s">
        <v>19</v>
      </c>
      <c r="EO22" t="s">
        <v>286</v>
      </c>
      <c r="EP22" t="s">
        <v>287</v>
      </c>
      <c r="EQ22" t="s">
        <v>288</v>
      </c>
      <c r="ER22" t="s">
        <v>288</v>
      </c>
      <c r="ES22" t="s">
        <v>288</v>
      </c>
      <c r="ET22" t="s">
        <v>288</v>
      </c>
      <c r="EU22">
        <v>0</v>
      </c>
      <c r="EV22">
        <v>100</v>
      </c>
      <c r="EW22">
        <v>100</v>
      </c>
      <c r="EX22">
        <v>-4.0000000000000001E-3</v>
      </c>
      <c r="EY22">
        <v>3.3000000000000002E-2</v>
      </c>
      <c r="EZ22">
        <v>2</v>
      </c>
      <c r="FA22">
        <v>509.64699999999999</v>
      </c>
      <c r="FB22">
        <v>470.57</v>
      </c>
      <c r="FC22">
        <v>18.464600000000001</v>
      </c>
      <c r="FD22">
        <v>35.288600000000002</v>
      </c>
      <c r="FE22">
        <v>30.000399999999999</v>
      </c>
      <c r="FF22">
        <v>35.183300000000003</v>
      </c>
      <c r="FG22">
        <v>35.158999999999999</v>
      </c>
      <c r="FH22">
        <v>3.8546399999999998</v>
      </c>
      <c r="FI22">
        <v>74.144599999999997</v>
      </c>
      <c r="FJ22">
        <v>0</v>
      </c>
      <c r="FK22">
        <v>18.4755</v>
      </c>
      <c r="FL22">
        <v>12.5</v>
      </c>
      <c r="FM22">
        <v>8.4479900000000008</v>
      </c>
      <c r="FN22">
        <v>100.336</v>
      </c>
      <c r="FO22">
        <v>100.87</v>
      </c>
    </row>
    <row r="23" spans="1:171" x14ac:dyDescent="0.35">
      <c r="A23">
        <v>8</v>
      </c>
      <c r="B23">
        <v>1564854221.9000001</v>
      </c>
      <c r="C23">
        <v>915</v>
      </c>
      <c r="D23" t="s">
        <v>315</v>
      </c>
      <c r="E23" t="s">
        <v>316</v>
      </c>
      <c r="G23">
        <v>1564854221.9000001</v>
      </c>
      <c r="H23">
        <f t="shared" si="0"/>
        <v>5.7196527731323008E-3</v>
      </c>
      <c r="I23">
        <f t="shared" si="1"/>
        <v>29.51289431508485</v>
      </c>
      <c r="J23">
        <f t="shared" si="2"/>
        <v>362.09300000000002</v>
      </c>
      <c r="K23">
        <f t="shared" si="3"/>
        <v>194.54049594561931</v>
      </c>
      <c r="L23">
        <f t="shared" si="4"/>
        <v>19.352237604170774</v>
      </c>
      <c r="M23">
        <f t="shared" si="5"/>
        <v>36.019800076822001</v>
      </c>
      <c r="N23">
        <f t="shared" si="6"/>
        <v>0.31678974958437855</v>
      </c>
      <c r="O23">
        <f t="shared" si="7"/>
        <v>2.253401446890976</v>
      </c>
      <c r="P23">
        <f t="shared" si="8"/>
        <v>0.29396557752756886</v>
      </c>
      <c r="Q23">
        <f t="shared" si="9"/>
        <v>0.18564192549662736</v>
      </c>
      <c r="R23">
        <f t="shared" si="10"/>
        <v>353.34417233261615</v>
      </c>
      <c r="S23">
        <f t="shared" si="11"/>
        <v>26.131297361110605</v>
      </c>
      <c r="T23">
        <f t="shared" si="12"/>
        <v>27.378399999999999</v>
      </c>
      <c r="U23">
        <f t="shared" si="13"/>
        <v>3.6594800705004746</v>
      </c>
      <c r="V23">
        <f t="shared" si="14"/>
        <v>54.66202345553944</v>
      </c>
      <c r="W23">
        <f t="shared" si="15"/>
        <v>1.7768619414133999</v>
      </c>
      <c r="X23">
        <f t="shared" si="16"/>
        <v>3.2506333082576968</v>
      </c>
      <c r="Y23">
        <f t="shared" si="17"/>
        <v>1.8826181290870747</v>
      </c>
      <c r="Z23">
        <f t="shared" si="18"/>
        <v>-252.23668729513446</v>
      </c>
      <c r="AA23">
        <f t="shared" si="19"/>
        <v>-243.90619502636946</v>
      </c>
      <c r="AB23">
        <f t="shared" si="20"/>
        <v>-23.213733112723475</v>
      </c>
      <c r="AC23">
        <f t="shared" si="21"/>
        <v>-166.01244310161127</v>
      </c>
      <c r="AD23">
        <v>-4.1275381849475601E-2</v>
      </c>
      <c r="AE23">
        <v>4.6335232048082903E-2</v>
      </c>
      <c r="AF23">
        <v>3.4613038011835999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52916.553254556646</v>
      </c>
      <c r="AL23" t="s">
        <v>279</v>
      </c>
      <c r="AM23">
        <v>481.47884615384601</v>
      </c>
      <c r="AN23">
        <v>2238.31</v>
      </c>
      <c r="AO23">
        <f t="shared" si="25"/>
        <v>1756.8311538461539</v>
      </c>
      <c r="AP23">
        <f t="shared" si="26"/>
        <v>0.78489179508028561</v>
      </c>
      <c r="AQ23">
        <v>-0.96503536810971002</v>
      </c>
      <c r="AR23" t="s">
        <v>317</v>
      </c>
      <c r="AS23">
        <v>827.85369230769197</v>
      </c>
      <c r="AT23">
        <v>1149.55</v>
      </c>
      <c r="AU23">
        <f t="shared" si="27"/>
        <v>0.2798454244637536</v>
      </c>
      <c r="AV23">
        <v>0.5</v>
      </c>
      <c r="AW23">
        <f t="shared" si="28"/>
        <v>1849.2189000754263</v>
      </c>
      <c r="AX23">
        <f t="shared" si="29"/>
        <v>29.51289431508485</v>
      </c>
      <c r="AY23">
        <f t="shared" si="30"/>
        <v>258.74772400900162</v>
      </c>
      <c r="AZ23">
        <f t="shared" si="31"/>
        <v>0.49157496411639334</v>
      </c>
      <c r="BA23">
        <f t="shared" si="32"/>
        <v>1.6481515347886298E-2</v>
      </c>
      <c r="BB23">
        <f t="shared" si="33"/>
        <v>0.94711843764951509</v>
      </c>
      <c r="BC23" t="s">
        <v>318</v>
      </c>
      <c r="BD23">
        <v>584.46</v>
      </c>
      <c r="BE23">
        <f t="shared" si="34"/>
        <v>565.08999999999992</v>
      </c>
      <c r="BF23">
        <f t="shared" si="35"/>
        <v>0.56928331361784501</v>
      </c>
      <c r="BG23">
        <f t="shared" si="36"/>
        <v>0.65831846902681623</v>
      </c>
      <c r="BH23">
        <f t="shared" si="37"/>
        <v>0.48153000745544761</v>
      </c>
      <c r="BI23">
        <f t="shared" si="38"/>
        <v>0.61972944731565416</v>
      </c>
      <c r="BJ23">
        <v>840</v>
      </c>
      <c r="BK23">
        <v>300</v>
      </c>
      <c r="BL23">
        <v>300</v>
      </c>
      <c r="BM23">
        <v>300</v>
      </c>
      <c r="BN23">
        <v>10103.9</v>
      </c>
      <c r="BO23">
        <v>1052.52</v>
      </c>
      <c r="BP23">
        <v>-6.5617000000000002E-3</v>
      </c>
      <c r="BQ23">
        <v>1.09033</v>
      </c>
      <c r="BR23">
        <f t="shared" si="39"/>
        <v>2200.04</v>
      </c>
      <c r="BS23">
        <f t="shared" si="40"/>
        <v>1849.2189000754263</v>
      </c>
      <c r="BT23">
        <f t="shared" si="41"/>
        <v>0.84053876296586716</v>
      </c>
      <c r="BU23">
        <f t="shared" si="42"/>
        <v>0.19107752593173469</v>
      </c>
      <c r="BV23">
        <v>6</v>
      </c>
      <c r="BW23">
        <v>0.5</v>
      </c>
      <c r="BX23" t="s">
        <v>282</v>
      </c>
      <c r="BY23">
        <v>1564854221.9000001</v>
      </c>
      <c r="BZ23">
        <v>362.09300000000002</v>
      </c>
      <c r="CA23">
        <v>399.99099999999999</v>
      </c>
      <c r="CB23">
        <v>17.862100000000002</v>
      </c>
      <c r="CC23">
        <v>11.121600000000001</v>
      </c>
      <c r="CD23">
        <v>500.036</v>
      </c>
      <c r="CE23">
        <v>99.376599999999996</v>
      </c>
      <c r="CF23">
        <v>0.100054</v>
      </c>
      <c r="CG23">
        <v>25.370699999999999</v>
      </c>
      <c r="CH23">
        <v>27.378399999999999</v>
      </c>
      <c r="CI23">
        <v>999.9</v>
      </c>
      <c r="CJ23">
        <v>10016.200000000001</v>
      </c>
      <c r="CK23">
        <v>0</v>
      </c>
      <c r="CL23">
        <v>-441.26100000000002</v>
      </c>
      <c r="CM23">
        <v>2200.04</v>
      </c>
      <c r="CN23">
        <v>0.98200200000000004</v>
      </c>
      <c r="CO23">
        <v>1.7998E-2</v>
      </c>
      <c r="CP23">
        <v>0</v>
      </c>
      <c r="CQ23">
        <v>828.12</v>
      </c>
      <c r="CR23">
        <v>4.99986</v>
      </c>
      <c r="CS23">
        <v>18980.099999999999</v>
      </c>
      <c r="CT23">
        <v>17914.099999999999</v>
      </c>
      <c r="CU23">
        <v>48.936999999999998</v>
      </c>
      <c r="CV23">
        <v>50.686999999999998</v>
      </c>
      <c r="CW23">
        <v>49.686999999999998</v>
      </c>
      <c r="CX23">
        <v>49.311999999999998</v>
      </c>
      <c r="CY23">
        <v>50.125</v>
      </c>
      <c r="CZ23">
        <v>2155.5300000000002</v>
      </c>
      <c r="DA23">
        <v>39.51</v>
      </c>
      <c r="DB23">
        <v>0</v>
      </c>
      <c r="DC23">
        <v>140.09999990463299</v>
      </c>
      <c r="DD23">
        <v>827.85369230769197</v>
      </c>
      <c r="DE23">
        <v>1.6476581164823101</v>
      </c>
      <c r="DF23">
        <v>19.097435855740802</v>
      </c>
      <c r="DG23">
        <v>18976.6538461538</v>
      </c>
      <c r="DH23">
        <v>15</v>
      </c>
      <c r="DI23">
        <v>1564854254.9000001</v>
      </c>
      <c r="DJ23" t="s">
        <v>319</v>
      </c>
      <c r="DK23">
        <v>50</v>
      </c>
      <c r="DL23">
        <v>0.20100000000000001</v>
      </c>
      <c r="DM23">
        <v>5.8999999999999997E-2</v>
      </c>
      <c r="DN23">
        <v>400</v>
      </c>
      <c r="DO23">
        <v>11</v>
      </c>
      <c r="DP23">
        <v>0.03</v>
      </c>
      <c r="DQ23">
        <v>0.01</v>
      </c>
      <c r="DR23">
        <v>29.915353340816999</v>
      </c>
      <c r="DS23">
        <v>-1.5065066897227699</v>
      </c>
      <c r="DT23">
        <v>0.29326530243190002</v>
      </c>
      <c r="DU23">
        <v>0</v>
      </c>
      <c r="DV23">
        <v>0.33404569545701102</v>
      </c>
      <c r="DW23">
        <v>-4.05542640443219E-2</v>
      </c>
      <c r="DX23">
        <v>8.1618971873114697E-3</v>
      </c>
      <c r="DY23">
        <v>1</v>
      </c>
      <c r="DZ23">
        <v>1</v>
      </c>
      <c r="EA23">
        <v>2</v>
      </c>
      <c r="EB23" t="s">
        <v>299</v>
      </c>
      <c r="EC23">
        <v>1.8666100000000001</v>
      </c>
      <c r="ED23">
        <v>1.8631</v>
      </c>
      <c r="EE23">
        <v>1.8687400000000001</v>
      </c>
      <c r="EF23">
        <v>1.8666400000000001</v>
      </c>
      <c r="EG23">
        <v>1.8713299999999999</v>
      </c>
      <c r="EH23">
        <v>1.86378</v>
      </c>
      <c r="EI23">
        <v>1.8652299999999999</v>
      </c>
      <c r="EJ23">
        <v>1.8652299999999999</v>
      </c>
      <c r="EK23" t="s">
        <v>285</v>
      </c>
      <c r="EL23" t="s">
        <v>19</v>
      </c>
      <c r="EM23" t="s">
        <v>19</v>
      </c>
      <c r="EN23" t="s">
        <v>19</v>
      </c>
      <c r="EO23" t="s">
        <v>286</v>
      </c>
      <c r="EP23" t="s">
        <v>287</v>
      </c>
      <c r="EQ23" t="s">
        <v>288</v>
      </c>
      <c r="ER23" t="s">
        <v>288</v>
      </c>
      <c r="ES23" t="s">
        <v>288</v>
      </c>
      <c r="ET23" t="s">
        <v>288</v>
      </c>
      <c r="EU23">
        <v>0</v>
      </c>
      <c r="EV23">
        <v>100</v>
      </c>
      <c r="EW23">
        <v>100</v>
      </c>
      <c r="EX23">
        <v>0.20100000000000001</v>
      </c>
      <c r="EY23">
        <v>5.8999999999999997E-2</v>
      </c>
      <c r="EZ23">
        <v>2</v>
      </c>
      <c r="FA23">
        <v>509.00900000000001</v>
      </c>
      <c r="FB23">
        <v>473.03399999999999</v>
      </c>
      <c r="FC23">
        <v>17.599699999999999</v>
      </c>
      <c r="FD23">
        <v>35.369199999999999</v>
      </c>
      <c r="FE23">
        <v>30.000299999999999</v>
      </c>
      <c r="FF23">
        <v>35.274500000000003</v>
      </c>
      <c r="FG23">
        <v>35.258299999999998</v>
      </c>
      <c r="FH23">
        <v>22.2149</v>
      </c>
      <c r="FI23">
        <v>65.803200000000004</v>
      </c>
      <c r="FJ23">
        <v>0</v>
      </c>
      <c r="FK23">
        <v>16.099699999999999</v>
      </c>
      <c r="FL23">
        <v>400</v>
      </c>
      <c r="FM23">
        <v>11.194800000000001</v>
      </c>
      <c r="FN23">
        <v>100.33499999999999</v>
      </c>
      <c r="FO23">
        <v>100.867</v>
      </c>
    </row>
    <row r="24" spans="1:171" x14ac:dyDescent="0.35">
      <c r="A24">
        <v>9</v>
      </c>
      <c r="B24">
        <v>1564854373.9000001</v>
      </c>
      <c r="C24">
        <v>1067</v>
      </c>
      <c r="D24" t="s">
        <v>320</v>
      </c>
      <c r="E24" t="s">
        <v>321</v>
      </c>
      <c r="G24">
        <v>1564854373.9000001</v>
      </c>
      <c r="H24">
        <f t="shared" si="0"/>
        <v>5.233512002997682E-3</v>
      </c>
      <c r="I24">
        <f t="shared" si="1"/>
        <v>35.342919169258238</v>
      </c>
      <c r="J24">
        <f t="shared" si="2"/>
        <v>454.726</v>
      </c>
      <c r="K24">
        <f t="shared" si="3"/>
        <v>236.85429832360916</v>
      </c>
      <c r="L24">
        <f t="shared" si="4"/>
        <v>23.560353946190869</v>
      </c>
      <c r="M24">
        <f t="shared" si="5"/>
        <v>45.232472386453999</v>
      </c>
      <c r="N24">
        <f t="shared" si="6"/>
        <v>0.28944026524030075</v>
      </c>
      <c r="O24">
        <f t="shared" si="7"/>
        <v>2.2524728825481009</v>
      </c>
      <c r="P24">
        <f t="shared" si="8"/>
        <v>0.27025169352463868</v>
      </c>
      <c r="Q24">
        <f t="shared" si="9"/>
        <v>0.17052520258274947</v>
      </c>
      <c r="R24">
        <f t="shared" si="10"/>
        <v>353.34417233261615</v>
      </c>
      <c r="S24">
        <f t="shared" si="11"/>
        <v>25.978972316155762</v>
      </c>
      <c r="T24">
        <f t="shared" si="12"/>
        <v>27.276299999999999</v>
      </c>
      <c r="U24">
        <f t="shared" si="13"/>
        <v>3.6376545446534534</v>
      </c>
      <c r="V24">
        <f t="shared" si="14"/>
        <v>55.279745903236297</v>
      </c>
      <c r="W24">
        <f t="shared" si="15"/>
        <v>1.7636472483629</v>
      </c>
      <c r="X24">
        <f t="shared" si="16"/>
        <v>3.1904040431916112</v>
      </c>
      <c r="Y24">
        <f t="shared" si="17"/>
        <v>1.8740072962905534</v>
      </c>
      <c r="Z24">
        <f t="shared" si="18"/>
        <v>-230.79787933219777</v>
      </c>
      <c r="AA24">
        <f t="shared" si="19"/>
        <v>-269.56211899392287</v>
      </c>
      <c r="AB24">
        <f t="shared" si="20"/>
        <v>-25.612674013465512</v>
      </c>
      <c r="AC24">
        <f t="shared" si="21"/>
        <v>-172.62850000696997</v>
      </c>
      <c r="AD24">
        <v>-4.1250353999102603E-2</v>
      </c>
      <c r="AE24">
        <v>4.6307136093479098E-2</v>
      </c>
      <c r="AF24">
        <v>3.4596428099549201</v>
      </c>
      <c r="AG24">
        <v>0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52941.43512750783</v>
      </c>
      <c r="AL24" t="s">
        <v>279</v>
      </c>
      <c r="AM24">
        <v>481.47884615384601</v>
      </c>
      <c r="AN24">
        <v>2238.31</v>
      </c>
      <c r="AO24">
        <f t="shared" si="25"/>
        <v>1756.8311538461539</v>
      </c>
      <c r="AP24">
        <f t="shared" si="26"/>
        <v>0.78489179508028561</v>
      </c>
      <c r="AQ24">
        <v>-0.96503536810971002</v>
      </c>
      <c r="AR24" t="s">
        <v>322</v>
      </c>
      <c r="AS24">
        <v>851.152923076923</v>
      </c>
      <c r="AT24">
        <v>1218.25</v>
      </c>
      <c r="AU24">
        <f t="shared" si="27"/>
        <v>0.3013314811599237</v>
      </c>
      <c r="AV24">
        <v>0.5</v>
      </c>
      <c r="AW24">
        <f t="shared" si="28"/>
        <v>1849.2189000754263</v>
      </c>
      <c r="AX24">
        <f t="shared" si="29"/>
        <v>35.342919169258238</v>
      </c>
      <c r="AY24">
        <f t="shared" si="30"/>
        <v>278.61393507432655</v>
      </c>
      <c r="AZ24">
        <f t="shared" si="31"/>
        <v>0.51709419248922639</v>
      </c>
      <c r="BA24">
        <f t="shared" si="32"/>
        <v>1.9634211253133423E-2</v>
      </c>
      <c r="BB24">
        <f t="shared" si="33"/>
        <v>0.83731582187564124</v>
      </c>
      <c r="BC24" t="s">
        <v>323</v>
      </c>
      <c r="BD24">
        <v>588.29999999999995</v>
      </c>
      <c r="BE24">
        <f t="shared" si="34"/>
        <v>629.95000000000005</v>
      </c>
      <c r="BF24">
        <f t="shared" si="35"/>
        <v>0.58274002210187625</v>
      </c>
      <c r="BG24">
        <f t="shared" si="36"/>
        <v>0.61821443506402984</v>
      </c>
      <c r="BH24">
        <f t="shared" si="37"/>
        <v>0.49825115302998269</v>
      </c>
      <c r="BI24">
        <f t="shared" si="38"/>
        <v>0.58062494951027421</v>
      </c>
      <c r="BJ24">
        <v>842</v>
      </c>
      <c r="BK24">
        <v>300</v>
      </c>
      <c r="BL24">
        <v>300</v>
      </c>
      <c r="BM24">
        <v>300</v>
      </c>
      <c r="BN24">
        <v>10103.9</v>
      </c>
      <c r="BO24">
        <v>1108.1400000000001</v>
      </c>
      <c r="BP24">
        <v>-6.5618600000000001E-3</v>
      </c>
      <c r="BQ24">
        <v>0.68615700000000002</v>
      </c>
      <c r="BR24">
        <f t="shared" si="39"/>
        <v>2200.04</v>
      </c>
      <c r="BS24">
        <f t="shared" si="40"/>
        <v>1849.2189000754263</v>
      </c>
      <c r="BT24">
        <f t="shared" si="41"/>
        <v>0.84053876296586716</v>
      </c>
      <c r="BU24">
        <f t="shared" si="42"/>
        <v>0.19107752593173469</v>
      </c>
      <c r="BV24">
        <v>6</v>
      </c>
      <c r="BW24">
        <v>0.5</v>
      </c>
      <c r="BX24" t="s">
        <v>282</v>
      </c>
      <c r="BY24">
        <v>1564854373.9000001</v>
      </c>
      <c r="BZ24">
        <v>454.726</v>
      </c>
      <c r="CA24">
        <v>499.995</v>
      </c>
      <c r="CB24">
        <v>17.7301</v>
      </c>
      <c r="CC24">
        <v>11.561</v>
      </c>
      <c r="CD24">
        <v>499.98099999999999</v>
      </c>
      <c r="CE24">
        <v>99.371899999999997</v>
      </c>
      <c r="CF24">
        <v>0.10002900000000001</v>
      </c>
      <c r="CG24">
        <v>25.0565</v>
      </c>
      <c r="CH24">
        <v>27.276299999999999</v>
      </c>
      <c r="CI24">
        <v>999.9</v>
      </c>
      <c r="CJ24">
        <v>10010.6</v>
      </c>
      <c r="CK24">
        <v>0</v>
      </c>
      <c r="CL24">
        <v>-444.45600000000002</v>
      </c>
      <c r="CM24">
        <v>2200.04</v>
      </c>
      <c r="CN24">
        <v>0.98200200000000004</v>
      </c>
      <c r="CO24">
        <v>1.7998E-2</v>
      </c>
      <c r="CP24">
        <v>0</v>
      </c>
      <c r="CQ24">
        <v>851.47400000000005</v>
      </c>
      <c r="CR24">
        <v>4.99986</v>
      </c>
      <c r="CS24">
        <v>19509.900000000001</v>
      </c>
      <c r="CT24">
        <v>17914.099999999999</v>
      </c>
      <c r="CU24">
        <v>49.061999999999998</v>
      </c>
      <c r="CV24">
        <v>50.875</v>
      </c>
      <c r="CW24">
        <v>49.811999999999998</v>
      </c>
      <c r="CX24">
        <v>49.311999999999998</v>
      </c>
      <c r="CY24">
        <v>50.186999999999998</v>
      </c>
      <c r="CZ24">
        <v>2155.5300000000002</v>
      </c>
      <c r="DA24">
        <v>39.51</v>
      </c>
      <c r="DB24">
        <v>0</v>
      </c>
      <c r="DC24">
        <v>151.299999952316</v>
      </c>
      <c r="DD24">
        <v>851.152923076923</v>
      </c>
      <c r="DE24">
        <v>1.0402734991215301</v>
      </c>
      <c r="DF24">
        <v>20.4307692372163</v>
      </c>
      <c r="DG24">
        <v>19506.2</v>
      </c>
      <c r="DH24">
        <v>15</v>
      </c>
      <c r="DI24">
        <v>1564854328.5</v>
      </c>
      <c r="DJ24" t="s">
        <v>324</v>
      </c>
      <c r="DK24">
        <v>51</v>
      </c>
      <c r="DL24">
        <v>0.27300000000000002</v>
      </c>
      <c r="DM24">
        <v>6.2E-2</v>
      </c>
      <c r="DN24">
        <v>500</v>
      </c>
      <c r="DO24">
        <v>11</v>
      </c>
      <c r="DP24">
        <v>0.04</v>
      </c>
      <c r="DQ24">
        <v>0.01</v>
      </c>
      <c r="DR24">
        <v>35.397073110146202</v>
      </c>
      <c r="DS24">
        <v>0.19270215948743599</v>
      </c>
      <c r="DT24">
        <v>0.24472562576462401</v>
      </c>
      <c r="DU24">
        <v>1</v>
      </c>
      <c r="DV24">
        <v>0.28871623934061502</v>
      </c>
      <c r="DW24">
        <v>9.7229541032761799E-3</v>
      </c>
      <c r="DX24">
        <v>3.0506785361254299E-3</v>
      </c>
      <c r="DY24">
        <v>1</v>
      </c>
      <c r="DZ24">
        <v>2</v>
      </c>
      <c r="EA24">
        <v>2</v>
      </c>
      <c r="EB24" t="s">
        <v>284</v>
      </c>
      <c r="EC24">
        <v>1.8666100000000001</v>
      </c>
      <c r="ED24">
        <v>1.8630899999999999</v>
      </c>
      <c r="EE24">
        <v>1.8687400000000001</v>
      </c>
      <c r="EF24">
        <v>1.86663</v>
      </c>
      <c r="EG24">
        <v>1.8713299999999999</v>
      </c>
      <c r="EH24">
        <v>1.8637699999999999</v>
      </c>
      <c r="EI24">
        <v>1.8652299999999999</v>
      </c>
      <c r="EJ24">
        <v>1.86521</v>
      </c>
      <c r="EK24" t="s">
        <v>285</v>
      </c>
      <c r="EL24" t="s">
        <v>19</v>
      </c>
      <c r="EM24" t="s">
        <v>19</v>
      </c>
      <c r="EN24" t="s">
        <v>19</v>
      </c>
      <c r="EO24" t="s">
        <v>286</v>
      </c>
      <c r="EP24" t="s">
        <v>287</v>
      </c>
      <c r="EQ24" t="s">
        <v>288</v>
      </c>
      <c r="ER24" t="s">
        <v>288</v>
      </c>
      <c r="ES24" t="s">
        <v>288</v>
      </c>
      <c r="ET24" t="s">
        <v>288</v>
      </c>
      <c r="EU24">
        <v>0</v>
      </c>
      <c r="EV24">
        <v>100</v>
      </c>
      <c r="EW24">
        <v>100</v>
      </c>
      <c r="EX24">
        <v>0.27300000000000002</v>
      </c>
      <c r="EY24">
        <v>6.2E-2</v>
      </c>
      <c r="EZ24">
        <v>2</v>
      </c>
      <c r="FA24">
        <v>508.512</v>
      </c>
      <c r="FB24">
        <v>472.36900000000003</v>
      </c>
      <c r="FC24">
        <v>17.3672</v>
      </c>
      <c r="FD24">
        <v>35.471400000000003</v>
      </c>
      <c r="FE24">
        <v>30.0001</v>
      </c>
      <c r="FF24">
        <v>35.348999999999997</v>
      </c>
      <c r="FG24">
        <v>35.325800000000001</v>
      </c>
      <c r="FH24">
        <v>26.5532</v>
      </c>
      <c r="FI24">
        <v>65.429599999999994</v>
      </c>
      <c r="FJ24">
        <v>0</v>
      </c>
      <c r="FK24">
        <v>15.9749</v>
      </c>
      <c r="FL24">
        <v>500</v>
      </c>
      <c r="FM24">
        <v>11.4994</v>
      </c>
      <c r="FN24">
        <v>100.32</v>
      </c>
      <c r="FO24">
        <v>100.85</v>
      </c>
    </row>
    <row r="25" spans="1:171" x14ac:dyDescent="0.35">
      <c r="A25">
        <v>10</v>
      </c>
      <c r="B25">
        <v>1564854514.4000001</v>
      </c>
      <c r="C25">
        <v>1207.5</v>
      </c>
      <c r="D25" t="s">
        <v>325</v>
      </c>
      <c r="E25" t="s">
        <v>326</v>
      </c>
      <c r="G25">
        <v>1564854514.4000001</v>
      </c>
      <c r="H25">
        <f t="shared" si="0"/>
        <v>4.6845564508291686E-3</v>
      </c>
      <c r="I25">
        <f t="shared" si="1"/>
        <v>38.835981059423247</v>
      </c>
      <c r="J25">
        <f t="shared" si="2"/>
        <v>550.32100000000003</v>
      </c>
      <c r="K25">
        <f t="shared" si="3"/>
        <v>276.42378461583189</v>
      </c>
      <c r="L25">
        <f t="shared" si="4"/>
        <v>27.497058856859073</v>
      </c>
      <c r="M25">
        <f t="shared" si="5"/>
        <v>54.742789041094909</v>
      </c>
      <c r="N25">
        <f t="shared" si="6"/>
        <v>0.25072884745248569</v>
      </c>
      <c r="O25">
        <f t="shared" si="7"/>
        <v>2.253946807706058</v>
      </c>
      <c r="P25">
        <f t="shared" si="8"/>
        <v>0.23620044010273442</v>
      </c>
      <c r="Q25">
        <f t="shared" si="9"/>
        <v>0.1488603938861392</v>
      </c>
      <c r="R25">
        <f t="shared" si="10"/>
        <v>353.33938435003444</v>
      </c>
      <c r="S25">
        <f t="shared" si="11"/>
        <v>25.976785039594855</v>
      </c>
      <c r="T25">
        <f t="shared" si="12"/>
        <v>27.299700000000001</v>
      </c>
      <c r="U25">
        <f t="shared" si="13"/>
        <v>3.6426466119534289</v>
      </c>
      <c r="V25">
        <f t="shared" si="14"/>
        <v>54.600730775294359</v>
      </c>
      <c r="W25">
        <f t="shared" si="15"/>
        <v>1.7229841759662103</v>
      </c>
      <c r="X25">
        <f t="shared" si="16"/>
        <v>3.1556064387801621</v>
      </c>
      <c r="Y25">
        <f t="shared" si="17"/>
        <v>1.9196624359872185</v>
      </c>
      <c r="Z25">
        <f t="shared" si="18"/>
        <v>-206.58893948156634</v>
      </c>
      <c r="AA25">
        <f t="shared" si="19"/>
        <v>-294.92852325896803</v>
      </c>
      <c r="AB25">
        <f t="shared" si="20"/>
        <v>-27.982104768244941</v>
      </c>
      <c r="AC25">
        <f t="shared" si="21"/>
        <v>-176.16018315874487</v>
      </c>
      <c r="AD25">
        <v>-4.1290085475072298E-2</v>
      </c>
      <c r="AE25">
        <v>4.63517381559235E-2</v>
      </c>
      <c r="AF25">
        <v>3.4622794558731198</v>
      </c>
      <c r="AG25">
        <v>0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53023.091159621916</v>
      </c>
      <c r="AL25" t="s">
        <v>279</v>
      </c>
      <c r="AM25">
        <v>481.47884615384601</v>
      </c>
      <c r="AN25">
        <v>2238.31</v>
      </c>
      <c r="AO25">
        <f t="shared" si="25"/>
        <v>1756.8311538461539</v>
      </c>
      <c r="AP25">
        <f t="shared" si="26"/>
        <v>0.78489179508028561</v>
      </c>
      <c r="AQ25">
        <v>-0.96503536810971002</v>
      </c>
      <c r="AR25" t="s">
        <v>327</v>
      </c>
      <c r="AS25">
        <v>862.95765384615402</v>
      </c>
      <c r="AT25">
        <v>1239.5</v>
      </c>
      <c r="AU25">
        <f t="shared" si="27"/>
        <v>0.30378567660657196</v>
      </c>
      <c r="AV25">
        <v>0.5</v>
      </c>
      <c r="AW25">
        <f t="shared" si="28"/>
        <v>1849.1937000754281</v>
      </c>
      <c r="AX25">
        <f t="shared" si="29"/>
        <v>38.835981059423247</v>
      </c>
      <c r="AY25">
        <f t="shared" si="30"/>
        <v>280.87927967701211</v>
      </c>
      <c r="AZ25">
        <f t="shared" si="31"/>
        <v>0.52343686970552639</v>
      </c>
      <c r="BA25">
        <f t="shared" si="32"/>
        <v>2.1523443664073421E-2</v>
      </c>
      <c r="BB25">
        <f t="shared" si="33"/>
        <v>0.80581686163775712</v>
      </c>
      <c r="BC25" t="s">
        <v>328</v>
      </c>
      <c r="BD25">
        <v>590.70000000000005</v>
      </c>
      <c r="BE25">
        <f t="shared" si="34"/>
        <v>648.79999999999995</v>
      </c>
      <c r="BF25">
        <f t="shared" si="35"/>
        <v>0.58036736460210547</v>
      </c>
      <c r="BG25">
        <f t="shared" si="36"/>
        <v>0.60621749078968934</v>
      </c>
      <c r="BH25">
        <f t="shared" si="37"/>
        <v>0.49674384975048869</v>
      </c>
      <c r="BI25">
        <f t="shared" si="38"/>
        <v>0.56852930790380662</v>
      </c>
      <c r="BJ25">
        <v>844</v>
      </c>
      <c r="BK25">
        <v>300</v>
      </c>
      <c r="BL25">
        <v>300</v>
      </c>
      <c r="BM25">
        <v>300</v>
      </c>
      <c r="BN25">
        <v>10103.9</v>
      </c>
      <c r="BO25">
        <v>1134.55</v>
      </c>
      <c r="BP25">
        <v>-6.5618500000000001E-3</v>
      </c>
      <c r="BQ25">
        <v>3.5323500000000001</v>
      </c>
      <c r="BR25">
        <f t="shared" si="39"/>
        <v>2200.0100000000002</v>
      </c>
      <c r="BS25">
        <f t="shared" si="40"/>
        <v>1849.1937000754281</v>
      </c>
      <c r="BT25">
        <f t="shared" si="41"/>
        <v>0.84053877031260216</v>
      </c>
      <c r="BU25">
        <f t="shared" si="42"/>
        <v>0.1910775406252043</v>
      </c>
      <c r="BV25">
        <v>6</v>
      </c>
      <c r="BW25">
        <v>0.5</v>
      </c>
      <c r="BX25" t="s">
        <v>282</v>
      </c>
      <c r="BY25">
        <v>1564854514.4000001</v>
      </c>
      <c r="BZ25">
        <v>550.32100000000003</v>
      </c>
      <c r="CA25">
        <v>600.01599999999996</v>
      </c>
      <c r="CB25">
        <v>17.320900000000002</v>
      </c>
      <c r="CC25">
        <v>11.797000000000001</v>
      </c>
      <c r="CD25">
        <v>500.01799999999997</v>
      </c>
      <c r="CE25">
        <v>99.374300000000005</v>
      </c>
      <c r="CF25">
        <v>9.9986900000000004E-2</v>
      </c>
      <c r="CG25">
        <v>24.872599999999998</v>
      </c>
      <c r="CH25">
        <v>27.299700000000001</v>
      </c>
      <c r="CI25">
        <v>999.9</v>
      </c>
      <c r="CJ25">
        <v>10020</v>
      </c>
      <c r="CK25">
        <v>0</v>
      </c>
      <c r="CL25">
        <v>-445.40800000000002</v>
      </c>
      <c r="CM25">
        <v>2200.0100000000002</v>
      </c>
      <c r="CN25">
        <v>0.98200200000000004</v>
      </c>
      <c r="CO25">
        <v>1.7998E-2</v>
      </c>
      <c r="CP25">
        <v>0</v>
      </c>
      <c r="CQ25">
        <v>862.53899999999999</v>
      </c>
      <c r="CR25">
        <v>4.99986</v>
      </c>
      <c r="CS25">
        <v>19762.2</v>
      </c>
      <c r="CT25">
        <v>17913.900000000001</v>
      </c>
      <c r="CU25">
        <v>49.061999999999998</v>
      </c>
      <c r="CV25">
        <v>50.936999999999998</v>
      </c>
      <c r="CW25">
        <v>49.875</v>
      </c>
      <c r="CX25">
        <v>49.436999999999998</v>
      </c>
      <c r="CY25">
        <v>50.186999999999998</v>
      </c>
      <c r="CZ25">
        <v>2155.5</v>
      </c>
      <c r="DA25">
        <v>39.51</v>
      </c>
      <c r="DB25">
        <v>0</v>
      </c>
      <c r="DC25">
        <v>139.799999952316</v>
      </c>
      <c r="DD25">
        <v>862.95765384615402</v>
      </c>
      <c r="DE25">
        <v>-5.9423931447782303</v>
      </c>
      <c r="DF25">
        <v>-140.97093992163801</v>
      </c>
      <c r="DG25">
        <v>19779.976923076902</v>
      </c>
      <c r="DH25">
        <v>15</v>
      </c>
      <c r="DI25">
        <v>1564854459.4000001</v>
      </c>
      <c r="DJ25" t="s">
        <v>329</v>
      </c>
      <c r="DK25">
        <v>52</v>
      </c>
      <c r="DL25">
        <v>0.38700000000000001</v>
      </c>
      <c r="DM25">
        <v>6.4000000000000001E-2</v>
      </c>
      <c r="DN25">
        <v>600</v>
      </c>
      <c r="DO25">
        <v>12</v>
      </c>
      <c r="DP25">
        <v>0.04</v>
      </c>
      <c r="DQ25">
        <v>0.02</v>
      </c>
      <c r="DR25">
        <v>39.209382582972601</v>
      </c>
      <c r="DS25">
        <v>-1.18170222520753</v>
      </c>
      <c r="DT25">
        <v>0.23317885735906799</v>
      </c>
      <c r="DU25">
        <v>0</v>
      </c>
      <c r="DV25">
        <v>0.256883632633857</v>
      </c>
      <c r="DW25">
        <v>-9.6617648745563299E-3</v>
      </c>
      <c r="DX25">
        <v>2.6063180719052199E-3</v>
      </c>
      <c r="DY25">
        <v>1</v>
      </c>
      <c r="DZ25">
        <v>1</v>
      </c>
      <c r="EA25">
        <v>2</v>
      </c>
      <c r="EB25" t="s">
        <v>299</v>
      </c>
      <c r="EC25">
        <v>1.8666100000000001</v>
      </c>
      <c r="ED25">
        <v>1.8631</v>
      </c>
      <c r="EE25">
        <v>1.86873</v>
      </c>
      <c r="EF25">
        <v>1.8666199999999999</v>
      </c>
      <c r="EG25">
        <v>1.87134</v>
      </c>
      <c r="EH25">
        <v>1.86375</v>
      </c>
      <c r="EI25">
        <v>1.8652299999999999</v>
      </c>
      <c r="EJ25">
        <v>1.8651899999999999</v>
      </c>
      <c r="EK25" t="s">
        <v>285</v>
      </c>
      <c r="EL25" t="s">
        <v>19</v>
      </c>
      <c r="EM25" t="s">
        <v>19</v>
      </c>
      <c r="EN25" t="s">
        <v>19</v>
      </c>
      <c r="EO25" t="s">
        <v>286</v>
      </c>
      <c r="EP25" t="s">
        <v>287</v>
      </c>
      <c r="EQ25" t="s">
        <v>288</v>
      </c>
      <c r="ER25" t="s">
        <v>288</v>
      </c>
      <c r="ES25" t="s">
        <v>288</v>
      </c>
      <c r="ET25" t="s">
        <v>288</v>
      </c>
      <c r="EU25">
        <v>0</v>
      </c>
      <c r="EV25">
        <v>100</v>
      </c>
      <c r="EW25">
        <v>100</v>
      </c>
      <c r="EX25">
        <v>0.38700000000000001</v>
      </c>
      <c r="EY25">
        <v>6.4000000000000001E-2</v>
      </c>
      <c r="EZ25">
        <v>2</v>
      </c>
      <c r="FA25">
        <v>508.67399999999998</v>
      </c>
      <c r="FB25">
        <v>472.75099999999998</v>
      </c>
      <c r="FC25">
        <v>17.255600000000001</v>
      </c>
      <c r="FD25">
        <v>35.491</v>
      </c>
      <c r="FE25">
        <v>30.0001</v>
      </c>
      <c r="FF25">
        <v>35.368499999999997</v>
      </c>
      <c r="FG25">
        <v>35.345100000000002</v>
      </c>
      <c r="FH25">
        <v>30.753599999999999</v>
      </c>
      <c r="FI25">
        <v>64.229900000000001</v>
      </c>
      <c r="FJ25">
        <v>0</v>
      </c>
      <c r="FK25">
        <v>15.7174</v>
      </c>
      <c r="FL25">
        <v>600</v>
      </c>
      <c r="FM25">
        <v>12.0177</v>
      </c>
      <c r="FN25">
        <v>100.324</v>
      </c>
      <c r="FO25">
        <v>100.858</v>
      </c>
    </row>
    <row r="26" spans="1:171" x14ac:dyDescent="0.35">
      <c r="A26">
        <v>11</v>
      </c>
      <c r="B26">
        <v>1564854655</v>
      </c>
      <c r="C26">
        <v>1348.0999999046301</v>
      </c>
      <c r="D26" t="s">
        <v>330</v>
      </c>
      <c r="E26" t="s">
        <v>331</v>
      </c>
      <c r="G26">
        <v>1564854655</v>
      </c>
      <c r="H26">
        <f t="shared" si="0"/>
        <v>3.5390778301510784E-3</v>
      </c>
      <c r="I26">
        <f t="shared" si="1"/>
        <v>42.694940096903764</v>
      </c>
      <c r="J26">
        <f t="shared" si="2"/>
        <v>745.64200000000005</v>
      </c>
      <c r="K26">
        <f t="shared" si="3"/>
        <v>328.09549323858693</v>
      </c>
      <c r="L26">
        <f t="shared" si="4"/>
        <v>32.634873579926925</v>
      </c>
      <c r="M26">
        <f t="shared" si="5"/>
        <v>74.167225418694017</v>
      </c>
      <c r="N26">
        <f t="shared" si="6"/>
        <v>0.17726558791652269</v>
      </c>
      <c r="O26">
        <f t="shared" si="7"/>
        <v>2.2513666528013916</v>
      </c>
      <c r="P26">
        <f t="shared" si="8"/>
        <v>0.16986054901456882</v>
      </c>
      <c r="Q26">
        <f t="shared" si="9"/>
        <v>0.10680237926465699</v>
      </c>
      <c r="R26">
        <f t="shared" si="10"/>
        <v>353.31647878480561</v>
      </c>
      <c r="S26">
        <f t="shared" si="11"/>
        <v>26.412389421927646</v>
      </c>
      <c r="T26">
        <f t="shared" si="12"/>
        <v>27.738800000000001</v>
      </c>
      <c r="U26">
        <f t="shared" si="13"/>
        <v>3.737437814215268</v>
      </c>
      <c r="V26">
        <f t="shared" si="14"/>
        <v>54.389688812167947</v>
      </c>
      <c r="W26">
        <f t="shared" si="15"/>
        <v>1.7218837447769999</v>
      </c>
      <c r="X26">
        <f t="shared" si="16"/>
        <v>3.1658275352952261</v>
      </c>
      <c r="Y26">
        <f t="shared" si="17"/>
        <v>2.0155540694382683</v>
      </c>
      <c r="Z26">
        <f t="shared" si="18"/>
        <v>-156.07333230966256</v>
      </c>
      <c r="AA26">
        <f t="shared" si="19"/>
        <v>-341.30840930815026</v>
      </c>
      <c r="AB26">
        <f t="shared" si="20"/>
        <v>-32.500083265295793</v>
      </c>
      <c r="AC26">
        <f t="shared" si="21"/>
        <v>-176.56534609830302</v>
      </c>
      <c r="AD26">
        <v>-4.1220549695993002E-2</v>
      </c>
      <c r="AE26">
        <v>4.62736781522382E-2</v>
      </c>
      <c r="AF26">
        <v>3.45766437294371</v>
      </c>
      <c r="AG26">
        <v>0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52927.690921784939</v>
      </c>
      <c r="AL26" t="s">
        <v>279</v>
      </c>
      <c r="AM26">
        <v>481.47884615384601</v>
      </c>
      <c r="AN26">
        <v>2238.31</v>
      </c>
      <c r="AO26">
        <f t="shared" si="25"/>
        <v>1756.8311538461539</v>
      </c>
      <c r="AP26">
        <f t="shared" si="26"/>
        <v>0.78489179508028561</v>
      </c>
      <c r="AQ26">
        <v>-0.96503536810971002</v>
      </c>
      <c r="AR26" t="s">
        <v>332</v>
      </c>
      <c r="AS26">
        <v>862.23284615384603</v>
      </c>
      <c r="AT26">
        <v>1246.48</v>
      </c>
      <c r="AU26">
        <f t="shared" si="27"/>
        <v>0.30826579956850808</v>
      </c>
      <c r="AV26">
        <v>0.5</v>
      </c>
      <c r="AW26">
        <f t="shared" si="28"/>
        <v>1849.0758000754133</v>
      </c>
      <c r="AX26">
        <f t="shared" si="29"/>
        <v>42.694940096903764</v>
      </c>
      <c r="AY26">
        <f t="shared" si="30"/>
        <v>285.00341498651306</v>
      </c>
      <c r="AZ26">
        <f t="shared" si="31"/>
        <v>0.5298761311854181</v>
      </c>
      <c r="BA26">
        <f t="shared" si="32"/>
        <v>2.3611782417590901E-2</v>
      </c>
      <c r="BB26">
        <f t="shared" si="33"/>
        <v>0.79570470444772468</v>
      </c>
      <c r="BC26" t="s">
        <v>333</v>
      </c>
      <c r="BD26">
        <v>586</v>
      </c>
      <c r="BE26">
        <f t="shared" si="34"/>
        <v>660.48</v>
      </c>
      <c r="BF26">
        <f t="shared" si="35"/>
        <v>0.5817695522137748</v>
      </c>
      <c r="BG26">
        <f t="shared" si="36"/>
        <v>0.60026871470849896</v>
      </c>
      <c r="BH26">
        <f t="shared" si="37"/>
        <v>0.5022831036453943</v>
      </c>
      <c r="BI26">
        <f t="shared" si="38"/>
        <v>0.56455624539024696</v>
      </c>
      <c r="BJ26">
        <v>846</v>
      </c>
      <c r="BK26">
        <v>300</v>
      </c>
      <c r="BL26">
        <v>300</v>
      </c>
      <c r="BM26">
        <v>300</v>
      </c>
      <c r="BN26">
        <v>10103.200000000001</v>
      </c>
      <c r="BO26">
        <v>1140.18</v>
      </c>
      <c r="BP26">
        <v>-6.5613599999999996E-3</v>
      </c>
      <c r="BQ26">
        <v>4.3386199999999997</v>
      </c>
      <c r="BR26">
        <f t="shared" si="39"/>
        <v>2199.87</v>
      </c>
      <c r="BS26">
        <f t="shared" si="40"/>
        <v>1849.0758000754133</v>
      </c>
      <c r="BT26">
        <f t="shared" si="41"/>
        <v>0.84053866822831047</v>
      </c>
      <c r="BU26">
        <f t="shared" si="42"/>
        <v>0.19107733645662112</v>
      </c>
      <c r="BV26">
        <v>6</v>
      </c>
      <c r="BW26">
        <v>0.5</v>
      </c>
      <c r="BX26" t="s">
        <v>282</v>
      </c>
      <c r="BY26">
        <v>1564854655</v>
      </c>
      <c r="BZ26">
        <v>745.64200000000005</v>
      </c>
      <c r="CA26">
        <v>800.03899999999999</v>
      </c>
      <c r="CB26">
        <v>17.311</v>
      </c>
      <c r="CC26">
        <v>13.1379</v>
      </c>
      <c r="CD26">
        <v>500.03300000000002</v>
      </c>
      <c r="CE26">
        <v>99.367599999999996</v>
      </c>
      <c r="CF26">
        <v>0.100007</v>
      </c>
      <c r="CG26">
        <v>24.9268</v>
      </c>
      <c r="CH26">
        <v>27.738800000000001</v>
      </c>
      <c r="CI26">
        <v>999.9</v>
      </c>
      <c r="CJ26">
        <v>10003.799999999999</v>
      </c>
      <c r="CK26">
        <v>0</v>
      </c>
      <c r="CL26">
        <v>-446.39400000000001</v>
      </c>
      <c r="CM26">
        <v>2199.87</v>
      </c>
      <c r="CN26">
        <v>0.98200200000000004</v>
      </c>
      <c r="CO26">
        <v>1.7998E-2</v>
      </c>
      <c r="CP26">
        <v>0</v>
      </c>
      <c r="CQ26">
        <v>860.7</v>
      </c>
      <c r="CR26">
        <v>4.99986</v>
      </c>
      <c r="CS26">
        <v>19755.5</v>
      </c>
      <c r="CT26">
        <v>17912.7</v>
      </c>
      <c r="CU26">
        <v>49.186999999999998</v>
      </c>
      <c r="CV26">
        <v>51.186999999999998</v>
      </c>
      <c r="CW26">
        <v>50</v>
      </c>
      <c r="CX26">
        <v>49.625</v>
      </c>
      <c r="CY26">
        <v>50.311999999999998</v>
      </c>
      <c r="CZ26">
        <v>2155.37</v>
      </c>
      <c r="DA26">
        <v>39.5</v>
      </c>
      <c r="DB26">
        <v>0</v>
      </c>
      <c r="DC26">
        <v>140.299999952316</v>
      </c>
      <c r="DD26">
        <v>862.23284615384603</v>
      </c>
      <c r="DE26">
        <v>-11.9334700632715</v>
      </c>
      <c r="DF26">
        <v>-258.75555518893998</v>
      </c>
      <c r="DG26">
        <v>19787.438461538499</v>
      </c>
      <c r="DH26">
        <v>15</v>
      </c>
      <c r="DI26">
        <v>1564854581.5</v>
      </c>
      <c r="DJ26" t="s">
        <v>334</v>
      </c>
      <c r="DK26">
        <v>53</v>
      </c>
      <c r="DL26">
        <v>0.435</v>
      </c>
      <c r="DM26">
        <v>7.0000000000000007E-2</v>
      </c>
      <c r="DN26">
        <v>800</v>
      </c>
      <c r="DO26">
        <v>12</v>
      </c>
      <c r="DP26">
        <v>0.02</v>
      </c>
      <c r="DQ26">
        <v>0.02</v>
      </c>
      <c r="DR26">
        <v>43.342597164613899</v>
      </c>
      <c r="DS26">
        <v>-2.16345763031886</v>
      </c>
      <c r="DT26">
        <v>0.42408532855783598</v>
      </c>
      <c r="DU26">
        <v>0</v>
      </c>
      <c r="DV26">
        <v>0.187571498618258</v>
      </c>
      <c r="DW26">
        <v>-2.34580391190039E-2</v>
      </c>
      <c r="DX26">
        <v>4.8703433690513503E-3</v>
      </c>
      <c r="DY26">
        <v>1</v>
      </c>
      <c r="DZ26">
        <v>1</v>
      </c>
      <c r="EA26">
        <v>2</v>
      </c>
      <c r="EB26" t="s">
        <v>299</v>
      </c>
      <c r="EC26">
        <v>1.8666100000000001</v>
      </c>
      <c r="ED26">
        <v>1.86307</v>
      </c>
      <c r="EE26">
        <v>1.86873</v>
      </c>
      <c r="EF26">
        <v>1.8666100000000001</v>
      </c>
      <c r="EG26">
        <v>1.8713200000000001</v>
      </c>
      <c r="EH26">
        <v>1.86374</v>
      </c>
      <c r="EI26">
        <v>1.8652299999999999</v>
      </c>
      <c r="EJ26">
        <v>1.86513</v>
      </c>
      <c r="EK26" t="s">
        <v>285</v>
      </c>
      <c r="EL26" t="s">
        <v>19</v>
      </c>
      <c r="EM26" t="s">
        <v>19</v>
      </c>
      <c r="EN26" t="s">
        <v>19</v>
      </c>
      <c r="EO26" t="s">
        <v>286</v>
      </c>
      <c r="EP26" t="s">
        <v>287</v>
      </c>
      <c r="EQ26" t="s">
        <v>288</v>
      </c>
      <c r="ER26" t="s">
        <v>288</v>
      </c>
      <c r="ES26" t="s">
        <v>288</v>
      </c>
      <c r="ET26" t="s">
        <v>288</v>
      </c>
      <c r="EU26">
        <v>0</v>
      </c>
      <c r="EV26">
        <v>100</v>
      </c>
      <c r="EW26">
        <v>100</v>
      </c>
      <c r="EX26">
        <v>0.435</v>
      </c>
      <c r="EY26">
        <v>7.0000000000000007E-2</v>
      </c>
      <c r="EZ26">
        <v>2</v>
      </c>
      <c r="FA26">
        <v>508.02199999999999</v>
      </c>
      <c r="FB26">
        <v>473.19900000000001</v>
      </c>
      <c r="FC26">
        <v>17.372900000000001</v>
      </c>
      <c r="FD26">
        <v>35.569499999999998</v>
      </c>
      <c r="FE26">
        <v>30.000399999999999</v>
      </c>
      <c r="FF26">
        <v>35.431899999999999</v>
      </c>
      <c r="FG26">
        <v>35.411000000000001</v>
      </c>
      <c r="FH26">
        <v>38.833399999999997</v>
      </c>
      <c r="FI26">
        <v>60.369199999999999</v>
      </c>
      <c r="FJ26">
        <v>0</v>
      </c>
      <c r="FK26">
        <v>15.581200000000001</v>
      </c>
      <c r="FL26">
        <v>800</v>
      </c>
      <c r="FM26">
        <v>13.1798</v>
      </c>
      <c r="FN26">
        <v>100.31100000000001</v>
      </c>
      <c r="FO26">
        <v>100.843</v>
      </c>
    </row>
    <row r="27" spans="1:171" x14ac:dyDescent="0.35">
      <c r="A27">
        <v>12</v>
      </c>
      <c r="B27">
        <v>1564854795.5</v>
      </c>
      <c r="C27">
        <v>1488.5999999046301</v>
      </c>
      <c r="D27" t="s">
        <v>335</v>
      </c>
      <c r="E27" t="s">
        <v>336</v>
      </c>
      <c r="G27">
        <v>1564854795.5</v>
      </c>
      <c r="H27">
        <f t="shared" si="0"/>
        <v>2.5548091427761237E-3</v>
      </c>
      <c r="I27">
        <f t="shared" si="1"/>
        <v>42.212129572722816</v>
      </c>
      <c r="J27">
        <f t="shared" si="2"/>
        <v>946.44600000000003</v>
      </c>
      <c r="K27">
        <f t="shared" si="3"/>
        <v>364.70784156749892</v>
      </c>
      <c r="L27">
        <f t="shared" si="4"/>
        <v>36.276678437541229</v>
      </c>
      <c r="M27">
        <f t="shared" si="5"/>
        <v>94.140880143765003</v>
      </c>
      <c r="N27">
        <f t="shared" si="6"/>
        <v>0.12385568954009148</v>
      </c>
      <c r="O27">
        <f t="shared" si="7"/>
        <v>2.2531741479070266</v>
      </c>
      <c r="P27">
        <f t="shared" si="8"/>
        <v>0.12019389351949268</v>
      </c>
      <c r="Q27">
        <f t="shared" si="9"/>
        <v>7.544116342993229E-2</v>
      </c>
      <c r="R27">
        <f t="shared" si="10"/>
        <v>353.32924673837596</v>
      </c>
      <c r="S27">
        <f t="shared" si="11"/>
        <v>26.565951530824027</v>
      </c>
      <c r="T27">
        <f t="shared" si="12"/>
        <v>27.904900000000001</v>
      </c>
      <c r="U27">
        <f t="shared" si="13"/>
        <v>3.773851886733576</v>
      </c>
      <c r="V27">
        <f t="shared" si="14"/>
        <v>54.826989187428644</v>
      </c>
      <c r="W27">
        <f t="shared" si="15"/>
        <v>1.7179577190912498</v>
      </c>
      <c r="X27">
        <f t="shared" si="16"/>
        <v>3.1334161232496838</v>
      </c>
      <c r="Y27">
        <f t="shared" si="17"/>
        <v>2.0558941676423261</v>
      </c>
      <c r="Z27">
        <f t="shared" si="18"/>
        <v>-112.66708319642706</v>
      </c>
      <c r="AA27">
        <f t="shared" si="19"/>
        <v>-382.70107924751653</v>
      </c>
      <c r="AB27">
        <f t="shared" si="20"/>
        <v>-36.411399885720122</v>
      </c>
      <c r="AC27">
        <f t="shared" si="21"/>
        <v>-178.45031559128776</v>
      </c>
      <c r="AD27">
        <v>-4.1269254531998201E-2</v>
      </c>
      <c r="AE27">
        <v>4.6328353597432002E-2</v>
      </c>
      <c r="AF27">
        <v>3.4608971894743701</v>
      </c>
      <c r="AG27">
        <v>0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53018.340671349128</v>
      </c>
      <c r="AL27" t="s">
        <v>279</v>
      </c>
      <c r="AM27">
        <v>481.47884615384601</v>
      </c>
      <c r="AN27">
        <v>2238.31</v>
      </c>
      <c r="AO27">
        <f t="shared" si="25"/>
        <v>1756.8311538461539</v>
      </c>
      <c r="AP27">
        <f t="shared" si="26"/>
        <v>0.78489179508028561</v>
      </c>
      <c r="AQ27">
        <v>-0.96503536810971002</v>
      </c>
      <c r="AR27" t="s">
        <v>337</v>
      </c>
      <c r="AS27">
        <v>854.63638461538505</v>
      </c>
      <c r="AT27">
        <v>1233.6199999999999</v>
      </c>
      <c r="AU27">
        <f t="shared" si="27"/>
        <v>0.30721260630065572</v>
      </c>
      <c r="AV27">
        <v>0.5</v>
      </c>
      <c r="AW27">
        <f t="shared" si="28"/>
        <v>1849.1430000754103</v>
      </c>
      <c r="AX27">
        <f t="shared" si="29"/>
        <v>42.212129572722816</v>
      </c>
      <c r="AY27">
        <f t="shared" si="30"/>
        <v>284.04002023789019</v>
      </c>
      <c r="AZ27">
        <f t="shared" si="31"/>
        <v>0.52393767935020508</v>
      </c>
      <c r="BA27">
        <f t="shared" si="32"/>
        <v>2.3349824723708067E-2</v>
      </c>
      <c r="BB27">
        <f t="shared" si="33"/>
        <v>0.81442421491220973</v>
      </c>
      <c r="BC27" t="s">
        <v>338</v>
      </c>
      <c r="BD27">
        <v>587.28</v>
      </c>
      <c r="BE27">
        <f t="shared" si="34"/>
        <v>646.33999999999992</v>
      </c>
      <c r="BF27">
        <f t="shared" si="35"/>
        <v>0.58635333630073161</v>
      </c>
      <c r="BG27">
        <f t="shared" si="36"/>
        <v>0.60852316432772269</v>
      </c>
      <c r="BH27">
        <f t="shared" si="37"/>
        <v>0.5038729943796344</v>
      </c>
      <c r="BI27">
        <f t="shared" si="38"/>
        <v>0.57187624308714924</v>
      </c>
      <c r="BJ27">
        <v>848</v>
      </c>
      <c r="BK27">
        <v>300</v>
      </c>
      <c r="BL27">
        <v>300</v>
      </c>
      <c r="BM27">
        <v>300</v>
      </c>
      <c r="BN27">
        <v>10103.4</v>
      </c>
      <c r="BO27">
        <v>1126.6500000000001</v>
      </c>
      <c r="BP27">
        <v>-6.5614000000000002E-3</v>
      </c>
      <c r="BQ27">
        <v>3.9899900000000001</v>
      </c>
      <c r="BR27">
        <f t="shared" si="39"/>
        <v>2199.9499999999998</v>
      </c>
      <c r="BS27">
        <f t="shared" si="40"/>
        <v>1849.1430000754103</v>
      </c>
      <c r="BT27">
        <f t="shared" si="41"/>
        <v>0.84053864863992844</v>
      </c>
      <c r="BU27">
        <f t="shared" si="42"/>
        <v>0.19107729727985709</v>
      </c>
      <c r="BV27">
        <v>6</v>
      </c>
      <c r="BW27">
        <v>0.5</v>
      </c>
      <c r="BX27" t="s">
        <v>282</v>
      </c>
      <c r="BY27">
        <v>1564854795.5</v>
      </c>
      <c r="BZ27">
        <v>946.44600000000003</v>
      </c>
      <c r="CA27">
        <v>1000</v>
      </c>
      <c r="CB27">
        <v>17.2715</v>
      </c>
      <c r="CC27">
        <v>14.258800000000001</v>
      </c>
      <c r="CD27">
        <v>500.02</v>
      </c>
      <c r="CE27">
        <v>99.367800000000003</v>
      </c>
      <c r="CF27">
        <v>9.9977499999999997E-2</v>
      </c>
      <c r="CG27">
        <v>24.7544</v>
      </c>
      <c r="CH27">
        <v>27.904900000000001</v>
      </c>
      <c r="CI27">
        <v>999.9</v>
      </c>
      <c r="CJ27">
        <v>10015.6</v>
      </c>
      <c r="CK27">
        <v>0</v>
      </c>
      <c r="CL27">
        <v>-408.90800000000002</v>
      </c>
      <c r="CM27">
        <v>2199.9499999999998</v>
      </c>
      <c r="CN27">
        <v>0.98200200000000004</v>
      </c>
      <c r="CO27">
        <v>1.7998E-2</v>
      </c>
      <c r="CP27">
        <v>0</v>
      </c>
      <c r="CQ27">
        <v>854.005</v>
      </c>
      <c r="CR27">
        <v>4.99986</v>
      </c>
      <c r="CS27">
        <v>19586.3</v>
      </c>
      <c r="CT27">
        <v>17913.400000000001</v>
      </c>
      <c r="CU27">
        <v>49.125</v>
      </c>
      <c r="CV27">
        <v>51.061999999999998</v>
      </c>
      <c r="CW27">
        <v>50</v>
      </c>
      <c r="CX27">
        <v>49.561999999999998</v>
      </c>
      <c r="CY27">
        <v>50.311999999999998</v>
      </c>
      <c r="CZ27">
        <v>2155.4499999999998</v>
      </c>
      <c r="DA27">
        <v>39.5</v>
      </c>
      <c r="DB27">
        <v>0</v>
      </c>
      <c r="DC27">
        <v>140.09999990463299</v>
      </c>
      <c r="DD27">
        <v>854.63638461538505</v>
      </c>
      <c r="DE27">
        <v>-7.3563760775051001</v>
      </c>
      <c r="DF27">
        <v>-168.09230778720701</v>
      </c>
      <c r="DG27">
        <v>19608.365384615401</v>
      </c>
      <c r="DH27">
        <v>15</v>
      </c>
      <c r="DI27">
        <v>1564854726</v>
      </c>
      <c r="DJ27" t="s">
        <v>339</v>
      </c>
      <c r="DK27">
        <v>54</v>
      </c>
      <c r="DL27">
        <v>0.753</v>
      </c>
      <c r="DM27">
        <v>0.09</v>
      </c>
      <c r="DN27">
        <v>1000</v>
      </c>
      <c r="DO27">
        <v>14</v>
      </c>
      <c r="DP27">
        <v>0.03</v>
      </c>
      <c r="DQ27">
        <v>0.02</v>
      </c>
      <c r="DR27">
        <v>43.254004798417199</v>
      </c>
      <c r="DS27">
        <v>-2.7885441411638499</v>
      </c>
      <c r="DT27">
        <v>0.54532168513035495</v>
      </c>
      <c r="DU27">
        <v>0</v>
      </c>
      <c r="DV27">
        <v>0.129118891091801</v>
      </c>
      <c r="DW27">
        <v>-2.4777371616882302E-2</v>
      </c>
      <c r="DX27">
        <v>5.2211315920022497E-3</v>
      </c>
      <c r="DY27">
        <v>1</v>
      </c>
      <c r="DZ27">
        <v>1</v>
      </c>
      <c r="EA27">
        <v>2</v>
      </c>
      <c r="EB27" t="s">
        <v>299</v>
      </c>
      <c r="EC27">
        <v>1.8666100000000001</v>
      </c>
      <c r="ED27">
        <v>1.86307</v>
      </c>
      <c r="EE27">
        <v>1.8687400000000001</v>
      </c>
      <c r="EF27">
        <v>1.8666100000000001</v>
      </c>
      <c r="EG27">
        <v>1.87134</v>
      </c>
      <c r="EH27">
        <v>1.86372</v>
      </c>
      <c r="EI27">
        <v>1.8652299999999999</v>
      </c>
      <c r="EJ27">
        <v>1.8651800000000001</v>
      </c>
      <c r="EK27" t="s">
        <v>285</v>
      </c>
      <c r="EL27" t="s">
        <v>19</v>
      </c>
      <c r="EM27" t="s">
        <v>19</v>
      </c>
      <c r="EN27" t="s">
        <v>19</v>
      </c>
      <c r="EO27" t="s">
        <v>286</v>
      </c>
      <c r="EP27" t="s">
        <v>287</v>
      </c>
      <c r="EQ27" t="s">
        <v>288</v>
      </c>
      <c r="ER27" t="s">
        <v>288</v>
      </c>
      <c r="ES27" t="s">
        <v>288</v>
      </c>
      <c r="ET27" t="s">
        <v>288</v>
      </c>
      <c r="EU27">
        <v>0</v>
      </c>
      <c r="EV27">
        <v>100</v>
      </c>
      <c r="EW27">
        <v>100</v>
      </c>
      <c r="EX27">
        <v>0.753</v>
      </c>
      <c r="EY27">
        <v>0.09</v>
      </c>
      <c r="EZ27">
        <v>2</v>
      </c>
      <c r="FA27">
        <v>507.51799999999997</v>
      </c>
      <c r="FB27">
        <v>473.947</v>
      </c>
      <c r="FC27">
        <v>17.0962</v>
      </c>
      <c r="FD27">
        <v>35.595700000000001</v>
      </c>
      <c r="FE27">
        <v>29.9999</v>
      </c>
      <c r="FF27">
        <v>35.479100000000003</v>
      </c>
      <c r="FG27">
        <v>35.454700000000003</v>
      </c>
      <c r="FH27">
        <v>46.5242</v>
      </c>
      <c r="FI27">
        <v>57.389299999999999</v>
      </c>
      <c r="FJ27">
        <v>0</v>
      </c>
      <c r="FK27">
        <v>15.559900000000001</v>
      </c>
      <c r="FL27">
        <v>1000</v>
      </c>
      <c r="FM27">
        <v>14.3127</v>
      </c>
      <c r="FN27">
        <v>100.303</v>
      </c>
      <c r="FO27">
        <v>100.836</v>
      </c>
    </row>
    <row r="28" spans="1:171" x14ac:dyDescent="0.35">
      <c r="A28">
        <v>13</v>
      </c>
      <c r="B28">
        <v>1564854936</v>
      </c>
      <c r="C28">
        <v>1629.0999999046301</v>
      </c>
      <c r="D28" t="s">
        <v>340</v>
      </c>
      <c r="E28" t="s">
        <v>341</v>
      </c>
      <c r="G28">
        <v>1564854936</v>
      </c>
      <c r="H28">
        <f t="shared" si="0"/>
        <v>1.8081758572641297E-3</v>
      </c>
      <c r="I28">
        <f t="shared" si="1"/>
        <v>40.655050660346397</v>
      </c>
      <c r="J28">
        <f t="shared" si="2"/>
        <v>1148.5999999999999</v>
      </c>
      <c r="K28">
        <f t="shared" si="3"/>
        <v>349.37616944909297</v>
      </c>
      <c r="L28">
        <f t="shared" si="4"/>
        <v>34.75246120077189</v>
      </c>
      <c r="M28">
        <f t="shared" si="5"/>
        <v>114.25128679539999</v>
      </c>
      <c r="N28">
        <f t="shared" si="6"/>
        <v>8.5620986581808417E-2</v>
      </c>
      <c r="O28">
        <f t="shared" si="7"/>
        <v>2.2492916844779711</v>
      </c>
      <c r="P28">
        <f t="shared" si="8"/>
        <v>8.3850692265176885E-2</v>
      </c>
      <c r="Q28">
        <f t="shared" si="9"/>
        <v>5.2562687981371467E-2</v>
      </c>
      <c r="R28">
        <f t="shared" si="10"/>
        <v>353.37394465899604</v>
      </c>
      <c r="S28">
        <f t="shared" si="11"/>
        <v>26.589095744996435</v>
      </c>
      <c r="T28">
        <f t="shared" si="12"/>
        <v>27.9557</v>
      </c>
      <c r="U28">
        <f t="shared" si="13"/>
        <v>3.7850503960978146</v>
      </c>
      <c r="V28">
        <f t="shared" si="14"/>
        <v>54.974427941665468</v>
      </c>
      <c r="W28">
        <f t="shared" si="15"/>
        <v>1.6991869942136</v>
      </c>
      <c r="X28">
        <f t="shared" si="16"/>
        <v>3.0908679868695375</v>
      </c>
      <c r="Y28">
        <f t="shared" si="17"/>
        <v>2.0858634018842146</v>
      </c>
      <c r="Z28">
        <f t="shared" si="18"/>
        <v>-79.740555305348124</v>
      </c>
      <c r="AA28">
        <f t="shared" si="19"/>
        <v>-415.93487959696694</v>
      </c>
      <c r="AB28">
        <f t="shared" si="20"/>
        <v>-39.606550721361018</v>
      </c>
      <c r="AC28">
        <f t="shared" si="21"/>
        <v>-181.90804096468005</v>
      </c>
      <c r="AD28">
        <v>-4.1164681161165902E-2</v>
      </c>
      <c r="AE28">
        <v>4.6210960827542301E-2</v>
      </c>
      <c r="AF28">
        <v>3.4539544413146901</v>
      </c>
      <c r="AG28">
        <v>0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52930.192023165349</v>
      </c>
      <c r="AL28" t="s">
        <v>279</v>
      </c>
      <c r="AM28">
        <v>481.47884615384601</v>
      </c>
      <c r="AN28">
        <v>2238.31</v>
      </c>
      <c r="AO28">
        <f t="shared" si="25"/>
        <v>1756.8311538461539</v>
      </c>
      <c r="AP28">
        <f t="shared" si="26"/>
        <v>0.78489179508028561</v>
      </c>
      <c r="AQ28">
        <v>-0.96503536810971002</v>
      </c>
      <c r="AR28" t="s">
        <v>342</v>
      </c>
      <c r="AS28">
        <v>850.19784615384594</v>
      </c>
      <c r="AT28">
        <v>1228.5</v>
      </c>
      <c r="AU28">
        <f t="shared" si="27"/>
        <v>0.30793826116903056</v>
      </c>
      <c r="AV28">
        <v>0.5</v>
      </c>
      <c r="AW28">
        <f t="shared" si="28"/>
        <v>1849.378205461227</v>
      </c>
      <c r="AX28">
        <f t="shared" si="29"/>
        <v>40.655050660346397</v>
      </c>
      <c r="AY28">
        <f t="shared" si="30"/>
        <v>284.74715441681622</v>
      </c>
      <c r="AZ28">
        <f t="shared" si="31"/>
        <v>0.52195360195360196</v>
      </c>
      <c r="BA28">
        <f t="shared" si="32"/>
        <v>2.2504907814719401E-2</v>
      </c>
      <c r="BB28">
        <f t="shared" si="33"/>
        <v>0.82198616198616192</v>
      </c>
      <c r="BC28" t="s">
        <v>343</v>
      </c>
      <c r="BD28">
        <v>587.28</v>
      </c>
      <c r="BE28">
        <f t="shared" si="34"/>
        <v>641.22</v>
      </c>
      <c r="BF28">
        <f t="shared" si="35"/>
        <v>0.58997248034395999</v>
      </c>
      <c r="BG28">
        <f t="shared" si="36"/>
        <v>0.61162425879602422</v>
      </c>
      <c r="BH28">
        <f t="shared" si="37"/>
        <v>0.5064142452973478</v>
      </c>
      <c r="BI28">
        <f t="shared" si="38"/>
        <v>0.57479058120597815</v>
      </c>
      <c r="BJ28">
        <v>850</v>
      </c>
      <c r="BK28">
        <v>300</v>
      </c>
      <c r="BL28">
        <v>300</v>
      </c>
      <c r="BM28">
        <v>300</v>
      </c>
      <c r="BN28">
        <v>10103.4</v>
      </c>
      <c r="BO28">
        <v>1120</v>
      </c>
      <c r="BP28">
        <v>-6.5615400000000003E-3</v>
      </c>
      <c r="BQ28">
        <v>2.8665799999999999</v>
      </c>
      <c r="BR28">
        <f t="shared" si="39"/>
        <v>2200.23</v>
      </c>
      <c r="BS28">
        <f t="shared" si="40"/>
        <v>1849.378205461227</v>
      </c>
      <c r="BT28">
        <f t="shared" si="41"/>
        <v>0.84053858253965585</v>
      </c>
      <c r="BU28">
        <f t="shared" si="42"/>
        <v>0.19107716507931166</v>
      </c>
      <c r="BV28">
        <v>6</v>
      </c>
      <c r="BW28">
        <v>0.5</v>
      </c>
      <c r="BX28" t="s">
        <v>282</v>
      </c>
      <c r="BY28">
        <v>1564854936</v>
      </c>
      <c r="BZ28">
        <v>1148.5999999999999</v>
      </c>
      <c r="CA28">
        <v>1199.8699999999999</v>
      </c>
      <c r="CB28">
        <v>17.0824</v>
      </c>
      <c r="CC28">
        <v>14.95</v>
      </c>
      <c r="CD28">
        <v>500.08100000000002</v>
      </c>
      <c r="CE28">
        <v>99.37</v>
      </c>
      <c r="CF28">
        <v>0.100039</v>
      </c>
      <c r="CG28">
        <v>24.525700000000001</v>
      </c>
      <c r="CH28">
        <v>27.9557</v>
      </c>
      <c r="CI28">
        <v>999.9</v>
      </c>
      <c r="CJ28">
        <v>9990</v>
      </c>
      <c r="CK28">
        <v>0</v>
      </c>
      <c r="CL28">
        <v>-450.73200000000003</v>
      </c>
      <c r="CM28">
        <v>2200.23</v>
      </c>
      <c r="CN28">
        <v>0.98200399999999999</v>
      </c>
      <c r="CO28">
        <v>1.7995500000000001E-2</v>
      </c>
      <c r="CP28">
        <v>0</v>
      </c>
      <c r="CQ28">
        <v>850.24</v>
      </c>
      <c r="CR28">
        <v>4.99986</v>
      </c>
      <c r="CS28">
        <v>19503.8</v>
      </c>
      <c r="CT28">
        <v>17915.7</v>
      </c>
      <c r="CU28">
        <v>49.125</v>
      </c>
      <c r="CV28">
        <v>51.125</v>
      </c>
      <c r="CW28">
        <v>49.936999999999998</v>
      </c>
      <c r="CX28">
        <v>49.5</v>
      </c>
      <c r="CY28">
        <v>50.25</v>
      </c>
      <c r="CZ28">
        <v>2155.7199999999998</v>
      </c>
      <c r="DA28">
        <v>39.5</v>
      </c>
      <c r="DB28">
        <v>0</v>
      </c>
      <c r="DC28">
        <v>139.700000047684</v>
      </c>
      <c r="DD28">
        <v>850.19784615384594</v>
      </c>
      <c r="DE28">
        <v>-1.2936068299432899</v>
      </c>
      <c r="DF28">
        <v>-37.911111143629697</v>
      </c>
      <c r="DG28">
        <v>19507.0423076923</v>
      </c>
      <c r="DH28">
        <v>15</v>
      </c>
      <c r="DI28">
        <v>1564854858</v>
      </c>
      <c r="DJ28" t="s">
        <v>344</v>
      </c>
      <c r="DK28">
        <v>55</v>
      </c>
      <c r="DL28">
        <v>0.79300000000000004</v>
      </c>
      <c r="DM28">
        <v>0.10100000000000001</v>
      </c>
      <c r="DN28">
        <v>1200</v>
      </c>
      <c r="DO28">
        <v>14</v>
      </c>
      <c r="DP28">
        <v>0.03</v>
      </c>
      <c r="DQ28">
        <v>0.03</v>
      </c>
      <c r="DR28">
        <v>41.089507277269</v>
      </c>
      <c r="DS28">
        <v>-1.9914304014447799</v>
      </c>
      <c r="DT28">
        <v>0.387779660116219</v>
      </c>
      <c r="DU28">
        <v>0</v>
      </c>
      <c r="DV28">
        <v>8.9673605733002801E-2</v>
      </c>
      <c r="DW28">
        <v>-5.0129058759980603E-3</v>
      </c>
      <c r="DX28">
        <v>1.25379090123982E-3</v>
      </c>
      <c r="DY28">
        <v>1</v>
      </c>
      <c r="DZ28">
        <v>1</v>
      </c>
      <c r="EA28">
        <v>2</v>
      </c>
      <c r="EB28" t="s">
        <v>299</v>
      </c>
      <c r="EC28">
        <v>1.8666100000000001</v>
      </c>
      <c r="ED28">
        <v>1.86307</v>
      </c>
      <c r="EE28">
        <v>1.86873</v>
      </c>
      <c r="EF28">
        <v>1.8666100000000001</v>
      </c>
      <c r="EG28">
        <v>1.8713299999999999</v>
      </c>
      <c r="EH28">
        <v>1.86371</v>
      </c>
      <c r="EI28">
        <v>1.8652299999999999</v>
      </c>
      <c r="EJ28">
        <v>1.8651899999999999</v>
      </c>
      <c r="EK28" t="s">
        <v>285</v>
      </c>
      <c r="EL28" t="s">
        <v>19</v>
      </c>
      <c r="EM28" t="s">
        <v>19</v>
      </c>
      <c r="EN28" t="s">
        <v>19</v>
      </c>
      <c r="EO28" t="s">
        <v>286</v>
      </c>
      <c r="EP28" t="s">
        <v>287</v>
      </c>
      <c r="EQ28" t="s">
        <v>288</v>
      </c>
      <c r="ER28" t="s">
        <v>288</v>
      </c>
      <c r="ES28" t="s">
        <v>288</v>
      </c>
      <c r="ET28" t="s">
        <v>288</v>
      </c>
      <c r="EU28">
        <v>0</v>
      </c>
      <c r="EV28">
        <v>100</v>
      </c>
      <c r="EW28">
        <v>100</v>
      </c>
      <c r="EX28">
        <v>0.79300000000000004</v>
      </c>
      <c r="EY28">
        <v>0.10100000000000001</v>
      </c>
      <c r="EZ28">
        <v>2</v>
      </c>
      <c r="FA28">
        <v>507.459</v>
      </c>
      <c r="FB28">
        <v>475.38</v>
      </c>
      <c r="FC28">
        <v>16.830200000000001</v>
      </c>
      <c r="FD28">
        <v>35.492100000000001</v>
      </c>
      <c r="FE28">
        <v>29.9998</v>
      </c>
      <c r="FF28">
        <v>35.420499999999997</v>
      </c>
      <c r="FG28">
        <v>35.402999999999999</v>
      </c>
      <c r="FH28">
        <v>53.899099999999997</v>
      </c>
      <c r="FI28">
        <v>55.282299999999999</v>
      </c>
      <c r="FJ28">
        <v>0</v>
      </c>
      <c r="FK28">
        <v>15.369300000000001</v>
      </c>
      <c r="FL28">
        <v>1200</v>
      </c>
      <c r="FM28">
        <v>14.957800000000001</v>
      </c>
      <c r="FN28">
        <v>100.325</v>
      </c>
      <c r="FO28">
        <v>100.863</v>
      </c>
    </row>
    <row r="29" spans="1:171" x14ac:dyDescent="0.35">
      <c r="A29">
        <v>14</v>
      </c>
      <c r="B29">
        <v>1564855076.5</v>
      </c>
      <c r="C29">
        <v>1769.5999999046301</v>
      </c>
      <c r="D29" t="s">
        <v>345</v>
      </c>
      <c r="E29" t="s">
        <v>346</v>
      </c>
      <c r="G29">
        <v>1564855076.5</v>
      </c>
      <c r="H29">
        <f t="shared" si="0"/>
        <v>1.6752223151514981E-3</v>
      </c>
      <c r="I29">
        <f t="shared" si="1"/>
        <v>44.297855245433922</v>
      </c>
      <c r="J29">
        <f t="shared" si="2"/>
        <v>1543.7</v>
      </c>
      <c r="K29">
        <f t="shared" si="3"/>
        <v>586.78174511743578</v>
      </c>
      <c r="L29">
        <f t="shared" si="4"/>
        <v>58.3640818031826</v>
      </c>
      <c r="M29">
        <f t="shared" si="5"/>
        <v>153.54368780089001</v>
      </c>
      <c r="N29">
        <f t="shared" si="6"/>
        <v>7.832601887953608E-2</v>
      </c>
      <c r="O29">
        <f t="shared" si="7"/>
        <v>2.2492116448503374</v>
      </c>
      <c r="P29">
        <f t="shared" si="8"/>
        <v>7.6841664626180695E-2</v>
      </c>
      <c r="Q29">
        <f t="shared" si="9"/>
        <v>4.8157060742676595E-2</v>
      </c>
      <c r="R29">
        <f t="shared" si="10"/>
        <v>353.3005188428474</v>
      </c>
      <c r="S29">
        <f t="shared" si="11"/>
        <v>26.578422911876707</v>
      </c>
      <c r="T29">
        <f t="shared" si="12"/>
        <v>27.9922</v>
      </c>
      <c r="U29">
        <f t="shared" si="13"/>
        <v>3.793114458028692</v>
      </c>
      <c r="V29">
        <f t="shared" si="14"/>
        <v>54.673894944258393</v>
      </c>
      <c r="W29">
        <f t="shared" si="15"/>
        <v>1.68439524223162</v>
      </c>
      <c r="X29">
        <f t="shared" si="16"/>
        <v>3.0808034509868181</v>
      </c>
      <c r="Y29">
        <f t="shared" si="17"/>
        <v>2.108719215797072</v>
      </c>
      <c r="Z29">
        <f t="shared" si="18"/>
        <v>-73.877304098181071</v>
      </c>
      <c r="AA29">
        <f t="shared" si="19"/>
        <v>-426.95469315224057</v>
      </c>
      <c r="AB29">
        <f t="shared" si="20"/>
        <v>-40.653740302208043</v>
      </c>
      <c r="AC29">
        <f t="shared" si="21"/>
        <v>-188.1852187097823</v>
      </c>
      <c r="AD29">
        <v>-4.1162527026698398E-2</v>
      </c>
      <c r="AE29">
        <v>4.6208542622890002E-2</v>
      </c>
      <c r="AF29">
        <v>3.45381136207414</v>
      </c>
      <c r="AG29">
        <v>0</v>
      </c>
      <c r="AH29">
        <v>0</v>
      </c>
      <c r="AI29">
        <f t="shared" si="22"/>
        <v>1</v>
      </c>
      <c r="AJ29">
        <f t="shared" si="23"/>
        <v>0</v>
      </c>
      <c r="AK29">
        <f t="shared" si="24"/>
        <v>52937.119089971951</v>
      </c>
      <c r="AL29" t="s">
        <v>279</v>
      </c>
      <c r="AM29">
        <v>481.47884615384601</v>
      </c>
      <c r="AN29">
        <v>2238.31</v>
      </c>
      <c r="AO29">
        <f t="shared" si="25"/>
        <v>1756.8311538461539</v>
      </c>
      <c r="AP29">
        <f t="shared" si="26"/>
        <v>0.78489179508028561</v>
      </c>
      <c r="AQ29">
        <v>-0.96503536810971002</v>
      </c>
      <c r="AR29" t="s">
        <v>347</v>
      </c>
      <c r="AS29">
        <v>851.71911538461495</v>
      </c>
      <c r="AT29">
        <v>1222.1600000000001</v>
      </c>
      <c r="AU29">
        <f t="shared" si="27"/>
        <v>0.30310342722342831</v>
      </c>
      <c r="AV29">
        <v>0.5</v>
      </c>
      <c r="AW29">
        <f t="shared" si="28"/>
        <v>1848.9918000754167</v>
      </c>
      <c r="AX29">
        <f t="shared" si="29"/>
        <v>44.297855245433922</v>
      </c>
      <c r="AY29">
        <f t="shared" si="30"/>
        <v>280.21787575543738</v>
      </c>
      <c r="AZ29">
        <f t="shared" si="31"/>
        <v>0.52520128297440605</v>
      </c>
      <c r="BA29">
        <f t="shared" si="32"/>
        <v>2.4479768169711435E-2</v>
      </c>
      <c r="BB29">
        <f t="shared" si="33"/>
        <v>0.83143778228709808</v>
      </c>
      <c r="BC29" t="s">
        <v>348</v>
      </c>
      <c r="BD29">
        <v>580.28</v>
      </c>
      <c r="BE29">
        <f t="shared" si="34"/>
        <v>641.88000000000011</v>
      </c>
      <c r="BF29">
        <f t="shared" si="35"/>
        <v>0.57711859633480567</v>
      </c>
      <c r="BG29">
        <f t="shared" si="36"/>
        <v>0.61286587094322775</v>
      </c>
      <c r="BH29">
        <f t="shared" si="37"/>
        <v>0.50013542627861829</v>
      </c>
      <c r="BI29">
        <f t="shared" si="38"/>
        <v>0.57839935145468413</v>
      </c>
      <c r="BJ29">
        <v>852</v>
      </c>
      <c r="BK29">
        <v>300</v>
      </c>
      <c r="BL29">
        <v>300</v>
      </c>
      <c r="BM29">
        <v>300</v>
      </c>
      <c r="BN29">
        <v>10102.799999999999</v>
      </c>
      <c r="BO29">
        <v>1115.8</v>
      </c>
      <c r="BP29">
        <v>-6.5610199999999999E-3</v>
      </c>
      <c r="BQ29">
        <v>3.7281499999999999</v>
      </c>
      <c r="BR29">
        <f t="shared" si="39"/>
        <v>2199.77</v>
      </c>
      <c r="BS29">
        <f t="shared" si="40"/>
        <v>1848.9918000754167</v>
      </c>
      <c r="BT29">
        <f t="shared" si="41"/>
        <v>0.84053869271579151</v>
      </c>
      <c r="BU29">
        <f t="shared" si="42"/>
        <v>0.19107738543158329</v>
      </c>
      <c r="BV29">
        <v>6</v>
      </c>
      <c r="BW29">
        <v>0.5</v>
      </c>
      <c r="BX29" t="s">
        <v>282</v>
      </c>
      <c r="BY29">
        <v>1564855076.5</v>
      </c>
      <c r="BZ29">
        <v>1543.7</v>
      </c>
      <c r="CA29">
        <v>1599.96</v>
      </c>
      <c r="CB29">
        <v>16.9346</v>
      </c>
      <c r="CC29">
        <v>14.958399999999999</v>
      </c>
      <c r="CD29">
        <v>500.00599999999997</v>
      </c>
      <c r="CE29">
        <v>99.364800000000002</v>
      </c>
      <c r="CF29">
        <v>9.99197E-2</v>
      </c>
      <c r="CG29">
        <v>24.4712</v>
      </c>
      <c r="CH29">
        <v>27.9922</v>
      </c>
      <c r="CI29">
        <v>999.9</v>
      </c>
      <c r="CJ29">
        <v>9990</v>
      </c>
      <c r="CK29">
        <v>0</v>
      </c>
      <c r="CL29">
        <v>-454.20499999999998</v>
      </c>
      <c r="CM29">
        <v>2199.77</v>
      </c>
      <c r="CN29">
        <v>0.98200200000000004</v>
      </c>
      <c r="CO29">
        <v>1.7998E-2</v>
      </c>
      <c r="CP29">
        <v>0</v>
      </c>
      <c r="CQ29">
        <v>850.678</v>
      </c>
      <c r="CR29">
        <v>4.99986</v>
      </c>
      <c r="CS29">
        <v>19535.599999999999</v>
      </c>
      <c r="CT29">
        <v>17911.900000000001</v>
      </c>
      <c r="CU29">
        <v>49.25</v>
      </c>
      <c r="CV29">
        <v>51.311999999999998</v>
      </c>
      <c r="CW29">
        <v>50.061999999999998</v>
      </c>
      <c r="CX29">
        <v>49.686999999999998</v>
      </c>
      <c r="CY29">
        <v>50.311999999999998</v>
      </c>
      <c r="CZ29">
        <v>2155.27</v>
      </c>
      <c r="DA29">
        <v>39.5</v>
      </c>
      <c r="DB29">
        <v>0</v>
      </c>
      <c r="DC29">
        <v>140.200000047684</v>
      </c>
      <c r="DD29">
        <v>851.71911538461495</v>
      </c>
      <c r="DE29">
        <v>-6.83271793500953</v>
      </c>
      <c r="DF29">
        <v>-152.434188144469</v>
      </c>
      <c r="DG29">
        <v>19559.75</v>
      </c>
      <c r="DH29">
        <v>15</v>
      </c>
      <c r="DI29">
        <v>1564855010.5</v>
      </c>
      <c r="DJ29" t="s">
        <v>349</v>
      </c>
      <c r="DK29">
        <v>56</v>
      </c>
      <c r="DL29">
        <v>0.74</v>
      </c>
      <c r="DM29">
        <v>0.106</v>
      </c>
      <c r="DN29">
        <v>1600</v>
      </c>
      <c r="DO29">
        <v>15</v>
      </c>
      <c r="DP29">
        <v>0.02</v>
      </c>
      <c r="DQ29">
        <v>0.04</v>
      </c>
      <c r="DR29">
        <v>44.7968425613373</v>
      </c>
      <c r="DS29">
        <v>-1.18182056839481</v>
      </c>
      <c r="DT29">
        <v>0.24990743490758299</v>
      </c>
      <c r="DU29">
        <v>0</v>
      </c>
      <c r="DV29">
        <v>7.9397601393869005E-2</v>
      </c>
      <c r="DW29">
        <v>-3.3110743289453499E-3</v>
      </c>
      <c r="DX29">
        <v>6.4232505814948405E-4</v>
      </c>
      <c r="DY29">
        <v>1</v>
      </c>
      <c r="DZ29">
        <v>1</v>
      </c>
      <c r="EA29">
        <v>2</v>
      </c>
      <c r="EB29" t="s">
        <v>299</v>
      </c>
      <c r="EC29">
        <v>1.8665799999999999</v>
      </c>
      <c r="ED29">
        <v>1.8630899999999999</v>
      </c>
      <c r="EE29">
        <v>1.86869</v>
      </c>
      <c r="EF29">
        <v>1.8666100000000001</v>
      </c>
      <c r="EG29">
        <v>1.8713299999999999</v>
      </c>
      <c r="EH29">
        <v>1.86372</v>
      </c>
      <c r="EI29">
        <v>1.8652299999999999</v>
      </c>
      <c r="EJ29">
        <v>1.8651899999999999</v>
      </c>
      <c r="EK29" t="s">
        <v>285</v>
      </c>
      <c r="EL29" t="s">
        <v>19</v>
      </c>
      <c r="EM29" t="s">
        <v>19</v>
      </c>
      <c r="EN29" t="s">
        <v>19</v>
      </c>
      <c r="EO29" t="s">
        <v>286</v>
      </c>
      <c r="EP29" t="s">
        <v>287</v>
      </c>
      <c r="EQ29" t="s">
        <v>288</v>
      </c>
      <c r="ER29" t="s">
        <v>288</v>
      </c>
      <c r="ES29" t="s">
        <v>288</v>
      </c>
      <c r="ET29" t="s">
        <v>288</v>
      </c>
      <c r="EU29">
        <v>0</v>
      </c>
      <c r="EV29">
        <v>100</v>
      </c>
      <c r="EW29">
        <v>100</v>
      </c>
      <c r="EX29">
        <v>0.74</v>
      </c>
      <c r="EY29">
        <v>0.106</v>
      </c>
      <c r="EZ29">
        <v>2</v>
      </c>
      <c r="FA29">
        <v>507.26400000000001</v>
      </c>
      <c r="FB29">
        <v>476.31400000000002</v>
      </c>
      <c r="FC29">
        <v>16.865500000000001</v>
      </c>
      <c r="FD29">
        <v>35.426600000000001</v>
      </c>
      <c r="FE29">
        <v>30.0002</v>
      </c>
      <c r="FF29">
        <v>35.365299999999998</v>
      </c>
      <c r="FG29">
        <v>35.351500000000001</v>
      </c>
      <c r="FH29">
        <v>67.778899999999993</v>
      </c>
      <c r="FI29">
        <v>55.294499999999999</v>
      </c>
      <c r="FJ29">
        <v>0</v>
      </c>
      <c r="FK29">
        <v>15.2555</v>
      </c>
      <c r="FL29">
        <v>1600</v>
      </c>
      <c r="FM29">
        <v>15.026300000000001</v>
      </c>
      <c r="FN29">
        <v>100.339</v>
      </c>
      <c r="FO29">
        <v>100.876</v>
      </c>
    </row>
  </sheetData>
  <sortState xmlns:xlrd2="http://schemas.microsoft.com/office/spreadsheetml/2017/richdata2" ref="J34:L47">
    <sortCondition ref="J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2019-08-03T13:10:37Z</dcterms:created>
  <dcterms:modified xsi:type="dcterms:W3CDTF">2019-08-28T03:05:14Z</dcterms:modified>
</cp:coreProperties>
</file>