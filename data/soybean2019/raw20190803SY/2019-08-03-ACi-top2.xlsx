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1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20190803_De Kauwe\A-Ci\raw\"/>
    </mc:Choice>
  </mc:AlternateContent>
  <xr:revisionPtr revIDLastSave="0" documentId="13_ncr:1_{8A758C8B-CE06-4BA4-A342-6E593708C1E8}" xr6:coauthVersionLast="41" xr6:coauthVersionMax="41" xr10:uidLastSave="{00000000-0000-0000-0000-000000000000}"/>
  <bookViews>
    <workbookView xWindow="-110" yWindow="-110" windowWidth="19420" windowHeight="1042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E29" i="1" l="1"/>
  <c r="CD29" i="1"/>
  <c r="CB29" i="1"/>
  <c r="CC29" i="1" s="1"/>
  <c r="BI29" i="1"/>
  <c r="BH29" i="1"/>
  <c r="BG29" i="1"/>
  <c r="BF29" i="1"/>
  <c r="BE29" i="1"/>
  <c r="AZ29" i="1" s="1"/>
  <c r="BB29" i="1"/>
  <c r="AU29" i="1"/>
  <c r="AO29" i="1"/>
  <c r="AP29" i="1" s="1"/>
  <c r="AK29" i="1"/>
  <c r="AI29" i="1" s="1"/>
  <c r="AJ29" i="1" s="1"/>
  <c r="X29" i="1"/>
  <c r="W29" i="1"/>
  <c r="V29" i="1" s="1"/>
  <c r="O29" i="1"/>
  <c r="CE28" i="1"/>
  <c r="CD28" i="1"/>
  <c r="CB28" i="1"/>
  <c r="CC28" i="1" s="1"/>
  <c r="AW28" i="1" s="1"/>
  <c r="AY28" i="1" s="1"/>
  <c r="BI28" i="1"/>
  <c r="BH28" i="1"/>
  <c r="BG28" i="1"/>
  <c r="BF28" i="1"/>
  <c r="BE28" i="1"/>
  <c r="AZ28" i="1" s="1"/>
  <c r="BB28" i="1"/>
  <c r="AU28" i="1"/>
  <c r="AO28" i="1"/>
  <c r="AP28" i="1" s="1"/>
  <c r="AK28" i="1"/>
  <c r="AI28" i="1" s="1"/>
  <c r="J28" i="1" s="1"/>
  <c r="X28" i="1"/>
  <c r="W28" i="1"/>
  <c r="V28" i="1" s="1"/>
  <c r="O28" i="1"/>
  <c r="CE27" i="1"/>
  <c r="CD27" i="1"/>
  <c r="CB27" i="1"/>
  <c r="BI27" i="1"/>
  <c r="BH27" i="1"/>
  <c r="BG27" i="1"/>
  <c r="BF27" i="1"/>
  <c r="BE27" i="1"/>
  <c r="AZ27" i="1" s="1"/>
  <c r="BB27" i="1"/>
  <c r="AU27" i="1"/>
  <c r="AO27" i="1"/>
  <c r="AP27" i="1" s="1"/>
  <c r="AK27" i="1"/>
  <c r="AI27" i="1" s="1"/>
  <c r="X27" i="1"/>
  <c r="W27" i="1"/>
  <c r="V27" i="1"/>
  <c r="O27" i="1"/>
  <c r="CE26" i="1"/>
  <c r="CD26" i="1"/>
  <c r="CB26" i="1"/>
  <c r="CC26" i="1" s="1"/>
  <c r="BI26" i="1"/>
  <c r="BH26" i="1"/>
  <c r="BG26" i="1"/>
  <c r="BF26" i="1"/>
  <c r="BE26" i="1"/>
  <c r="AZ26" i="1" s="1"/>
  <c r="BB26" i="1"/>
  <c r="AU26" i="1"/>
  <c r="AO26" i="1"/>
  <c r="AP26" i="1" s="1"/>
  <c r="AK26" i="1"/>
  <c r="AI26" i="1" s="1"/>
  <c r="X26" i="1"/>
  <c r="W26" i="1"/>
  <c r="O26" i="1"/>
  <c r="H26" i="1"/>
  <c r="Z26" i="1" s="1"/>
  <c r="CE25" i="1"/>
  <c r="CD25" i="1"/>
  <c r="CB25" i="1"/>
  <c r="BI25" i="1"/>
  <c r="BH25" i="1"/>
  <c r="BG25" i="1"/>
  <c r="BF25" i="1"/>
  <c r="BE25" i="1"/>
  <c r="BB25" i="1"/>
  <c r="AZ25" i="1"/>
  <c r="AU25" i="1"/>
  <c r="AO25" i="1"/>
  <c r="AP25" i="1" s="1"/>
  <c r="AK25" i="1"/>
  <c r="AI25" i="1" s="1"/>
  <c r="X25" i="1"/>
  <c r="W25" i="1"/>
  <c r="O25" i="1"/>
  <c r="CE24" i="1"/>
  <c r="CD24" i="1"/>
  <c r="CB24" i="1"/>
  <c r="BI24" i="1"/>
  <c r="BH24" i="1"/>
  <c r="BG24" i="1"/>
  <c r="BF24" i="1"/>
  <c r="BE24" i="1"/>
  <c r="AZ24" i="1" s="1"/>
  <c r="BB24" i="1"/>
  <c r="AU24" i="1"/>
  <c r="AO24" i="1"/>
  <c r="AP24" i="1" s="1"/>
  <c r="AK24" i="1"/>
  <c r="AI24" i="1" s="1"/>
  <c r="J24" i="1" s="1"/>
  <c r="X24" i="1"/>
  <c r="W24" i="1"/>
  <c r="V24" i="1"/>
  <c r="O24" i="1"/>
  <c r="CE23" i="1"/>
  <c r="CD23" i="1"/>
  <c r="CB23" i="1"/>
  <c r="BI23" i="1"/>
  <c r="BH23" i="1"/>
  <c r="BG23" i="1"/>
  <c r="BF23" i="1"/>
  <c r="BE23" i="1"/>
  <c r="AZ23" i="1" s="1"/>
  <c r="BB23" i="1"/>
  <c r="AU23" i="1"/>
  <c r="AO23" i="1"/>
  <c r="AP23" i="1" s="1"/>
  <c r="AK23" i="1"/>
  <c r="AI23" i="1"/>
  <c r="H23" i="1" s="1"/>
  <c r="X23" i="1"/>
  <c r="W23" i="1"/>
  <c r="V23" i="1"/>
  <c r="O23" i="1"/>
  <c r="CE22" i="1"/>
  <c r="CD22" i="1"/>
  <c r="CB22" i="1"/>
  <c r="BI22" i="1"/>
  <c r="BH22" i="1"/>
  <c r="BG22" i="1"/>
  <c r="BF22" i="1"/>
  <c r="BE22" i="1"/>
  <c r="AZ22" i="1" s="1"/>
  <c r="BB22" i="1"/>
  <c r="AU22" i="1"/>
  <c r="AO22" i="1"/>
  <c r="AP22" i="1" s="1"/>
  <c r="AK22" i="1"/>
  <c r="AI22" i="1" s="1"/>
  <c r="AJ22" i="1" s="1"/>
  <c r="X22" i="1"/>
  <c r="W22" i="1"/>
  <c r="V22" i="1" s="1"/>
  <c r="O22" i="1"/>
  <c r="CE21" i="1"/>
  <c r="CD21" i="1"/>
  <c r="CB21" i="1"/>
  <c r="CC21" i="1" s="1"/>
  <c r="AW21" i="1" s="1"/>
  <c r="BI21" i="1"/>
  <c r="BH21" i="1"/>
  <c r="BG21" i="1"/>
  <c r="BF21" i="1"/>
  <c r="BE21" i="1"/>
  <c r="AZ21" i="1" s="1"/>
  <c r="BB21" i="1"/>
  <c r="AU21" i="1"/>
  <c r="AY21" i="1" s="1"/>
  <c r="AP21" i="1"/>
  <c r="AO21" i="1"/>
  <c r="AK21" i="1"/>
  <c r="AI21" i="1"/>
  <c r="X21" i="1"/>
  <c r="V21" i="1" s="1"/>
  <c r="W21" i="1"/>
  <c r="O21" i="1"/>
  <c r="J21" i="1"/>
  <c r="CE20" i="1"/>
  <c r="CD20" i="1"/>
  <c r="CB20" i="1"/>
  <c r="CC20" i="1" s="1"/>
  <c r="BI20" i="1"/>
  <c r="BH20" i="1"/>
  <c r="BG20" i="1"/>
  <c r="BF20" i="1"/>
  <c r="BE20" i="1"/>
  <c r="AZ20" i="1" s="1"/>
  <c r="BB20" i="1"/>
  <c r="AU20" i="1"/>
  <c r="AO20" i="1"/>
  <c r="AP20" i="1" s="1"/>
  <c r="AK20" i="1"/>
  <c r="AI20" i="1" s="1"/>
  <c r="X20" i="1"/>
  <c r="W20" i="1"/>
  <c r="V20" i="1" s="1"/>
  <c r="O20" i="1"/>
  <c r="CE19" i="1"/>
  <c r="CD19" i="1"/>
  <c r="CC19" i="1"/>
  <c r="R19" i="1" s="1"/>
  <c r="CB19" i="1"/>
  <c r="BI19" i="1"/>
  <c r="BH19" i="1"/>
  <c r="BG19" i="1"/>
  <c r="BF19" i="1"/>
  <c r="BE19" i="1"/>
  <c r="AZ19" i="1" s="1"/>
  <c r="BB19" i="1"/>
  <c r="AW19" i="1"/>
  <c r="AY19" i="1" s="1"/>
  <c r="AU19" i="1"/>
  <c r="AO19" i="1"/>
  <c r="AP19" i="1" s="1"/>
  <c r="AK19" i="1"/>
  <c r="AI19" i="1" s="1"/>
  <c r="H19" i="1" s="1"/>
  <c r="Z19" i="1" s="1"/>
  <c r="X19" i="1"/>
  <c r="V19" i="1" s="1"/>
  <c r="W19" i="1"/>
  <c r="O19" i="1"/>
  <c r="M19" i="1"/>
  <c r="I19" i="1"/>
  <c r="AX19" i="1" s="1"/>
  <c r="BA19" i="1" s="1"/>
  <c r="CE18" i="1"/>
  <c r="CD18" i="1"/>
  <c r="CB18" i="1"/>
  <c r="CC18" i="1" s="1"/>
  <c r="BI18" i="1"/>
  <c r="BH18" i="1"/>
  <c r="BG18" i="1"/>
  <c r="BF18" i="1"/>
  <c r="BE18" i="1"/>
  <c r="BB18" i="1"/>
  <c r="AZ18" i="1"/>
  <c r="AU18" i="1"/>
  <c r="AO18" i="1"/>
  <c r="AP18" i="1" s="1"/>
  <c r="AK18" i="1"/>
  <c r="AI18" i="1" s="1"/>
  <c r="X18" i="1"/>
  <c r="W18" i="1"/>
  <c r="V18" i="1" s="1"/>
  <c r="O18" i="1"/>
  <c r="CE17" i="1"/>
  <c r="CD17" i="1"/>
  <c r="CB17" i="1"/>
  <c r="CC17" i="1" s="1"/>
  <c r="BI17" i="1"/>
  <c r="BH17" i="1"/>
  <c r="BG17" i="1"/>
  <c r="BF17" i="1"/>
  <c r="BE17" i="1"/>
  <c r="AZ17" i="1" s="1"/>
  <c r="BB17" i="1"/>
  <c r="AU17" i="1"/>
  <c r="AP17" i="1"/>
  <c r="AO17" i="1"/>
  <c r="AK17" i="1"/>
  <c r="AI17" i="1" s="1"/>
  <c r="X17" i="1"/>
  <c r="V17" i="1" s="1"/>
  <c r="W17" i="1"/>
  <c r="O17" i="1"/>
  <c r="M17" i="1" l="1"/>
  <c r="J17" i="1"/>
  <c r="H20" i="1"/>
  <c r="I20" i="1"/>
  <c r="AX20" i="1" s="1"/>
  <c r="M20" i="1"/>
  <c r="J20" i="1"/>
  <c r="H27" i="1"/>
  <c r="I27" i="1"/>
  <c r="AX27" i="1" s="1"/>
  <c r="M27" i="1"/>
  <c r="J27" i="1"/>
  <c r="R26" i="1"/>
  <c r="AW26" i="1"/>
  <c r="AY26" i="1" s="1"/>
  <c r="I23" i="1"/>
  <c r="AX23" i="1" s="1"/>
  <c r="V26" i="1"/>
  <c r="CC22" i="1"/>
  <c r="R22" i="1" s="1"/>
  <c r="J23" i="1"/>
  <c r="R28" i="1"/>
  <c r="R21" i="1"/>
  <c r="M23" i="1"/>
  <c r="CC24" i="1"/>
  <c r="AW24" i="1" s="1"/>
  <c r="AY24" i="1" s="1"/>
  <c r="V25" i="1"/>
  <c r="CC25" i="1"/>
  <c r="J18" i="1"/>
  <c r="M18" i="1"/>
  <c r="I18" i="1"/>
  <c r="AX18" i="1" s="1"/>
  <c r="H18" i="1"/>
  <c r="AJ18" i="1"/>
  <c r="AW17" i="1"/>
  <c r="AY17" i="1" s="1"/>
  <c r="R17" i="1"/>
  <c r="R18" i="1"/>
  <c r="AW18" i="1"/>
  <c r="AW20" i="1"/>
  <c r="AY20" i="1" s="1"/>
  <c r="R20" i="1"/>
  <c r="S28" i="1"/>
  <c r="T28" i="1" s="1"/>
  <c r="AJ17" i="1"/>
  <c r="Z20" i="1"/>
  <c r="J22" i="1"/>
  <c r="M22" i="1"/>
  <c r="I22" i="1"/>
  <c r="AX22" i="1" s="1"/>
  <c r="H22" i="1"/>
  <c r="AJ26" i="1"/>
  <c r="J26" i="1"/>
  <c r="M26" i="1"/>
  <c r="I26" i="1"/>
  <c r="AX26" i="1" s="1"/>
  <c r="S26" i="1"/>
  <c r="T26" i="1" s="1"/>
  <c r="AA26" i="1" s="1"/>
  <c r="M28" i="1"/>
  <c r="I28" i="1"/>
  <c r="AX28" i="1" s="1"/>
  <c r="BA28" i="1" s="1"/>
  <c r="H28" i="1"/>
  <c r="AJ28" i="1"/>
  <c r="R29" i="1"/>
  <c r="AW29" i="1"/>
  <c r="AY29" i="1" s="1"/>
  <c r="Z23" i="1"/>
  <c r="J25" i="1"/>
  <c r="M25" i="1"/>
  <c r="I25" i="1"/>
  <c r="AX25" i="1" s="1"/>
  <c r="H25" i="1"/>
  <c r="H17" i="1"/>
  <c r="M24" i="1"/>
  <c r="I24" i="1"/>
  <c r="AX24" i="1" s="1"/>
  <c r="BA24" i="1" s="1"/>
  <c r="H24" i="1"/>
  <c r="AJ24" i="1"/>
  <c r="AY25" i="1"/>
  <c r="R25" i="1"/>
  <c r="AW25" i="1"/>
  <c r="CC27" i="1"/>
  <c r="AY18" i="1"/>
  <c r="I17" i="1"/>
  <c r="AX17" i="1" s="1"/>
  <c r="BA17" i="1" s="1"/>
  <c r="AJ19" i="1"/>
  <c r="J19" i="1"/>
  <c r="S19" i="1"/>
  <c r="T19" i="1" s="1"/>
  <c r="P19" i="1" s="1"/>
  <c r="N19" i="1" s="1"/>
  <c r="Q19" i="1" s="1"/>
  <c r="K19" i="1" s="1"/>
  <c r="L19" i="1" s="1"/>
  <c r="M21" i="1"/>
  <c r="I21" i="1"/>
  <c r="AX21" i="1" s="1"/>
  <c r="BA21" i="1" s="1"/>
  <c r="H21" i="1"/>
  <c r="S21" i="1" s="1"/>
  <c r="T21" i="1" s="1"/>
  <c r="AJ21" i="1"/>
  <c r="CC23" i="1"/>
  <c r="AJ25" i="1"/>
  <c r="Z27" i="1"/>
  <c r="J29" i="1"/>
  <c r="M29" i="1"/>
  <c r="I29" i="1"/>
  <c r="AX29" i="1" s="1"/>
  <c r="H29" i="1"/>
  <c r="AJ20" i="1"/>
  <c r="AJ23" i="1"/>
  <c r="AJ27" i="1"/>
  <c r="BA18" i="1" l="1"/>
  <c r="AW22" i="1"/>
  <c r="AY22" i="1" s="1"/>
  <c r="BA29" i="1"/>
  <c r="BA26" i="1"/>
  <c r="R24" i="1"/>
  <c r="S24" i="1" s="1"/>
  <c r="T24" i="1" s="1"/>
  <c r="P24" i="1" s="1"/>
  <c r="N24" i="1" s="1"/>
  <c r="Q24" i="1" s="1"/>
  <c r="K24" i="1" s="1"/>
  <c r="L24" i="1" s="1"/>
  <c r="U21" i="1"/>
  <c r="Y21" i="1" s="1"/>
  <c r="AB21" i="1"/>
  <c r="AA21" i="1"/>
  <c r="U24" i="1"/>
  <c r="Y24" i="1" s="1"/>
  <c r="AB24" i="1"/>
  <c r="AW23" i="1"/>
  <c r="R23" i="1"/>
  <c r="AW27" i="1"/>
  <c r="R27" i="1"/>
  <c r="Z25" i="1"/>
  <c r="P28" i="1"/>
  <c r="N28" i="1" s="1"/>
  <c r="Q28" i="1" s="1"/>
  <c r="K28" i="1" s="1"/>
  <c r="L28" i="1" s="1"/>
  <c r="Z28" i="1"/>
  <c r="U26" i="1"/>
  <c r="Y26" i="1" s="1"/>
  <c r="P26" i="1"/>
  <c r="N26" i="1" s="1"/>
  <c r="Q26" i="1" s="1"/>
  <c r="K26" i="1" s="1"/>
  <c r="L26" i="1" s="1"/>
  <c r="AB26" i="1"/>
  <c r="AC26" i="1" s="1"/>
  <c r="U28" i="1"/>
  <c r="Y28" i="1" s="1"/>
  <c r="AB28" i="1"/>
  <c r="S17" i="1"/>
  <c r="T17" i="1" s="1"/>
  <c r="P17" i="1" s="1"/>
  <c r="N17" i="1" s="1"/>
  <c r="Q17" i="1" s="1"/>
  <c r="K17" i="1" s="1"/>
  <c r="L17" i="1" s="1"/>
  <c r="AB19" i="1"/>
  <c r="U19" i="1"/>
  <c r="Y19" i="1" s="1"/>
  <c r="Z24" i="1"/>
  <c r="BA25" i="1"/>
  <c r="S29" i="1"/>
  <c r="T29" i="1" s="1"/>
  <c r="Z22" i="1"/>
  <c r="Z17" i="1"/>
  <c r="Z18" i="1"/>
  <c r="P21" i="1"/>
  <c r="N21" i="1" s="1"/>
  <c r="Q21" i="1" s="1"/>
  <c r="K21" i="1" s="1"/>
  <c r="L21" i="1" s="1"/>
  <c r="Z21" i="1"/>
  <c r="Z29" i="1"/>
  <c r="P29" i="1"/>
  <c r="N29" i="1" s="1"/>
  <c r="Q29" i="1" s="1"/>
  <c r="K29" i="1" s="1"/>
  <c r="L29" i="1" s="1"/>
  <c r="AA28" i="1"/>
  <c r="S22" i="1"/>
  <c r="T22" i="1" s="1"/>
  <c r="S25" i="1"/>
  <c r="T25" i="1" s="1"/>
  <c r="AA19" i="1"/>
  <c r="BA22" i="1"/>
  <c r="BA20" i="1"/>
  <c r="S20" i="1"/>
  <c r="T20" i="1" s="1"/>
  <c r="S18" i="1"/>
  <c r="T18" i="1" s="1"/>
  <c r="AA24" i="1" l="1"/>
  <c r="AY27" i="1"/>
  <c r="BA27" i="1"/>
  <c r="AB20" i="1"/>
  <c r="AC20" i="1" s="1"/>
  <c r="U20" i="1"/>
  <c r="Y20" i="1" s="1"/>
  <c r="AA20" i="1"/>
  <c r="P20" i="1"/>
  <c r="N20" i="1" s="1"/>
  <c r="Q20" i="1" s="1"/>
  <c r="K20" i="1" s="1"/>
  <c r="L20" i="1" s="1"/>
  <c r="U25" i="1"/>
  <c r="Y25" i="1" s="1"/>
  <c r="AB25" i="1"/>
  <c r="AC25" i="1" s="1"/>
  <c r="AA25" i="1"/>
  <c r="U29" i="1"/>
  <c r="Y29" i="1" s="1"/>
  <c r="AB29" i="1"/>
  <c r="AA29" i="1"/>
  <c r="AC28" i="1"/>
  <c r="P25" i="1"/>
  <c r="N25" i="1" s="1"/>
  <c r="Q25" i="1" s="1"/>
  <c r="K25" i="1" s="1"/>
  <c r="L25" i="1" s="1"/>
  <c r="S23" i="1"/>
  <c r="T23" i="1" s="1"/>
  <c r="U22" i="1"/>
  <c r="Y22" i="1" s="1"/>
  <c r="AB22" i="1"/>
  <c r="AA22" i="1"/>
  <c r="U18" i="1"/>
  <c r="Y18" i="1" s="1"/>
  <c r="AB18" i="1"/>
  <c r="AA18" i="1"/>
  <c r="AC19" i="1"/>
  <c r="AY23" i="1"/>
  <c r="BA23" i="1"/>
  <c r="AC21" i="1"/>
  <c r="P18" i="1"/>
  <c r="N18" i="1" s="1"/>
  <c r="Q18" i="1" s="1"/>
  <c r="K18" i="1" s="1"/>
  <c r="L18" i="1" s="1"/>
  <c r="P22" i="1"/>
  <c r="N22" i="1" s="1"/>
  <c r="Q22" i="1" s="1"/>
  <c r="K22" i="1" s="1"/>
  <c r="L22" i="1" s="1"/>
  <c r="U17" i="1"/>
  <c r="Y17" i="1" s="1"/>
  <c r="AB17" i="1"/>
  <c r="AA17" i="1"/>
  <c r="S27" i="1"/>
  <c r="T27" i="1" s="1"/>
  <c r="AC24" i="1"/>
  <c r="AB23" i="1" l="1"/>
  <c r="U23" i="1"/>
  <c r="Y23" i="1" s="1"/>
  <c r="P23" i="1"/>
  <c r="N23" i="1" s="1"/>
  <c r="Q23" i="1" s="1"/>
  <c r="K23" i="1" s="1"/>
  <c r="L23" i="1" s="1"/>
  <c r="AA23" i="1"/>
  <c r="AC17" i="1"/>
  <c r="AC22" i="1"/>
  <c r="AC29" i="1"/>
  <c r="AC18" i="1"/>
  <c r="AB27" i="1"/>
  <c r="U27" i="1"/>
  <c r="Y27" i="1" s="1"/>
  <c r="AA27" i="1"/>
  <c r="P27" i="1"/>
  <c r="N27" i="1" s="1"/>
  <c r="Q27" i="1" s="1"/>
  <c r="K27" i="1" s="1"/>
  <c r="L27" i="1" s="1"/>
  <c r="AC27" i="1" l="1"/>
  <c r="AC23" i="1"/>
</calcChain>
</file>

<file path=xl/sharedStrings.xml><?xml version="1.0" encoding="utf-8"?>
<sst xmlns="http://schemas.openxmlformats.org/spreadsheetml/2006/main" count="1034" uniqueCount="414">
  <si>
    <t>File opened</t>
  </si>
  <si>
    <t>2019-08-03 13:05:19</t>
  </si>
  <si>
    <t>Console s/n</t>
  </si>
  <si>
    <t>68C-831448</t>
  </si>
  <si>
    <t>Console ver</t>
  </si>
  <si>
    <t>Bluestem v.1.3.17</t>
  </si>
  <si>
    <t>Scripts ver</t>
  </si>
  <si>
    <t>2018.12  1.3.16, Nov 2018</t>
  </si>
  <si>
    <t>Head s/n</t>
  </si>
  <si>
    <t>68H-581448</t>
  </si>
  <si>
    <t>Head ver</t>
  </si>
  <si>
    <t>1.3.1</t>
  </si>
  <si>
    <t>Head cal</t>
  </si>
  <si>
    <t>{"co2aspanconc2": "296.4", "co2aspan2": "-0.0275709", "oxygen": "21", "co2aspan2b": "0.298132", "co2bspanconc2": "296.4", "co2bspan1": "1.00063", "chamberpressurezero": "2.62898", "h2oazero": "0.99813", "h2obspanconc1": "20", "h2obzero": "1.01301", "h2oaspanconc2": "0", "tazero": "-0.075655", "tbzero": "-0.00914764", "flowmeterzero": "1.01484", "co2aspan2a": "0.300565", "h2oaspan2a": "0.0687344", "h2oaspan1": "1.00284", "co2aspan1": "1.00019", "h2oaspan2": "0", "ssb_ref": "33378.8", "co2azero": "0.936047", "co2bspanconc1": "2500", "h2obspan2": "0", "h2obspanconc2": "0", "co2aspanconc1": "2500", "ssa_ref": "27614.2", "co2bspan2a": "0.292725", "co2bspan2": "-0.029811", "flowazero": "0.30339", "h2oaspanconc1": "12.25", "flowbzero": "0.2519", "h2oaspan2b": "0.0689295", "co2bspan2b": "0.290353", "h2obspan2b": "0.0966582", "h2obspan1": "1", "h2obspan2a": "-0.0693626", "co2bzero": "1.08871"}</t>
  </si>
  <si>
    <t>Chamber type</t>
  </si>
  <si>
    <t>6800-01A</t>
  </si>
  <si>
    <t>Chamber s/n</t>
  </si>
  <si>
    <t>MPF-651357</t>
  </si>
  <si>
    <t>Chamber rev</t>
  </si>
  <si>
    <t>0</t>
  </si>
  <si>
    <t>Chamber cal</t>
  </si>
  <si>
    <t>Fluorometer</t>
  </si>
  <si>
    <t>Flr. Version</t>
  </si>
  <si>
    <t>13:05:19</t>
  </si>
  <si>
    <t>Stability Definition:	gsw (GasEx): Slp&lt;0.1 Std&lt;1 Per=15	A (GasEx): Slp&lt;0.3 Std&lt;1 Per=15</t>
  </si>
  <si>
    <t>SysConst</t>
  </si>
  <si>
    <t>AvgTime</t>
  </si>
  <si>
    <t>4</t>
  </si>
  <si>
    <t>Oxygen</t>
  </si>
  <si>
    <t>Chamber</t>
  </si>
  <si>
    <t>6800-01A 2 cm²</t>
  </si>
  <si>
    <t>Const</t>
  </si>
  <si>
    <t>S</t>
  </si>
  <si>
    <t>K</t>
  </si>
  <si>
    <t>Geometry</t>
  </si>
  <si>
    <t>0: Broadleaf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</si>
  <si>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</si>
  <si>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</si>
  <si>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</si>
  <si>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</si>
  <si>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</si>
  <si>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</si>
  <si>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</si>
  <si>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</si>
  <si>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</si>
  <si>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</si>
  <si>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</si>
  <si>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</si>
  <si>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</si>
  <si>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</si>
  <si>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</si>
  <si>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</si>
  <si>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</si>
  <si>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</si>
  <si>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</si>
  <si>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</si>
  <si>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</si>
  <si>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</si>
  <si>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</si>
  <si>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</si>
  <si>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</si>
  <si>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</si>
  <si>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</si>
  <si>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</si>
  <si>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</si>
  <si>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</si>
  <si>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</si>
  <si>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</si>
  <si>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</si>
  <si>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</si>
  <si>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</si>
  <si>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</si>
  <si>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</si>
  <si>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1.33247 83.9444 380.131 623.883 871.563 1081.28 1253.95 1414.66</t>
  </si>
  <si>
    <t>Fs_true</t>
  </si>
  <si>
    <t>0.0281949 103.12 404.934 601.429 803.322 1004.56 1200.95 1401.59</t>
  </si>
  <si>
    <t>leak_wt</t>
  </si>
  <si>
    <t>Sys</t>
  </si>
  <si>
    <t>UserDefVar</t>
  </si>
  <si>
    <t>GasEx</t>
  </si>
  <si>
    <t>Leak</t>
  </si>
  <si>
    <t>FLR</t>
  </si>
  <si>
    <t>MPF</t>
  </si>
  <si>
    <t>FastKntcs</t>
  </si>
  <si>
    <t>LeafQ</t>
  </si>
  <si>
    <t>Meas</t>
  </si>
  <si>
    <t>Meas2</t>
  </si>
  <si>
    <t>FlrLS</t>
  </si>
  <si>
    <t>FlrStats</t>
  </si>
  <si>
    <t>Match</t>
  </si>
  <si>
    <t>Stability</t>
  </si>
  <si>
    <t>Raw</t>
  </si>
  <si>
    <t>Status2</t>
  </si>
  <si>
    <t>Auxiliary</t>
  </si>
  <si>
    <t>Status</t>
  </si>
  <si>
    <t>obs</t>
  </si>
  <si>
    <t>time</t>
  </si>
  <si>
    <t>elapsed</t>
  </si>
  <si>
    <t>date</t>
  </si>
  <si>
    <t>hhmmss</t>
  </si>
  <si>
    <t>plant ID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</si>
  <si>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</si>
  <si>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</si>
  <si>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</si>
  <si>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</si>
  <si>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</si>
  <si>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</si>
  <si>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</si>
  <si>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</si>
  <si>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</si>
  <si>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</si>
  <si>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</si>
  <si>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</si>
  <si>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</si>
  <si>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</si>
  <si>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</si>
  <si>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</si>
  <si>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</si>
  <si>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</si>
  <si>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</si>
  <si>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</si>
  <si>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</si>
  <si>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</si>
  <si>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</si>
  <si>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</si>
  <si>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</si>
  <si>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</si>
  <si>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</si>
  <si>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</si>
  <si>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</si>
  <si>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</si>
  <si>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</si>
  <si>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</si>
  <si>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</si>
  <si>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</si>
  <si>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</si>
  <si>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</si>
  <si>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</si>
  <si>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</si>
  <si>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</si>
  <si>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</si>
  <si>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</si>
  <si>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</si>
  <si>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</si>
  <si>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</si>
  <si>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</si>
  <si>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</si>
  <si>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</si>
  <si>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</si>
  <si>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</si>
  <si>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</si>
  <si>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</si>
  <si>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</si>
  <si>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</si>
  <si>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</si>
  <si>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</si>
  <si>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</si>
  <si>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</si>
  <si>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</si>
  <si>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</si>
  <si>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</si>
  <si>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</si>
  <si>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</si>
  <si>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Duration</t>
  </si>
  <si>
    <t>F1</t>
  </si>
  <si>
    <t>F2</t>
  </si>
  <si>
    <t>Fmax</t>
  </si>
  <si>
    <t>T@HIR</t>
  </si>
  <si>
    <t>T@F1</t>
  </si>
  <si>
    <t>T@F2</t>
  </si>
  <si>
    <t>T@Fmax</t>
  </si>
  <si>
    <t>Qin</t>
  </si>
  <si>
    <t>Qabs</t>
  </si>
  <si>
    <t>alpha</t>
  </si>
  <si>
    <t>convert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</si>
  <si>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</si>
  <si>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</si>
  <si>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</si>
  <si>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</si>
  <si>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</si>
  <si>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</si>
  <si>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</si>
  <si>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</si>
  <si>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</si>
  <si>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</si>
  <si>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</si>
  <si>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</si>
  <si>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</si>
  <si>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</si>
  <si>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</si>
  <si>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</si>
  <si>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</si>
  <si>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</si>
  <si>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</si>
  <si>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CO2_a</t>
  </si>
  <si>
    <t>CO2_b</t>
  </si>
  <si>
    <t>H2O_a</t>
  </si>
  <si>
    <t>H2O_b</t>
  </si>
  <si>
    <t>e_s</t>
  </si>
  <si>
    <t>e_r</t>
  </si>
  <si>
    <t>Td_s</t>
  </si>
  <si>
    <t>Td_r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</si>
  <si>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</si>
  <si>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</si>
  <si>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</si>
  <si>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</si>
  <si>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</si>
  <si>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</si>
  <si>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</si>
  <si>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</si>
  <si>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</si>
  <si>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</si>
  <si>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</si>
  <si>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</si>
  <si>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</si>
  <si>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</si>
  <si>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</si>
  <si>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</si>
  <si>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</si>
  <si>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</si>
  <si>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</si>
  <si>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</si>
  <si>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</si>
  <si>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</si>
  <si>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</si>
  <si>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</si>
  <si>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</si>
  <si>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</si>
  <si>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</si>
  <si>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</si>
  <si>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</si>
  <si>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A:MN</t>
  </si>
  <si>
    <t>A:SLP</t>
  </si>
  <si>
    <t>A:SD</t>
  </si>
  <si>
    <t>A:OK</t>
  </si>
  <si>
    <t>gsw:MN</t>
  </si>
  <si>
    <t>gsw:SLP</t>
  </si>
  <si>
    <t>gsw:SD</t>
  </si>
  <si>
    <t>gsw:OK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</si>
  <si>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</si>
  <si>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</si>
  <si>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</si>
  <si>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</si>
  <si>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</si>
  <si>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</si>
  <si>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</si>
  <si>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</si>
  <si>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</si>
  <si>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</si>
  <si>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</si>
  <si>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</si>
  <si>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</si>
  <si>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</si>
  <si>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</si>
  <si>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</si>
  <si>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</si>
  <si>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</si>
  <si>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</si>
  <si>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</si>
  <si>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</si>
  <si>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</si>
  <si>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</si>
  <si>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</si>
  <si>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</si>
  <si>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</si>
  <si>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</si>
  <si>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</si>
  <si>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</si>
  <si>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</si>
  <si>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</si>
  <si>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</si>
  <si>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</si>
  <si>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</si>
  <si>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</si>
  <si>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</si>
  <si>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AccCO2_soda</t>
  </si>
  <si>
    <t>AccH2O_hum</t>
  </si>
  <si>
    <t>CO2_hrs</t>
  </si>
  <si>
    <t>AccH2O_des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</si>
  <si>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</si>
  <si>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</si>
  <si>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</si>
  <si>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</si>
  <si>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</si>
  <si>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</si>
  <si>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</si>
  <si>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</si>
  <si>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</si>
  <si>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</si>
  <si>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</si>
  <si>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</si>
  <si>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</si>
  <si>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</si>
  <si>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</si>
  <si>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</si>
  <si>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</si>
  <si>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</si>
  <si>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</si>
  <si>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</si>
  <si>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</si>
  <si>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</si>
  <si>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</si>
  <si>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</si>
  <si>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</si>
  <si>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</si>
  <si>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</si>
  <si>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</si>
  <si>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</si>
  <si>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</si>
  <si>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</si>
  <si>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</si>
  <si>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</si>
  <si>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</si>
  <si>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</si>
  <si>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</si>
  <si>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</si>
  <si>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</si>
  <si>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</si>
  <si>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</si>
  <si>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</si>
  <si>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</si>
  <si>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</si>
  <si>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</si>
  <si>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</si>
  <si>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</si>
  <si>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</si>
  <si>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</si>
  <si>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</si>
  <si>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</si>
  <si>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</si>
  <si>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</si>
  <si>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</si>
  <si>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</si>
  <si>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</si>
  <si>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</si>
  <si>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</si>
  <si>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</si>
  <si>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m⁻² s⁻¹ min⁻¹</t>
  </si>
  <si>
    <t>mol m⁻² s⁻¹ min⁻¹</t>
  </si>
  <si>
    <t>V</t>
  </si>
  <si>
    <t>mV</t>
  </si>
  <si>
    <t>mg</t>
  </si>
  <si>
    <t>hrs</t>
  </si>
  <si>
    <t>20190804 13:32:18</t>
  </si>
  <si>
    <t>13:32:18</t>
  </si>
  <si>
    <t>MPF-7346-20190804-13_32_56</t>
  </si>
  <si>
    <t>DARK-7347-20190804-13_32_58</t>
  </si>
  <si>
    <t>-</t>
  </si>
  <si>
    <t>13:31:41</t>
  </si>
  <si>
    <t>2/2</t>
  </si>
  <si>
    <t>5</t>
  </si>
  <si>
    <t>11111111</t>
  </si>
  <si>
    <t>oooooooo</t>
  </si>
  <si>
    <t>off</t>
  </si>
  <si>
    <t>20190804 13:33:51</t>
  </si>
  <si>
    <t>13:33:51</t>
  </si>
  <si>
    <t>MPF-7348-20190804-13_34_29</t>
  </si>
  <si>
    <t>DARK-7349-20190804-13_34_30</t>
  </si>
  <si>
    <t>13:33:22</t>
  </si>
  <si>
    <t>20190804 13:35:32</t>
  </si>
  <si>
    <t>13:35:32</t>
  </si>
  <si>
    <t>MPF-7350-20190804-13_36_10</t>
  </si>
  <si>
    <t>DARK-7351-20190804-13_36_11</t>
  </si>
  <si>
    <t>13:35:00</t>
  </si>
  <si>
    <t>20190804 13:37:11</t>
  </si>
  <si>
    <t>13:37:11</t>
  </si>
  <si>
    <t>MPF-7352-20190804-13_37_49</t>
  </si>
  <si>
    <t>DARK-7353-20190804-13_37_50</t>
  </si>
  <si>
    <t>13:36:34</t>
  </si>
  <si>
    <t>20190804 13:39:07</t>
  </si>
  <si>
    <t>13:39:07</t>
  </si>
  <si>
    <t>MPF-7354-20190804-13_39_45</t>
  </si>
  <si>
    <t>DARK-7355-20190804-13_39_46</t>
  </si>
  <si>
    <t>13:38:35</t>
  </si>
  <si>
    <t>20190804 13:40:46</t>
  </si>
  <si>
    <t>13:40:46</t>
  </si>
  <si>
    <t>MPF-7356-20190804-13_41_24</t>
  </si>
  <si>
    <t>DARK-7357-20190804-13_41_25</t>
  </si>
  <si>
    <t>13:40:13</t>
  </si>
  <si>
    <t>20190804 13:44:35</t>
  </si>
  <si>
    <t>13:44:35</t>
  </si>
  <si>
    <t>MPF-7360-20190804-13_45_13</t>
  </si>
  <si>
    <t>DARK-7361-20190804-13_45_15</t>
  </si>
  <si>
    <t>13:43:55</t>
  </si>
  <si>
    <t>20190804 13:46:49</t>
  </si>
  <si>
    <t>13:46:49</t>
  </si>
  <si>
    <t>MPF-7362-20190804-13_47_27</t>
  </si>
  <si>
    <t>DARK-7363-20190804-13_47_29</t>
  </si>
  <si>
    <t>13:46:11</t>
  </si>
  <si>
    <t>20190804 13:48:20</t>
  </si>
  <si>
    <t>13:48:20</t>
  </si>
  <si>
    <t>MPF-7364-20190804-13_48_58</t>
  </si>
  <si>
    <t>DARK-7365-20190804-13_49_00</t>
  </si>
  <si>
    <t>13:47:49</t>
  </si>
  <si>
    <t>20190804 13:49:57</t>
  </si>
  <si>
    <t>13:49:57</t>
  </si>
  <si>
    <t>MPF-7366-20190804-13_50_35</t>
  </si>
  <si>
    <t>DARK-7367-20190804-13_50_37</t>
  </si>
  <si>
    <t>13:49:26</t>
  </si>
  <si>
    <t>20190804 13:51:44</t>
  </si>
  <si>
    <t>13:51:44</t>
  </si>
  <si>
    <t>MPF-7368-20190804-13_52_22</t>
  </si>
  <si>
    <t>DARK-7369-20190804-13_52_23</t>
  </si>
  <si>
    <t>13:51:17</t>
  </si>
  <si>
    <t>20190804 13:53:22</t>
  </si>
  <si>
    <t>13:53:22</t>
  </si>
  <si>
    <t>MPF-7370-20190804-13_54_00</t>
  </si>
  <si>
    <t>DARK-7371-20190804-13_54_02</t>
  </si>
  <si>
    <t>13:52:41</t>
  </si>
  <si>
    <t>20190804 13:55:07</t>
  </si>
  <si>
    <t>13:55:07</t>
  </si>
  <si>
    <t>MPF-7372-20190804-13_55_45</t>
  </si>
  <si>
    <t>DARK-7373-20190804-13_55_47</t>
  </si>
  <si>
    <t>13:54:39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</si>
</sst>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U29"/>
  <sheetViews>
    <sheetView tabSelected="1" topLeftCell="A7" workbookViewId="0">
      <selection activeCell="A23" sqref="A23:XFD23"/>
    </sheetView>
  </sheetViews>
  <sheetFormatPr defaultRowHeight="14.5" x14ac:dyDescent="0.35"/>
  <sheetData>
    <row r="2" spans="1:229" x14ac:dyDescent="0.35">
      <c r="A2" t="s">
        <v>25</v>
      </c>
      <c r="B2" t="s">
        <v>26</v>
      </c>
      <c r="C2" t="s">
        <v>28</v>
      </c>
      <c r="D2" t="s">
        <v>29</v>
      </c>
    </row>
    <row r="3" spans="1:229" x14ac:dyDescent="0.35">
      <c r="B3" t="s">
        <v>27</v>
      </c>
      <c r="C3">
        <v>21</v>
      </c>
      <c r="D3" t="s">
        <v>30</v>
      </c>
    </row>
    <row r="4" spans="1:229" x14ac:dyDescent="0.35">
      <c r="A4" t="s">
        <v>31</v>
      </c>
      <c r="B4" t="s">
        <v>32</v>
      </c>
      <c r="C4" t="s">
        <v>33</v>
      </c>
      <c r="D4" t="s">
        <v>34</v>
      </c>
      <c r="E4" t="s">
        <v>36</v>
      </c>
    </row>
    <row r="5" spans="1:229" x14ac:dyDescent="0.35">
      <c r="B5">
        <v>2</v>
      </c>
      <c r="C5">
        <v>0.5</v>
      </c>
      <c r="D5" t="s">
        <v>35</v>
      </c>
      <c r="E5">
        <v>2</v>
      </c>
    </row>
    <row r="6" spans="1:229" x14ac:dyDescent="0.35">
      <c r="A6" t="s">
        <v>37</v>
      </c>
      <c r="B6" t="s">
        <v>38</v>
      </c>
      <c r="C6" t="s">
        <v>39</v>
      </c>
      <c r="D6" t="s">
        <v>40</v>
      </c>
      <c r="E6" t="s">
        <v>41</v>
      </c>
    </row>
    <row r="7" spans="1:229" x14ac:dyDescent="0.35">
      <c r="B7">
        <v>0</v>
      </c>
      <c r="C7">
        <v>1</v>
      </c>
      <c r="D7">
        <v>0</v>
      </c>
      <c r="E7">
        <v>0</v>
      </c>
    </row>
    <row r="8" spans="1:229" x14ac:dyDescent="0.35">
      <c r="A8" t="s">
        <v>42</v>
      </c>
      <c r="B8" t="s">
        <v>43</v>
      </c>
      <c r="C8" t="s">
        <v>45</v>
      </c>
      <c r="D8" t="s">
        <v>47</v>
      </c>
      <c r="E8" t="s">
        <v>48</v>
      </c>
      <c r="F8" t="s">
        <v>49</v>
      </c>
      <c r="G8" t="s">
        <v>50</v>
      </c>
      <c r="H8" t="s">
        <v>51</v>
      </c>
      <c r="I8" t="s">
        <v>52</v>
      </c>
      <c r="J8" t="s">
        <v>53</v>
      </c>
      <c r="K8" t="s">
        <v>54</v>
      </c>
      <c r="L8" t="s">
        <v>55</v>
      </c>
      <c r="M8" t="s">
        <v>56</v>
      </c>
      <c r="N8" t="s">
        <v>57</v>
      </c>
      <c r="O8" t="s">
        <v>58</v>
      </c>
      <c r="P8" t="s">
        <v>59</v>
      </c>
      <c r="Q8" t="s">
        <v>60</v>
      </c>
    </row>
    <row r="9" spans="1:229" x14ac:dyDescent="0.35">
      <c r="B9" t="s">
        <v>44</v>
      </c>
      <c r="C9" t="s">
        <v>46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229" x14ac:dyDescent="0.35">
      <c r="A10" t="s">
        <v>61</v>
      </c>
      <c r="B10" t="s">
        <v>62</v>
      </c>
      <c r="C10" t="s">
        <v>63</v>
      </c>
      <c r="D10" t="s">
        <v>64</v>
      </c>
      <c r="E10" t="s">
        <v>65</v>
      </c>
      <c r="F10" t="s">
        <v>66</v>
      </c>
    </row>
    <row r="11" spans="1:229" x14ac:dyDescent="0.35">
      <c r="B11">
        <v>0</v>
      </c>
      <c r="C11">
        <v>0</v>
      </c>
      <c r="D11">
        <v>0</v>
      </c>
      <c r="E11">
        <v>0</v>
      </c>
      <c r="F11">
        <v>1</v>
      </c>
    </row>
    <row r="12" spans="1:229" x14ac:dyDescent="0.35">
      <c r="A12" t="s">
        <v>67</v>
      </c>
      <c r="B12" t="s">
        <v>68</v>
      </c>
      <c r="C12" t="s">
        <v>69</v>
      </c>
      <c r="D12" t="s">
        <v>70</v>
      </c>
      <c r="E12" t="s">
        <v>71</v>
      </c>
      <c r="F12" t="s">
        <v>72</v>
      </c>
      <c r="G12" t="s">
        <v>74</v>
      </c>
      <c r="H12" t="s">
        <v>76</v>
      </c>
    </row>
    <row r="13" spans="1:229" x14ac:dyDescent="0.35">
      <c r="B13">
        <v>-6276</v>
      </c>
      <c r="C13">
        <v>6.6</v>
      </c>
      <c r="D13">
        <v>1.7090000000000001E-5</v>
      </c>
      <c r="E13">
        <v>3.11</v>
      </c>
      <c r="F13" t="s">
        <v>73</v>
      </c>
      <c r="G13" t="s">
        <v>75</v>
      </c>
      <c r="H13">
        <v>0</v>
      </c>
    </row>
    <row r="14" spans="1:229" x14ac:dyDescent="0.35">
      <c r="A14" t="s">
        <v>77</v>
      </c>
      <c r="B14" t="s">
        <v>77</v>
      </c>
      <c r="C14" t="s">
        <v>77</v>
      </c>
      <c r="D14" t="s">
        <v>77</v>
      </c>
      <c r="E14" t="s">
        <v>77</v>
      </c>
      <c r="F14" t="s">
        <v>78</v>
      </c>
      <c r="G14" t="s">
        <v>79</v>
      </c>
      <c r="H14" t="s">
        <v>79</v>
      </c>
      <c r="I14" t="s">
        <v>79</v>
      </c>
      <c r="J14" t="s">
        <v>79</v>
      </c>
      <c r="K14" t="s">
        <v>79</v>
      </c>
      <c r="L14" t="s">
        <v>79</v>
      </c>
      <c r="M14" t="s">
        <v>79</v>
      </c>
      <c r="N14" t="s">
        <v>79</v>
      </c>
      <c r="O14" t="s">
        <v>79</v>
      </c>
      <c r="P14" t="s">
        <v>79</v>
      </c>
      <c r="Q14" t="s">
        <v>79</v>
      </c>
      <c r="R14" t="s">
        <v>79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79</v>
      </c>
      <c r="Z14" t="s">
        <v>79</v>
      </c>
      <c r="AA14" t="s">
        <v>79</v>
      </c>
      <c r="AB14" t="s">
        <v>79</v>
      </c>
      <c r="AC14" t="s">
        <v>79</v>
      </c>
      <c r="AD14" t="s">
        <v>79</v>
      </c>
      <c r="AE14" t="s">
        <v>79</v>
      </c>
      <c r="AF14" t="s">
        <v>79</v>
      </c>
      <c r="AG14" t="s">
        <v>80</v>
      </c>
      <c r="AH14" t="s">
        <v>80</v>
      </c>
      <c r="AI14" t="s">
        <v>80</v>
      </c>
      <c r="AJ14" t="s">
        <v>80</v>
      </c>
      <c r="AK14" t="s">
        <v>80</v>
      </c>
      <c r="AL14" t="s">
        <v>81</v>
      </c>
      <c r="AM14" t="s">
        <v>81</v>
      </c>
      <c r="AN14" t="s">
        <v>81</v>
      </c>
      <c r="AO14" t="s">
        <v>81</v>
      </c>
      <c r="AP14" t="s">
        <v>81</v>
      </c>
      <c r="AQ14" t="s">
        <v>81</v>
      </c>
      <c r="AR14" t="s">
        <v>81</v>
      </c>
      <c r="AS14" t="s">
        <v>81</v>
      </c>
      <c r="AT14" t="s">
        <v>81</v>
      </c>
      <c r="AU14" t="s">
        <v>81</v>
      </c>
      <c r="AV14" t="s">
        <v>81</v>
      </c>
      <c r="AW14" t="s">
        <v>81</v>
      </c>
      <c r="AX14" t="s">
        <v>81</v>
      </c>
      <c r="AY14" t="s">
        <v>81</v>
      </c>
      <c r="AZ14" t="s">
        <v>81</v>
      </c>
      <c r="BA14" t="s">
        <v>81</v>
      </c>
      <c r="BB14" t="s">
        <v>81</v>
      </c>
      <c r="BC14" t="s">
        <v>81</v>
      </c>
      <c r="BD14" t="s">
        <v>81</v>
      </c>
      <c r="BE14" t="s">
        <v>81</v>
      </c>
      <c r="BF14" t="s">
        <v>81</v>
      </c>
      <c r="BG14" t="s">
        <v>81</v>
      </c>
      <c r="BH14" t="s">
        <v>81</v>
      </c>
      <c r="BI14" t="s">
        <v>81</v>
      </c>
      <c r="BJ14" t="s">
        <v>82</v>
      </c>
      <c r="BK14" t="s">
        <v>82</v>
      </c>
      <c r="BL14" t="s">
        <v>82</v>
      </c>
      <c r="BM14" t="s">
        <v>82</v>
      </c>
      <c r="BN14" t="s">
        <v>82</v>
      </c>
      <c r="BO14" t="s">
        <v>82</v>
      </c>
      <c r="BP14" t="s">
        <v>82</v>
      </c>
      <c r="BQ14" t="s">
        <v>82</v>
      </c>
      <c r="BR14" t="s">
        <v>83</v>
      </c>
      <c r="BS14" t="s">
        <v>83</v>
      </c>
      <c r="BT14" t="s">
        <v>83</v>
      </c>
      <c r="BU14" t="s">
        <v>83</v>
      </c>
      <c r="BV14" t="s">
        <v>83</v>
      </c>
      <c r="BW14" t="s">
        <v>83</v>
      </c>
      <c r="BX14" t="s">
        <v>83</v>
      </c>
      <c r="BY14" t="s">
        <v>83</v>
      </c>
      <c r="BZ14" t="s">
        <v>83</v>
      </c>
      <c r="CA14" t="s">
        <v>83</v>
      </c>
      <c r="CB14" t="s">
        <v>84</v>
      </c>
      <c r="CC14" t="s">
        <v>84</v>
      </c>
      <c r="CD14" t="s">
        <v>84</v>
      </c>
      <c r="CE14" t="s">
        <v>84</v>
      </c>
      <c r="CF14" t="s">
        <v>85</v>
      </c>
      <c r="CG14" t="s">
        <v>85</v>
      </c>
      <c r="CH14" t="s">
        <v>85</v>
      </c>
      <c r="CI14" t="s">
        <v>85</v>
      </c>
      <c r="CJ14" t="s">
        <v>85</v>
      </c>
      <c r="CK14" t="s">
        <v>85</v>
      </c>
      <c r="CL14" t="s">
        <v>85</v>
      </c>
      <c r="CM14" t="s">
        <v>85</v>
      </c>
      <c r="CN14" t="s">
        <v>85</v>
      </c>
      <c r="CO14" t="s">
        <v>85</v>
      </c>
      <c r="CP14" t="s">
        <v>85</v>
      </c>
      <c r="CQ14" t="s">
        <v>85</v>
      </c>
      <c r="CR14" t="s">
        <v>85</v>
      </c>
      <c r="CS14" t="s">
        <v>85</v>
      </c>
      <c r="CT14" t="s">
        <v>85</v>
      </c>
      <c r="CU14" t="s">
        <v>85</v>
      </c>
      <c r="CV14" t="s">
        <v>86</v>
      </c>
      <c r="CW14" t="s">
        <v>86</v>
      </c>
      <c r="CX14" t="s">
        <v>86</v>
      </c>
      <c r="CY14" t="s">
        <v>86</v>
      </c>
      <c r="CZ14" t="s">
        <v>86</v>
      </c>
      <c r="DA14" t="s">
        <v>86</v>
      </c>
      <c r="DB14" t="s">
        <v>86</v>
      </c>
      <c r="DC14" t="s">
        <v>86</v>
      </c>
      <c r="DD14" t="s">
        <v>86</v>
      </c>
      <c r="DE14" t="s">
        <v>86</v>
      </c>
      <c r="DF14" t="s">
        <v>86</v>
      </c>
      <c r="DG14" t="s">
        <v>86</v>
      </c>
      <c r="DH14" t="s">
        <v>87</v>
      </c>
      <c r="DI14" t="s">
        <v>87</v>
      </c>
      <c r="DJ14" t="s">
        <v>87</v>
      </c>
      <c r="DK14" t="s">
        <v>87</v>
      </c>
      <c r="DL14" t="s">
        <v>87</v>
      </c>
      <c r="DM14" t="s">
        <v>87</v>
      </c>
      <c r="DN14" t="s">
        <v>87</v>
      </c>
      <c r="DO14" t="s">
        <v>87</v>
      </c>
      <c r="DP14" t="s">
        <v>87</v>
      </c>
      <c r="DQ14" t="s">
        <v>87</v>
      </c>
      <c r="DR14" t="s">
        <v>87</v>
      </c>
      <c r="DS14" t="s">
        <v>87</v>
      </c>
      <c r="DT14" t="s">
        <v>87</v>
      </c>
      <c r="DU14" t="s">
        <v>87</v>
      </c>
      <c r="DV14" t="s">
        <v>87</v>
      </c>
      <c r="DW14" t="s">
        <v>87</v>
      </c>
      <c r="DX14" t="s">
        <v>87</v>
      </c>
      <c r="DY14" t="s">
        <v>88</v>
      </c>
      <c r="DZ14" t="s">
        <v>88</v>
      </c>
      <c r="EA14" t="s">
        <v>88</v>
      </c>
      <c r="EB14" t="s">
        <v>88</v>
      </c>
      <c r="EC14" t="s">
        <v>88</v>
      </c>
      <c r="ED14" t="s">
        <v>89</v>
      </c>
      <c r="EE14" t="s">
        <v>89</v>
      </c>
      <c r="EF14" t="s">
        <v>89</v>
      </c>
      <c r="EG14" t="s">
        <v>89</v>
      </c>
      <c r="EH14" t="s">
        <v>89</v>
      </c>
      <c r="EI14" t="s">
        <v>89</v>
      </c>
      <c r="EJ14" t="s">
        <v>89</v>
      </c>
      <c r="EK14" t="s">
        <v>89</v>
      </c>
      <c r="EL14" t="s">
        <v>89</v>
      </c>
      <c r="EM14" t="s">
        <v>90</v>
      </c>
      <c r="EN14" t="s">
        <v>90</v>
      </c>
      <c r="EO14" t="s">
        <v>90</v>
      </c>
      <c r="EP14" t="s">
        <v>90</v>
      </c>
      <c r="EQ14" t="s">
        <v>90</v>
      </c>
      <c r="ER14" t="s">
        <v>90</v>
      </c>
      <c r="ES14" t="s">
        <v>90</v>
      </c>
      <c r="ET14" t="s">
        <v>90</v>
      </c>
      <c r="EU14" t="s">
        <v>90</v>
      </c>
      <c r="EV14" t="s">
        <v>90</v>
      </c>
      <c r="EW14" t="s">
        <v>90</v>
      </c>
      <c r="EX14" t="s">
        <v>91</v>
      </c>
      <c r="EY14" t="s">
        <v>91</v>
      </c>
      <c r="EZ14" t="s">
        <v>91</v>
      </c>
      <c r="FA14" t="s">
        <v>91</v>
      </c>
      <c r="FB14" t="s">
        <v>91</v>
      </c>
      <c r="FC14" t="s">
        <v>91</v>
      </c>
      <c r="FD14" t="s">
        <v>91</v>
      </c>
      <c r="FE14" t="s">
        <v>91</v>
      </c>
      <c r="FF14" t="s">
        <v>91</v>
      </c>
      <c r="FG14" t="s">
        <v>91</v>
      </c>
      <c r="FH14" t="s">
        <v>91</v>
      </c>
      <c r="FI14" t="s">
        <v>91</v>
      </c>
      <c r="FJ14" t="s">
        <v>91</v>
      </c>
      <c r="FK14" t="s">
        <v>91</v>
      </c>
      <c r="FL14" t="s">
        <v>91</v>
      </c>
      <c r="FM14" t="s">
        <v>91</v>
      </c>
      <c r="FN14" t="s">
        <v>91</v>
      </c>
      <c r="FO14" t="s">
        <v>91</v>
      </c>
      <c r="FP14" t="s">
        <v>92</v>
      </c>
      <c r="FQ14" t="s">
        <v>92</v>
      </c>
      <c r="FR14" t="s">
        <v>92</v>
      </c>
      <c r="FS14" t="s">
        <v>92</v>
      </c>
      <c r="FT14" t="s">
        <v>92</v>
      </c>
      <c r="FU14" t="s">
        <v>92</v>
      </c>
      <c r="FV14" t="s">
        <v>92</v>
      </c>
      <c r="FW14" t="s">
        <v>92</v>
      </c>
      <c r="FX14" t="s">
        <v>92</v>
      </c>
      <c r="FY14" t="s">
        <v>92</v>
      </c>
      <c r="FZ14" t="s">
        <v>92</v>
      </c>
      <c r="GA14" t="s">
        <v>92</v>
      </c>
      <c r="GB14" t="s">
        <v>92</v>
      </c>
      <c r="GC14" t="s">
        <v>92</v>
      </c>
      <c r="GD14" t="s">
        <v>92</v>
      </c>
      <c r="GE14" t="s">
        <v>92</v>
      </c>
      <c r="GF14" t="s">
        <v>92</v>
      </c>
      <c r="GG14" t="s">
        <v>92</v>
      </c>
      <c r="GH14" t="s">
        <v>92</v>
      </c>
      <c r="GI14" t="s">
        <v>93</v>
      </c>
      <c r="GJ14" t="s">
        <v>93</v>
      </c>
      <c r="GK14" t="s">
        <v>93</v>
      </c>
      <c r="GL14" t="s">
        <v>93</v>
      </c>
      <c r="GM14" t="s">
        <v>93</v>
      </c>
      <c r="GN14" t="s">
        <v>93</v>
      </c>
      <c r="GO14" t="s">
        <v>93</v>
      </c>
      <c r="GP14" t="s">
        <v>93</v>
      </c>
      <c r="GQ14" t="s">
        <v>93</v>
      </c>
      <c r="GR14" t="s">
        <v>93</v>
      </c>
      <c r="GS14" t="s">
        <v>93</v>
      </c>
      <c r="GT14" t="s">
        <v>93</v>
      </c>
      <c r="GU14" t="s">
        <v>93</v>
      </c>
      <c r="GV14" t="s">
        <v>93</v>
      </c>
      <c r="GW14" t="s">
        <v>93</v>
      </c>
      <c r="GX14" t="s">
        <v>93</v>
      </c>
      <c r="GY14" t="s">
        <v>93</v>
      </c>
      <c r="GZ14" t="s">
        <v>93</v>
      </c>
      <c r="HA14" t="s">
        <v>93</v>
      </c>
      <c r="HB14" t="s">
        <v>94</v>
      </c>
      <c r="HC14" t="s">
        <v>94</v>
      </c>
      <c r="HD14" t="s">
        <v>94</v>
      </c>
      <c r="HE14" t="s">
        <v>94</v>
      </c>
      <c r="HF14" t="s">
        <v>94</v>
      </c>
      <c r="HG14" t="s">
        <v>94</v>
      </c>
      <c r="HH14" t="s">
        <v>94</v>
      </c>
      <c r="HI14" t="s">
        <v>94</v>
      </c>
      <c r="HJ14" t="s">
        <v>94</v>
      </c>
      <c r="HK14" t="s">
        <v>94</v>
      </c>
      <c r="HL14" t="s">
        <v>94</v>
      </c>
      <c r="HM14" t="s">
        <v>94</v>
      </c>
      <c r="HN14" t="s">
        <v>94</v>
      </c>
      <c r="HO14" t="s">
        <v>94</v>
      </c>
      <c r="HP14" t="s">
        <v>94</v>
      </c>
      <c r="HQ14" t="s">
        <v>94</v>
      </c>
      <c r="HR14" t="s">
        <v>94</v>
      </c>
      <c r="HS14" t="s">
        <v>94</v>
      </c>
      <c r="HT14" t="s">
        <v>94</v>
      </c>
      <c r="HU14" t="s">
        <v>94</v>
      </c>
    </row>
    <row r="15" spans="1:229" x14ac:dyDescent="0.35">
      <c r="A15" t="s">
        <v>95</v>
      </c>
      <c r="B15" t="s">
        <v>96</v>
      </c>
      <c r="C15" t="s">
        <v>97</v>
      </c>
      <c r="D15" t="s">
        <v>98</v>
      </c>
      <c r="E15" t="s">
        <v>99</v>
      </c>
      <c r="F15" t="s">
        <v>100</v>
      </c>
      <c r="G15" t="s">
        <v>101</v>
      </c>
      <c r="H15" t="s">
        <v>102</v>
      </c>
      <c r="I15" t="s">
        <v>103</v>
      </c>
      <c r="J15" t="s">
        <v>104</v>
      </c>
      <c r="K15" t="s">
        <v>105</v>
      </c>
      <c r="L15" t="s">
        <v>106</v>
      </c>
      <c r="M15" t="s">
        <v>107</v>
      </c>
      <c r="N15" t="s">
        <v>108</v>
      </c>
      <c r="O15" t="s">
        <v>109</v>
      </c>
      <c r="P15" t="s">
        <v>110</v>
      </c>
      <c r="Q15" t="s">
        <v>111</v>
      </c>
      <c r="R15" t="s">
        <v>112</v>
      </c>
      <c r="S15" t="s">
        <v>113</v>
      </c>
      <c r="T15" t="s">
        <v>114</v>
      </c>
      <c r="U15" t="s">
        <v>115</v>
      </c>
      <c r="V15" t="s">
        <v>116</v>
      </c>
      <c r="W15" t="s">
        <v>117</v>
      </c>
      <c r="X15" t="s">
        <v>118</v>
      </c>
      <c r="Y15" t="s">
        <v>119</v>
      </c>
      <c r="Z15" t="s">
        <v>120</v>
      </c>
      <c r="AA15" t="s">
        <v>121</v>
      </c>
      <c r="AB15" t="s">
        <v>122</v>
      </c>
      <c r="AC15" t="s">
        <v>123</v>
      </c>
      <c r="AD15" t="s">
        <v>124</v>
      </c>
      <c r="AE15" t="s">
        <v>125</v>
      </c>
      <c r="AF15" t="s">
        <v>126</v>
      </c>
      <c r="AG15" t="s">
        <v>80</v>
      </c>
      <c r="AH15" t="s">
        <v>127</v>
      </c>
      <c r="AI15" t="s">
        <v>128</v>
      </c>
      <c r="AJ15" t="s">
        <v>129</v>
      </c>
      <c r="AK15" t="s">
        <v>130</v>
      </c>
      <c r="AL15" t="s">
        <v>131</v>
      </c>
      <c r="AM15" t="s">
        <v>132</v>
      </c>
      <c r="AN15" t="s">
        <v>133</v>
      </c>
      <c r="AO15" t="s">
        <v>134</v>
      </c>
      <c r="AP15" t="s">
        <v>135</v>
      </c>
      <c r="AQ15" t="s">
        <v>136</v>
      </c>
      <c r="AR15" t="s">
        <v>137</v>
      </c>
      <c r="AS15" t="s">
        <v>138</v>
      </c>
      <c r="AT15" t="s">
        <v>139</v>
      </c>
      <c r="AU15" t="s">
        <v>140</v>
      </c>
      <c r="AV15" t="s">
        <v>141</v>
      </c>
      <c r="AW15" t="s">
        <v>142</v>
      </c>
      <c r="AX15" t="s">
        <v>143</v>
      </c>
      <c r="AY15" t="s">
        <v>144</v>
      </c>
      <c r="AZ15" t="s">
        <v>145</v>
      </c>
      <c r="BA15" t="s">
        <v>146</v>
      </c>
      <c r="BB15" t="s">
        <v>147</v>
      </c>
      <c r="BC15" t="s">
        <v>148</v>
      </c>
      <c r="BD15" t="s">
        <v>149</v>
      </c>
      <c r="BE15" t="s">
        <v>150</v>
      </c>
      <c r="BF15" t="s">
        <v>151</v>
      </c>
      <c r="BG15" t="s">
        <v>152</v>
      </c>
      <c r="BH15" t="s">
        <v>153</v>
      </c>
      <c r="BI15" t="s">
        <v>154</v>
      </c>
      <c r="BJ15" t="s">
        <v>155</v>
      </c>
      <c r="BK15" t="s">
        <v>156</v>
      </c>
      <c r="BL15" t="s">
        <v>157</v>
      </c>
      <c r="BM15" t="s">
        <v>158</v>
      </c>
      <c r="BN15" t="s">
        <v>159</v>
      </c>
      <c r="BO15" t="s">
        <v>160</v>
      </c>
      <c r="BP15" t="s">
        <v>161</v>
      </c>
      <c r="BQ15" t="s">
        <v>162</v>
      </c>
      <c r="BR15" t="s">
        <v>155</v>
      </c>
      <c r="BS15" t="s">
        <v>163</v>
      </c>
      <c r="BT15" t="s">
        <v>132</v>
      </c>
      <c r="BU15" t="s">
        <v>164</v>
      </c>
      <c r="BV15" t="s">
        <v>165</v>
      </c>
      <c r="BW15" t="s">
        <v>166</v>
      </c>
      <c r="BX15" t="s">
        <v>167</v>
      </c>
      <c r="BY15" t="s">
        <v>168</v>
      </c>
      <c r="BZ15" t="s">
        <v>169</v>
      </c>
      <c r="CA15" t="s">
        <v>170</v>
      </c>
      <c r="CB15" t="s">
        <v>171</v>
      </c>
      <c r="CC15" t="s">
        <v>172</v>
      </c>
      <c r="CD15" t="s">
        <v>173</v>
      </c>
      <c r="CE15" t="s">
        <v>174</v>
      </c>
      <c r="CF15" t="s">
        <v>101</v>
      </c>
      <c r="CG15" t="s">
        <v>175</v>
      </c>
      <c r="CH15" t="s">
        <v>176</v>
      </c>
      <c r="CI15" t="s">
        <v>177</v>
      </c>
      <c r="CJ15" t="s">
        <v>178</v>
      </c>
      <c r="CK15" t="s">
        <v>179</v>
      </c>
      <c r="CL15" t="s">
        <v>180</v>
      </c>
      <c r="CM15" t="s">
        <v>181</v>
      </c>
      <c r="CN15" t="s">
        <v>182</v>
      </c>
      <c r="CO15" t="s">
        <v>183</v>
      </c>
      <c r="CP15" t="s">
        <v>184</v>
      </c>
      <c r="CQ15" t="s">
        <v>185</v>
      </c>
      <c r="CR15" t="s">
        <v>186</v>
      </c>
      <c r="CS15" t="s">
        <v>187</v>
      </c>
      <c r="CT15" t="s">
        <v>188</v>
      </c>
      <c r="CU15" t="s">
        <v>189</v>
      </c>
      <c r="CV15" t="s">
        <v>190</v>
      </c>
      <c r="CW15" t="s">
        <v>191</v>
      </c>
      <c r="CX15" t="s">
        <v>192</v>
      </c>
      <c r="CY15" t="s">
        <v>193</v>
      </c>
      <c r="CZ15" t="s">
        <v>194</v>
      </c>
      <c r="DA15" t="s">
        <v>195</v>
      </c>
      <c r="DB15" t="s">
        <v>196</v>
      </c>
      <c r="DC15" t="s">
        <v>197</v>
      </c>
      <c r="DD15" t="s">
        <v>198</v>
      </c>
      <c r="DE15" t="s">
        <v>199</v>
      </c>
      <c r="DF15" t="s">
        <v>200</v>
      </c>
      <c r="DG15" t="s">
        <v>201</v>
      </c>
      <c r="DH15" t="s">
        <v>202</v>
      </c>
      <c r="DI15" t="s">
        <v>203</v>
      </c>
      <c r="DJ15" t="s">
        <v>204</v>
      </c>
      <c r="DK15" t="s">
        <v>205</v>
      </c>
      <c r="DL15" t="s">
        <v>206</v>
      </c>
      <c r="DM15" t="s">
        <v>207</v>
      </c>
      <c r="DN15" t="s">
        <v>208</v>
      </c>
      <c r="DO15" t="s">
        <v>209</v>
      </c>
      <c r="DP15" t="s">
        <v>210</v>
      </c>
      <c r="DQ15" t="s">
        <v>211</v>
      </c>
      <c r="DR15" t="s">
        <v>212</v>
      </c>
      <c r="DS15" t="s">
        <v>213</v>
      </c>
      <c r="DT15" t="s">
        <v>214</v>
      </c>
      <c r="DU15" t="s">
        <v>215</v>
      </c>
      <c r="DV15" t="s">
        <v>216</v>
      </c>
      <c r="DW15" t="s">
        <v>217</v>
      </c>
      <c r="DX15" t="s">
        <v>218</v>
      </c>
      <c r="DY15" t="s">
        <v>219</v>
      </c>
      <c r="DZ15" t="s">
        <v>220</v>
      </c>
      <c r="EA15" t="s">
        <v>221</v>
      </c>
      <c r="EB15" t="s">
        <v>222</v>
      </c>
      <c r="EC15" t="s">
        <v>223</v>
      </c>
      <c r="ED15" t="s">
        <v>96</v>
      </c>
      <c r="EE15" t="s">
        <v>99</v>
      </c>
      <c r="EF15" t="s">
        <v>224</v>
      </c>
      <c r="EG15" t="s">
        <v>225</v>
      </c>
      <c r="EH15" t="s">
        <v>226</v>
      </c>
      <c r="EI15" t="s">
        <v>227</v>
      </c>
      <c r="EJ15" t="s">
        <v>228</v>
      </c>
      <c r="EK15" t="s">
        <v>229</v>
      </c>
      <c r="EL15" t="s">
        <v>230</v>
      </c>
      <c r="EM15" t="s">
        <v>231</v>
      </c>
      <c r="EN15" t="s">
        <v>232</v>
      </c>
      <c r="EO15" t="s">
        <v>233</v>
      </c>
      <c r="EP15" t="s">
        <v>234</v>
      </c>
      <c r="EQ15" t="s">
        <v>235</v>
      </c>
      <c r="ER15" t="s">
        <v>236</v>
      </c>
      <c r="ES15" t="s">
        <v>237</v>
      </c>
      <c r="ET15" t="s">
        <v>238</v>
      </c>
      <c r="EU15" t="s">
        <v>239</v>
      </c>
      <c r="EV15" t="s">
        <v>240</v>
      </c>
      <c r="EW15" t="s">
        <v>241</v>
      </c>
      <c r="EX15" t="s">
        <v>242</v>
      </c>
      <c r="EY15" t="s">
        <v>243</v>
      </c>
      <c r="EZ15" t="s">
        <v>244</v>
      </c>
      <c r="FA15" t="s">
        <v>245</v>
      </c>
      <c r="FB15" t="s">
        <v>246</v>
      </c>
      <c r="FC15" t="s">
        <v>247</v>
      </c>
      <c r="FD15" t="s">
        <v>248</v>
      </c>
      <c r="FE15" t="s">
        <v>249</v>
      </c>
      <c r="FF15" t="s">
        <v>250</v>
      </c>
      <c r="FG15" t="s">
        <v>251</v>
      </c>
      <c r="FH15" t="s">
        <v>252</v>
      </c>
      <c r="FI15" t="s">
        <v>253</v>
      </c>
      <c r="FJ15" t="s">
        <v>254</v>
      </c>
      <c r="FK15" t="s">
        <v>255</v>
      </c>
      <c r="FL15" t="s">
        <v>256</v>
      </c>
      <c r="FM15" t="s">
        <v>257</v>
      </c>
      <c r="FN15" t="s">
        <v>258</v>
      </c>
      <c r="FO15" t="s">
        <v>259</v>
      </c>
      <c r="FP15" t="s">
        <v>260</v>
      </c>
      <c r="FQ15" t="s">
        <v>261</v>
      </c>
      <c r="FR15" t="s">
        <v>262</v>
      </c>
      <c r="FS15" t="s">
        <v>263</v>
      </c>
      <c r="FT15" t="s">
        <v>264</v>
      </c>
      <c r="FU15" t="s">
        <v>265</v>
      </c>
      <c r="FV15" t="s">
        <v>266</v>
      </c>
      <c r="FW15" t="s">
        <v>267</v>
      </c>
      <c r="FX15" t="s">
        <v>268</v>
      </c>
      <c r="FY15" t="s">
        <v>269</v>
      </c>
      <c r="FZ15" t="s">
        <v>270</v>
      </c>
      <c r="GA15" t="s">
        <v>271</v>
      </c>
      <c r="GB15" t="s">
        <v>272</v>
      </c>
      <c r="GC15" t="s">
        <v>273</v>
      </c>
      <c r="GD15" t="s">
        <v>274</v>
      </c>
      <c r="GE15" t="s">
        <v>275</v>
      </c>
      <c r="GF15" t="s">
        <v>276</v>
      </c>
      <c r="GG15" t="s">
        <v>277</v>
      </c>
      <c r="GH15" t="s">
        <v>278</v>
      </c>
      <c r="GI15" t="s">
        <v>279</v>
      </c>
      <c r="GJ15" t="s">
        <v>280</v>
      </c>
      <c r="GK15" t="s">
        <v>281</v>
      </c>
      <c r="GL15" t="s">
        <v>282</v>
      </c>
      <c r="GM15" t="s">
        <v>283</v>
      </c>
      <c r="GN15" t="s">
        <v>284</v>
      </c>
      <c r="GO15" t="s">
        <v>285</v>
      </c>
      <c r="GP15" t="s">
        <v>286</v>
      </c>
      <c r="GQ15" t="s">
        <v>287</v>
      </c>
      <c r="GR15" t="s">
        <v>288</v>
      </c>
      <c r="GS15" t="s">
        <v>289</v>
      </c>
      <c r="GT15" t="s">
        <v>290</v>
      </c>
      <c r="GU15" t="s">
        <v>291</v>
      </c>
      <c r="GV15" t="s">
        <v>292</v>
      </c>
      <c r="GW15" t="s">
        <v>293</v>
      </c>
      <c r="GX15" t="s">
        <v>294</v>
      </c>
      <c r="GY15" t="s">
        <v>295</v>
      </c>
      <c r="GZ15" t="s">
        <v>296</v>
      </c>
      <c r="HA15" t="s">
        <v>297</v>
      </c>
      <c r="HB15" t="s">
        <v>298</v>
      </c>
      <c r="HC15" t="s">
        <v>299</v>
      </c>
      <c r="HD15" t="s">
        <v>300</v>
      </c>
      <c r="HE15" t="s">
        <v>301</v>
      </c>
      <c r="HF15" t="s">
        <v>302</v>
      </c>
      <c r="HG15" t="s">
        <v>303</v>
      </c>
      <c r="HH15" t="s">
        <v>304</v>
      </c>
      <c r="HI15" t="s">
        <v>305</v>
      </c>
      <c r="HJ15" t="s">
        <v>306</v>
      </c>
      <c r="HK15" t="s">
        <v>307</v>
      </c>
      <c r="HL15" t="s">
        <v>308</v>
      </c>
      <c r="HM15" t="s">
        <v>309</v>
      </c>
      <c r="HN15" t="s">
        <v>310</v>
      </c>
      <c r="HO15" t="s">
        <v>311</v>
      </c>
      <c r="HP15" t="s">
        <v>312</v>
      </c>
      <c r="HQ15" t="s">
        <v>313</v>
      </c>
      <c r="HR15" t="s">
        <v>314</v>
      </c>
      <c r="HS15" t="s">
        <v>315</v>
      </c>
      <c r="HT15" t="s">
        <v>316</v>
      </c>
      <c r="HU15" t="s">
        <v>317</v>
      </c>
    </row>
    <row r="16" spans="1:229" x14ac:dyDescent="0.35">
      <c r="B16" t="s">
        <v>318</v>
      </c>
      <c r="C16" t="s">
        <v>318</v>
      </c>
      <c r="G16" t="s">
        <v>318</v>
      </c>
      <c r="H16" t="s">
        <v>319</v>
      </c>
      <c r="I16" t="s">
        <v>320</v>
      </c>
      <c r="J16" t="s">
        <v>321</v>
      </c>
      <c r="K16" t="s">
        <v>321</v>
      </c>
      <c r="L16" t="s">
        <v>180</v>
      </c>
      <c r="M16" t="s">
        <v>180</v>
      </c>
      <c r="N16" t="s">
        <v>319</v>
      </c>
      <c r="O16" t="s">
        <v>319</v>
      </c>
      <c r="P16" t="s">
        <v>319</v>
      </c>
      <c r="Q16" t="s">
        <v>319</v>
      </c>
      <c r="R16" t="s">
        <v>322</v>
      </c>
      <c r="S16" t="s">
        <v>323</v>
      </c>
      <c r="T16" t="s">
        <v>323</v>
      </c>
      <c r="U16" t="s">
        <v>324</v>
      </c>
      <c r="V16" t="s">
        <v>325</v>
      </c>
      <c r="W16" t="s">
        <v>324</v>
      </c>
      <c r="X16" t="s">
        <v>324</v>
      </c>
      <c r="Y16" t="s">
        <v>324</v>
      </c>
      <c r="Z16" t="s">
        <v>322</v>
      </c>
      <c r="AA16" t="s">
        <v>322</v>
      </c>
      <c r="AB16" t="s">
        <v>322</v>
      </c>
      <c r="AC16" t="s">
        <v>322</v>
      </c>
      <c r="AG16" t="s">
        <v>326</v>
      </c>
      <c r="AH16" t="s">
        <v>325</v>
      </c>
      <c r="AJ16" t="s">
        <v>325</v>
      </c>
      <c r="AK16" t="s">
        <v>326</v>
      </c>
      <c r="AQ16" t="s">
        <v>320</v>
      </c>
      <c r="AW16" t="s">
        <v>320</v>
      </c>
      <c r="AX16" t="s">
        <v>320</v>
      </c>
      <c r="AY16" t="s">
        <v>320</v>
      </c>
      <c r="BA16" t="s">
        <v>327</v>
      </c>
      <c r="BK16" t="s">
        <v>328</v>
      </c>
      <c r="BL16" t="s">
        <v>328</v>
      </c>
      <c r="BM16" t="s">
        <v>328</v>
      </c>
      <c r="BN16" t="s">
        <v>320</v>
      </c>
      <c r="BP16" t="s">
        <v>329</v>
      </c>
      <c r="BS16" t="s">
        <v>328</v>
      </c>
      <c r="BX16" t="s">
        <v>318</v>
      </c>
      <c r="BY16" t="s">
        <v>318</v>
      </c>
      <c r="BZ16" t="s">
        <v>318</v>
      </c>
      <c r="CA16" t="s">
        <v>318</v>
      </c>
      <c r="CB16" t="s">
        <v>320</v>
      </c>
      <c r="CC16" t="s">
        <v>320</v>
      </c>
      <c r="CE16" t="s">
        <v>330</v>
      </c>
      <c r="CF16" t="s">
        <v>318</v>
      </c>
      <c r="CG16" t="s">
        <v>321</v>
      </c>
      <c r="CH16" t="s">
        <v>321</v>
      </c>
      <c r="CI16" t="s">
        <v>331</v>
      </c>
      <c r="CJ16" t="s">
        <v>331</v>
      </c>
      <c r="CK16" t="s">
        <v>326</v>
      </c>
      <c r="CL16" t="s">
        <v>324</v>
      </c>
      <c r="CM16" t="s">
        <v>324</v>
      </c>
      <c r="CN16" t="s">
        <v>323</v>
      </c>
      <c r="CO16" t="s">
        <v>323</v>
      </c>
      <c r="CP16" t="s">
        <v>323</v>
      </c>
      <c r="CQ16" t="s">
        <v>323</v>
      </c>
      <c r="CR16" t="s">
        <v>323</v>
      </c>
      <c r="CS16" t="s">
        <v>332</v>
      </c>
      <c r="CT16" t="s">
        <v>320</v>
      </c>
      <c r="CU16" t="s">
        <v>320</v>
      </c>
      <c r="CV16" t="s">
        <v>321</v>
      </c>
      <c r="CW16" t="s">
        <v>321</v>
      </c>
      <c r="CX16" t="s">
        <v>321</v>
      </c>
      <c r="CY16" t="s">
        <v>331</v>
      </c>
      <c r="CZ16" t="s">
        <v>321</v>
      </c>
      <c r="DA16" t="s">
        <v>321</v>
      </c>
      <c r="DB16" t="s">
        <v>331</v>
      </c>
      <c r="DC16" t="s">
        <v>331</v>
      </c>
      <c r="DD16" t="s">
        <v>324</v>
      </c>
      <c r="DE16" t="s">
        <v>324</v>
      </c>
      <c r="DF16" t="s">
        <v>323</v>
      </c>
      <c r="DG16" t="s">
        <v>323</v>
      </c>
      <c r="DH16" t="s">
        <v>320</v>
      </c>
      <c r="DM16" t="s">
        <v>320</v>
      </c>
      <c r="DP16" t="s">
        <v>323</v>
      </c>
      <c r="DQ16" t="s">
        <v>323</v>
      </c>
      <c r="DR16" t="s">
        <v>323</v>
      </c>
      <c r="DS16" t="s">
        <v>323</v>
      </c>
      <c r="DT16" t="s">
        <v>323</v>
      </c>
      <c r="DU16" t="s">
        <v>320</v>
      </c>
      <c r="DV16" t="s">
        <v>320</v>
      </c>
      <c r="DW16" t="s">
        <v>320</v>
      </c>
      <c r="DX16" t="s">
        <v>318</v>
      </c>
      <c r="DZ16" t="s">
        <v>333</v>
      </c>
      <c r="EA16" t="s">
        <v>333</v>
      </c>
      <c r="EC16" t="s">
        <v>318</v>
      </c>
      <c r="ED16" t="s">
        <v>334</v>
      </c>
      <c r="EG16" t="s">
        <v>335</v>
      </c>
      <c r="EH16" t="s">
        <v>336</v>
      </c>
      <c r="EI16" t="s">
        <v>335</v>
      </c>
      <c r="EJ16" t="s">
        <v>336</v>
      </c>
      <c r="EK16" t="s">
        <v>325</v>
      </c>
      <c r="EL16" t="s">
        <v>325</v>
      </c>
      <c r="EM16" t="s">
        <v>320</v>
      </c>
      <c r="EN16" t="s">
        <v>337</v>
      </c>
      <c r="EO16" t="s">
        <v>320</v>
      </c>
      <c r="EQ16" t="s">
        <v>319</v>
      </c>
      <c r="ER16" t="s">
        <v>338</v>
      </c>
      <c r="ES16" t="s">
        <v>319</v>
      </c>
      <c r="EX16" t="s">
        <v>339</v>
      </c>
      <c r="EY16" t="s">
        <v>339</v>
      </c>
      <c r="FL16" t="s">
        <v>339</v>
      </c>
      <c r="FM16" t="s">
        <v>339</v>
      </c>
      <c r="FN16" t="s">
        <v>340</v>
      </c>
      <c r="FO16" t="s">
        <v>340</v>
      </c>
      <c r="FP16" t="s">
        <v>323</v>
      </c>
      <c r="FQ16" t="s">
        <v>323</v>
      </c>
      <c r="FR16" t="s">
        <v>325</v>
      </c>
      <c r="FS16" t="s">
        <v>323</v>
      </c>
      <c r="FT16" t="s">
        <v>331</v>
      </c>
      <c r="FU16" t="s">
        <v>325</v>
      </c>
      <c r="FV16" t="s">
        <v>325</v>
      </c>
      <c r="FX16" t="s">
        <v>339</v>
      </c>
      <c r="FY16" t="s">
        <v>339</v>
      </c>
      <c r="FZ16" t="s">
        <v>339</v>
      </c>
      <c r="GA16" t="s">
        <v>339</v>
      </c>
      <c r="GB16" t="s">
        <v>339</v>
      </c>
      <c r="GC16" t="s">
        <v>339</v>
      </c>
      <c r="GD16" t="s">
        <v>339</v>
      </c>
      <c r="GE16" t="s">
        <v>341</v>
      </c>
      <c r="GF16" t="s">
        <v>341</v>
      </c>
      <c r="GG16" t="s">
        <v>342</v>
      </c>
      <c r="GH16" t="s">
        <v>341</v>
      </c>
      <c r="GI16" t="s">
        <v>339</v>
      </c>
      <c r="GJ16" t="s">
        <v>339</v>
      </c>
      <c r="GK16" t="s">
        <v>339</v>
      </c>
      <c r="GL16" t="s">
        <v>339</v>
      </c>
      <c r="GM16" t="s">
        <v>339</v>
      </c>
      <c r="GN16" t="s">
        <v>339</v>
      </c>
      <c r="GO16" t="s">
        <v>339</v>
      </c>
      <c r="GP16" t="s">
        <v>339</v>
      </c>
      <c r="GQ16" t="s">
        <v>339</v>
      </c>
      <c r="GR16" t="s">
        <v>339</v>
      </c>
      <c r="GS16" t="s">
        <v>339</v>
      </c>
      <c r="GT16" t="s">
        <v>339</v>
      </c>
      <c r="HA16" t="s">
        <v>339</v>
      </c>
      <c r="HB16" t="s">
        <v>325</v>
      </c>
      <c r="HC16" t="s">
        <v>325</v>
      </c>
      <c r="HD16" t="s">
        <v>335</v>
      </c>
      <c r="HE16" t="s">
        <v>336</v>
      </c>
      <c r="HG16" t="s">
        <v>326</v>
      </c>
      <c r="HH16" t="s">
        <v>326</v>
      </c>
      <c r="HI16" t="s">
        <v>323</v>
      </c>
      <c r="HJ16" t="s">
        <v>323</v>
      </c>
      <c r="HK16" t="s">
        <v>323</v>
      </c>
      <c r="HL16" t="s">
        <v>323</v>
      </c>
      <c r="HM16" t="s">
        <v>323</v>
      </c>
      <c r="HN16" t="s">
        <v>325</v>
      </c>
      <c r="HO16" t="s">
        <v>325</v>
      </c>
      <c r="HP16" t="s">
        <v>325</v>
      </c>
      <c r="HQ16" t="s">
        <v>323</v>
      </c>
      <c r="HR16" t="s">
        <v>321</v>
      </c>
      <c r="HS16" t="s">
        <v>331</v>
      </c>
      <c r="HT16" t="s">
        <v>325</v>
      </c>
      <c r="HU16" t="s">
        <v>325</v>
      </c>
    </row>
    <row r="17" spans="1:229" x14ac:dyDescent="0.35">
      <c r="A17">
        <v>1</v>
      </c>
      <c r="B17">
        <v>1564943538.5999999</v>
      </c>
      <c r="C17">
        <v>0</v>
      </c>
      <c r="D17" t="s">
        <v>343</v>
      </c>
      <c r="E17" t="s">
        <v>344</v>
      </c>
      <c r="G17">
        <v>1564943530.5999999</v>
      </c>
      <c r="H17">
        <f t="shared" ref="H17:H29" si="0">CK17*AI17*(CI17-CJ17)/(100*$B$5*(1000-AI17*CI17))</f>
        <v>3.4155258476623331E-3</v>
      </c>
      <c r="I17">
        <f t="shared" ref="I17:I29" si="1">CK17*AI17*(CH17-CG17*(1000-AI17*CJ17)/(1000-AI17*CI17))/(100*$B$5)</f>
        <v>20.373797239392044</v>
      </c>
      <c r="J17">
        <f t="shared" ref="J17:J29" si="2">CG17 - IF(AI17&gt;1, I17*$B$5*100/(AK17*CS17), 0)</f>
        <v>391.33319354838699</v>
      </c>
      <c r="K17">
        <f t="shared" ref="K17:K29" si="3">((Q17-H17/2)*J17-I17)/(Q17+H17/2)</f>
        <v>197.54480235677559</v>
      </c>
      <c r="L17">
        <f t="shared" ref="L17:L29" si="4">K17*(CL17+CM17)/1000</f>
        <v>19.6451130224454</v>
      </c>
      <c r="M17">
        <f t="shared" ref="M17:M29" si="5">(CG17 - IF(AI17&gt;1, I17*$B$5*100/(AK17*CS17), 0))*(CL17+CM17)/1000</f>
        <v>38.916664599497018</v>
      </c>
      <c r="N17">
        <f t="shared" ref="N17:N29" si="6">2/((1/P17-1/O17)+SIGN(P17)*SQRT((1/P17-1/O17)*(1/P17-1/O17) + 4*$C$5/(($C$5+1)*($C$5+1))*(2*1/P17*1/O17-1/O17*1/O17)))</f>
        <v>0.18100016480112832</v>
      </c>
      <c r="O17">
        <f t="shared" ref="O17:O29" si="7">AF17+AE17*$B$5+AD17*$B$5*$B$5</f>
        <v>3.3840781412294216</v>
      </c>
      <c r="P17">
        <f t="shared" ref="P17:P29" si="8">H17*(1000-(1000*0.61365*EXP(17.502*T17/(240.97+T17))/(CL17+CM17)+CI17)/2)/(1000*0.61365*EXP(17.502*T17/(240.97+T17))/(CL17+CM17)-CI17)</f>
        <v>0.17578884398696129</v>
      </c>
      <c r="Q17">
        <f t="shared" ref="Q17:Q29" si="9">1/(($C$5+1)/(N17/1.6)+1/(O17/1.37)) + $C$5/(($C$5+1)/(N17/1.6) + $C$5/(O17/1.37))</f>
        <v>0.11032374599941641</v>
      </c>
      <c r="R17">
        <f t="shared" ref="R17:R29" si="10">(CC17*CE17)</f>
        <v>363.46931378011044</v>
      </c>
      <c r="S17">
        <f t="shared" ref="S17:S29" si="11">(CN17+(R17+2*0.95*0.0000000567*(((CN17+$B$7)+273)^4-(CN17+273)^4)-44100*H17)/(1.84*29.3*O17+8*0.95*0.0000000567*(CN17+273)^3))</f>
        <v>25.631411441480036</v>
      </c>
      <c r="T17">
        <f t="shared" ref="T17:T29" si="12">($C$7*CO17+$D$7*CP17+$E$7*S17)</f>
        <v>27.071187096774199</v>
      </c>
      <c r="U17">
        <f t="shared" ref="U17:U29" si="13">0.61365*EXP(17.502*T17/(240.97+T17))</f>
        <v>3.5941514752482049</v>
      </c>
      <c r="V17">
        <f t="shared" ref="V17:V29" si="14">(W17/X17*100)</f>
        <v>55.412984957657365</v>
      </c>
      <c r="W17">
        <f t="shared" ref="W17:W29" si="15">CI17*(CL17+CM17)/1000</f>
        <v>1.7135006914057298</v>
      </c>
      <c r="X17">
        <f t="shared" ref="X17:X29" si="16">0.61365*EXP(17.502*CN17/(240.97+CN17))</f>
        <v>3.0922367613205899</v>
      </c>
      <c r="Y17">
        <f t="shared" ref="Y17:Y29" si="17">(U17-CI17*(CL17+CM17)/1000)</f>
        <v>1.8806507838424751</v>
      </c>
      <c r="Z17">
        <f t="shared" ref="Z17:Z29" si="18">(-H17*44100)</f>
        <v>-150.62468988190889</v>
      </c>
      <c r="AA17">
        <f t="shared" ref="AA17:AA29" si="19">2*29.3*O17*0.92*(CN17-T17)</f>
        <v>-463.05475400972426</v>
      </c>
      <c r="AB17">
        <f t="shared" ref="AB17:AB29" si="20">2*0.95*0.0000000567*(((CN17+$B$7)+273)^4-(T17+273)^4)</f>
        <v>-29.178444244713059</v>
      </c>
      <c r="AC17">
        <f t="shared" ref="AC17:AC29" si="21">R17+AB17+Z17+AA17</f>
        <v>-279.38857435623572</v>
      </c>
      <c r="AD17">
        <v>-4.1201190250068097E-2</v>
      </c>
      <c r="AE17">
        <v>4.6251945478206803E-2</v>
      </c>
      <c r="AF17">
        <v>3.4563790112732802</v>
      </c>
      <c r="AG17">
        <v>0</v>
      </c>
      <c r="AH17">
        <v>0</v>
      </c>
      <c r="AI17">
        <f t="shared" ref="AI17:AI29" si="22">IF(AG17*$H$13&gt;=AK17,1,(AK17/(AK17-AG17*$H$13)))</f>
        <v>1</v>
      </c>
      <c r="AJ17">
        <f t="shared" ref="AJ17:AJ29" si="23">(AI17-1)*100</f>
        <v>0</v>
      </c>
      <c r="AK17">
        <f t="shared" ref="AK17:AK29" si="24">MAX(0,($B$13+$C$13*CS17)/(1+$D$13*CS17)*CL17/(CN17+273)*$E$13)</f>
        <v>52973.3887763319</v>
      </c>
      <c r="AL17">
        <v>0</v>
      </c>
      <c r="AM17">
        <v>2.4</v>
      </c>
      <c r="AN17">
        <v>3.6</v>
      </c>
      <c r="AO17">
        <f t="shared" ref="AO17:AO29" si="25">AN17-AM17</f>
        <v>1.2000000000000002</v>
      </c>
      <c r="AP17">
        <f t="shared" ref="AP17:AP29" si="26">AO17/AN17</f>
        <v>0.33333333333333337</v>
      </c>
      <c r="AQ17">
        <v>-1</v>
      </c>
      <c r="AR17" t="s">
        <v>345</v>
      </c>
      <c r="AS17">
        <v>242.37911764705899</v>
      </c>
      <c r="AT17">
        <v>318.63099999999997</v>
      </c>
      <c r="AU17">
        <f t="shared" ref="AU17:AU29" si="27">1-AS17/AT17</f>
        <v>0.23931093444436036</v>
      </c>
      <c r="AV17">
        <v>0.5</v>
      </c>
      <c r="AW17">
        <f t="shared" ref="AW17:AW29" si="28">CC17</f>
        <v>1854.5677404912442</v>
      </c>
      <c r="AX17">
        <f t="shared" ref="AX17:AX29" si="29">I17</f>
        <v>20.373797239392044</v>
      </c>
      <c r="AY17">
        <f t="shared" ref="AY17:AY29" si="30">AU17*AV17*AW17</f>
        <v>221.90916948366282</v>
      </c>
      <c r="AZ17">
        <f t="shared" ref="AZ17:AZ29" si="31">BE17/AT17</f>
        <v>0.47148896372292709</v>
      </c>
      <c r="BA17">
        <f t="shared" ref="BA17:BA29" si="32">(AX17-AQ17)/AW17</f>
        <v>1.1524948252216703E-2</v>
      </c>
      <c r="BB17">
        <f t="shared" ref="BB17:BB29" si="33">(AN17-AT17)/AT17</f>
        <v>-0.98870166430761597</v>
      </c>
      <c r="BC17" t="s">
        <v>346</v>
      </c>
      <c r="BD17">
        <v>168.4</v>
      </c>
      <c r="BE17">
        <f t="shared" ref="BE17:BE29" si="34">AT17-BD17</f>
        <v>150.23099999999997</v>
      </c>
      <c r="BF17">
        <f t="shared" ref="BF17:BF29" si="35">(AT17-AS17)/(AT17-BD17)</f>
        <v>0.50756423343345247</v>
      </c>
      <c r="BG17">
        <f t="shared" ref="BG17:BG29" si="36">(AN17-AT17)/(AN17-BD17)</f>
        <v>1.9115958737864074</v>
      </c>
      <c r="BH17">
        <f t="shared" ref="BH17:BH29" si="37">(AT17-AS17)/(AT17-AM17)</f>
        <v>0.24112715816267533</v>
      </c>
      <c r="BI17">
        <f t="shared" ref="BI17:BI29" si="38">(AN17-AT17)/(AN17-AM17)</f>
        <v>-262.52583333333325</v>
      </c>
      <c r="BJ17">
        <v>7346</v>
      </c>
      <c r="BK17">
        <v>300</v>
      </c>
      <c r="BL17">
        <v>300</v>
      </c>
      <c r="BM17">
        <v>300</v>
      </c>
      <c r="BN17">
        <v>9035.64</v>
      </c>
      <c r="BO17">
        <v>294.33199999999999</v>
      </c>
      <c r="BP17">
        <v>-5.8603300000000004E-3</v>
      </c>
      <c r="BQ17">
        <v>1.1588400000000001</v>
      </c>
      <c r="BR17" t="s">
        <v>347</v>
      </c>
      <c r="BS17" t="s">
        <v>347</v>
      </c>
      <c r="BT17" t="s">
        <v>347</v>
      </c>
      <c r="BU17" t="s">
        <v>347</v>
      </c>
      <c r="BV17" t="s">
        <v>347</v>
      </c>
      <c r="BW17" t="s">
        <v>347</v>
      </c>
      <c r="BX17" t="s">
        <v>347</v>
      </c>
      <c r="BY17" t="s">
        <v>347</v>
      </c>
      <c r="BZ17" t="s">
        <v>347</v>
      </c>
      <c r="CA17" t="s">
        <v>347</v>
      </c>
      <c r="CB17">
        <f t="shared" ref="CB17:CB29" si="39">$B$11*CT17+$C$11*CU17+$F$11*DH17</f>
        <v>2199.98</v>
      </c>
      <c r="CC17">
        <f t="shared" ref="CC17:CC29" si="40">CB17*CD17</f>
        <v>1854.5677404912442</v>
      </c>
      <c r="CD17">
        <f t="shared" ref="CD17:CD29" si="41">($B$11*$D$9+$C$11*$D$9+$F$11*((DU17+DM17)/MAX(DU17+DM17+DV17, 0.1)*$I$9+DV17/MAX(DU17+DM17+DV17, 0.1)*$J$9))/($B$11+$C$11+$F$11)</f>
        <v>0.84299300015965795</v>
      </c>
      <c r="CE17">
        <f t="shared" ref="CE17:CE29" si="42">($B$11*$K$9+$C$11*$K$9+$F$11*((DU17+DM17)/MAX(DU17+DM17+DV17, 0.1)*$P$9+DV17/MAX(DU17+DM17+DV17, 0.1)*$Q$9))/($B$11+$C$11+$F$11)</f>
        <v>0.19598600031931618</v>
      </c>
      <c r="CF17">
        <v>1564943530.5999999</v>
      </c>
      <c r="CG17">
        <v>391.33319354838699</v>
      </c>
      <c r="CH17">
        <v>400.01690322580703</v>
      </c>
      <c r="CI17">
        <v>17.230399999999999</v>
      </c>
      <c r="CJ17">
        <v>15.8878</v>
      </c>
      <c r="CK17">
        <v>500.026064516129</v>
      </c>
      <c r="CL17">
        <v>99.346303225806494</v>
      </c>
      <c r="CM17">
        <v>0.100064322580645</v>
      </c>
      <c r="CN17">
        <v>24.533100000000001</v>
      </c>
      <c r="CO17">
        <v>27.071187096774199</v>
      </c>
      <c r="CP17">
        <v>999.9</v>
      </c>
      <c r="CQ17">
        <v>0</v>
      </c>
      <c r="CR17">
        <v>0</v>
      </c>
      <c r="CS17">
        <v>10001.245161290301</v>
      </c>
      <c r="CT17">
        <v>0</v>
      </c>
      <c r="CU17">
        <v>256.93838709677402</v>
      </c>
      <c r="CV17">
        <v>-8.6836099999999998</v>
      </c>
      <c r="CW17">
        <v>398.19429032258103</v>
      </c>
      <c r="CX17">
        <v>406.47483870967699</v>
      </c>
      <c r="CY17">
        <v>1.3426</v>
      </c>
      <c r="CZ17">
        <v>387.38122580645199</v>
      </c>
      <c r="DA17">
        <v>400.01690322580703</v>
      </c>
      <c r="DB17">
        <v>16.759399999999999</v>
      </c>
      <c r="DC17">
        <v>15.8878</v>
      </c>
      <c r="DD17">
        <v>1.71177612903226</v>
      </c>
      <c r="DE17">
        <v>1.57839516129032</v>
      </c>
      <c r="DF17">
        <v>15.003632258064499</v>
      </c>
      <c r="DG17">
        <v>13.749464516129001</v>
      </c>
      <c r="DH17">
        <v>2199.98</v>
      </c>
      <c r="DI17">
        <v>0.90000622580645095</v>
      </c>
      <c r="DJ17">
        <v>9.9994054838709698E-2</v>
      </c>
      <c r="DK17">
        <v>0</v>
      </c>
      <c r="DL17">
        <v>242.40183870967701</v>
      </c>
      <c r="DM17">
        <v>5.0002700000000004</v>
      </c>
      <c r="DN17">
        <v>8064.6180645161303</v>
      </c>
      <c r="DO17">
        <v>20015.9483870968</v>
      </c>
      <c r="DP17">
        <v>47.384967741935498</v>
      </c>
      <c r="DQ17">
        <v>47.816064516129003</v>
      </c>
      <c r="DR17">
        <v>47.758000000000003</v>
      </c>
      <c r="DS17">
        <v>47.122838709677403</v>
      </c>
      <c r="DT17">
        <v>48.328258064516099</v>
      </c>
      <c r="DU17">
        <v>1975.4964516129</v>
      </c>
      <c r="DV17">
        <v>219.48483870967701</v>
      </c>
      <c r="DW17">
        <v>0</v>
      </c>
      <c r="DX17">
        <v>4926</v>
      </c>
      <c r="DY17">
        <v>242.37911764705899</v>
      </c>
      <c r="DZ17">
        <v>-1.1139705836307701</v>
      </c>
      <c r="EA17">
        <v>-336.681373780824</v>
      </c>
      <c r="EB17">
        <v>8064.2870588235301</v>
      </c>
      <c r="EC17">
        <v>10</v>
      </c>
      <c r="ED17">
        <v>1564943501.0999999</v>
      </c>
      <c r="EE17" t="s">
        <v>348</v>
      </c>
      <c r="EF17">
        <v>41</v>
      </c>
      <c r="EG17">
        <v>3.952</v>
      </c>
      <c r="EH17">
        <v>0.47099999999999997</v>
      </c>
      <c r="EI17">
        <v>400</v>
      </c>
      <c r="EJ17">
        <v>16</v>
      </c>
      <c r="EK17">
        <v>0.26</v>
      </c>
      <c r="EL17">
        <v>0.1</v>
      </c>
      <c r="EM17">
        <v>20.3741035745992</v>
      </c>
      <c r="EN17">
        <v>0.15888890415370999</v>
      </c>
      <c r="EO17">
        <v>0.11889246196712799</v>
      </c>
      <c r="EP17">
        <v>1</v>
      </c>
      <c r="EQ17">
        <v>0.181449931164681</v>
      </c>
      <c r="ER17">
        <v>-4.6210076297798601E-3</v>
      </c>
      <c r="ES17">
        <v>1.1272134951269099E-3</v>
      </c>
      <c r="ET17">
        <v>1</v>
      </c>
      <c r="EU17">
        <v>2</v>
      </c>
      <c r="EV17">
        <v>2</v>
      </c>
      <c r="EW17" t="s">
        <v>349</v>
      </c>
      <c r="EX17">
        <v>2.9489800000000002</v>
      </c>
      <c r="EY17">
        <v>2.7774999999999999</v>
      </c>
      <c r="EZ17">
        <v>9.1601500000000002E-2</v>
      </c>
      <c r="FA17">
        <v>9.1449799999999998E-2</v>
      </c>
      <c r="FB17">
        <v>8.6979299999999996E-2</v>
      </c>
      <c r="FC17">
        <v>7.9644499999999993E-2</v>
      </c>
      <c r="FD17">
        <v>21823.8</v>
      </c>
      <c r="FE17">
        <v>21917.9</v>
      </c>
      <c r="FF17">
        <v>22595.3</v>
      </c>
      <c r="FG17">
        <v>26463.7</v>
      </c>
      <c r="FH17">
        <v>29505.200000000001</v>
      </c>
      <c r="FI17">
        <v>38222.800000000003</v>
      </c>
      <c r="FJ17">
        <v>32290.799999999999</v>
      </c>
      <c r="FK17">
        <v>42150.400000000001</v>
      </c>
      <c r="FL17">
        <v>1.9375</v>
      </c>
      <c r="FM17">
        <v>1.82765</v>
      </c>
      <c r="FN17">
        <v>7.8529100000000004E-2</v>
      </c>
      <c r="FO17">
        <v>0</v>
      </c>
      <c r="FP17">
        <v>25.770600000000002</v>
      </c>
      <c r="FQ17">
        <v>999.9</v>
      </c>
      <c r="FR17">
        <v>29.690999999999999</v>
      </c>
      <c r="FS17">
        <v>43.164999999999999</v>
      </c>
      <c r="FT17">
        <v>26.188199999999998</v>
      </c>
      <c r="FU17">
        <v>61.817599999999999</v>
      </c>
      <c r="FV17">
        <v>46.225999999999999</v>
      </c>
      <c r="FW17">
        <v>1</v>
      </c>
      <c r="FX17">
        <v>0.59965400000000002</v>
      </c>
      <c r="FY17">
        <v>9.2810500000000005</v>
      </c>
      <c r="FZ17">
        <v>20.010899999999999</v>
      </c>
      <c r="GA17">
        <v>5.2265699999999997</v>
      </c>
      <c r="GB17">
        <v>11.962</v>
      </c>
      <c r="GC17">
        <v>4.9717500000000001</v>
      </c>
      <c r="GD17">
        <v>3.2949999999999999</v>
      </c>
      <c r="GE17">
        <v>9999</v>
      </c>
      <c r="GF17">
        <v>9999</v>
      </c>
      <c r="GG17">
        <v>460.6</v>
      </c>
      <c r="GH17">
        <v>9999</v>
      </c>
      <c r="GI17">
        <v>1.8663000000000001</v>
      </c>
      <c r="GJ17">
        <v>1.8657300000000001</v>
      </c>
      <c r="GK17">
        <v>1.86592</v>
      </c>
      <c r="GL17">
        <v>1.8689</v>
      </c>
      <c r="GM17">
        <v>1.8631800000000001</v>
      </c>
      <c r="GN17">
        <v>1.86131</v>
      </c>
      <c r="GO17">
        <v>1.8575200000000001</v>
      </c>
      <c r="GP17">
        <v>1.8636699999999999</v>
      </c>
      <c r="GQ17" t="s">
        <v>350</v>
      </c>
      <c r="GR17" t="s">
        <v>19</v>
      </c>
      <c r="GS17" t="s">
        <v>19</v>
      </c>
      <c r="GT17" t="s">
        <v>19</v>
      </c>
      <c r="GU17" t="s">
        <v>351</v>
      </c>
      <c r="GV17" t="s">
        <v>352</v>
      </c>
      <c r="GW17" t="s">
        <v>353</v>
      </c>
      <c r="GX17" t="s">
        <v>353</v>
      </c>
      <c r="GY17" t="s">
        <v>353</v>
      </c>
      <c r="GZ17" t="s">
        <v>353</v>
      </c>
      <c r="HA17">
        <v>0</v>
      </c>
      <c r="HB17">
        <v>100</v>
      </c>
      <c r="HC17">
        <v>100</v>
      </c>
      <c r="HD17">
        <v>3.952</v>
      </c>
      <c r="HE17">
        <v>0.47099999999999997</v>
      </c>
      <c r="HF17">
        <v>2</v>
      </c>
      <c r="HG17">
        <v>503.71199999999999</v>
      </c>
      <c r="HH17">
        <v>470.57100000000003</v>
      </c>
      <c r="HI17">
        <v>17.4742</v>
      </c>
      <c r="HJ17">
        <v>34.466200000000001</v>
      </c>
      <c r="HK17">
        <v>29.999400000000001</v>
      </c>
      <c r="HL17">
        <v>34.475099999999998</v>
      </c>
      <c r="HM17">
        <v>34.452300000000001</v>
      </c>
      <c r="HN17">
        <v>21.259399999999999</v>
      </c>
      <c r="HO17">
        <v>40.0075</v>
      </c>
      <c r="HP17">
        <v>0</v>
      </c>
      <c r="HQ17">
        <v>15.5307</v>
      </c>
      <c r="HR17">
        <v>400</v>
      </c>
      <c r="HS17">
        <v>15.826700000000001</v>
      </c>
      <c r="HT17">
        <v>99.380300000000005</v>
      </c>
      <c r="HU17">
        <v>102.78100000000001</v>
      </c>
    </row>
    <row r="18" spans="1:229" x14ac:dyDescent="0.35">
      <c r="A18">
        <v>2</v>
      </c>
      <c r="B18">
        <v>1564943631.0999999</v>
      </c>
      <c r="C18">
        <v>92.5</v>
      </c>
      <c r="D18" t="s">
        <v>354</v>
      </c>
      <c r="E18" t="s">
        <v>355</v>
      </c>
      <c r="G18">
        <v>1564943623.0999999</v>
      </c>
      <c r="H18">
        <f t="shared" si="0"/>
        <v>3.2275585763971472E-3</v>
      </c>
      <c r="I18">
        <f t="shared" si="1"/>
        <v>14.866281336312989</v>
      </c>
      <c r="J18">
        <f t="shared" si="2"/>
        <v>293.65077419354799</v>
      </c>
      <c r="K18">
        <f t="shared" si="3"/>
        <v>144.66310091146048</v>
      </c>
      <c r="L18">
        <f t="shared" si="4"/>
        <v>14.385724304946379</v>
      </c>
      <c r="M18">
        <f t="shared" si="5"/>
        <v>29.201496807869002</v>
      </c>
      <c r="N18">
        <f t="shared" si="6"/>
        <v>0.17126517621307824</v>
      </c>
      <c r="O18">
        <f t="shared" si="7"/>
        <v>3.3849065547393984</v>
      </c>
      <c r="P18">
        <f t="shared" si="8"/>
        <v>0.1665926732656218</v>
      </c>
      <c r="Q18">
        <f t="shared" si="9"/>
        <v>0.10452960870260058</v>
      </c>
      <c r="R18">
        <f t="shared" si="10"/>
        <v>363.47306464220793</v>
      </c>
      <c r="S18">
        <f t="shared" si="11"/>
        <v>25.681894954915865</v>
      </c>
      <c r="T18">
        <f t="shared" si="12"/>
        <v>27.021777419354802</v>
      </c>
      <c r="U18">
        <f t="shared" si="13"/>
        <v>3.5837401438579266</v>
      </c>
      <c r="V18">
        <f t="shared" si="14"/>
        <v>55.221805155172042</v>
      </c>
      <c r="W18">
        <f t="shared" si="15"/>
        <v>1.7084021503996718</v>
      </c>
      <c r="X18">
        <f t="shared" si="16"/>
        <v>3.0937093519472962</v>
      </c>
      <c r="Y18">
        <f t="shared" si="17"/>
        <v>1.8753379934582548</v>
      </c>
      <c r="Z18">
        <f t="shared" si="18"/>
        <v>-142.3353332191142</v>
      </c>
      <c r="AA18">
        <f t="shared" si="19"/>
        <v>-452.69923676975992</v>
      </c>
      <c r="AB18">
        <f t="shared" si="20"/>
        <v>-28.512974254382826</v>
      </c>
      <c r="AC18">
        <f t="shared" si="21"/>
        <v>-260.07447960104901</v>
      </c>
      <c r="AD18">
        <v>-4.1214005748228297E-2</v>
      </c>
      <c r="AE18">
        <v>4.6266331997590997E-2</v>
      </c>
      <c r="AF18">
        <v>3.4572299137371298</v>
      </c>
      <c r="AG18">
        <v>0</v>
      </c>
      <c r="AH18">
        <v>0</v>
      </c>
      <c r="AI18">
        <f t="shared" si="22"/>
        <v>1</v>
      </c>
      <c r="AJ18">
        <f t="shared" si="23"/>
        <v>0</v>
      </c>
      <c r="AK18">
        <f t="shared" si="24"/>
        <v>52987.700572301575</v>
      </c>
      <c r="AL18">
        <v>0</v>
      </c>
      <c r="AM18">
        <v>2.4</v>
      </c>
      <c r="AN18">
        <v>3.6</v>
      </c>
      <c r="AO18">
        <f t="shared" si="25"/>
        <v>1.2000000000000002</v>
      </c>
      <c r="AP18">
        <f t="shared" si="26"/>
        <v>0.33333333333333337</v>
      </c>
      <c r="AQ18">
        <v>-1</v>
      </c>
      <c r="AR18" t="s">
        <v>356</v>
      </c>
      <c r="AS18">
        <v>241.16900000000001</v>
      </c>
      <c r="AT18">
        <v>309.185</v>
      </c>
      <c r="AU18">
        <f t="shared" si="27"/>
        <v>0.21998479874508792</v>
      </c>
      <c r="AV18">
        <v>0.5</v>
      </c>
      <c r="AW18">
        <f t="shared" si="28"/>
        <v>1854.5858120951002</v>
      </c>
      <c r="AX18">
        <f t="shared" si="29"/>
        <v>14.866281336312989</v>
      </c>
      <c r="AY18">
        <f t="shared" si="30"/>
        <v>203.99034331461803</v>
      </c>
      <c r="AZ18">
        <f t="shared" si="31"/>
        <v>0.44977925837281885</v>
      </c>
      <c r="BA18">
        <f t="shared" si="32"/>
        <v>8.5551616068868051E-3</v>
      </c>
      <c r="BB18">
        <f t="shared" si="33"/>
        <v>-0.98835648559923661</v>
      </c>
      <c r="BC18" t="s">
        <v>357</v>
      </c>
      <c r="BD18">
        <v>170.12</v>
      </c>
      <c r="BE18">
        <f t="shared" si="34"/>
        <v>139.065</v>
      </c>
      <c r="BF18">
        <f t="shared" si="35"/>
        <v>0.48909502750512346</v>
      </c>
      <c r="BG18">
        <f t="shared" si="36"/>
        <v>1.8351249099207301</v>
      </c>
      <c r="BH18">
        <f t="shared" si="37"/>
        <v>0.22170575484459795</v>
      </c>
      <c r="BI18">
        <f t="shared" si="38"/>
        <v>-254.65416666666661</v>
      </c>
      <c r="BJ18">
        <v>7348</v>
      </c>
      <c r="BK18">
        <v>300</v>
      </c>
      <c r="BL18">
        <v>300</v>
      </c>
      <c r="BM18">
        <v>300</v>
      </c>
      <c r="BN18">
        <v>9033.42</v>
      </c>
      <c r="BO18">
        <v>287.11399999999998</v>
      </c>
      <c r="BP18">
        <v>-5.8588099999999999E-3</v>
      </c>
      <c r="BQ18">
        <v>0.93301400000000001</v>
      </c>
      <c r="BR18" t="s">
        <v>347</v>
      </c>
      <c r="BS18" t="s">
        <v>347</v>
      </c>
      <c r="BT18" t="s">
        <v>347</v>
      </c>
      <c r="BU18" t="s">
        <v>347</v>
      </c>
      <c r="BV18" t="s">
        <v>347</v>
      </c>
      <c r="BW18" t="s">
        <v>347</v>
      </c>
      <c r="BX18" t="s">
        <v>347</v>
      </c>
      <c r="BY18" t="s">
        <v>347</v>
      </c>
      <c r="BZ18" t="s">
        <v>347</v>
      </c>
      <c r="CA18" t="s">
        <v>347</v>
      </c>
      <c r="CB18">
        <f t="shared" si="39"/>
        <v>2200.0012903225802</v>
      </c>
      <c r="CC18">
        <f t="shared" si="40"/>
        <v>1854.5858120951002</v>
      </c>
      <c r="CD18">
        <f t="shared" si="41"/>
        <v>0.84299305652823842</v>
      </c>
      <c r="CE18">
        <f t="shared" si="42"/>
        <v>0.19598611305647667</v>
      </c>
      <c r="CF18">
        <v>1564943623.0999999</v>
      </c>
      <c r="CG18">
        <v>293.65077419354799</v>
      </c>
      <c r="CH18">
        <v>299.97616129032298</v>
      </c>
      <c r="CI18">
        <v>17.179722580645201</v>
      </c>
      <c r="CJ18">
        <v>15.910925806451599</v>
      </c>
      <c r="CK18">
        <v>500.01861290322603</v>
      </c>
      <c r="CL18">
        <v>99.342941935483907</v>
      </c>
      <c r="CM18">
        <v>9.9999729032258095E-2</v>
      </c>
      <c r="CN18">
        <v>24.541058064516101</v>
      </c>
      <c r="CO18">
        <v>27.021777419354802</v>
      </c>
      <c r="CP18">
        <v>999.9</v>
      </c>
      <c r="CQ18">
        <v>0</v>
      </c>
      <c r="CR18">
        <v>0</v>
      </c>
      <c r="CS18">
        <v>10004.694516129</v>
      </c>
      <c r="CT18">
        <v>0</v>
      </c>
      <c r="CU18">
        <v>237.35722580645199</v>
      </c>
      <c r="CV18">
        <v>-6.3253112903225803</v>
      </c>
      <c r="CW18">
        <v>298.78387096774202</v>
      </c>
      <c r="CX18">
        <v>304.82622580645199</v>
      </c>
      <c r="CY18">
        <v>1.26879096774194</v>
      </c>
      <c r="CZ18">
        <v>289.76777419354801</v>
      </c>
      <c r="DA18">
        <v>299.97616129032298</v>
      </c>
      <c r="DB18">
        <v>16.709725806451601</v>
      </c>
      <c r="DC18">
        <v>15.910925806451599</v>
      </c>
      <c r="DD18">
        <v>1.7066838709677401</v>
      </c>
      <c r="DE18">
        <v>1.5806387096774199</v>
      </c>
      <c r="DF18">
        <v>14.9573612903226</v>
      </c>
      <c r="DG18">
        <v>13.771335483871001</v>
      </c>
      <c r="DH18">
        <v>2200.0012903225802</v>
      </c>
      <c r="DI18">
        <v>0.90000483870967796</v>
      </c>
      <c r="DJ18">
        <v>9.9995341935483803E-2</v>
      </c>
      <c r="DK18">
        <v>0</v>
      </c>
      <c r="DL18">
        <v>241.29706451612901</v>
      </c>
      <c r="DM18">
        <v>5.0002700000000004</v>
      </c>
      <c r="DN18">
        <v>7794.6416129032204</v>
      </c>
      <c r="DO18">
        <v>20016.138709677401</v>
      </c>
      <c r="DP18">
        <v>47.762</v>
      </c>
      <c r="DQ18">
        <v>48.031999999999996</v>
      </c>
      <c r="DR18">
        <v>48.094516129032201</v>
      </c>
      <c r="DS18">
        <v>47.503999999999998</v>
      </c>
      <c r="DT18">
        <v>48.622838709677403</v>
      </c>
      <c r="DU18">
        <v>1975.5103225806499</v>
      </c>
      <c r="DV18">
        <v>219.49096774193501</v>
      </c>
      <c r="DW18">
        <v>0</v>
      </c>
      <c r="DX18">
        <v>91.700000047683702</v>
      </c>
      <c r="DY18">
        <v>241.16900000000001</v>
      </c>
      <c r="DZ18">
        <v>-1.5747548908329301</v>
      </c>
      <c r="EA18">
        <v>-15.460791129263701</v>
      </c>
      <c r="EB18">
        <v>7780.4111764705904</v>
      </c>
      <c r="EC18">
        <v>10</v>
      </c>
      <c r="ED18">
        <v>1564943602.5999999</v>
      </c>
      <c r="EE18" t="s">
        <v>358</v>
      </c>
      <c r="EF18">
        <v>42</v>
      </c>
      <c r="EG18">
        <v>3.883</v>
      </c>
      <c r="EH18">
        <v>0.47</v>
      </c>
      <c r="EI18">
        <v>300</v>
      </c>
      <c r="EJ18">
        <v>16</v>
      </c>
      <c r="EK18">
        <v>0.62</v>
      </c>
      <c r="EL18">
        <v>0.1</v>
      </c>
      <c r="EM18">
        <v>14.854123218738801</v>
      </c>
      <c r="EN18">
        <v>0.22515755220532499</v>
      </c>
      <c r="EO18">
        <v>0.103706883211754</v>
      </c>
      <c r="EP18">
        <v>1</v>
      </c>
      <c r="EQ18">
        <v>0.16670708644232499</v>
      </c>
      <c r="ER18">
        <v>7.1457894123782104E-2</v>
      </c>
      <c r="ES18">
        <v>8.3454937789182899E-3</v>
      </c>
      <c r="ET18">
        <v>1</v>
      </c>
      <c r="EU18">
        <v>2</v>
      </c>
      <c r="EV18">
        <v>2</v>
      </c>
      <c r="EW18" t="s">
        <v>349</v>
      </c>
      <c r="EX18">
        <v>2.9491499999999999</v>
      </c>
      <c r="EY18">
        <v>2.7776200000000002</v>
      </c>
      <c r="EZ18">
        <v>7.2661799999999999E-2</v>
      </c>
      <c r="FA18">
        <v>7.28573E-2</v>
      </c>
      <c r="FB18">
        <v>8.7022100000000005E-2</v>
      </c>
      <c r="FC18">
        <v>7.9838900000000004E-2</v>
      </c>
      <c r="FD18">
        <v>22286.799999999999</v>
      </c>
      <c r="FE18">
        <v>22375.3</v>
      </c>
      <c r="FF18">
        <v>22603</v>
      </c>
      <c r="FG18">
        <v>26473</v>
      </c>
      <c r="FH18">
        <v>29512.9</v>
      </c>
      <c r="FI18">
        <v>38226.199999999997</v>
      </c>
      <c r="FJ18">
        <v>32301</v>
      </c>
      <c r="FK18">
        <v>42163.1</v>
      </c>
      <c r="FL18">
        <v>1.9396</v>
      </c>
      <c r="FM18">
        <v>1.8292999999999999</v>
      </c>
      <c r="FN18">
        <v>8.4009E-2</v>
      </c>
      <c r="FO18">
        <v>0</v>
      </c>
      <c r="FP18">
        <v>25.644300000000001</v>
      </c>
      <c r="FQ18">
        <v>999.9</v>
      </c>
      <c r="FR18">
        <v>29.545000000000002</v>
      </c>
      <c r="FS18">
        <v>43.255000000000003</v>
      </c>
      <c r="FT18">
        <v>26.182099999999998</v>
      </c>
      <c r="FU18">
        <v>61.697699999999998</v>
      </c>
      <c r="FV18">
        <v>46.241999999999997</v>
      </c>
      <c r="FW18">
        <v>1</v>
      </c>
      <c r="FX18">
        <v>0.58389199999999997</v>
      </c>
      <c r="FY18">
        <v>9.2810500000000005</v>
      </c>
      <c r="FZ18">
        <v>20.0093</v>
      </c>
      <c r="GA18">
        <v>5.2274700000000003</v>
      </c>
      <c r="GB18">
        <v>11.962</v>
      </c>
      <c r="GC18">
        <v>4.9717000000000002</v>
      </c>
      <c r="GD18">
        <v>3.2949999999999999</v>
      </c>
      <c r="GE18">
        <v>9999</v>
      </c>
      <c r="GF18">
        <v>9999</v>
      </c>
      <c r="GG18">
        <v>460.6</v>
      </c>
      <c r="GH18">
        <v>9999</v>
      </c>
      <c r="GI18">
        <v>1.8663000000000001</v>
      </c>
      <c r="GJ18">
        <v>1.8657300000000001</v>
      </c>
      <c r="GK18">
        <v>1.8659600000000001</v>
      </c>
      <c r="GL18">
        <v>1.8689</v>
      </c>
      <c r="GM18">
        <v>1.8631800000000001</v>
      </c>
      <c r="GN18">
        <v>1.8613500000000001</v>
      </c>
      <c r="GO18">
        <v>1.85755</v>
      </c>
      <c r="GP18">
        <v>1.86371</v>
      </c>
      <c r="GQ18" t="s">
        <v>350</v>
      </c>
      <c r="GR18" t="s">
        <v>19</v>
      </c>
      <c r="GS18" t="s">
        <v>19</v>
      </c>
      <c r="GT18" t="s">
        <v>19</v>
      </c>
      <c r="GU18" t="s">
        <v>351</v>
      </c>
      <c r="GV18" t="s">
        <v>352</v>
      </c>
      <c r="GW18" t="s">
        <v>353</v>
      </c>
      <c r="GX18" t="s">
        <v>353</v>
      </c>
      <c r="GY18" t="s">
        <v>353</v>
      </c>
      <c r="GZ18" t="s">
        <v>353</v>
      </c>
      <c r="HA18">
        <v>0</v>
      </c>
      <c r="HB18">
        <v>100</v>
      </c>
      <c r="HC18">
        <v>100</v>
      </c>
      <c r="HD18">
        <v>3.883</v>
      </c>
      <c r="HE18">
        <v>0.47</v>
      </c>
      <c r="HF18">
        <v>2</v>
      </c>
      <c r="HG18">
        <v>503.86799999999999</v>
      </c>
      <c r="HH18">
        <v>470.47699999999998</v>
      </c>
      <c r="HI18">
        <v>17.6189</v>
      </c>
      <c r="HJ18">
        <v>34.281199999999998</v>
      </c>
      <c r="HK18">
        <v>29.999199999999998</v>
      </c>
      <c r="HL18">
        <v>34.313600000000001</v>
      </c>
      <c r="HM18">
        <v>34.2911</v>
      </c>
      <c r="HN18">
        <v>16.8733</v>
      </c>
      <c r="HO18">
        <v>39.456400000000002</v>
      </c>
      <c r="HP18">
        <v>0</v>
      </c>
      <c r="HQ18">
        <v>17.575800000000001</v>
      </c>
      <c r="HR18">
        <v>300</v>
      </c>
      <c r="HS18">
        <v>15.8324</v>
      </c>
      <c r="HT18">
        <v>99.412499999999994</v>
      </c>
      <c r="HU18">
        <v>102.81399999999999</v>
      </c>
    </row>
    <row r="19" spans="1:229" x14ac:dyDescent="0.35">
      <c r="A19">
        <v>3</v>
      </c>
      <c r="B19">
        <v>1564943732.0999999</v>
      </c>
      <c r="C19">
        <v>193.5</v>
      </c>
      <c r="D19" t="s">
        <v>359</v>
      </c>
      <c r="E19" t="s">
        <v>360</v>
      </c>
      <c r="G19">
        <v>1564943724.0999999</v>
      </c>
      <c r="H19">
        <f t="shared" si="0"/>
        <v>3.5523330276152855E-3</v>
      </c>
      <c r="I19">
        <f t="shared" si="1"/>
        <v>9.2052654354695953</v>
      </c>
      <c r="J19">
        <f t="shared" si="2"/>
        <v>196.03645161290299</v>
      </c>
      <c r="K19">
        <f t="shared" si="3"/>
        <v>111.96228127969336</v>
      </c>
      <c r="L19">
        <f t="shared" si="4"/>
        <v>11.133893305200678</v>
      </c>
      <c r="M19">
        <f t="shared" si="5"/>
        <v>19.494502177351269</v>
      </c>
      <c r="N19">
        <f t="shared" si="6"/>
        <v>0.1905569554371763</v>
      </c>
      <c r="O19">
        <f t="shared" si="7"/>
        <v>3.3831576644307702</v>
      </c>
      <c r="P19">
        <f t="shared" si="8"/>
        <v>0.18478871216383594</v>
      </c>
      <c r="Q19">
        <f t="shared" si="9"/>
        <v>0.11599665429319619</v>
      </c>
      <c r="R19">
        <f t="shared" si="10"/>
        <v>363.4736965111066</v>
      </c>
      <c r="S19">
        <f t="shared" si="11"/>
        <v>25.658957684218766</v>
      </c>
      <c r="T19">
        <f t="shared" si="12"/>
        <v>26.982874193548401</v>
      </c>
      <c r="U19">
        <f t="shared" si="13"/>
        <v>3.5755612072754257</v>
      </c>
      <c r="V19">
        <f t="shared" si="14"/>
        <v>55.259566700053675</v>
      </c>
      <c r="W19">
        <f t="shared" si="15"/>
        <v>1.7147381604379046</v>
      </c>
      <c r="X19">
        <f t="shared" si="16"/>
        <v>3.1030611762582621</v>
      </c>
      <c r="Y19">
        <f t="shared" si="17"/>
        <v>1.8608230468375211</v>
      </c>
      <c r="Z19">
        <f t="shared" si="18"/>
        <v>-156.6578865178341</v>
      </c>
      <c r="AA19">
        <f t="shared" si="19"/>
        <v>-436.16589527185033</v>
      </c>
      <c r="AB19">
        <f t="shared" si="20"/>
        <v>-27.487394812566404</v>
      </c>
      <c r="AC19">
        <f t="shared" si="21"/>
        <v>-256.83748009114424</v>
      </c>
      <c r="AD19">
        <v>-4.1186952191399499E-2</v>
      </c>
      <c r="AE19">
        <v>4.62359620100289E-2</v>
      </c>
      <c r="AF19">
        <v>3.45543354917631</v>
      </c>
      <c r="AG19">
        <v>0</v>
      </c>
      <c r="AH19">
        <v>0</v>
      </c>
      <c r="AI19">
        <f t="shared" si="22"/>
        <v>1</v>
      </c>
      <c r="AJ19">
        <f t="shared" si="23"/>
        <v>0</v>
      </c>
      <c r="AK19">
        <f t="shared" si="24"/>
        <v>52945.367525288704</v>
      </c>
      <c r="AL19">
        <v>0</v>
      </c>
      <c r="AM19">
        <v>2.4</v>
      </c>
      <c r="AN19">
        <v>3.6</v>
      </c>
      <c r="AO19">
        <f t="shared" si="25"/>
        <v>1.2000000000000002</v>
      </c>
      <c r="AP19">
        <f t="shared" si="26"/>
        <v>0.33333333333333337</v>
      </c>
      <c r="AQ19">
        <v>-1</v>
      </c>
      <c r="AR19" t="s">
        <v>361</v>
      </c>
      <c r="AS19">
        <v>241.23658823529399</v>
      </c>
      <c r="AT19">
        <v>299.52199999999999</v>
      </c>
      <c r="AU19">
        <f t="shared" si="27"/>
        <v>0.19459476020027244</v>
      </c>
      <c r="AV19">
        <v>0.5</v>
      </c>
      <c r="AW19">
        <f t="shared" si="28"/>
        <v>1854.5851733853676</v>
      </c>
      <c r="AX19">
        <f t="shared" si="29"/>
        <v>9.2052654354695953</v>
      </c>
      <c r="AY19">
        <f t="shared" si="30"/>
        <v>180.44627854295314</v>
      </c>
      <c r="AZ19">
        <f t="shared" si="31"/>
        <v>0.42321432148556704</v>
      </c>
      <c r="BA19">
        <f t="shared" si="32"/>
        <v>5.5027213534986161E-3</v>
      </c>
      <c r="BB19">
        <f t="shared" si="33"/>
        <v>-0.98798084948684894</v>
      </c>
      <c r="BC19" t="s">
        <v>362</v>
      </c>
      <c r="BD19">
        <v>172.76</v>
      </c>
      <c r="BE19">
        <f t="shared" si="34"/>
        <v>126.762</v>
      </c>
      <c r="BF19">
        <f t="shared" si="35"/>
        <v>0.45980192616640631</v>
      </c>
      <c r="BG19">
        <f t="shared" si="36"/>
        <v>1.7493615511941356</v>
      </c>
      <c r="BH19">
        <f t="shared" si="37"/>
        <v>0.19616659744046552</v>
      </c>
      <c r="BI19">
        <f t="shared" si="38"/>
        <v>-246.6016666666666</v>
      </c>
      <c r="BJ19">
        <v>7350</v>
      </c>
      <c r="BK19">
        <v>300</v>
      </c>
      <c r="BL19">
        <v>300</v>
      </c>
      <c r="BM19">
        <v>300</v>
      </c>
      <c r="BN19">
        <v>9031.4</v>
      </c>
      <c r="BO19">
        <v>281.84899999999999</v>
      </c>
      <c r="BP19">
        <v>-5.8573699999999998E-3</v>
      </c>
      <c r="BQ19">
        <v>1.0358000000000001</v>
      </c>
      <c r="BR19" t="s">
        <v>347</v>
      </c>
      <c r="BS19" t="s">
        <v>347</v>
      </c>
      <c r="BT19" t="s">
        <v>347</v>
      </c>
      <c r="BU19" t="s">
        <v>347</v>
      </c>
      <c r="BV19" t="s">
        <v>347</v>
      </c>
      <c r="BW19" t="s">
        <v>347</v>
      </c>
      <c r="BX19" t="s">
        <v>347</v>
      </c>
      <c r="BY19" t="s">
        <v>347</v>
      </c>
      <c r="BZ19" t="s">
        <v>347</v>
      </c>
      <c r="CA19" t="s">
        <v>347</v>
      </c>
      <c r="CB19">
        <f t="shared" si="39"/>
        <v>2200</v>
      </c>
      <c r="CC19">
        <f t="shared" si="40"/>
        <v>1854.5851733853676</v>
      </c>
      <c r="CD19">
        <f t="shared" si="41"/>
        <v>0.84299326062971258</v>
      </c>
      <c r="CE19">
        <f t="shared" si="42"/>
        <v>0.19598652125942545</v>
      </c>
      <c r="CF19">
        <v>1564943724.0999999</v>
      </c>
      <c r="CG19">
        <v>196.03645161290299</v>
      </c>
      <c r="CH19">
        <v>199.99703225806499</v>
      </c>
      <c r="CI19">
        <v>17.243383870967701</v>
      </c>
      <c r="CJ19">
        <v>15.846980645161301</v>
      </c>
      <c r="CK19">
        <v>500.01012903225802</v>
      </c>
      <c r="CL19">
        <v>99.343209677419395</v>
      </c>
      <c r="CM19">
        <v>0.100041906451613</v>
      </c>
      <c r="CN19">
        <v>24.591519354838699</v>
      </c>
      <c r="CO19">
        <v>26.982874193548401</v>
      </c>
      <c r="CP19">
        <v>999.9</v>
      </c>
      <c r="CQ19">
        <v>0</v>
      </c>
      <c r="CR19">
        <v>0</v>
      </c>
      <c r="CS19">
        <v>9998.1003225806508</v>
      </c>
      <c r="CT19">
        <v>0</v>
      </c>
      <c r="CU19">
        <v>240.36541935483899</v>
      </c>
      <c r="CV19">
        <v>-3.96053967741936</v>
      </c>
      <c r="CW19">
        <v>199.476129032258</v>
      </c>
      <c r="CX19">
        <v>203.217419354839</v>
      </c>
      <c r="CY19">
        <v>1.3964025806451601</v>
      </c>
      <c r="CZ19">
        <v>192.18345161290301</v>
      </c>
      <c r="DA19">
        <v>199.99703225806499</v>
      </c>
      <c r="DB19">
        <v>16.7713838709677</v>
      </c>
      <c r="DC19">
        <v>15.846980645161301</v>
      </c>
      <c r="DD19">
        <v>1.7130129032258099</v>
      </c>
      <c r="DE19">
        <v>1.57428967741936</v>
      </c>
      <c r="DF19">
        <v>15.014854838709701</v>
      </c>
      <c r="DG19">
        <v>13.709419354838699</v>
      </c>
      <c r="DH19">
        <v>2200</v>
      </c>
      <c r="DI19">
        <v>0.89999687096774195</v>
      </c>
      <c r="DJ19">
        <v>0.10000316129032299</v>
      </c>
      <c r="DK19">
        <v>0</v>
      </c>
      <c r="DL19">
        <v>241.38558064516101</v>
      </c>
      <c r="DM19">
        <v>5.0002700000000004</v>
      </c>
      <c r="DN19">
        <v>7927.4683870967701</v>
      </c>
      <c r="DO19">
        <v>20016.0935483871</v>
      </c>
      <c r="DP19">
        <v>48.096548387096803</v>
      </c>
      <c r="DQ19">
        <v>48.167000000000002</v>
      </c>
      <c r="DR19">
        <v>48.405000000000001</v>
      </c>
      <c r="DS19">
        <v>47.6991935483871</v>
      </c>
      <c r="DT19">
        <v>48.893000000000001</v>
      </c>
      <c r="DU19">
        <v>1975.4941935483901</v>
      </c>
      <c r="DV19">
        <v>219.50580645161301</v>
      </c>
      <c r="DW19">
        <v>0</v>
      </c>
      <c r="DX19">
        <v>100</v>
      </c>
      <c r="DY19">
        <v>241.23658823529399</v>
      </c>
      <c r="DZ19">
        <v>-2.3154411958761001</v>
      </c>
      <c r="EA19">
        <v>387.21568405511402</v>
      </c>
      <c r="EB19">
        <v>7958.96</v>
      </c>
      <c r="EC19">
        <v>10</v>
      </c>
      <c r="ED19">
        <v>1564943700.5999999</v>
      </c>
      <c r="EE19" t="s">
        <v>363</v>
      </c>
      <c r="EF19">
        <v>43</v>
      </c>
      <c r="EG19">
        <v>3.8530000000000002</v>
      </c>
      <c r="EH19">
        <v>0.47199999999999998</v>
      </c>
      <c r="EI19">
        <v>200</v>
      </c>
      <c r="EJ19">
        <v>16</v>
      </c>
      <c r="EK19">
        <v>0.35</v>
      </c>
      <c r="EL19">
        <v>0.13</v>
      </c>
      <c r="EM19">
        <v>9.2104629937398492</v>
      </c>
      <c r="EN19">
        <v>-0.259478720559636</v>
      </c>
      <c r="EO19">
        <v>6.8977347060791699E-2</v>
      </c>
      <c r="EP19">
        <v>1</v>
      </c>
      <c r="EQ19">
        <v>0.18493560953132701</v>
      </c>
      <c r="ER19">
        <v>8.7860078571242395E-2</v>
      </c>
      <c r="ES19">
        <v>9.80011737917383E-3</v>
      </c>
      <c r="ET19">
        <v>1</v>
      </c>
      <c r="EU19">
        <v>2</v>
      </c>
      <c r="EV19">
        <v>2</v>
      </c>
      <c r="EW19" t="s">
        <v>349</v>
      </c>
      <c r="EX19">
        <v>2.9491800000000001</v>
      </c>
      <c r="EY19">
        <v>2.77725</v>
      </c>
      <c r="EZ19">
        <v>5.1124200000000002E-2</v>
      </c>
      <c r="FA19">
        <v>5.1640600000000002E-2</v>
      </c>
      <c r="FB19">
        <v>8.7252099999999999E-2</v>
      </c>
      <c r="FC19">
        <v>7.9524899999999996E-2</v>
      </c>
      <c r="FD19">
        <v>22814.9</v>
      </c>
      <c r="FE19">
        <v>22899.200000000001</v>
      </c>
      <c r="FF19">
        <v>22613.1</v>
      </c>
      <c r="FG19">
        <v>26485.8</v>
      </c>
      <c r="FH19">
        <v>29517.599999999999</v>
      </c>
      <c r="FI19">
        <v>38255.1</v>
      </c>
      <c r="FJ19">
        <v>32314.6</v>
      </c>
      <c r="FK19">
        <v>42180.4</v>
      </c>
      <c r="FL19">
        <v>1.94225</v>
      </c>
      <c r="FM19">
        <v>1.8309</v>
      </c>
      <c r="FN19">
        <v>8.9820499999999998E-2</v>
      </c>
      <c r="FO19">
        <v>0</v>
      </c>
      <c r="FP19">
        <v>25.5138</v>
      </c>
      <c r="FQ19">
        <v>999.9</v>
      </c>
      <c r="FR19">
        <v>29.318999999999999</v>
      </c>
      <c r="FS19">
        <v>43.356000000000002</v>
      </c>
      <c r="FT19">
        <v>26.1205</v>
      </c>
      <c r="FU19">
        <v>61.797699999999999</v>
      </c>
      <c r="FV19">
        <v>46.354199999999999</v>
      </c>
      <c r="FW19">
        <v>1</v>
      </c>
      <c r="FX19">
        <v>0.55659599999999998</v>
      </c>
      <c r="FY19">
        <v>7.6523500000000002</v>
      </c>
      <c r="FZ19">
        <v>20.0867</v>
      </c>
      <c r="GA19">
        <v>5.2253800000000004</v>
      </c>
      <c r="GB19">
        <v>11.962</v>
      </c>
      <c r="GC19">
        <v>4.9715499999999997</v>
      </c>
      <c r="GD19">
        <v>3.2948499999999998</v>
      </c>
      <c r="GE19">
        <v>9999</v>
      </c>
      <c r="GF19">
        <v>9999</v>
      </c>
      <c r="GG19">
        <v>460.7</v>
      </c>
      <c r="GH19">
        <v>9999</v>
      </c>
      <c r="GI19">
        <v>1.8663099999999999</v>
      </c>
      <c r="GJ19">
        <v>1.8657900000000001</v>
      </c>
      <c r="GK19">
        <v>1.86598</v>
      </c>
      <c r="GL19">
        <v>1.86894</v>
      </c>
      <c r="GM19">
        <v>1.8632299999999999</v>
      </c>
      <c r="GN19">
        <v>1.8613900000000001</v>
      </c>
      <c r="GO19">
        <v>1.8575900000000001</v>
      </c>
      <c r="GP19">
        <v>1.86371</v>
      </c>
      <c r="GQ19" t="s">
        <v>350</v>
      </c>
      <c r="GR19" t="s">
        <v>19</v>
      </c>
      <c r="GS19" t="s">
        <v>19</v>
      </c>
      <c r="GT19" t="s">
        <v>19</v>
      </c>
      <c r="GU19" t="s">
        <v>351</v>
      </c>
      <c r="GV19" t="s">
        <v>352</v>
      </c>
      <c r="GW19" t="s">
        <v>353</v>
      </c>
      <c r="GX19" t="s">
        <v>353</v>
      </c>
      <c r="GY19" t="s">
        <v>353</v>
      </c>
      <c r="GZ19" t="s">
        <v>353</v>
      </c>
      <c r="HA19">
        <v>0</v>
      </c>
      <c r="HB19">
        <v>100</v>
      </c>
      <c r="HC19">
        <v>100</v>
      </c>
      <c r="HD19">
        <v>3.8530000000000002</v>
      </c>
      <c r="HE19">
        <v>0.47199999999999998</v>
      </c>
      <c r="HF19">
        <v>2</v>
      </c>
      <c r="HG19">
        <v>504.17700000000002</v>
      </c>
      <c r="HH19">
        <v>470.15600000000001</v>
      </c>
      <c r="HI19">
        <v>18.305900000000001</v>
      </c>
      <c r="HJ19">
        <v>34.070300000000003</v>
      </c>
      <c r="HK19">
        <v>29.999600000000001</v>
      </c>
      <c r="HL19">
        <v>34.125100000000003</v>
      </c>
      <c r="HM19">
        <v>34.104700000000001</v>
      </c>
      <c r="HN19">
        <v>12.292299999999999</v>
      </c>
      <c r="HO19">
        <v>39.561599999999999</v>
      </c>
      <c r="HP19">
        <v>0</v>
      </c>
      <c r="HQ19">
        <v>18.293199999999999</v>
      </c>
      <c r="HR19">
        <v>200</v>
      </c>
      <c r="HS19">
        <v>15.7255</v>
      </c>
      <c r="HT19">
        <v>99.455600000000004</v>
      </c>
      <c r="HU19">
        <v>102.85899999999999</v>
      </c>
    </row>
    <row r="20" spans="1:229" x14ac:dyDescent="0.35">
      <c r="A20">
        <v>4</v>
      </c>
      <c r="B20">
        <v>1564943831</v>
      </c>
      <c r="C20">
        <v>292.40000009536698</v>
      </c>
      <c r="D20" t="s">
        <v>364</v>
      </c>
      <c r="E20" t="s">
        <v>365</v>
      </c>
      <c r="G20">
        <v>1564943823</v>
      </c>
      <c r="H20">
        <f t="shared" si="0"/>
        <v>3.9257679779746823E-3</v>
      </c>
      <c r="I20">
        <f t="shared" si="1"/>
        <v>3.2416012638877341</v>
      </c>
      <c r="J20">
        <f t="shared" si="2"/>
        <v>98.549680645161303</v>
      </c>
      <c r="K20">
        <f t="shared" si="3"/>
        <v>70.66419301143614</v>
      </c>
      <c r="L20">
        <f t="shared" si="4"/>
        <v>7.0270771771754754</v>
      </c>
      <c r="M20">
        <f t="shared" si="5"/>
        <v>9.8001007606139261</v>
      </c>
      <c r="N20">
        <f t="shared" si="6"/>
        <v>0.21112626506448368</v>
      </c>
      <c r="O20">
        <f t="shared" si="7"/>
        <v>3.382917537391025</v>
      </c>
      <c r="P20">
        <f t="shared" si="8"/>
        <v>0.20406985981536865</v>
      </c>
      <c r="Q20">
        <f t="shared" si="9"/>
        <v>0.12815800512954434</v>
      </c>
      <c r="R20">
        <f t="shared" si="10"/>
        <v>363.47245230378559</v>
      </c>
      <c r="S20">
        <f t="shared" si="11"/>
        <v>25.751124884624581</v>
      </c>
      <c r="T20">
        <f t="shared" si="12"/>
        <v>27.0882419354839</v>
      </c>
      <c r="U20">
        <f t="shared" si="13"/>
        <v>3.5977512999429404</v>
      </c>
      <c r="V20">
        <f t="shared" si="14"/>
        <v>55.356300470785655</v>
      </c>
      <c r="W20">
        <f t="shared" si="15"/>
        <v>1.7360283322665393</v>
      </c>
      <c r="X20">
        <f t="shared" si="16"/>
        <v>3.1360989038325098</v>
      </c>
      <c r="Y20">
        <f t="shared" si="17"/>
        <v>1.8617229676764011</v>
      </c>
      <c r="Z20">
        <f t="shared" si="18"/>
        <v>-173.1263678286835</v>
      </c>
      <c r="AA20">
        <f t="shared" si="19"/>
        <v>-423.03241600316534</v>
      </c>
      <c r="AB20">
        <f t="shared" si="20"/>
        <v>-26.699423640036777</v>
      </c>
      <c r="AC20">
        <f t="shared" si="21"/>
        <v>-259.38575516810005</v>
      </c>
      <c r="AD20">
        <v>-4.1183238160043899E-2</v>
      </c>
      <c r="AE20">
        <v>4.6231792684465201E-2</v>
      </c>
      <c r="AF20">
        <v>3.4551869046622699</v>
      </c>
      <c r="AG20">
        <v>0</v>
      </c>
      <c r="AH20">
        <v>0</v>
      </c>
      <c r="AI20">
        <f t="shared" si="22"/>
        <v>1</v>
      </c>
      <c r="AJ20">
        <f t="shared" si="23"/>
        <v>0</v>
      </c>
      <c r="AK20">
        <f t="shared" si="24"/>
        <v>52909.28283542049</v>
      </c>
      <c r="AL20">
        <v>0</v>
      </c>
      <c r="AM20">
        <v>2.4</v>
      </c>
      <c r="AN20">
        <v>3.6</v>
      </c>
      <c r="AO20">
        <f t="shared" si="25"/>
        <v>1.2000000000000002</v>
      </c>
      <c r="AP20">
        <f t="shared" si="26"/>
        <v>0.33333333333333337</v>
      </c>
      <c r="AQ20">
        <v>-1</v>
      </c>
      <c r="AR20" t="s">
        <v>366</v>
      </c>
      <c r="AS20">
        <v>242.969529411765</v>
      </c>
      <c r="AT20">
        <v>292.02999999999997</v>
      </c>
      <c r="AU20">
        <f t="shared" si="27"/>
        <v>0.16799805016003488</v>
      </c>
      <c r="AV20">
        <v>0.5</v>
      </c>
      <c r="AW20">
        <f t="shared" si="28"/>
        <v>1854.5779346756772</v>
      </c>
      <c r="AX20">
        <f t="shared" si="29"/>
        <v>3.2416012638877341</v>
      </c>
      <c r="AY20">
        <f t="shared" si="30"/>
        <v>155.78273844766915</v>
      </c>
      <c r="AZ20">
        <f t="shared" si="31"/>
        <v>0.38985720645139188</v>
      </c>
      <c r="BA20">
        <f t="shared" si="32"/>
        <v>2.2870978806450062E-3</v>
      </c>
      <c r="BB20">
        <f t="shared" si="33"/>
        <v>-0.98767249940074642</v>
      </c>
      <c r="BC20" t="s">
        <v>367</v>
      </c>
      <c r="BD20">
        <v>178.18</v>
      </c>
      <c r="BE20">
        <f t="shared" si="34"/>
        <v>113.84999999999997</v>
      </c>
      <c r="BF20">
        <f t="shared" si="35"/>
        <v>0.43092200780180057</v>
      </c>
      <c r="BG20">
        <f t="shared" si="36"/>
        <v>1.652136556306564</v>
      </c>
      <c r="BH20">
        <f t="shared" si="37"/>
        <v>0.16939015498475635</v>
      </c>
      <c r="BI20">
        <f t="shared" si="38"/>
        <v>-240.35833333333326</v>
      </c>
      <c r="BJ20">
        <v>7352</v>
      </c>
      <c r="BK20">
        <v>300</v>
      </c>
      <c r="BL20">
        <v>300</v>
      </c>
      <c r="BM20">
        <v>300</v>
      </c>
      <c r="BN20">
        <v>9030.36</v>
      </c>
      <c r="BO20">
        <v>277.37</v>
      </c>
      <c r="BP20">
        <v>-5.8567000000000003E-3</v>
      </c>
      <c r="BQ20">
        <v>1.1978500000000001</v>
      </c>
      <c r="BR20" t="s">
        <v>347</v>
      </c>
      <c r="BS20" t="s">
        <v>347</v>
      </c>
      <c r="BT20" t="s">
        <v>347</v>
      </c>
      <c r="BU20" t="s">
        <v>347</v>
      </c>
      <c r="BV20" t="s">
        <v>347</v>
      </c>
      <c r="BW20" t="s">
        <v>347</v>
      </c>
      <c r="BX20" t="s">
        <v>347</v>
      </c>
      <c r="BY20" t="s">
        <v>347</v>
      </c>
      <c r="BZ20" t="s">
        <v>347</v>
      </c>
      <c r="CA20" t="s">
        <v>347</v>
      </c>
      <c r="CB20">
        <f t="shared" si="39"/>
        <v>2199.99129032258</v>
      </c>
      <c r="CC20">
        <f t="shared" si="40"/>
        <v>1854.5779346756772</v>
      </c>
      <c r="CD20">
        <f t="shared" si="41"/>
        <v>0.84299330767066105</v>
      </c>
      <c r="CE20">
        <f t="shared" si="42"/>
        <v>0.19598661534132214</v>
      </c>
      <c r="CF20">
        <v>1564943823</v>
      </c>
      <c r="CG20">
        <v>98.549680645161303</v>
      </c>
      <c r="CH20">
        <v>100.001077419355</v>
      </c>
      <c r="CI20">
        <v>17.457477419354799</v>
      </c>
      <c r="CJ20">
        <v>15.914580645161299</v>
      </c>
      <c r="CK20">
        <v>499.99896774193599</v>
      </c>
      <c r="CL20">
        <v>99.343264516128997</v>
      </c>
      <c r="CM20">
        <v>9.9987825806451602E-2</v>
      </c>
      <c r="CN20">
        <v>24.768729032258101</v>
      </c>
      <c r="CO20">
        <v>27.0882419354839</v>
      </c>
      <c r="CP20">
        <v>999.9</v>
      </c>
      <c r="CQ20">
        <v>0</v>
      </c>
      <c r="CR20">
        <v>0</v>
      </c>
      <c r="CS20">
        <v>9997.1932258064498</v>
      </c>
      <c r="CT20">
        <v>0</v>
      </c>
      <c r="CU20">
        <v>269.418935483871</v>
      </c>
      <c r="CV20">
        <v>-1.45144612903226</v>
      </c>
      <c r="CW20">
        <v>100.300741935484</v>
      </c>
      <c r="CX20">
        <v>101.618322580645</v>
      </c>
      <c r="CY20">
        <v>1.5428983870967701</v>
      </c>
      <c r="CZ20">
        <v>94.868680645161305</v>
      </c>
      <c r="DA20">
        <v>100.001077419355</v>
      </c>
      <c r="DB20">
        <v>16.980477419354798</v>
      </c>
      <c r="DC20">
        <v>15.914580645161299</v>
      </c>
      <c r="DD20">
        <v>1.7342838709677399</v>
      </c>
      <c r="DE20">
        <v>1.5810067741935501</v>
      </c>
      <c r="DF20">
        <v>15.206729032258099</v>
      </c>
      <c r="DG20">
        <v>13.7748096774194</v>
      </c>
      <c r="DH20">
        <v>2199.99129032258</v>
      </c>
      <c r="DI20">
        <v>0.89999493548387099</v>
      </c>
      <c r="DJ20">
        <v>0.10000511935483899</v>
      </c>
      <c r="DK20">
        <v>0</v>
      </c>
      <c r="DL20">
        <v>242.943322580645</v>
      </c>
      <c r="DM20">
        <v>5.0002700000000004</v>
      </c>
      <c r="DN20">
        <v>7760.8293548387101</v>
      </c>
      <c r="DO20">
        <v>20015.990322580601</v>
      </c>
      <c r="DP20">
        <v>48.25</v>
      </c>
      <c r="DQ20">
        <v>48.253999999999998</v>
      </c>
      <c r="DR20">
        <v>48.620935483871001</v>
      </c>
      <c r="DS20">
        <v>47.658999999999999</v>
      </c>
      <c r="DT20">
        <v>49.125</v>
      </c>
      <c r="DU20">
        <v>1975.4829032258101</v>
      </c>
      <c r="DV20">
        <v>219.50838709677399</v>
      </c>
      <c r="DW20">
        <v>0</v>
      </c>
      <c r="DX20">
        <v>98.400000095367403</v>
      </c>
      <c r="DY20">
        <v>242.969529411765</v>
      </c>
      <c r="DZ20">
        <v>-2.335539180734</v>
      </c>
      <c r="EA20">
        <v>295.09803979870702</v>
      </c>
      <c r="EB20">
        <v>7786.9429411764704</v>
      </c>
      <c r="EC20">
        <v>10</v>
      </c>
      <c r="ED20">
        <v>1564943794</v>
      </c>
      <c r="EE20" t="s">
        <v>368</v>
      </c>
      <c r="EF20">
        <v>44</v>
      </c>
      <c r="EG20">
        <v>3.681</v>
      </c>
      <c r="EH20">
        <v>0.47699999999999998</v>
      </c>
      <c r="EI20">
        <v>100</v>
      </c>
      <c r="EJ20">
        <v>16</v>
      </c>
      <c r="EK20">
        <v>0.68</v>
      </c>
      <c r="EL20">
        <v>0.1</v>
      </c>
      <c r="EM20">
        <v>3.2422513999471501</v>
      </c>
      <c r="EN20">
        <v>-0.179286673776551</v>
      </c>
      <c r="EO20">
        <v>7.4962113227102903E-2</v>
      </c>
      <c r="EP20">
        <v>1</v>
      </c>
      <c r="EQ20">
        <v>0.20769287305443501</v>
      </c>
      <c r="ER20">
        <v>7.5476174313557604E-2</v>
      </c>
      <c r="ES20">
        <v>8.2045682092993094E-3</v>
      </c>
      <c r="ET20">
        <v>1</v>
      </c>
      <c r="EU20">
        <v>2</v>
      </c>
      <c r="EV20">
        <v>2</v>
      </c>
      <c r="EW20" t="s">
        <v>349</v>
      </c>
      <c r="EX20">
        <v>2.94964</v>
      </c>
      <c r="EY20">
        <v>2.7775699999999999</v>
      </c>
      <c r="EZ20">
        <v>2.65431E-2</v>
      </c>
      <c r="FA20">
        <v>2.7230500000000001E-2</v>
      </c>
      <c r="FB20">
        <v>8.7889200000000001E-2</v>
      </c>
      <c r="FC20">
        <v>7.9644900000000005E-2</v>
      </c>
      <c r="FD20">
        <v>23413.8</v>
      </c>
      <c r="FE20">
        <v>23498.3</v>
      </c>
      <c r="FF20">
        <v>22620.799999999999</v>
      </c>
      <c r="FG20">
        <v>26496</v>
      </c>
      <c r="FH20">
        <v>29505.599999999999</v>
      </c>
      <c r="FI20">
        <v>38262.800000000003</v>
      </c>
      <c r="FJ20">
        <v>32324.400000000001</v>
      </c>
      <c r="FK20">
        <v>42194.5</v>
      </c>
      <c r="FL20">
        <v>1.9442999999999999</v>
      </c>
      <c r="FM20">
        <v>1.8331200000000001</v>
      </c>
      <c r="FN20">
        <v>9.3914600000000001E-2</v>
      </c>
      <c r="FO20">
        <v>0</v>
      </c>
      <c r="FP20">
        <v>25.515999999999998</v>
      </c>
      <c r="FQ20">
        <v>999.9</v>
      </c>
      <c r="FR20">
        <v>29.068000000000001</v>
      </c>
      <c r="FS20">
        <v>43.427</v>
      </c>
      <c r="FT20">
        <v>25.992899999999999</v>
      </c>
      <c r="FU20">
        <v>61.8277</v>
      </c>
      <c r="FV20">
        <v>46.161900000000003</v>
      </c>
      <c r="FW20">
        <v>1</v>
      </c>
      <c r="FX20">
        <v>0.54834899999999998</v>
      </c>
      <c r="FY20">
        <v>9.2810500000000005</v>
      </c>
      <c r="FZ20">
        <v>20.0077</v>
      </c>
      <c r="GA20">
        <v>5.2273199999999997</v>
      </c>
      <c r="GB20">
        <v>11.962</v>
      </c>
      <c r="GC20">
        <v>4.9717500000000001</v>
      </c>
      <c r="GD20">
        <v>3.2949999999999999</v>
      </c>
      <c r="GE20">
        <v>9999</v>
      </c>
      <c r="GF20">
        <v>9999</v>
      </c>
      <c r="GG20">
        <v>460.7</v>
      </c>
      <c r="GH20">
        <v>9999</v>
      </c>
      <c r="GI20">
        <v>1.8663099999999999</v>
      </c>
      <c r="GJ20">
        <v>1.8657900000000001</v>
      </c>
      <c r="GK20">
        <v>1.8659600000000001</v>
      </c>
      <c r="GL20">
        <v>1.8689100000000001</v>
      </c>
      <c r="GM20">
        <v>1.86321</v>
      </c>
      <c r="GN20">
        <v>1.8613200000000001</v>
      </c>
      <c r="GO20">
        <v>1.8575299999999999</v>
      </c>
      <c r="GP20">
        <v>1.86371</v>
      </c>
      <c r="GQ20" t="s">
        <v>350</v>
      </c>
      <c r="GR20" t="s">
        <v>19</v>
      </c>
      <c r="GS20" t="s">
        <v>19</v>
      </c>
      <c r="GT20" t="s">
        <v>19</v>
      </c>
      <c r="GU20" t="s">
        <v>351</v>
      </c>
      <c r="GV20" t="s">
        <v>352</v>
      </c>
      <c r="GW20" t="s">
        <v>353</v>
      </c>
      <c r="GX20" t="s">
        <v>353</v>
      </c>
      <c r="GY20" t="s">
        <v>353</v>
      </c>
      <c r="GZ20" t="s">
        <v>353</v>
      </c>
      <c r="HA20">
        <v>0</v>
      </c>
      <c r="HB20">
        <v>100</v>
      </c>
      <c r="HC20">
        <v>100</v>
      </c>
      <c r="HD20">
        <v>3.681</v>
      </c>
      <c r="HE20">
        <v>0.47699999999999998</v>
      </c>
      <c r="HF20">
        <v>2</v>
      </c>
      <c r="HG20">
        <v>504.05799999999999</v>
      </c>
      <c r="HH20">
        <v>470.22399999999999</v>
      </c>
      <c r="HI20">
        <v>17.638999999999999</v>
      </c>
      <c r="HJ20">
        <v>33.853700000000003</v>
      </c>
      <c r="HK20">
        <v>29.999199999999998</v>
      </c>
      <c r="HL20">
        <v>33.934800000000003</v>
      </c>
      <c r="HM20">
        <v>33.915199999999999</v>
      </c>
      <c r="HN20">
        <v>7.5603800000000003</v>
      </c>
      <c r="HO20">
        <v>38.874499999999998</v>
      </c>
      <c r="HP20">
        <v>0</v>
      </c>
      <c r="HQ20">
        <v>17.466100000000001</v>
      </c>
      <c r="HR20">
        <v>100</v>
      </c>
      <c r="HS20">
        <v>15.911199999999999</v>
      </c>
      <c r="HT20">
        <v>99.487099999999998</v>
      </c>
      <c r="HU20">
        <v>102.895</v>
      </c>
    </row>
    <row r="21" spans="1:229" x14ac:dyDescent="0.35">
      <c r="A21">
        <v>5</v>
      </c>
      <c r="B21">
        <v>1564943947</v>
      </c>
      <c r="C21">
        <v>408.40000009536698</v>
      </c>
      <c r="D21" t="s">
        <v>369</v>
      </c>
      <c r="E21" t="s">
        <v>370</v>
      </c>
      <c r="G21">
        <v>1564943939</v>
      </c>
      <c r="H21">
        <f t="shared" si="0"/>
        <v>4.4789968871247693E-3</v>
      </c>
      <c r="I21">
        <f t="shared" si="1"/>
        <v>0.16646595331543815</v>
      </c>
      <c r="J21">
        <f t="shared" si="2"/>
        <v>49.850225806451597</v>
      </c>
      <c r="K21">
        <f t="shared" si="3"/>
        <v>47.262344677564492</v>
      </c>
      <c r="L21">
        <f t="shared" si="4"/>
        <v>4.699541463876808</v>
      </c>
      <c r="M21">
        <f t="shared" si="5"/>
        <v>4.9568679835778608</v>
      </c>
      <c r="N21">
        <f t="shared" si="6"/>
        <v>0.24555630677003767</v>
      </c>
      <c r="O21">
        <f t="shared" si="7"/>
        <v>3.3834787691869286</v>
      </c>
      <c r="P21">
        <f t="shared" si="8"/>
        <v>0.2360679088313814</v>
      </c>
      <c r="Q21">
        <f t="shared" si="9"/>
        <v>0.14836438949181877</v>
      </c>
      <c r="R21">
        <f t="shared" si="10"/>
        <v>363.47117405698975</v>
      </c>
      <c r="S21">
        <f t="shared" si="11"/>
        <v>25.531898154727141</v>
      </c>
      <c r="T21">
        <f t="shared" si="12"/>
        <v>26.945925806451601</v>
      </c>
      <c r="U21">
        <f t="shared" si="13"/>
        <v>3.5678083436619645</v>
      </c>
      <c r="V21">
        <f t="shared" si="14"/>
        <v>55.519043295143319</v>
      </c>
      <c r="W21">
        <f t="shared" si="15"/>
        <v>1.731462533872814</v>
      </c>
      <c r="X21">
        <f t="shared" si="16"/>
        <v>3.1186822234458034</v>
      </c>
      <c r="Y21">
        <f t="shared" si="17"/>
        <v>1.8363458097891505</v>
      </c>
      <c r="Z21">
        <f t="shared" si="18"/>
        <v>-197.52376272220232</v>
      </c>
      <c r="AA21">
        <f t="shared" si="19"/>
        <v>-414.14626152976683</v>
      </c>
      <c r="AB21">
        <f t="shared" si="20"/>
        <v>-26.103352295897729</v>
      </c>
      <c r="AC21">
        <f t="shared" si="21"/>
        <v>-274.30220249087711</v>
      </c>
      <c r="AD21">
        <v>-4.1191918885395903E-2</v>
      </c>
      <c r="AE21">
        <v>4.6241537559146097E-2</v>
      </c>
      <c r="AF21">
        <v>3.4557633696102199</v>
      </c>
      <c r="AG21">
        <v>0</v>
      </c>
      <c r="AH21">
        <v>0</v>
      </c>
      <c r="AI21">
        <f t="shared" si="22"/>
        <v>1</v>
      </c>
      <c r="AJ21">
        <f t="shared" si="23"/>
        <v>0</v>
      </c>
      <c r="AK21">
        <f t="shared" si="24"/>
        <v>52936.375840606168</v>
      </c>
      <c r="AL21">
        <v>0</v>
      </c>
      <c r="AM21">
        <v>2.4</v>
      </c>
      <c r="AN21">
        <v>3.6</v>
      </c>
      <c r="AO21">
        <f t="shared" si="25"/>
        <v>1.2000000000000002</v>
      </c>
      <c r="AP21">
        <f t="shared" si="26"/>
        <v>0.33333333333333337</v>
      </c>
      <c r="AQ21">
        <v>-1</v>
      </c>
      <c r="AR21" t="s">
        <v>371</v>
      </c>
      <c r="AS21">
        <v>244.23588235294099</v>
      </c>
      <c r="AT21">
        <v>289.42399999999998</v>
      </c>
      <c r="AU21">
        <f t="shared" si="27"/>
        <v>0.15613120420925353</v>
      </c>
      <c r="AV21">
        <v>0.5</v>
      </c>
      <c r="AW21">
        <f t="shared" si="28"/>
        <v>1854.5755501685212</v>
      </c>
      <c r="AX21">
        <f t="shared" si="29"/>
        <v>0.16646595331543815</v>
      </c>
      <c r="AY21">
        <f t="shared" si="30"/>
        <v>144.77855697242504</v>
      </c>
      <c r="AZ21">
        <f t="shared" si="31"/>
        <v>0.38077008126485706</v>
      </c>
      <c r="BA21">
        <f t="shared" si="32"/>
        <v>6.2896653264378694E-4</v>
      </c>
      <c r="BB21">
        <f t="shared" si="33"/>
        <v>-0.98756150146497867</v>
      </c>
      <c r="BC21" t="s">
        <v>372</v>
      </c>
      <c r="BD21">
        <v>179.22</v>
      </c>
      <c r="BE21">
        <f t="shared" si="34"/>
        <v>110.20399999999998</v>
      </c>
      <c r="BF21">
        <f t="shared" si="35"/>
        <v>0.41004063053118756</v>
      </c>
      <c r="BG21">
        <f t="shared" si="36"/>
        <v>1.6275139505751051</v>
      </c>
      <c r="BH21">
        <f t="shared" si="37"/>
        <v>0.15743672183182936</v>
      </c>
      <c r="BI21">
        <f t="shared" si="38"/>
        <v>-238.18666666666658</v>
      </c>
      <c r="BJ21">
        <v>7354</v>
      </c>
      <c r="BK21">
        <v>300</v>
      </c>
      <c r="BL21">
        <v>300</v>
      </c>
      <c r="BM21">
        <v>300</v>
      </c>
      <c r="BN21">
        <v>9029.58</v>
      </c>
      <c r="BO21">
        <v>274.47800000000001</v>
      </c>
      <c r="BP21">
        <v>-5.85616E-3</v>
      </c>
      <c r="BQ21">
        <v>0.53579699999999997</v>
      </c>
      <c r="BR21" t="s">
        <v>347</v>
      </c>
      <c r="BS21" t="s">
        <v>347</v>
      </c>
      <c r="BT21" t="s">
        <v>347</v>
      </c>
      <c r="BU21" t="s">
        <v>347</v>
      </c>
      <c r="BV21" t="s">
        <v>347</v>
      </c>
      <c r="BW21" t="s">
        <v>347</v>
      </c>
      <c r="BX21" t="s">
        <v>347</v>
      </c>
      <c r="BY21" t="s">
        <v>347</v>
      </c>
      <c r="BZ21" t="s">
        <v>347</v>
      </c>
      <c r="CA21" t="s">
        <v>347</v>
      </c>
      <c r="CB21">
        <f t="shared" si="39"/>
        <v>2199.98903225806</v>
      </c>
      <c r="CC21">
        <f t="shared" si="40"/>
        <v>1854.5755501685212</v>
      </c>
      <c r="CD21">
        <f t="shared" si="41"/>
        <v>0.84299308904508141</v>
      </c>
      <c r="CE21">
        <f t="shared" si="42"/>
        <v>0.19598617809016297</v>
      </c>
      <c r="CF21">
        <v>1564943939</v>
      </c>
      <c r="CG21">
        <v>49.850225806451597</v>
      </c>
      <c r="CH21">
        <v>50.006119354838702</v>
      </c>
      <c r="CI21">
        <v>17.412970967741899</v>
      </c>
      <c r="CJ21">
        <v>15.6526193548387</v>
      </c>
      <c r="CK21">
        <v>500.01422580645198</v>
      </c>
      <c r="CL21">
        <v>99.335196774193506</v>
      </c>
      <c r="CM21">
        <v>0.100019483870968</v>
      </c>
      <c r="CN21">
        <v>24.675512903225801</v>
      </c>
      <c r="CO21">
        <v>26.945925806451601</v>
      </c>
      <c r="CP21">
        <v>999.9</v>
      </c>
      <c r="CQ21">
        <v>0</v>
      </c>
      <c r="CR21">
        <v>0</v>
      </c>
      <c r="CS21">
        <v>10000.1125806452</v>
      </c>
      <c r="CT21">
        <v>0</v>
      </c>
      <c r="CU21">
        <v>231.37245161290301</v>
      </c>
      <c r="CV21">
        <v>-0.155875151612903</v>
      </c>
      <c r="CW21">
        <v>50.733661290322601</v>
      </c>
      <c r="CX21">
        <v>50.801274193548402</v>
      </c>
      <c r="CY21">
        <v>1.7603548387096799</v>
      </c>
      <c r="CZ21">
        <v>46.168225806451602</v>
      </c>
      <c r="DA21">
        <v>50.006119354838702</v>
      </c>
      <c r="DB21">
        <v>16.937970967741901</v>
      </c>
      <c r="DC21">
        <v>15.6526193548387</v>
      </c>
      <c r="DD21">
        <v>1.72972129032258</v>
      </c>
      <c r="DE21">
        <v>1.5548551612903201</v>
      </c>
      <c r="DF21">
        <v>15.1657193548387</v>
      </c>
      <c r="DG21">
        <v>13.5184838709677</v>
      </c>
      <c r="DH21">
        <v>2199.98903225806</v>
      </c>
      <c r="DI21">
        <v>0.90000306451612899</v>
      </c>
      <c r="DJ21">
        <v>9.9997354838709696E-2</v>
      </c>
      <c r="DK21">
        <v>0</v>
      </c>
      <c r="DL21">
        <v>244.27616129032299</v>
      </c>
      <c r="DM21">
        <v>5.0002700000000004</v>
      </c>
      <c r="DN21">
        <v>7651.83387096774</v>
      </c>
      <c r="DO21">
        <v>20016.009677419301</v>
      </c>
      <c r="DP21">
        <v>48.375</v>
      </c>
      <c r="DQ21">
        <v>48.25</v>
      </c>
      <c r="DR21">
        <v>48.703258064516099</v>
      </c>
      <c r="DS21">
        <v>47.741870967741903</v>
      </c>
      <c r="DT21">
        <v>49.125</v>
      </c>
      <c r="DU21">
        <v>1975.4980645161299</v>
      </c>
      <c r="DV21">
        <v>219.49225806451599</v>
      </c>
      <c r="DW21">
        <v>0</v>
      </c>
      <c r="DX21">
        <v>115.200000047684</v>
      </c>
      <c r="DY21">
        <v>244.23588235294099</v>
      </c>
      <c r="DZ21">
        <v>-0.43799019931533401</v>
      </c>
      <c r="EA21">
        <v>-815.10294488475904</v>
      </c>
      <c r="EB21">
        <v>7647.2352941176496</v>
      </c>
      <c r="EC21">
        <v>10</v>
      </c>
      <c r="ED21">
        <v>1564943915.5</v>
      </c>
      <c r="EE21" t="s">
        <v>373</v>
      </c>
      <c r="EF21">
        <v>45</v>
      </c>
      <c r="EG21">
        <v>3.6819999999999999</v>
      </c>
      <c r="EH21">
        <v>0.47499999999999998</v>
      </c>
      <c r="EI21">
        <v>50</v>
      </c>
      <c r="EJ21">
        <v>16</v>
      </c>
      <c r="EK21">
        <v>0.52</v>
      </c>
      <c r="EL21">
        <v>0.14000000000000001</v>
      </c>
      <c r="EM21">
        <v>0.181222091927568</v>
      </c>
      <c r="EN21">
        <v>-0.23347571360208</v>
      </c>
      <c r="EO21">
        <v>6.0021191186682997E-2</v>
      </c>
      <c r="EP21">
        <v>1</v>
      </c>
      <c r="EQ21">
        <v>0.24022932504681799</v>
      </c>
      <c r="ER21">
        <v>7.9553262154250903E-2</v>
      </c>
      <c r="ES21">
        <v>1.12092150584407E-2</v>
      </c>
      <c r="ET21">
        <v>1</v>
      </c>
      <c r="EU21">
        <v>2</v>
      </c>
      <c r="EV21">
        <v>2</v>
      </c>
      <c r="EW21" t="s">
        <v>349</v>
      </c>
      <c r="EX21">
        <v>2.9495900000000002</v>
      </c>
      <c r="EY21">
        <v>2.7772700000000001</v>
      </c>
      <c r="EZ21">
        <v>1.3139700000000001E-2</v>
      </c>
      <c r="FA21">
        <v>1.38338E-2</v>
      </c>
      <c r="FB21">
        <v>8.7748900000000005E-2</v>
      </c>
      <c r="FC21">
        <v>7.8870800000000005E-2</v>
      </c>
      <c r="FD21">
        <v>23747.5</v>
      </c>
      <c r="FE21">
        <v>23835.8</v>
      </c>
      <c r="FF21">
        <v>22631.4</v>
      </c>
      <c r="FG21">
        <v>26510.6</v>
      </c>
      <c r="FH21">
        <v>29523.1</v>
      </c>
      <c r="FI21">
        <v>38313.4</v>
      </c>
      <c r="FJ21">
        <v>32338.799999999999</v>
      </c>
      <c r="FK21">
        <v>42214.6</v>
      </c>
      <c r="FL21">
        <v>1.9477800000000001</v>
      </c>
      <c r="FM21">
        <v>1.83585</v>
      </c>
      <c r="FN21">
        <v>9.6403100000000005E-2</v>
      </c>
      <c r="FO21">
        <v>0</v>
      </c>
      <c r="FP21">
        <v>25.330200000000001</v>
      </c>
      <c r="FQ21">
        <v>999.9</v>
      </c>
      <c r="FR21">
        <v>28.713999999999999</v>
      </c>
      <c r="FS21">
        <v>43.466999999999999</v>
      </c>
      <c r="FT21">
        <v>25.732299999999999</v>
      </c>
      <c r="FU21">
        <v>61.837699999999998</v>
      </c>
      <c r="FV21">
        <v>46.426299999999998</v>
      </c>
      <c r="FW21">
        <v>1</v>
      </c>
      <c r="FX21">
        <v>0.51581299999999997</v>
      </c>
      <c r="FY21">
        <v>7.0833300000000001</v>
      </c>
      <c r="FZ21">
        <v>20.110299999999999</v>
      </c>
      <c r="GA21">
        <v>5.2244799999999998</v>
      </c>
      <c r="GB21">
        <v>11.961399999999999</v>
      </c>
      <c r="GC21">
        <v>4.9714999999999998</v>
      </c>
      <c r="GD21">
        <v>3.2948499999999998</v>
      </c>
      <c r="GE21">
        <v>9999</v>
      </c>
      <c r="GF21">
        <v>9999</v>
      </c>
      <c r="GG21">
        <v>460.7</v>
      </c>
      <c r="GH21">
        <v>9999</v>
      </c>
      <c r="GI21">
        <v>1.8663000000000001</v>
      </c>
      <c r="GJ21">
        <v>1.86578</v>
      </c>
      <c r="GK21">
        <v>1.8659699999999999</v>
      </c>
      <c r="GL21">
        <v>1.8689100000000001</v>
      </c>
      <c r="GM21">
        <v>1.86324</v>
      </c>
      <c r="GN21">
        <v>1.8613200000000001</v>
      </c>
      <c r="GO21">
        <v>1.8575600000000001</v>
      </c>
      <c r="GP21">
        <v>1.8636900000000001</v>
      </c>
      <c r="GQ21" t="s">
        <v>350</v>
      </c>
      <c r="GR21" t="s">
        <v>19</v>
      </c>
      <c r="GS21" t="s">
        <v>19</v>
      </c>
      <c r="GT21" t="s">
        <v>19</v>
      </c>
      <c r="GU21" t="s">
        <v>351</v>
      </c>
      <c r="GV21" t="s">
        <v>352</v>
      </c>
      <c r="GW21" t="s">
        <v>353</v>
      </c>
      <c r="GX21" t="s">
        <v>353</v>
      </c>
      <c r="GY21" t="s">
        <v>353</v>
      </c>
      <c r="GZ21" t="s">
        <v>353</v>
      </c>
      <c r="HA21">
        <v>0</v>
      </c>
      <c r="HB21">
        <v>100</v>
      </c>
      <c r="HC21">
        <v>100</v>
      </c>
      <c r="HD21">
        <v>3.6819999999999999</v>
      </c>
      <c r="HE21">
        <v>0.47499999999999998</v>
      </c>
      <c r="HF21">
        <v>2</v>
      </c>
      <c r="HG21">
        <v>504.55399999999997</v>
      </c>
      <c r="HH21">
        <v>470.28699999999998</v>
      </c>
      <c r="HI21">
        <v>18.463699999999999</v>
      </c>
      <c r="HJ21">
        <v>33.604999999999997</v>
      </c>
      <c r="HK21">
        <v>29.998699999999999</v>
      </c>
      <c r="HL21">
        <v>33.7012</v>
      </c>
      <c r="HM21">
        <v>33.681699999999999</v>
      </c>
      <c r="HN21">
        <v>5.2071899999999998</v>
      </c>
      <c r="HO21">
        <v>39.089199999999998</v>
      </c>
      <c r="HP21">
        <v>0</v>
      </c>
      <c r="HQ21">
        <v>18.4953</v>
      </c>
      <c r="HR21">
        <v>50</v>
      </c>
      <c r="HS21">
        <v>15.5847</v>
      </c>
      <c r="HT21">
        <v>99.532399999999996</v>
      </c>
      <c r="HU21">
        <v>102.947</v>
      </c>
    </row>
    <row r="22" spans="1:229" x14ac:dyDescent="0.35">
      <c r="A22">
        <v>6</v>
      </c>
      <c r="B22">
        <v>1564944046</v>
      </c>
      <c r="C22">
        <v>507.40000009536698</v>
      </c>
      <c r="D22" t="s">
        <v>374</v>
      </c>
      <c r="E22" t="s">
        <v>375</v>
      </c>
      <c r="G22">
        <v>1564944038</v>
      </c>
      <c r="H22">
        <f t="shared" si="0"/>
        <v>4.6749148134204539E-3</v>
      </c>
      <c r="I22">
        <f t="shared" si="1"/>
        <v>-2.841108067293773</v>
      </c>
      <c r="J22">
        <f t="shared" si="2"/>
        <v>13.622967741935501</v>
      </c>
      <c r="K22">
        <f t="shared" si="3"/>
        <v>31.326517102060659</v>
      </c>
      <c r="L22">
        <f t="shared" si="4"/>
        <v>3.1148376383722818</v>
      </c>
      <c r="M22">
        <f t="shared" si="5"/>
        <v>1.3545499657898734</v>
      </c>
      <c r="N22">
        <f t="shared" si="6"/>
        <v>0.25615461925874439</v>
      </c>
      <c r="O22">
        <f t="shared" si="7"/>
        <v>3.3841916272876609</v>
      </c>
      <c r="P22">
        <f t="shared" si="8"/>
        <v>0.24585006259864794</v>
      </c>
      <c r="Q22">
        <f t="shared" si="9"/>
        <v>0.15454757152709303</v>
      </c>
      <c r="R22">
        <f t="shared" si="10"/>
        <v>363.47382345567962</v>
      </c>
      <c r="S22">
        <f t="shared" si="11"/>
        <v>25.750853002706883</v>
      </c>
      <c r="T22">
        <f t="shared" si="12"/>
        <v>27.042554838709702</v>
      </c>
      <c r="U22">
        <f t="shared" si="13"/>
        <v>3.5881150336415679</v>
      </c>
      <c r="V22">
        <f t="shared" si="14"/>
        <v>55.17756683622661</v>
      </c>
      <c r="W22">
        <f t="shared" si="15"/>
        <v>1.7481325753821446</v>
      </c>
      <c r="X22">
        <f t="shared" si="16"/>
        <v>3.168194386988473</v>
      </c>
      <c r="Y22">
        <f t="shared" si="17"/>
        <v>1.8399824582594233</v>
      </c>
      <c r="Z22">
        <f t="shared" si="18"/>
        <v>-206.16374327184201</v>
      </c>
      <c r="AA22">
        <f t="shared" si="19"/>
        <v>-383.73047559592266</v>
      </c>
      <c r="AB22">
        <f t="shared" si="20"/>
        <v>-24.224901492159564</v>
      </c>
      <c r="AC22">
        <f t="shared" si="21"/>
        <v>-250.64529690424462</v>
      </c>
      <c r="AD22">
        <v>-4.1202945788055202E-2</v>
      </c>
      <c r="AE22">
        <v>4.6253916223390902E-2</v>
      </c>
      <c r="AF22">
        <v>3.4564955779930999</v>
      </c>
      <c r="AG22">
        <v>0</v>
      </c>
      <c r="AH22">
        <v>0</v>
      </c>
      <c r="AI22">
        <f t="shared" si="22"/>
        <v>1</v>
      </c>
      <c r="AJ22">
        <f t="shared" si="23"/>
        <v>0</v>
      </c>
      <c r="AK22">
        <f t="shared" si="24"/>
        <v>52902.997706629729</v>
      </c>
      <c r="AL22">
        <v>0</v>
      </c>
      <c r="AM22">
        <v>2.4</v>
      </c>
      <c r="AN22">
        <v>3.6</v>
      </c>
      <c r="AO22">
        <f t="shared" si="25"/>
        <v>1.2000000000000002</v>
      </c>
      <c r="AP22">
        <f t="shared" si="26"/>
        <v>0.33333333333333337</v>
      </c>
      <c r="AQ22">
        <v>-1</v>
      </c>
      <c r="AR22" t="s">
        <v>376</v>
      </c>
      <c r="AS22">
        <v>245.839058823529</v>
      </c>
      <c r="AT22">
        <v>281.791</v>
      </c>
      <c r="AU22">
        <f t="shared" si="27"/>
        <v>0.12758370982916767</v>
      </c>
      <c r="AV22">
        <v>0.5</v>
      </c>
      <c r="AW22">
        <f t="shared" si="28"/>
        <v>1854.5886514410338</v>
      </c>
      <c r="AX22">
        <f t="shared" si="29"/>
        <v>-2.841108067293773</v>
      </c>
      <c r="AY22">
        <f t="shared" si="30"/>
        <v>118.30765017896012</v>
      </c>
      <c r="AZ22">
        <f t="shared" si="31"/>
        <v>0.37783676554609624</v>
      </c>
      <c r="BA22">
        <f t="shared" si="32"/>
        <v>-9.9273122687514232E-4</v>
      </c>
      <c r="BB22">
        <f t="shared" si="33"/>
        <v>-0.98722457424119281</v>
      </c>
      <c r="BC22" t="s">
        <v>377</v>
      </c>
      <c r="BD22">
        <v>175.32</v>
      </c>
      <c r="BE22">
        <f t="shared" si="34"/>
        <v>106.471</v>
      </c>
      <c r="BF22">
        <f t="shared" si="35"/>
        <v>0.33766885984419226</v>
      </c>
      <c r="BG22">
        <f t="shared" si="36"/>
        <v>1.6200267877940833</v>
      </c>
      <c r="BH22">
        <f t="shared" si="37"/>
        <v>0.12867966819429041</v>
      </c>
      <c r="BI22">
        <f t="shared" si="38"/>
        <v>-231.82583333333326</v>
      </c>
      <c r="BJ22">
        <v>7356</v>
      </c>
      <c r="BK22">
        <v>300</v>
      </c>
      <c r="BL22">
        <v>300</v>
      </c>
      <c r="BM22">
        <v>300</v>
      </c>
      <c r="BN22">
        <v>9028.3799999999992</v>
      </c>
      <c r="BO22">
        <v>271.32100000000003</v>
      </c>
      <c r="BP22">
        <v>-5.85543E-3</v>
      </c>
      <c r="BQ22">
        <v>0.63162200000000002</v>
      </c>
      <c r="BR22" t="s">
        <v>347</v>
      </c>
      <c r="BS22" t="s">
        <v>347</v>
      </c>
      <c r="BT22" t="s">
        <v>347</v>
      </c>
      <c r="BU22" t="s">
        <v>347</v>
      </c>
      <c r="BV22" t="s">
        <v>347</v>
      </c>
      <c r="BW22" t="s">
        <v>347</v>
      </c>
      <c r="BX22" t="s">
        <v>347</v>
      </c>
      <c r="BY22" t="s">
        <v>347</v>
      </c>
      <c r="BZ22" t="s">
        <v>347</v>
      </c>
      <c r="CA22" t="s">
        <v>347</v>
      </c>
      <c r="CB22">
        <f t="shared" si="39"/>
        <v>2200.00451612903</v>
      </c>
      <c r="CC22">
        <f t="shared" si="40"/>
        <v>1854.5886514410338</v>
      </c>
      <c r="CD22">
        <f t="shared" si="41"/>
        <v>0.84299311107971486</v>
      </c>
      <c r="CE22">
        <f t="shared" si="42"/>
        <v>0.19598622215942971</v>
      </c>
      <c r="CF22">
        <v>1564944038</v>
      </c>
      <c r="CG22">
        <v>13.622967741935501</v>
      </c>
      <c r="CH22">
        <v>12.5120258064516</v>
      </c>
      <c r="CI22">
        <v>17.581303225806501</v>
      </c>
      <c r="CJ22">
        <v>15.744258064516099</v>
      </c>
      <c r="CK22">
        <v>500.01206451612899</v>
      </c>
      <c r="CL22">
        <v>99.331361290322604</v>
      </c>
      <c r="CM22">
        <v>9.9980796774193595E-2</v>
      </c>
      <c r="CN22">
        <v>24.939329032258101</v>
      </c>
      <c r="CO22">
        <v>27.042554838709702</v>
      </c>
      <c r="CP22">
        <v>999.9</v>
      </c>
      <c r="CQ22">
        <v>0</v>
      </c>
      <c r="CR22">
        <v>0</v>
      </c>
      <c r="CS22">
        <v>10003.1758064516</v>
      </c>
      <c r="CT22">
        <v>0</v>
      </c>
      <c r="CU22">
        <v>257.635774193548</v>
      </c>
      <c r="CV22">
        <v>1.11094806451613</v>
      </c>
      <c r="CW22">
        <v>13.8667709677419</v>
      </c>
      <c r="CX22">
        <v>12.712170967741899</v>
      </c>
      <c r="CY22">
        <v>1.83704064516129</v>
      </c>
      <c r="CZ22">
        <v>9.9119706451612899</v>
      </c>
      <c r="DA22">
        <v>12.5120258064516</v>
      </c>
      <c r="DB22">
        <v>17.107303225806501</v>
      </c>
      <c r="DC22">
        <v>15.744258064516099</v>
      </c>
      <c r="DD22">
        <v>1.7463738709677401</v>
      </c>
      <c r="DE22">
        <v>1.56389806451613</v>
      </c>
      <c r="DF22">
        <v>15.314880645161301</v>
      </c>
      <c r="DG22">
        <v>13.6076161290323</v>
      </c>
      <c r="DH22">
        <v>2200.00451612903</v>
      </c>
      <c r="DI22">
        <v>0.900001677419355</v>
      </c>
      <c r="DJ22">
        <v>9.99982419354839E-2</v>
      </c>
      <c r="DK22">
        <v>0</v>
      </c>
      <c r="DL22">
        <v>245.81983870967699</v>
      </c>
      <c r="DM22">
        <v>5.0002700000000004</v>
      </c>
      <c r="DN22">
        <v>7958.9774193548401</v>
      </c>
      <c r="DO22">
        <v>20016.164516129</v>
      </c>
      <c r="DP22">
        <v>48.542000000000002</v>
      </c>
      <c r="DQ22">
        <v>48.362806451612897</v>
      </c>
      <c r="DR22">
        <v>48.838419354838699</v>
      </c>
      <c r="DS22">
        <v>47.884999999999998</v>
      </c>
      <c r="DT22">
        <v>49.264000000000003</v>
      </c>
      <c r="DU22">
        <v>1975.5080645161299</v>
      </c>
      <c r="DV22">
        <v>219.49516129032301</v>
      </c>
      <c r="DW22">
        <v>0</v>
      </c>
      <c r="DX22">
        <v>98.200000047683702</v>
      </c>
      <c r="DY22">
        <v>245.839058823529</v>
      </c>
      <c r="DZ22">
        <v>0.67818626239206703</v>
      </c>
      <c r="EA22">
        <v>-1141.55147214414</v>
      </c>
      <c r="EB22">
        <v>7969.6388235294098</v>
      </c>
      <c r="EC22">
        <v>10</v>
      </c>
      <c r="ED22">
        <v>1564944013.5</v>
      </c>
      <c r="EE22" t="s">
        <v>378</v>
      </c>
      <c r="EF22">
        <v>46</v>
      </c>
      <c r="EG22">
        <v>3.7109999999999999</v>
      </c>
      <c r="EH22">
        <v>0.47399999999999998</v>
      </c>
      <c r="EI22">
        <v>13</v>
      </c>
      <c r="EJ22">
        <v>15</v>
      </c>
      <c r="EK22">
        <v>0.2</v>
      </c>
      <c r="EL22">
        <v>0.06</v>
      </c>
      <c r="EM22">
        <v>-2.8466394105145301</v>
      </c>
      <c r="EN22">
        <v>0.17073267730789701</v>
      </c>
      <c r="EO22">
        <v>9.85266100791789E-2</v>
      </c>
      <c r="EP22">
        <v>1</v>
      </c>
      <c r="EQ22">
        <v>0.25051890879254402</v>
      </c>
      <c r="ER22">
        <v>7.9788882662183494E-2</v>
      </c>
      <c r="ES22">
        <v>1.33130070404078E-2</v>
      </c>
      <c r="ET22">
        <v>1</v>
      </c>
      <c r="EU22">
        <v>2</v>
      </c>
      <c r="EV22">
        <v>2</v>
      </c>
      <c r="EW22" t="s">
        <v>349</v>
      </c>
      <c r="EX22">
        <v>2.9496600000000002</v>
      </c>
      <c r="EY22">
        <v>2.7770800000000002</v>
      </c>
      <c r="EZ22">
        <v>2.8367900000000001E-3</v>
      </c>
      <c r="FA22">
        <v>3.48562E-3</v>
      </c>
      <c r="FB22">
        <v>8.8532200000000005E-2</v>
      </c>
      <c r="FC22">
        <v>7.9331200000000004E-2</v>
      </c>
      <c r="FD22">
        <v>24005</v>
      </c>
      <c r="FE22">
        <v>24096.9</v>
      </c>
      <c r="FF22">
        <v>22640.2</v>
      </c>
      <c r="FG22">
        <v>26521.8</v>
      </c>
      <c r="FH22">
        <v>29508.400000000001</v>
      </c>
      <c r="FI22">
        <v>38308.199999999997</v>
      </c>
      <c r="FJ22">
        <v>32350.6</v>
      </c>
      <c r="FK22">
        <v>42229.8</v>
      </c>
      <c r="FL22">
        <v>1.94953</v>
      </c>
      <c r="FM22">
        <v>1.8387800000000001</v>
      </c>
      <c r="FN22">
        <v>0.101373</v>
      </c>
      <c r="FO22">
        <v>0</v>
      </c>
      <c r="FP22">
        <v>25.365100000000002</v>
      </c>
      <c r="FQ22">
        <v>999.9</v>
      </c>
      <c r="FR22">
        <v>28.463999999999999</v>
      </c>
      <c r="FS22">
        <v>43.506999999999998</v>
      </c>
      <c r="FT22">
        <v>25.561199999999999</v>
      </c>
      <c r="FU22">
        <v>61.657699999999998</v>
      </c>
      <c r="FV22">
        <v>46.253999999999998</v>
      </c>
      <c r="FW22">
        <v>1</v>
      </c>
      <c r="FX22">
        <v>0.499809</v>
      </c>
      <c r="FY22">
        <v>7.3456799999999998</v>
      </c>
      <c r="FZ22">
        <v>20.097000000000001</v>
      </c>
      <c r="GA22">
        <v>5.2220800000000001</v>
      </c>
      <c r="GB22">
        <v>11.9613</v>
      </c>
      <c r="GC22">
        <v>4.9707999999999997</v>
      </c>
      <c r="GD22">
        <v>3.29433</v>
      </c>
      <c r="GE22">
        <v>9999</v>
      </c>
      <c r="GF22">
        <v>9999</v>
      </c>
      <c r="GG22">
        <v>460.7</v>
      </c>
      <c r="GH22">
        <v>9999</v>
      </c>
      <c r="GI22">
        <v>1.8663099999999999</v>
      </c>
      <c r="GJ22">
        <v>1.86581</v>
      </c>
      <c r="GK22">
        <v>1.86595</v>
      </c>
      <c r="GL22">
        <v>1.8689199999999999</v>
      </c>
      <c r="GM22">
        <v>1.86324</v>
      </c>
      <c r="GN22">
        <v>1.8613299999999999</v>
      </c>
      <c r="GO22">
        <v>1.85758</v>
      </c>
      <c r="GP22">
        <v>1.86371</v>
      </c>
      <c r="GQ22" t="s">
        <v>350</v>
      </c>
      <c r="GR22" t="s">
        <v>19</v>
      </c>
      <c r="GS22" t="s">
        <v>19</v>
      </c>
      <c r="GT22" t="s">
        <v>19</v>
      </c>
      <c r="GU22" t="s">
        <v>351</v>
      </c>
      <c r="GV22" t="s">
        <v>352</v>
      </c>
      <c r="GW22" t="s">
        <v>353</v>
      </c>
      <c r="GX22" t="s">
        <v>353</v>
      </c>
      <c r="GY22" t="s">
        <v>353</v>
      </c>
      <c r="GZ22" t="s">
        <v>353</v>
      </c>
      <c r="HA22">
        <v>0</v>
      </c>
      <c r="HB22">
        <v>100</v>
      </c>
      <c r="HC22">
        <v>100</v>
      </c>
      <c r="HD22">
        <v>3.7109999999999999</v>
      </c>
      <c r="HE22">
        <v>0.47399999999999998</v>
      </c>
      <c r="HF22">
        <v>2</v>
      </c>
      <c r="HG22">
        <v>504.16</v>
      </c>
      <c r="HH22">
        <v>470.767</v>
      </c>
      <c r="HI22">
        <v>18.7531</v>
      </c>
      <c r="HJ22">
        <v>33.3889</v>
      </c>
      <c r="HK22">
        <v>29.999700000000001</v>
      </c>
      <c r="HL22">
        <v>33.503799999999998</v>
      </c>
      <c r="HM22">
        <v>33.487099999999998</v>
      </c>
      <c r="HN22">
        <v>3.4744799999999998</v>
      </c>
      <c r="HO22">
        <v>38.366700000000002</v>
      </c>
      <c r="HP22">
        <v>0</v>
      </c>
      <c r="HQ22">
        <v>18.725899999999999</v>
      </c>
      <c r="HR22">
        <v>12.5</v>
      </c>
      <c r="HS22">
        <v>15.709300000000001</v>
      </c>
      <c r="HT22">
        <v>99.569900000000004</v>
      </c>
      <c r="HU22">
        <v>102.98699999999999</v>
      </c>
    </row>
    <row r="23" spans="1:229" x14ac:dyDescent="0.35">
      <c r="A23">
        <v>8</v>
      </c>
      <c r="B23">
        <v>1564944275.5</v>
      </c>
      <c r="C23">
        <v>736.90000009536698</v>
      </c>
      <c r="D23" t="s">
        <v>379</v>
      </c>
      <c r="E23" t="s">
        <v>380</v>
      </c>
      <c r="G23">
        <v>1564944267.5</v>
      </c>
      <c r="H23">
        <f t="shared" si="0"/>
        <v>5.2998856384297334E-3</v>
      </c>
      <c r="I23">
        <f t="shared" si="1"/>
        <v>25.086238107857845</v>
      </c>
      <c r="J23">
        <f t="shared" si="2"/>
        <v>389.14035483870998</v>
      </c>
      <c r="K23">
        <f t="shared" si="3"/>
        <v>237.17419724133066</v>
      </c>
      <c r="L23">
        <f t="shared" si="4"/>
        <v>23.581443236008372</v>
      </c>
      <c r="M23">
        <f t="shared" si="5"/>
        <v>38.690933900924676</v>
      </c>
      <c r="N23">
        <f t="shared" si="6"/>
        <v>0.29317255966948763</v>
      </c>
      <c r="O23">
        <f t="shared" si="7"/>
        <v>3.382370964018508</v>
      </c>
      <c r="P23">
        <f t="shared" si="8"/>
        <v>0.27975146383413318</v>
      </c>
      <c r="Q23">
        <f t="shared" si="9"/>
        <v>0.17599929010887466</v>
      </c>
      <c r="R23">
        <f t="shared" si="10"/>
        <v>363.47369409763144</v>
      </c>
      <c r="S23">
        <f t="shared" si="11"/>
        <v>25.866156198963473</v>
      </c>
      <c r="T23">
        <f t="shared" si="12"/>
        <v>27.121474193548401</v>
      </c>
      <c r="U23">
        <f t="shared" si="13"/>
        <v>3.6047747912295702</v>
      </c>
      <c r="V23">
        <f t="shared" si="14"/>
        <v>55.082271421877152</v>
      </c>
      <c r="W23">
        <f t="shared" si="15"/>
        <v>1.7720705087776134</v>
      </c>
      <c r="X23">
        <f t="shared" si="16"/>
        <v>3.2171340488217344</v>
      </c>
      <c r="Y23">
        <f t="shared" si="17"/>
        <v>1.8327042824519568</v>
      </c>
      <c r="Z23">
        <f t="shared" si="18"/>
        <v>-233.72495665475125</v>
      </c>
      <c r="AA23">
        <f t="shared" si="19"/>
        <v>-351.00566480304451</v>
      </c>
      <c r="AB23">
        <f t="shared" si="20"/>
        <v>-22.208279869625652</v>
      </c>
      <c r="AC23">
        <f t="shared" si="21"/>
        <v>-243.46520722978997</v>
      </c>
      <c r="AD23">
        <v>-4.1174784781624202E-2</v>
      </c>
      <c r="AE23">
        <v>4.6222303026632501E-2</v>
      </c>
      <c r="AF23">
        <v>3.4546254970917398</v>
      </c>
      <c r="AG23">
        <v>0</v>
      </c>
      <c r="AH23">
        <v>0</v>
      </c>
      <c r="AI23">
        <f t="shared" si="22"/>
        <v>1</v>
      </c>
      <c r="AJ23">
        <f t="shared" si="23"/>
        <v>0</v>
      </c>
      <c r="AK23">
        <f t="shared" si="24"/>
        <v>52822.607011083222</v>
      </c>
      <c r="AL23">
        <v>0</v>
      </c>
      <c r="AM23">
        <v>2.4</v>
      </c>
      <c r="AN23">
        <v>3.6</v>
      </c>
      <c r="AO23">
        <f t="shared" si="25"/>
        <v>1.2000000000000002</v>
      </c>
      <c r="AP23">
        <f t="shared" si="26"/>
        <v>0.33333333333333337</v>
      </c>
      <c r="AQ23">
        <v>-1</v>
      </c>
      <c r="AR23" t="s">
        <v>381</v>
      </c>
      <c r="AS23">
        <v>237.153882352941</v>
      </c>
      <c r="AT23">
        <v>312.23</v>
      </c>
      <c r="AU23">
        <f t="shared" si="27"/>
        <v>0.24045132641661282</v>
      </c>
      <c r="AV23">
        <v>0.5</v>
      </c>
      <c r="AW23">
        <f t="shared" si="28"/>
        <v>1854.5839540305083</v>
      </c>
      <c r="AX23">
        <f t="shared" si="29"/>
        <v>25.086238107857845</v>
      </c>
      <c r="AY23">
        <f t="shared" si="30"/>
        <v>222.9685858488011</v>
      </c>
      <c r="AZ23">
        <f t="shared" si="31"/>
        <v>0.48140793645709901</v>
      </c>
      <c r="BA23">
        <f t="shared" si="32"/>
        <v>1.4065816783956022E-2</v>
      </c>
      <c r="BB23">
        <f t="shared" si="33"/>
        <v>-0.98847003811292955</v>
      </c>
      <c r="BC23" t="s">
        <v>382</v>
      </c>
      <c r="BD23">
        <v>161.91999999999999</v>
      </c>
      <c r="BE23">
        <f t="shared" si="34"/>
        <v>150.31000000000003</v>
      </c>
      <c r="BF23">
        <f t="shared" si="35"/>
        <v>0.49947520222911984</v>
      </c>
      <c r="BG23">
        <f t="shared" si="36"/>
        <v>1.9494062657908036</v>
      </c>
      <c r="BH23">
        <f t="shared" si="37"/>
        <v>0.24231390648761905</v>
      </c>
      <c r="BI23">
        <f t="shared" si="38"/>
        <v>-257.19166666666661</v>
      </c>
      <c r="BJ23">
        <v>7360</v>
      </c>
      <c r="BK23">
        <v>300</v>
      </c>
      <c r="BL23">
        <v>300</v>
      </c>
      <c r="BM23">
        <v>300</v>
      </c>
      <c r="BN23">
        <v>9025.39</v>
      </c>
      <c r="BO23">
        <v>287.23</v>
      </c>
      <c r="BP23">
        <v>-5.8534499999999996E-3</v>
      </c>
      <c r="BQ23">
        <v>0.86456299999999997</v>
      </c>
      <c r="BR23" t="s">
        <v>347</v>
      </c>
      <c r="BS23" t="s">
        <v>347</v>
      </c>
      <c r="BT23" t="s">
        <v>347</v>
      </c>
      <c r="BU23" t="s">
        <v>347</v>
      </c>
      <c r="BV23" t="s">
        <v>347</v>
      </c>
      <c r="BW23" t="s">
        <v>347</v>
      </c>
      <c r="BX23" t="s">
        <v>347</v>
      </c>
      <c r="BY23" t="s">
        <v>347</v>
      </c>
      <c r="BZ23" t="s">
        <v>347</v>
      </c>
      <c r="CA23" t="s">
        <v>347</v>
      </c>
      <c r="CB23">
        <f t="shared" si="39"/>
        <v>2199.9983870967699</v>
      </c>
      <c r="CC23">
        <f t="shared" si="40"/>
        <v>1854.5839540305083</v>
      </c>
      <c r="CD23">
        <f t="shared" si="41"/>
        <v>0.84299332440780195</v>
      </c>
      <c r="CE23">
        <f t="shared" si="42"/>
        <v>0.19598664881560396</v>
      </c>
      <c r="CF23">
        <v>1564944267.5</v>
      </c>
      <c r="CG23">
        <v>389.14035483870998</v>
      </c>
      <c r="CH23">
        <v>399.99967741935501</v>
      </c>
      <c r="CI23">
        <v>17.822887096774199</v>
      </c>
      <c r="CJ23">
        <v>15.7407419354839</v>
      </c>
      <c r="CK23">
        <v>500.00609677419402</v>
      </c>
      <c r="CL23">
        <v>99.326670967741904</v>
      </c>
      <c r="CM23">
        <v>0.100009970967742</v>
      </c>
      <c r="CN23">
        <v>25.196577419354799</v>
      </c>
      <c r="CO23">
        <v>27.121474193548401</v>
      </c>
      <c r="CP23">
        <v>999.9</v>
      </c>
      <c r="CQ23">
        <v>0</v>
      </c>
      <c r="CR23">
        <v>0</v>
      </c>
      <c r="CS23">
        <v>9996.8109677419397</v>
      </c>
      <c r="CT23">
        <v>0</v>
      </c>
      <c r="CU23">
        <v>252.02464516129001</v>
      </c>
      <c r="CV23">
        <v>-10.8591612903226</v>
      </c>
      <c r="CW23">
        <v>396.202032258065</v>
      </c>
      <c r="CX23">
        <v>406.39658064516101</v>
      </c>
      <c r="CY23">
        <v>2.0821529032258099</v>
      </c>
      <c r="CZ23">
        <v>385.37335483870999</v>
      </c>
      <c r="DA23">
        <v>399.99967741935501</v>
      </c>
      <c r="DB23">
        <v>17.3588870967742</v>
      </c>
      <c r="DC23">
        <v>15.7407419354839</v>
      </c>
      <c r="DD23">
        <v>1.77028903225806</v>
      </c>
      <c r="DE23">
        <v>1.5634751612903199</v>
      </c>
      <c r="DF23">
        <v>15.5268322580645</v>
      </c>
      <c r="DG23">
        <v>13.603419354838699</v>
      </c>
      <c r="DH23">
        <v>2199.9983870967699</v>
      </c>
      <c r="DI23">
        <v>0.89999525806451597</v>
      </c>
      <c r="DJ23">
        <v>0.100004735483871</v>
      </c>
      <c r="DK23">
        <v>0</v>
      </c>
      <c r="DL23">
        <v>237.159387096774</v>
      </c>
      <c r="DM23">
        <v>5.0002700000000004</v>
      </c>
      <c r="DN23">
        <v>7921.18806451613</v>
      </c>
      <c r="DO23">
        <v>20016.0516129032</v>
      </c>
      <c r="DP23">
        <v>49</v>
      </c>
      <c r="DQ23">
        <v>48.875</v>
      </c>
      <c r="DR23">
        <v>49.311999999999998</v>
      </c>
      <c r="DS23">
        <v>48.375</v>
      </c>
      <c r="DT23">
        <v>49.811999999999998</v>
      </c>
      <c r="DU23">
        <v>1975.48806451613</v>
      </c>
      <c r="DV23">
        <v>219.51032258064501</v>
      </c>
      <c r="DW23">
        <v>0</v>
      </c>
      <c r="DX23">
        <v>118.80000019073501</v>
      </c>
      <c r="DY23">
        <v>237.153882352941</v>
      </c>
      <c r="DZ23">
        <v>-0.54828433073563099</v>
      </c>
      <c r="EA23">
        <v>2200.6347974298501</v>
      </c>
      <c r="EB23">
        <v>7940.0511764705898</v>
      </c>
      <c r="EC23">
        <v>10</v>
      </c>
      <c r="ED23">
        <v>1564944235.5</v>
      </c>
      <c r="EE23" t="s">
        <v>383</v>
      </c>
      <c r="EF23">
        <v>48</v>
      </c>
      <c r="EG23">
        <v>3.7669999999999999</v>
      </c>
      <c r="EH23">
        <v>0.46400000000000002</v>
      </c>
      <c r="EI23">
        <v>400</v>
      </c>
      <c r="EJ23">
        <v>16</v>
      </c>
      <c r="EK23">
        <v>0.28000000000000003</v>
      </c>
      <c r="EL23">
        <v>0.1</v>
      </c>
      <c r="EM23">
        <v>25.105315205154501</v>
      </c>
      <c r="EN23">
        <v>-0.268824443423125</v>
      </c>
      <c r="EO23">
        <v>0.14518457135681401</v>
      </c>
      <c r="EP23">
        <v>1</v>
      </c>
      <c r="EQ23">
        <v>0.29048016006237098</v>
      </c>
      <c r="ER23">
        <v>2.4071965499149101E-2</v>
      </c>
      <c r="ES23">
        <v>5.6786253393363503E-3</v>
      </c>
      <c r="ET23">
        <v>1</v>
      </c>
      <c r="EU23">
        <v>2</v>
      </c>
      <c r="EV23">
        <v>2</v>
      </c>
      <c r="EW23" t="s">
        <v>349</v>
      </c>
      <c r="EX23">
        <v>2.9500500000000001</v>
      </c>
      <c r="EY23">
        <v>2.7774100000000002</v>
      </c>
      <c r="EZ23">
        <v>9.1514200000000004E-2</v>
      </c>
      <c r="FA23">
        <v>9.1708899999999996E-2</v>
      </c>
      <c r="FB23">
        <v>8.93679E-2</v>
      </c>
      <c r="FC23">
        <v>7.9315899999999995E-2</v>
      </c>
      <c r="FD23">
        <v>21884.2</v>
      </c>
      <c r="FE23">
        <v>21978.9</v>
      </c>
      <c r="FF23">
        <v>22651.8</v>
      </c>
      <c r="FG23">
        <v>26537.3</v>
      </c>
      <c r="FH23">
        <v>29496.400000000001</v>
      </c>
      <c r="FI23">
        <v>38328.9</v>
      </c>
      <c r="FJ23">
        <v>32366.3</v>
      </c>
      <c r="FK23">
        <v>42250.5</v>
      </c>
      <c r="FL23">
        <v>1.9535199999999999</v>
      </c>
      <c r="FM23">
        <v>1.8442799999999999</v>
      </c>
      <c r="FN23">
        <v>8.4906800000000004E-2</v>
      </c>
      <c r="FO23">
        <v>0</v>
      </c>
      <c r="FP23">
        <v>25.732199999999999</v>
      </c>
      <c r="FQ23">
        <v>999.9</v>
      </c>
      <c r="FR23">
        <v>27.817</v>
      </c>
      <c r="FS23">
        <v>43.536999999999999</v>
      </c>
      <c r="FT23">
        <v>25.0227</v>
      </c>
      <c r="FU23">
        <v>61.677799999999998</v>
      </c>
      <c r="FV23">
        <v>46.23</v>
      </c>
      <c r="FW23">
        <v>1</v>
      </c>
      <c r="FX23">
        <v>0.48056700000000002</v>
      </c>
      <c r="FY23">
        <v>8.2884499999999992</v>
      </c>
      <c r="FZ23">
        <v>20.055199999999999</v>
      </c>
      <c r="GA23">
        <v>5.2279200000000001</v>
      </c>
      <c r="GB23">
        <v>11.962</v>
      </c>
      <c r="GC23">
        <v>4.9717000000000002</v>
      </c>
      <c r="GD23">
        <v>3.2949999999999999</v>
      </c>
      <c r="GE23">
        <v>9999</v>
      </c>
      <c r="GF23">
        <v>9999</v>
      </c>
      <c r="GG23">
        <v>460.8</v>
      </c>
      <c r="GH23">
        <v>9999</v>
      </c>
      <c r="GI23">
        <v>1.8663000000000001</v>
      </c>
      <c r="GJ23">
        <v>1.8657300000000001</v>
      </c>
      <c r="GK23">
        <v>1.8659600000000001</v>
      </c>
      <c r="GL23">
        <v>1.8689</v>
      </c>
      <c r="GM23">
        <v>1.86317</v>
      </c>
      <c r="GN23">
        <v>1.8613</v>
      </c>
      <c r="GO23">
        <v>1.85758</v>
      </c>
      <c r="GP23">
        <v>1.8636999999999999</v>
      </c>
      <c r="GQ23" t="s">
        <v>350</v>
      </c>
      <c r="GR23" t="s">
        <v>19</v>
      </c>
      <c r="GS23" t="s">
        <v>19</v>
      </c>
      <c r="GT23" t="s">
        <v>19</v>
      </c>
      <c r="GU23" t="s">
        <v>351</v>
      </c>
      <c r="GV23" t="s">
        <v>352</v>
      </c>
      <c r="GW23" t="s">
        <v>353</v>
      </c>
      <c r="GX23" t="s">
        <v>353</v>
      </c>
      <c r="GY23" t="s">
        <v>353</v>
      </c>
      <c r="GZ23" t="s">
        <v>353</v>
      </c>
      <c r="HA23">
        <v>0</v>
      </c>
      <c r="HB23">
        <v>100</v>
      </c>
      <c r="HC23">
        <v>100</v>
      </c>
      <c r="HD23">
        <v>3.7669999999999999</v>
      </c>
      <c r="HE23">
        <v>0.46400000000000002</v>
      </c>
      <c r="HF23">
        <v>2</v>
      </c>
      <c r="HG23">
        <v>504.25099999999998</v>
      </c>
      <c r="HH23">
        <v>471.97199999999998</v>
      </c>
      <c r="HI23">
        <v>18.600300000000001</v>
      </c>
      <c r="HJ23">
        <v>33.1004</v>
      </c>
      <c r="HK23">
        <v>30.000900000000001</v>
      </c>
      <c r="HL23">
        <v>33.1783</v>
      </c>
      <c r="HM23">
        <v>33.163600000000002</v>
      </c>
      <c r="HN23">
        <v>21.3124</v>
      </c>
      <c r="HO23">
        <v>37.130400000000002</v>
      </c>
      <c r="HP23">
        <v>0</v>
      </c>
      <c r="HQ23">
        <v>18.481400000000001</v>
      </c>
      <c r="HR23">
        <v>400</v>
      </c>
      <c r="HS23">
        <v>15.729100000000001</v>
      </c>
      <c r="HT23">
        <v>99.619200000000006</v>
      </c>
      <c r="HU23">
        <v>103.041</v>
      </c>
    </row>
    <row r="24" spans="1:229" x14ac:dyDescent="0.35">
      <c r="A24">
        <v>9</v>
      </c>
      <c r="B24">
        <v>1564944409.5</v>
      </c>
      <c r="C24">
        <v>870.90000009536698</v>
      </c>
      <c r="D24" t="s">
        <v>384</v>
      </c>
      <c r="E24" t="s">
        <v>385</v>
      </c>
      <c r="G24">
        <v>1564944401.5</v>
      </c>
      <c r="H24">
        <f t="shared" si="0"/>
        <v>4.8156058684334004E-3</v>
      </c>
      <c r="I24">
        <f t="shared" si="1"/>
        <v>29.199579201733609</v>
      </c>
      <c r="J24">
        <f t="shared" si="2"/>
        <v>487.4</v>
      </c>
      <c r="K24">
        <f t="shared" si="3"/>
        <v>295.18246839870727</v>
      </c>
      <c r="L24">
        <f t="shared" si="4"/>
        <v>29.347607302434277</v>
      </c>
      <c r="M24">
        <f t="shared" si="5"/>
        <v>48.458243054888378</v>
      </c>
      <c r="N24">
        <f t="shared" si="6"/>
        <v>0.26847877003447906</v>
      </c>
      <c r="O24">
        <f t="shared" si="7"/>
        <v>3.3828768783788403</v>
      </c>
      <c r="P24">
        <f t="shared" si="8"/>
        <v>0.25717812927174744</v>
      </c>
      <c r="Q24">
        <f t="shared" si="9"/>
        <v>0.16171201089964221</v>
      </c>
      <c r="R24">
        <f t="shared" si="10"/>
        <v>363.47066022473064</v>
      </c>
      <c r="S24">
        <f t="shared" si="11"/>
        <v>25.696424938434959</v>
      </c>
      <c r="T24">
        <f t="shared" si="12"/>
        <v>26.966000000000001</v>
      </c>
      <c r="U24">
        <f t="shared" si="13"/>
        <v>3.57201868017868</v>
      </c>
      <c r="V24">
        <f t="shared" si="14"/>
        <v>55.636507654253485</v>
      </c>
      <c r="W24">
        <f t="shared" si="15"/>
        <v>1.7602875163535368</v>
      </c>
      <c r="X24">
        <f t="shared" si="16"/>
        <v>3.1639072806162383</v>
      </c>
      <c r="Y24">
        <f t="shared" si="17"/>
        <v>1.8117311638251432</v>
      </c>
      <c r="Z24">
        <f t="shared" si="18"/>
        <v>-212.36821879791296</v>
      </c>
      <c r="AA24">
        <f t="shared" si="19"/>
        <v>-373.75947801747145</v>
      </c>
      <c r="AB24">
        <f t="shared" si="20"/>
        <v>-23.592836223832713</v>
      </c>
      <c r="AC24">
        <f t="shared" si="21"/>
        <v>-246.24987281448648</v>
      </c>
      <c r="AD24">
        <v>-4.1182609301110798E-2</v>
      </c>
      <c r="AE24">
        <v>4.6231086735221798E-2</v>
      </c>
      <c r="AF24">
        <v>3.4551451421128401</v>
      </c>
      <c r="AG24">
        <v>0</v>
      </c>
      <c r="AH24">
        <v>0</v>
      </c>
      <c r="AI24">
        <f t="shared" si="22"/>
        <v>1</v>
      </c>
      <c r="AJ24">
        <f t="shared" si="23"/>
        <v>0</v>
      </c>
      <c r="AK24">
        <f t="shared" si="24"/>
        <v>52881.777359419364</v>
      </c>
      <c r="AL24">
        <v>0</v>
      </c>
      <c r="AM24">
        <v>2.4</v>
      </c>
      <c r="AN24">
        <v>3.6</v>
      </c>
      <c r="AO24">
        <f t="shared" si="25"/>
        <v>1.2000000000000002</v>
      </c>
      <c r="AP24">
        <f t="shared" si="26"/>
        <v>0.33333333333333337</v>
      </c>
      <c r="AQ24">
        <v>-1</v>
      </c>
      <c r="AR24" t="s">
        <v>386</v>
      </c>
      <c r="AS24">
        <v>241.20064705882399</v>
      </c>
      <c r="AT24">
        <v>322.82299999999998</v>
      </c>
      <c r="AU24">
        <f t="shared" si="27"/>
        <v>0.25283933592456542</v>
      </c>
      <c r="AV24">
        <v>0.5</v>
      </c>
      <c r="AW24">
        <f t="shared" si="28"/>
        <v>1854.5733282241267</v>
      </c>
      <c r="AX24">
        <f t="shared" si="29"/>
        <v>29.199579201733609</v>
      </c>
      <c r="AY24">
        <f t="shared" si="30"/>
        <v>234.45454436579965</v>
      </c>
      <c r="AZ24">
        <f t="shared" si="31"/>
        <v>0.50269962177416105</v>
      </c>
      <c r="BA24">
        <f t="shared" si="32"/>
        <v>1.6283842079542709E-2</v>
      </c>
      <c r="BB24">
        <f t="shared" si="33"/>
        <v>-0.98884837821344818</v>
      </c>
      <c r="BC24" t="s">
        <v>387</v>
      </c>
      <c r="BD24">
        <v>160.54</v>
      </c>
      <c r="BE24">
        <f t="shared" si="34"/>
        <v>162.28299999999999</v>
      </c>
      <c r="BF24">
        <f t="shared" si="35"/>
        <v>0.50296305183645851</v>
      </c>
      <c r="BG24">
        <f t="shared" si="36"/>
        <v>2.0340448579074804</v>
      </c>
      <c r="BH24">
        <f t="shared" si="37"/>
        <v>0.25473312758814437</v>
      </c>
      <c r="BI24">
        <f t="shared" si="38"/>
        <v>-266.01916666666659</v>
      </c>
      <c r="BJ24">
        <v>7362</v>
      </c>
      <c r="BK24">
        <v>300</v>
      </c>
      <c r="BL24">
        <v>300</v>
      </c>
      <c r="BM24">
        <v>300</v>
      </c>
      <c r="BN24">
        <v>9024.32</v>
      </c>
      <c r="BO24">
        <v>297.45299999999997</v>
      </c>
      <c r="BP24">
        <v>-5.8528199999999999E-3</v>
      </c>
      <c r="BQ24">
        <v>1.73282</v>
      </c>
      <c r="BR24" t="s">
        <v>347</v>
      </c>
      <c r="BS24" t="s">
        <v>347</v>
      </c>
      <c r="BT24" t="s">
        <v>347</v>
      </c>
      <c r="BU24" t="s">
        <v>347</v>
      </c>
      <c r="BV24" t="s">
        <v>347</v>
      </c>
      <c r="BW24" t="s">
        <v>347</v>
      </c>
      <c r="BX24" t="s">
        <v>347</v>
      </c>
      <c r="BY24" t="s">
        <v>347</v>
      </c>
      <c r="BZ24" t="s">
        <v>347</v>
      </c>
      <c r="CA24" t="s">
        <v>347</v>
      </c>
      <c r="CB24">
        <f t="shared" si="39"/>
        <v>2199.9864516129001</v>
      </c>
      <c r="CC24">
        <f t="shared" si="40"/>
        <v>1854.5733282241267</v>
      </c>
      <c r="CD24">
        <f t="shared" si="41"/>
        <v>0.84299306791842432</v>
      </c>
      <c r="CE24">
        <f t="shared" si="42"/>
        <v>0.19598613583684887</v>
      </c>
      <c r="CF24">
        <v>1564944401.5</v>
      </c>
      <c r="CG24">
        <v>487.4</v>
      </c>
      <c r="CH24">
        <v>500.01825806451598</v>
      </c>
      <c r="CI24">
        <v>17.705225806451601</v>
      </c>
      <c r="CJ24">
        <v>15.8131516129032</v>
      </c>
      <c r="CK24">
        <v>500.01680645161298</v>
      </c>
      <c r="CL24">
        <v>99.321906451612904</v>
      </c>
      <c r="CM24">
        <v>0.100012003225806</v>
      </c>
      <c r="CN24">
        <v>24.916629032258101</v>
      </c>
      <c r="CO24">
        <v>26.966000000000001</v>
      </c>
      <c r="CP24">
        <v>999.9</v>
      </c>
      <c r="CQ24">
        <v>0</v>
      </c>
      <c r="CR24">
        <v>0</v>
      </c>
      <c r="CS24">
        <v>9999.1903225806509</v>
      </c>
      <c r="CT24">
        <v>0</v>
      </c>
      <c r="CU24">
        <v>265.54519354838698</v>
      </c>
      <c r="CV24">
        <v>-12.6182193548387</v>
      </c>
      <c r="CW24">
        <v>496.18512903225798</v>
      </c>
      <c r="CX24">
        <v>508.05209677419401</v>
      </c>
      <c r="CY24">
        <v>1.89207387096774</v>
      </c>
      <c r="CZ24">
        <v>483.45396774193603</v>
      </c>
      <c r="DA24">
        <v>500.01825806451598</v>
      </c>
      <c r="DB24">
        <v>17.235225806451599</v>
      </c>
      <c r="DC24">
        <v>15.8131516129032</v>
      </c>
      <c r="DD24">
        <v>1.7585170967741901</v>
      </c>
      <c r="DE24">
        <v>1.5705909677419401</v>
      </c>
      <c r="DF24">
        <v>15.422770967741901</v>
      </c>
      <c r="DG24">
        <v>13.673141935483899</v>
      </c>
      <c r="DH24">
        <v>2199.9864516129001</v>
      </c>
      <c r="DI24">
        <v>0.900003</v>
      </c>
      <c r="DJ24">
        <v>9.9997199999999897E-2</v>
      </c>
      <c r="DK24">
        <v>0</v>
      </c>
      <c r="DL24">
        <v>241.201870967742</v>
      </c>
      <c r="DM24">
        <v>5.0002700000000004</v>
      </c>
      <c r="DN24">
        <v>8222.5432258064502</v>
      </c>
      <c r="DO24">
        <v>20015.9806451613</v>
      </c>
      <c r="DP24">
        <v>49.173000000000002</v>
      </c>
      <c r="DQ24">
        <v>49.061999999999998</v>
      </c>
      <c r="DR24">
        <v>49.5</v>
      </c>
      <c r="DS24">
        <v>48.594516129032201</v>
      </c>
      <c r="DT24">
        <v>49.878999999999998</v>
      </c>
      <c r="DU24">
        <v>1975.4961290322599</v>
      </c>
      <c r="DV24">
        <v>219.490322580645</v>
      </c>
      <c r="DW24">
        <v>0</v>
      </c>
      <c r="DX24">
        <v>133.200000047684</v>
      </c>
      <c r="DY24">
        <v>241.20064705882399</v>
      </c>
      <c r="DZ24">
        <v>1.12720587792444</v>
      </c>
      <c r="EA24">
        <v>-986.52207140793496</v>
      </c>
      <c r="EB24">
        <v>8246.6576470588207</v>
      </c>
      <c r="EC24">
        <v>10</v>
      </c>
      <c r="ED24">
        <v>1564944371.5</v>
      </c>
      <c r="EE24" t="s">
        <v>388</v>
      </c>
      <c r="EF24">
        <v>49</v>
      </c>
      <c r="EG24">
        <v>3.9460000000000002</v>
      </c>
      <c r="EH24">
        <v>0.47</v>
      </c>
      <c r="EI24">
        <v>500</v>
      </c>
      <c r="EJ24">
        <v>16</v>
      </c>
      <c r="EK24">
        <v>0.17</v>
      </c>
      <c r="EL24">
        <v>0.11</v>
      </c>
      <c r="EM24">
        <v>29.208755020136401</v>
      </c>
      <c r="EN24">
        <v>-0.26038790648856802</v>
      </c>
      <c r="EO24">
        <v>0.274595341056521</v>
      </c>
      <c r="EP24">
        <v>1</v>
      </c>
      <c r="EQ24">
        <v>0.266962536265688</v>
      </c>
      <c r="ER24">
        <v>2.69126745771785E-2</v>
      </c>
      <c r="ES24">
        <v>3.7077843465071801E-3</v>
      </c>
      <c r="ET24">
        <v>1</v>
      </c>
      <c r="EU24">
        <v>2</v>
      </c>
      <c r="EV24">
        <v>2</v>
      </c>
      <c r="EW24" t="s">
        <v>349</v>
      </c>
      <c r="EX24">
        <v>2.9500799999999998</v>
      </c>
      <c r="EY24">
        <v>2.77752</v>
      </c>
      <c r="EZ24">
        <v>0.10861700000000001</v>
      </c>
      <c r="FA24">
        <v>0.108385</v>
      </c>
      <c r="FB24">
        <v>8.8794899999999996E-2</v>
      </c>
      <c r="FC24">
        <v>7.9436300000000001E-2</v>
      </c>
      <c r="FD24">
        <v>21476.2</v>
      </c>
      <c r="FE24">
        <v>21580</v>
      </c>
      <c r="FF24">
        <v>22656</v>
      </c>
      <c r="FG24">
        <v>26543</v>
      </c>
      <c r="FH24">
        <v>29520.1</v>
      </c>
      <c r="FI24">
        <v>38331.300000000003</v>
      </c>
      <c r="FJ24">
        <v>32371.7</v>
      </c>
      <c r="FK24">
        <v>42258.400000000001</v>
      </c>
      <c r="FL24">
        <v>1.95445</v>
      </c>
      <c r="FM24">
        <v>1.84535</v>
      </c>
      <c r="FN24">
        <v>7.6212000000000002E-2</v>
      </c>
      <c r="FO24">
        <v>0</v>
      </c>
      <c r="FP24">
        <v>25.706199999999999</v>
      </c>
      <c r="FQ24">
        <v>999.9</v>
      </c>
      <c r="FR24">
        <v>27.561</v>
      </c>
      <c r="FS24">
        <v>43.578000000000003</v>
      </c>
      <c r="FT24">
        <v>24.845400000000001</v>
      </c>
      <c r="FU24">
        <v>61.657800000000002</v>
      </c>
      <c r="FV24">
        <v>46.446300000000001</v>
      </c>
      <c r="FW24">
        <v>1</v>
      </c>
      <c r="FX24">
        <v>0.46910800000000002</v>
      </c>
      <c r="FY24">
        <v>7.2886199999999999</v>
      </c>
      <c r="FZ24">
        <v>20.102599999999999</v>
      </c>
      <c r="GA24">
        <v>5.2238800000000003</v>
      </c>
      <c r="GB24">
        <v>11.962</v>
      </c>
      <c r="GC24">
        <v>4.9716500000000003</v>
      </c>
      <c r="GD24">
        <v>3.2949999999999999</v>
      </c>
      <c r="GE24">
        <v>9999</v>
      </c>
      <c r="GF24">
        <v>9999</v>
      </c>
      <c r="GG24">
        <v>460.8</v>
      </c>
      <c r="GH24">
        <v>9999</v>
      </c>
      <c r="GI24">
        <v>1.8663099999999999</v>
      </c>
      <c r="GJ24">
        <v>1.86575</v>
      </c>
      <c r="GK24">
        <v>1.8660000000000001</v>
      </c>
      <c r="GL24">
        <v>1.8689100000000001</v>
      </c>
      <c r="GM24">
        <v>1.8632299999999999</v>
      </c>
      <c r="GN24">
        <v>1.86131</v>
      </c>
      <c r="GO24">
        <v>1.8575900000000001</v>
      </c>
      <c r="GP24">
        <v>1.8636999999999999</v>
      </c>
      <c r="GQ24" t="s">
        <v>350</v>
      </c>
      <c r="GR24" t="s">
        <v>19</v>
      </c>
      <c r="GS24" t="s">
        <v>19</v>
      </c>
      <c r="GT24" t="s">
        <v>19</v>
      </c>
      <c r="GU24" t="s">
        <v>351</v>
      </c>
      <c r="GV24" t="s">
        <v>352</v>
      </c>
      <c r="GW24" t="s">
        <v>353</v>
      </c>
      <c r="GX24" t="s">
        <v>353</v>
      </c>
      <c r="GY24" t="s">
        <v>353</v>
      </c>
      <c r="GZ24" t="s">
        <v>353</v>
      </c>
      <c r="HA24">
        <v>0</v>
      </c>
      <c r="HB24">
        <v>100</v>
      </c>
      <c r="HC24">
        <v>100</v>
      </c>
      <c r="HD24">
        <v>3.9460000000000002</v>
      </c>
      <c r="HE24">
        <v>0.47</v>
      </c>
      <c r="HF24">
        <v>2</v>
      </c>
      <c r="HG24">
        <v>503.935</v>
      </c>
      <c r="HH24">
        <v>471.78399999999999</v>
      </c>
      <c r="HI24">
        <v>18.618300000000001</v>
      </c>
      <c r="HJ24">
        <v>33.033000000000001</v>
      </c>
      <c r="HK24">
        <v>30.0002</v>
      </c>
      <c r="HL24">
        <v>33.061700000000002</v>
      </c>
      <c r="HM24">
        <v>33.044899999999998</v>
      </c>
      <c r="HN24">
        <v>25.555</v>
      </c>
      <c r="HO24">
        <v>36.842700000000001</v>
      </c>
      <c r="HP24">
        <v>0</v>
      </c>
      <c r="HQ24">
        <v>18.647600000000001</v>
      </c>
      <c r="HR24">
        <v>500</v>
      </c>
      <c r="HS24">
        <v>15.7355</v>
      </c>
      <c r="HT24">
        <v>99.636600000000001</v>
      </c>
      <c r="HU24">
        <v>103.06100000000001</v>
      </c>
    </row>
    <row r="25" spans="1:229" x14ac:dyDescent="0.35">
      <c r="A25">
        <v>10</v>
      </c>
      <c r="B25">
        <v>1564944500.5</v>
      </c>
      <c r="C25">
        <v>961.90000009536698</v>
      </c>
      <c r="D25" t="s">
        <v>389</v>
      </c>
      <c r="E25" t="s">
        <v>390</v>
      </c>
      <c r="G25">
        <v>1564944492.5</v>
      </c>
      <c r="H25">
        <f t="shared" si="0"/>
        <v>4.3507145825417339E-3</v>
      </c>
      <c r="I25">
        <f t="shared" si="1"/>
        <v>33.72744538450641</v>
      </c>
      <c r="J25">
        <f t="shared" si="2"/>
        <v>585.48190322580604</v>
      </c>
      <c r="K25">
        <f t="shared" si="3"/>
        <v>337.13437439240892</v>
      </c>
      <c r="L25">
        <f t="shared" si="4"/>
        <v>33.519176245194565</v>
      </c>
      <c r="M25">
        <f t="shared" si="5"/>
        <v>58.210828065118299</v>
      </c>
      <c r="N25">
        <f t="shared" si="6"/>
        <v>0.23790260459848625</v>
      </c>
      <c r="O25">
        <f t="shared" si="7"/>
        <v>3.3834846849562146</v>
      </c>
      <c r="P25">
        <f t="shared" si="8"/>
        <v>0.22898493577439877</v>
      </c>
      <c r="Q25">
        <f t="shared" si="9"/>
        <v>0.14388895109578753</v>
      </c>
      <c r="R25">
        <f t="shared" si="10"/>
        <v>363.46940171077932</v>
      </c>
      <c r="S25">
        <f t="shared" si="11"/>
        <v>25.996276610384687</v>
      </c>
      <c r="T25">
        <f t="shared" si="12"/>
        <v>27.0859709677419</v>
      </c>
      <c r="U25">
        <f t="shared" si="13"/>
        <v>3.5972717772474643</v>
      </c>
      <c r="V25">
        <f t="shared" si="14"/>
        <v>54.958835490128678</v>
      </c>
      <c r="W25">
        <f t="shared" si="15"/>
        <v>1.7591050641900399</v>
      </c>
      <c r="X25">
        <f t="shared" si="16"/>
        <v>3.2007684451501852</v>
      </c>
      <c r="Y25">
        <f t="shared" si="17"/>
        <v>1.8381667130574244</v>
      </c>
      <c r="Z25">
        <f t="shared" si="18"/>
        <v>-191.86651309009048</v>
      </c>
      <c r="AA25">
        <f t="shared" si="19"/>
        <v>-360.26706464035396</v>
      </c>
      <c r="AB25">
        <f t="shared" si="20"/>
        <v>-22.772923607799772</v>
      </c>
      <c r="AC25">
        <f t="shared" si="21"/>
        <v>-211.4370996274649</v>
      </c>
      <c r="AD25">
        <v>-4.1192010389655899E-2</v>
      </c>
      <c r="AE25">
        <v>4.6241640280694198E-2</v>
      </c>
      <c r="AF25">
        <v>3.4557694459534498</v>
      </c>
      <c r="AG25">
        <v>0</v>
      </c>
      <c r="AH25">
        <v>0</v>
      </c>
      <c r="AI25">
        <f t="shared" si="22"/>
        <v>1</v>
      </c>
      <c r="AJ25">
        <f t="shared" si="23"/>
        <v>0</v>
      </c>
      <c r="AK25">
        <f t="shared" si="24"/>
        <v>52858.920938540497</v>
      </c>
      <c r="AL25">
        <v>0</v>
      </c>
      <c r="AM25">
        <v>2.4</v>
      </c>
      <c r="AN25">
        <v>3.6</v>
      </c>
      <c r="AO25">
        <f t="shared" si="25"/>
        <v>1.2000000000000002</v>
      </c>
      <c r="AP25">
        <f t="shared" si="26"/>
        <v>0.33333333333333337</v>
      </c>
      <c r="AQ25">
        <v>-1</v>
      </c>
      <c r="AR25" t="s">
        <v>391</v>
      </c>
      <c r="AS25">
        <v>246.237647058824</v>
      </c>
      <c r="AT25">
        <v>334.30200000000002</v>
      </c>
      <c r="AU25">
        <f t="shared" si="27"/>
        <v>0.26342753839694655</v>
      </c>
      <c r="AV25">
        <v>0.5</v>
      </c>
      <c r="AW25">
        <f t="shared" si="28"/>
        <v>1854.5643766111921</v>
      </c>
      <c r="AX25">
        <f t="shared" si="29"/>
        <v>33.72744538450641</v>
      </c>
      <c r="AY25">
        <f t="shared" si="30"/>
        <v>244.27166426467701</v>
      </c>
      <c r="AZ25">
        <f t="shared" si="31"/>
        <v>0.51104091510071736</v>
      </c>
      <c r="BA25">
        <f t="shared" si="32"/>
        <v>1.8725392238992083E-2</v>
      </c>
      <c r="BB25">
        <f t="shared" si="33"/>
        <v>-0.9892312938600426</v>
      </c>
      <c r="BC25" t="s">
        <v>392</v>
      </c>
      <c r="BD25">
        <v>163.46</v>
      </c>
      <c r="BE25">
        <f t="shared" si="34"/>
        <v>170.84200000000001</v>
      </c>
      <c r="BF25">
        <f t="shared" si="35"/>
        <v>0.51547250056295302</v>
      </c>
      <c r="BG25">
        <f t="shared" si="36"/>
        <v>2.0686976104091079</v>
      </c>
      <c r="BH25">
        <f t="shared" si="37"/>
        <v>0.26533239613252108</v>
      </c>
      <c r="BI25">
        <f t="shared" si="38"/>
        <v>-275.58499999999998</v>
      </c>
      <c r="BJ25">
        <v>7364</v>
      </c>
      <c r="BK25">
        <v>300</v>
      </c>
      <c r="BL25">
        <v>300</v>
      </c>
      <c r="BM25">
        <v>300</v>
      </c>
      <c r="BN25">
        <v>9023.2800000000007</v>
      </c>
      <c r="BO25">
        <v>306.54500000000002</v>
      </c>
      <c r="BP25">
        <v>-5.85208E-3</v>
      </c>
      <c r="BQ25">
        <v>0.89859</v>
      </c>
      <c r="BR25" t="s">
        <v>347</v>
      </c>
      <c r="BS25" t="s">
        <v>347</v>
      </c>
      <c r="BT25" t="s">
        <v>347</v>
      </c>
      <c r="BU25" t="s">
        <v>347</v>
      </c>
      <c r="BV25" t="s">
        <v>347</v>
      </c>
      <c r="BW25" t="s">
        <v>347</v>
      </c>
      <c r="BX25" t="s">
        <v>347</v>
      </c>
      <c r="BY25" t="s">
        <v>347</v>
      </c>
      <c r="BZ25" t="s">
        <v>347</v>
      </c>
      <c r="CA25" t="s">
        <v>347</v>
      </c>
      <c r="CB25">
        <f t="shared" si="39"/>
        <v>2199.97548387097</v>
      </c>
      <c r="CC25">
        <f t="shared" si="40"/>
        <v>1854.5643766111921</v>
      </c>
      <c r="CD25">
        <f t="shared" si="41"/>
        <v>0.84299320160967917</v>
      </c>
      <c r="CE25">
        <f t="shared" si="42"/>
        <v>0.19598640321935851</v>
      </c>
      <c r="CF25">
        <v>1564944492.5</v>
      </c>
      <c r="CG25">
        <v>585.48190322580604</v>
      </c>
      <c r="CH25">
        <v>599.99141935483897</v>
      </c>
      <c r="CI25">
        <v>17.693000000000001</v>
      </c>
      <c r="CJ25">
        <v>15.9835483870968</v>
      </c>
      <c r="CK25">
        <v>500.01267741935499</v>
      </c>
      <c r="CL25">
        <v>99.323783870967802</v>
      </c>
      <c r="CM25">
        <v>0.100003174193548</v>
      </c>
      <c r="CN25">
        <v>25.110935483871</v>
      </c>
      <c r="CO25">
        <v>27.0859709677419</v>
      </c>
      <c r="CP25">
        <v>999.9</v>
      </c>
      <c r="CQ25">
        <v>0</v>
      </c>
      <c r="CR25">
        <v>0</v>
      </c>
      <c r="CS25">
        <v>10001.2838709677</v>
      </c>
      <c r="CT25">
        <v>0</v>
      </c>
      <c r="CU25">
        <v>258.86496774193603</v>
      </c>
      <c r="CV25">
        <v>-14.5096387096774</v>
      </c>
      <c r="CW25">
        <v>596.02735483871004</v>
      </c>
      <c r="CX25">
        <v>609.73725806451603</v>
      </c>
      <c r="CY25">
        <v>1.7094554838709699</v>
      </c>
      <c r="CZ25">
        <v>581.49990322580697</v>
      </c>
      <c r="DA25">
        <v>599.99141935483897</v>
      </c>
      <c r="DB25">
        <v>17.227</v>
      </c>
      <c r="DC25">
        <v>15.9835483870968</v>
      </c>
      <c r="DD25">
        <v>1.7573364516129</v>
      </c>
      <c r="DE25">
        <v>1.58754774193548</v>
      </c>
      <c r="DF25">
        <v>15.4123741935484</v>
      </c>
      <c r="DG25">
        <v>13.8384483870968</v>
      </c>
      <c r="DH25">
        <v>2199.97548387097</v>
      </c>
      <c r="DI25">
        <v>0.89999987096774203</v>
      </c>
      <c r="DJ25">
        <v>9.9999887096774195E-2</v>
      </c>
      <c r="DK25">
        <v>0</v>
      </c>
      <c r="DL25">
        <v>246.256483870968</v>
      </c>
      <c r="DM25">
        <v>5.0002700000000004</v>
      </c>
      <c r="DN25">
        <v>8299.4041935483892</v>
      </c>
      <c r="DO25">
        <v>20015.870967741899</v>
      </c>
      <c r="DP25">
        <v>49.3343548387097</v>
      </c>
      <c r="DQ25">
        <v>49.308</v>
      </c>
      <c r="DR25">
        <v>49.686999999999998</v>
      </c>
      <c r="DS25">
        <v>48.758000000000003</v>
      </c>
      <c r="DT25">
        <v>50.061999999999998</v>
      </c>
      <c r="DU25">
        <v>1975.4764516129001</v>
      </c>
      <c r="DV25">
        <v>219.49903225806401</v>
      </c>
      <c r="DW25">
        <v>0</v>
      </c>
      <c r="DX25">
        <v>90.5</v>
      </c>
      <c r="DY25">
        <v>246.237647058824</v>
      </c>
      <c r="DZ25">
        <v>-1.1279411691293699</v>
      </c>
      <c r="EA25">
        <v>-1972.4044169982701</v>
      </c>
      <c r="EB25">
        <v>8383.7317647058808</v>
      </c>
      <c r="EC25">
        <v>10</v>
      </c>
      <c r="ED25">
        <v>1564944469</v>
      </c>
      <c r="EE25" t="s">
        <v>393</v>
      </c>
      <c r="EF25">
        <v>50</v>
      </c>
      <c r="EG25">
        <v>3.9820000000000002</v>
      </c>
      <c r="EH25">
        <v>0.46600000000000003</v>
      </c>
      <c r="EI25">
        <v>600</v>
      </c>
      <c r="EJ25">
        <v>16</v>
      </c>
      <c r="EK25">
        <v>0.31</v>
      </c>
      <c r="EL25">
        <v>0.08</v>
      </c>
      <c r="EM25">
        <v>33.728492130678497</v>
      </c>
      <c r="EN25">
        <v>-0.16705772476250599</v>
      </c>
      <c r="EO25">
        <v>0.154052157656316</v>
      </c>
      <c r="EP25">
        <v>1</v>
      </c>
      <c r="EQ25">
        <v>0.23481445696247899</v>
      </c>
      <c r="ER25">
        <v>5.1808968702816302E-2</v>
      </c>
      <c r="ES25">
        <v>5.5453536501827699E-3</v>
      </c>
      <c r="ET25">
        <v>1</v>
      </c>
      <c r="EU25">
        <v>2</v>
      </c>
      <c r="EV25">
        <v>2</v>
      </c>
      <c r="EW25" t="s">
        <v>349</v>
      </c>
      <c r="EX25">
        <v>2.9500500000000001</v>
      </c>
      <c r="EY25">
        <v>2.7772800000000002</v>
      </c>
      <c r="EZ25">
        <v>0.124095</v>
      </c>
      <c r="FA25">
        <v>0.123491</v>
      </c>
      <c r="FB25">
        <v>8.9197899999999997E-2</v>
      </c>
      <c r="FC25">
        <v>8.0338300000000001E-2</v>
      </c>
      <c r="FD25">
        <v>21102.3</v>
      </c>
      <c r="FE25">
        <v>21213.3</v>
      </c>
      <c r="FF25">
        <v>22655.1</v>
      </c>
      <c r="FG25">
        <v>26542.1</v>
      </c>
      <c r="FH25">
        <v>29506.5</v>
      </c>
      <c r="FI25">
        <v>38292</v>
      </c>
      <c r="FJ25">
        <v>32371</v>
      </c>
      <c r="FK25">
        <v>42256.2</v>
      </c>
      <c r="FL25">
        <v>1.95425</v>
      </c>
      <c r="FM25">
        <v>1.84535</v>
      </c>
      <c r="FN25">
        <v>7.8335399999999999E-2</v>
      </c>
      <c r="FO25">
        <v>0</v>
      </c>
      <c r="FP25">
        <v>25.785</v>
      </c>
      <c r="FQ25">
        <v>999.9</v>
      </c>
      <c r="FR25">
        <v>27.439</v>
      </c>
      <c r="FS25">
        <v>43.628</v>
      </c>
      <c r="FT25">
        <v>24.799900000000001</v>
      </c>
      <c r="FU25">
        <v>61.617800000000003</v>
      </c>
      <c r="FV25">
        <v>46.366199999999999</v>
      </c>
      <c r="FW25">
        <v>1</v>
      </c>
      <c r="FX25">
        <v>0.47578799999999999</v>
      </c>
      <c r="FY25">
        <v>8.4563299999999995</v>
      </c>
      <c r="FZ25">
        <v>20.047899999999998</v>
      </c>
      <c r="GA25">
        <v>5.2264200000000001</v>
      </c>
      <c r="GB25">
        <v>11.962</v>
      </c>
      <c r="GC25">
        <v>4.9715999999999996</v>
      </c>
      <c r="GD25">
        <v>3.2947799999999998</v>
      </c>
      <c r="GE25">
        <v>9999</v>
      </c>
      <c r="GF25">
        <v>9999</v>
      </c>
      <c r="GG25">
        <v>460.9</v>
      </c>
      <c r="GH25">
        <v>9999</v>
      </c>
      <c r="GI25">
        <v>1.8663000000000001</v>
      </c>
      <c r="GJ25">
        <v>1.86571</v>
      </c>
      <c r="GK25">
        <v>1.8659600000000001</v>
      </c>
      <c r="GL25">
        <v>1.8689</v>
      </c>
      <c r="GM25">
        <v>1.8632</v>
      </c>
      <c r="GN25">
        <v>1.8613</v>
      </c>
      <c r="GO25">
        <v>1.8575600000000001</v>
      </c>
      <c r="GP25">
        <v>1.8636600000000001</v>
      </c>
      <c r="GQ25" t="s">
        <v>350</v>
      </c>
      <c r="GR25" t="s">
        <v>19</v>
      </c>
      <c r="GS25" t="s">
        <v>19</v>
      </c>
      <c r="GT25" t="s">
        <v>19</v>
      </c>
      <c r="GU25" t="s">
        <v>351</v>
      </c>
      <c r="GV25" t="s">
        <v>352</v>
      </c>
      <c r="GW25" t="s">
        <v>353</v>
      </c>
      <c r="GX25" t="s">
        <v>353</v>
      </c>
      <c r="GY25" t="s">
        <v>353</v>
      </c>
      <c r="GZ25" t="s">
        <v>353</v>
      </c>
      <c r="HA25">
        <v>0</v>
      </c>
      <c r="HB25">
        <v>100</v>
      </c>
      <c r="HC25">
        <v>100</v>
      </c>
      <c r="HD25">
        <v>3.9820000000000002</v>
      </c>
      <c r="HE25">
        <v>0.46600000000000003</v>
      </c>
      <c r="HF25">
        <v>2</v>
      </c>
      <c r="HG25">
        <v>503.553</v>
      </c>
      <c r="HH25">
        <v>471.548</v>
      </c>
      <c r="HI25">
        <v>18.3751</v>
      </c>
      <c r="HJ25">
        <v>33.0242</v>
      </c>
      <c r="HK25">
        <v>30.0001</v>
      </c>
      <c r="HL25">
        <v>33.031100000000002</v>
      </c>
      <c r="HM25">
        <v>33.014000000000003</v>
      </c>
      <c r="HN25">
        <v>29.660599999999999</v>
      </c>
      <c r="HO25">
        <v>34.290700000000001</v>
      </c>
      <c r="HP25">
        <v>0</v>
      </c>
      <c r="HQ25">
        <v>18.349699999999999</v>
      </c>
      <c r="HR25">
        <v>600</v>
      </c>
      <c r="HS25">
        <v>16.064</v>
      </c>
      <c r="HT25">
        <v>99.633600000000001</v>
      </c>
      <c r="HU25">
        <v>103.057</v>
      </c>
    </row>
    <row r="26" spans="1:229" x14ac:dyDescent="0.35">
      <c r="A26">
        <v>11</v>
      </c>
      <c r="B26">
        <v>1564944597</v>
      </c>
      <c r="C26">
        <v>1058.4000000953699</v>
      </c>
      <c r="D26" t="s">
        <v>394</v>
      </c>
      <c r="E26" t="s">
        <v>395</v>
      </c>
      <c r="G26">
        <v>1564944589</v>
      </c>
      <c r="H26">
        <f t="shared" si="0"/>
        <v>4.0729617440428559E-3</v>
      </c>
      <c r="I26">
        <f t="shared" si="1"/>
        <v>37.334110758732152</v>
      </c>
      <c r="J26">
        <f t="shared" si="2"/>
        <v>783.77658064516095</v>
      </c>
      <c r="K26">
        <f t="shared" si="3"/>
        <v>488.93146089783352</v>
      </c>
      <c r="L26">
        <f t="shared" si="4"/>
        <v>48.609494034202982</v>
      </c>
      <c r="M26">
        <f t="shared" si="5"/>
        <v>77.922952536245319</v>
      </c>
      <c r="N26">
        <f t="shared" si="6"/>
        <v>0.22345231412835298</v>
      </c>
      <c r="O26">
        <f t="shared" si="7"/>
        <v>3.3829388639841924</v>
      </c>
      <c r="P26">
        <f t="shared" si="8"/>
        <v>0.2155645277109158</v>
      </c>
      <c r="Q26">
        <f t="shared" si="9"/>
        <v>0.13541331928850492</v>
      </c>
      <c r="R26">
        <f t="shared" si="10"/>
        <v>363.47232919613185</v>
      </c>
      <c r="S26">
        <f t="shared" si="11"/>
        <v>25.951330438732196</v>
      </c>
      <c r="T26">
        <f t="shared" si="12"/>
        <v>27.037525806451601</v>
      </c>
      <c r="U26">
        <f t="shared" si="13"/>
        <v>3.5870556940817746</v>
      </c>
      <c r="V26">
        <f t="shared" si="14"/>
        <v>55.314212619115153</v>
      </c>
      <c r="W26">
        <f t="shared" si="15"/>
        <v>1.7590835678495855</v>
      </c>
      <c r="X26">
        <f t="shared" si="16"/>
        <v>3.1801656112550214</v>
      </c>
      <c r="Y26">
        <f t="shared" si="17"/>
        <v>1.8279721262321891</v>
      </c>
      <c r="Z26">
        <f t="shared" si="18"/>
        <v>-179.61761291228996</v>
      </c>
      <c r="AA26">
        <f t="shared" si="19"/>
        <v>-371.13651018435741</v>
      </c>
      <c r="AB26">
        <f t="shared" si="20"/>
        <v>-23.445348676853762</v>
      </c>
      <c r="AC26">
        <f t="shared" si="21"/>
        <v>-210.72714257736928</v>
      </c>
      <c r="AD26">
        <v>-4.1183568012468801E-2</v>
      </c>
      <c r="AE26">
        <v>4.6232162972708803E-2</v>
      </c>
      <c r="AF26">
        <v>3.4552088100886502</v>
      </c>
      <c r="AG26">
        <v>0</v>
      </c>
      <c r="AH26">
        <v>0</v>
      </c>
      <c r="AI26">
        <f t="shared" si="22"/>
        <v>1</v>
      </c>
      <c r="AJ26">
        <f t="shared" si="23"/>
        <v>0</v>
      </c>
      <c r="AK26">
        <f t="shared" si="24"/>
        <v>52867.661068784109</v>
      </c>
      <c r="AL26">
        <v>0</v>
      </c>
      <c r="AM26">
        <v>2.4</v>
      </c>
      <c r="AN26">
        <v>3.6</v>
      </c>
      <c r="AO26">
        <f t="shared" si="25"/>
        <v>1.2000000000000002</v>
      </c>
      <c r="AP26">
        <f t="shared" si="26"/>
        <v>0.33333333333333337</v>
      </c>
      <c r="AQ26">
        <v>-1</v>
      </c>
      <c r="AR26" t="s">
        <v>396</v>
      </c>
      <c r="AS26">
        <v>248.16788235294101</v>
      </c>
      <c r="AT26">
        <v>334.053</v>
      </c>
      <c r="AU26">
        <f t="shared" si="27"/>
        <v>0.25710027345079667</v>
      </c>
      <c r="AV26">
        <v>0.5</v>
      </c>
      <c r="AW26">
        <f t="shared" si="28"/>
        <v>1854.5764075746042</v>
      </c>
      <c r="AX26">
        <f t="shared" si="29"/>
        <v>37.334110758732152</v>
      </c>
      <c r="AY26">
        <f t="shared" si="30"/>
        <v>238.40605076141344</v>
      </c>
      <c r="AZ26">
        <f t="shared" si="31"/>
        <v>0.52121369962251496</v>
      </c>
      <c r="BA26">
        <f t="shared" si="32"/>
        <v>2.0670008850627569E-2</v>
      </c>
      <c r="BB26">
        <f t="shared" si="33"/>
        <v>-0.989223266966619</v>
      </c>
      <c r="BC26" t="s">
        <v>397</v>
      </c>
      <c r="BD26">
        <v>159.94</v>
      </c>
      <c r="BE26">
        <f t="shared" si="34"/>
        <v>174.113</v>
      </c>
      <c r="BF26">
        <f t="shared" si="35"/>
        <v>0.49327228665900302</v>
      </c>
      <c r="BG26">
        <f t="shared" si="36"/>
        <v>2.1136817193296658</v>
      </c>
      <c r="BH26">
        <f t="shared" si="37"/>
        <v>0.25896077420393904</v>
      </c>
      <c r="BI26">
        <f t="shared" si="38"/>
        <v>-275.37749999999994</v>
      </c>
      <c r="BJ26">
        <v>7366</v>
      </c>
      <c r="BK26">
        <v>300</v>
      </c>
      <c r="BL26">
        <v>300</v>
      </c>
      <c r="BM26">
        <v>300</v>
      </c>
      <c r="BN26">
        <v>9022.44</v>
      </c>
      <c r="BO26">
        <v>306.416</v>
      </c>
      <c r="BP26">
        <v>-5.8515399999999997E-3</v>
      </c>
      <c r="BQ26">
        <v>1.2878099999999999</v>
      </c>
      <c r="BR26" t="s">
        <v>347</v>
      </c>
      <c r="BS26" t="s">
        <v>347</v>
      </c>
      <c r="BT26" t="s">
        <v>347</v>
      </c>
      <c r="BU26" t="s">
        <v>347</v>
      </c>
      <c r="BV26" t="s">
        <v>347</v>
      </c>
      <c r="BW26" t="s">
        <v>347</v>
      </c>
      <c r="BX26" t="s">
        <v>347</v>
      </c>
      <c r="BY26" t="s">
        <v>347</v>
      </c>
      <c r="BZ26" t="s">
        <v>347</v>
      </c>
      <c r="CA26" t="s">
        <v>347</v>
      </c>
      <c r="CB26">
        <f t="shared" si="39"/>
        <v>2199.9893548387099</v>
      </c>
      <c r="CC26">
        <f t="shared" si="40"/>
        <v>1854.5764075746042</v>
      </c>
      <c r="CD26">
        <f t="shared" si="41"/>
        <v>0.84299335517038021</v>
      </c>
      <c r="CE26">
        <f t="shared" si="42"/>
        <v>0.19598671034076035</v>
      </c>
      <c r="CF26">
        <v>1564944589</v>
      </c>
      <c r="CG26">
        <v>783.77658064516095</v>
      </c>
      <c r="CH26">
        <v>799.98667741935503</v>
      </c>
      <c r="CI26">
        <v>17.6934838709677</v>
      </c>
      <c r="CJ26">
        <v>16.093170967741901</v>
      </c>
      <c r="CK26">
        <v>500.014322580645</v>
      </c>
      <c r="CL26">
        <v>99.3198193548387</v>
      </c>
      <c r="CM26">
        <v>0.100033777419355</v>
      </c>
      <c r="CN26">
        <v>25.002574193548401</v>
      </c>
      <c r="CO26">
        <v>27.037525806451601</v>
      </c>
      <c r="CP26">
        <v>999.9</v>
      </c>
      <c r="CQ26">
        <v>0</v>
      </c>
      <c r="CR26">
        <v>0</v>
      </c>
      <c r="CS26">
        <v>9999.6332258064504</v>
      </c>
      <c r="CT26">
        <v>0</v>
      </c>
      <c r="CU26">
        <v>1701.25535483871</v>
      </c>
      <c r="CV26">
        <v>-16.2099612903226</v>
      </c>
      <c r="CW26">
        <v>797.89419354838697</v>
      </c>
      <c r="CX26">
        <v>813.071483870968</v>
      </c>
      <c r="CY26">
        <v>1.60030064516129</v>
      </c>
      <c r="CZ26">
        <v>779.753548387097</v>
      </c>
      <c r="DA26">
        <v>799.98667741935503</v>
      </c>
      <c r="DB26">
        <v>17.224483870967699</v>
      </c>
      <c r="DC26">
        <v>16.093170967741901</v>
      </c>
      <c r="DD26">
        <v>1.75731193548387</v>
      </c>
      <c r="DE26">
        <v>1.5983716129032299</v>
      </c>
      <c r="DF26">
        <v>15.4121677419355</v>
      </c>
      <c r="DG26">
        <v>13.943099999999999</v>
      </c>
      <c r="DH26">
        <v>2199.9893548387099</v>
      </c>
      <c r="DI26">
        <v>0.89999319354838703</v>
      </c>
      <c r="DJ26">
        <v>0.100006748387097</v>
      </c>
      <c r="DK26">
        <v>0</v>
      </c>
      <c r="DL26">
        <v>248.385774193548</v>
      </c>
      <c r="DM26">
        <v>5.0002700000000004</v>
      </c>
      <c r="DN26">
        <v>9927.6145161290297</v>
      </c>
      <c r="DO26">
        <v>20015.961290322601</v>
      </c>
      <c r="DP26">
        <v>49.503999999999998</v>
      </c>
      <c r="DQ26">
        <v>49.618645161290303</v>
      </c>
      <c r="DR26">
        <v>49.890999999999998</v>
      </c>
      <c r="DS26">
        <v>48.9695161290323</v>
      </c>
      <c r="DT26">
        <v>50.231709677419403</v>
      </c>
      <c r="DU26">
        <v>1975.4770967741899</v>
      </c>
      <c r="DV26">
        <v>219.51161290322599</v>
      </c>
      <c r="DW26">
        <v>0</v>
      </c>
      <c r="DX26">
        <v>96.100000143051105</v>
      </c>
      <c r="DY26">
        <v>248.16788235294101</v>
      </c>
      <c r="DZ26">
        <v>-2.4865195922901102</v>
      </c>
      <c r="EA26">
        <v>-2806.4607554025301</v>
      </c>
      <c r="EB26">
        <v>9838.2005882352896</v>
      </c>
      <c r="EC26">
        <v>10</v>
      </c>
      <c r="ED26">
        <v>1564944566.5</v>
      </c>
      <c r="EE26" t="s">
        <v>398</v>
      </c>
      <c r="EF26">
        <v>51</v>
      </c>
      <c r="EG26">
        <v>4.0229999999999997</v>
      </c>
      <c r="EH26">
        <v>0.46899999999999997</v>
      </c>
      <c r="EI26">
        <v>800</v>
      </c>
      <c r="EJ26">
        <v>16</v>
      </c>
      <c r="EK26">
        <v>0.11</v>
      </c>
      <c r="EL26">
        <v>0.08</v>
      </c>
      <c r="EM26">
        <v>37.355928146716998</v>
      </c>
      <c r="EN26">
        <v>-9.9693641104835598E-2</v>
      </c>
      <c r="EO26">
        <v>0.12449626293888499</v>
      </c>
      <c r="EP26">
        <v>1</v>
      </c>
      <c r="EQ26">
        <v>0.223325782247597</v>
      </c>
      <c r="ER26">
        <v>1.6095237645889901E-4</v>
      </c>
      <c r="ES26">
        <v>1.3599819208969699E-3</v>
      </c>
      <c r="ET26">
        <v>1</v>
      </c>
      <c r="EU26">
        <v>2</v>
      </c>
      <c r="EV26">
        <v>2</v>
      </c>
      <c r="EW26" t="s">
        <v>349</v>
      </c>
      <c r="EX26">
        <v>2.9498700000000002</v>
      </c>
      <c r="EY26">
        <v>2.77704</v>
      </c>
      <c r="EZ26">
        <v>0.15173200000000001</v>
      </c>
      <c r="FA26">
        <v>0.15019099999999999</v>
      </c>
      <c r="FB26">
        <v>8.9108400000000004E-2</v>
      </c>
      <c r="FC26">
        <v>8.0752699999999997E-2</v>
      </c>
      <c r="FD26">
        <v>20436</v>
      </c>
      <c r="FE26">
        <v>20566.599999999999</v>
      </c>
      <c r="FF26">
        <v>22655.5</v>
      </c>
      <c r="FG26">
        <v>26542.799999999999</v>
      </c>
      <c r="FH26">
        <v>29510</v>
      </c>
      <c r="FI26">
        <v>38276.6</v>
      </c>
      <c r="FJ26">
        <v>32371.3</v>
      </c>
      <c r="FK26">
        <v>42258</v>
      </c>
      <c r="FL26">
        <v>1.9540999999999999</v>
      </c>
      <c r="FM26">
        <v>1.84595</v>
      </c>
      <c r="FN26">
        <v>7.7694700000000005E-2</v>
      </c>
      <c r="FO26">
        <v>0</v>
      </c>
      <c r="FP26">
        <v>25.751999999999999</v>
      </c>
      <c r="FQ26">
        <v>999.9</v>
      </c>
      <c r="FR26">
        <v>27.341000000000001</v>
      </c>
      <c r="FS26">
        <v>43.658000000000001</v>
      </c>
      <c r="FT26">
        <v>24.749600000000001</v>
      </c>
      <c r="FU26">
        <v>61.757800000000003</v>
      </c>
      <c r="FV26">
        <v>46.510399999999997</v>
      </c>
      <c r="FW26">
        <v>1</v>
      </c>
      <c r="FX26">
        <v>0.47503000000000001</v>
      </c>
      <c r="FY26">
        <v>8.4544599999999992</v>
      </c>
      <c r="FZ26">
        <v>20.049399999999999</v>
      </c>
      <c r="GA26">
        <v>5.2216300000000002</v>
      </c>
      <c r="GB26">
        <v>11.962</v>
      </c>
      <c r="GC26">
        <v>4.9711499999999997</v>
      </c>
      <c r="GD26">
        <v>3.2944</v>
      </c>
      <c r="GE26">
        <v>9999</v>
      </c>
      <c r="GF26">
        <v>9999</v>
      </c>
      <c r="GG26">
        <v>460.9</v>
      </c>
      <c r="GH26">
        <v>9999</v>
      </c>
      <c r="GI26">
        <v>1.8663000000000001</v>
      </c>
      <c r="GJ26">
        <v>1.86578</v>
      </c>
      <c r="GK26">
        <v>1.8659699999999999</v>
      </c>
      <c r="GL26">
        <v>1.8689</v>
      </c>
      <c r="GM26">
        <v>1.8632299999999999</v>
      </c>
      <c r="GN26">
        <v>1.86131</v>
      </c>
      <c r="GO26">
        <v>1.8575600000000001</v>
      </c>
      <c r="GP26">
        <v>1.86371</v>
      </c>
      <c r="GQ26" t="s">
        <v>350</v>
      </c>
      <c r="GR26" t="s">
        <v>19</v>
      </c>
      <c r="GS26" t="s">
        <v>19</v>
      </c>
      <c r="GT26" t="s">
        <v>19</v>
      </c>
      <c r="GU26" t="s">
        <v>351</v>
      </c>
      <c r="GV26" t="s">
        <v>352</v>
      </c>
      <c r="GW26" t="s">
        <v>353</v>
      </c>
      <c r="GX26" t="s">
        <v>353</v>
      </c>
      <c r="GY26" t="s">
        <v>353</v>
      </c>
      <c r="GZ26" t="s">
        <v>353</v>
      </c>
      <c r="HA26">
        <v>0</v>
      </c>
      <c r="HB26">
        <v>100</v>
      </c>
      <c r="HC26">
        <v>100</v>
      </c>
      <c r="HD26">
        <v>4.0229999999999997</v>
      </c>
      <c r="HE26">
        <v>0.46899999999999997</v>
      </c>
      <c r="HF26">
        <v>2</v>
      </c>
      <c r="HG26">
        <v>503.238</v>
      </c>
      <c r="HH26">
        <v>471.73</v>
      </c>
      <c r="HI26">
        <v>18.0318</v>
      </c>
      <c r="HJ26">
        <v>33.021999999999998</v>
      </c>
      <c r="HK26">
        <v>29.9999</v>
      </c>
      <c r="HL26">
        <v>33.0045</v>
      </c>
      <c r="HM26">
        <v>32.985599999999998</v>
      </c>
      <c r="HN26">
        <v>37.5473</v>
      </c>
      <c r="HO26">
        <v>33.535800000000002</v>
      </c>
      <c r="HP26">
        <v>0</v>
      </c>
      <c r="HQ26">
        <v>18.028700000000001</v>
      </c>
      <c r="HR26">
        <v>800</v>
      </c>
      <c r="HS26">
        <v>16.009599999999999</v>
      </c>
      <c r="HT26">
        <v>99.635099999999994</v>
      </c>
      <c r="HU26">
        <v>103.06100000000001</v>
      </c>
    </row>
    <row r="27" spans="1:229" x14ac:dyDescent="0.35">
      <c r="A27">
        <v>12</v>
      </c>
      <c r="B27">
        <v>1564944704</v>
      </c>
      <c r="C27">
        <v>1165.4000000953699</v>
      </c>
      <c r="D27" t="s">
        <v>399</v>
      </c>
      <c r="E27" t="s">
        <v>400</v>
      </c>
      <c r="G27">
        <v>1564944696</v>
      </c>
      <c r="H27">
        <f t="shared" si="0"/>
        <v>3.2580820971762096E-3</v>
      </c>
      <c r="I27">
        <f t="shared" si="1"/>
        <v>38.275251620669053</v>
      </c>
      <c r="J27">
        <f t="shared" si="2"/>
        <v>983.399</v>
      </c>
      <c r="K27">
        <f t="shared" si="3"/>
        <v>594.27353724242357</v>
      </c>
      <c r="L27">
        <f t="shared" si="4"/>
        <v>59.085032745548119</v>
      </c>
      <c r="M27">
        <f t="shared" si="5"/>
        <v>97.773430037886229</v>
      </c>
      <c r="N27">
        <f t="shared" si="6"/>
        <v>0.17200138417590341</v>
      </c>
      <c r="O27">
        <f t="shared" si="7"/>
        <v>3.3830610635660867</v>
      </c>
      <c r="P27">
        <f t="shared" si="8"/>
        <v>0.1672867244798944</v>
      </c>
      <c r="Q27">
        <f t="shared" si="9"/>
        <v>0.10496703211250297</v>
      </c>
      <c r="R27">
        <f t="shared" si="10"/>
        <v>363.4768904443585</v>
      </c>
      <c r="S27">
        <f t="shared" si="11"/>
        <v>26.131617349239967</v>
      </c>
      <c r="T27">
        <f t="shared" si="12"/>
        <v>27.222829032258101</v>
      </c>
      <c r="U27">
        <f t="shared" si="13"/>
        <v>3.6262696569291735</v>
      </c>
      <c r="V27">
        <f t="shared" si="14"/>
        <v>54.798950274362198</v>
      </c>
      <c r="W27">
        <f t="shared" si="15"/>
        <v>1.7421628818028962</v>
      </c>
      <c r="X27">
        <f t="shared" si="16"/>
        <v>3.1791902455802528</v>
      </c>
      <c r="Y27">
        <f t="shared" si="17"/>
        <v>1.8841067751262772</v>
      </c>
      <c r="Z27">
        <f t="shared" si="18"/>
        <v>-143.68142048547085</v>
      </c>
      <c r="AA27">
        <f t="shared" si="19"/>
        <v>-405.88533846644276</v>
      </c>
      <c r="AB27">
        <f t="shared" si="20"/>
        <v>-25.662803905653323</v>
      </c>
      <c r="AC27">
        <f t="shared" si="21"/>
        <v>-211.75267241320844</v>
      </c>
      <c r="AD27">
        <v>-4.1185458057061197E-2</v>
      </c>
      <c r="AE27">
        <v>4.6234284713340797E-2</v>
      </c>
      <c r="AF27">
        <v>3.4553343263676499</v>
      </c>
      <c r="AG27">
        <v>0</v>
      </c>
      <c r="AH27">
        <v>0</v>
      </c>
      <c r="AI27">
        <f t="shared" si="22"/>
        <v>1</v>
      </c>
      <c r="AJ27">
        <f t="shared" si="23"/>
        <v>0</v>
      </c>
      <c r="AK27">
        <f t="shared" si="24"/>
        <v>52870.989931831995</v>
      </c>
      <c r="AL27">
        <v>0</v>
      </c>
      <c r="AM27">
        <v>2.4</v>
      </c>
      <c r="AN27">
        <v>3.6</v>
      </c>
      <c r="AO27">
        <f t="shared" si="25"/>
        <v>1.2000000000000002</v>
      </c>
      <c r="AP27">
        <f t="shared" si="26"/>
        <v>0.33333333333333337</v>
      </c>
      <c r="AQ27">
        <v>-1</v>
      </c>
      <c r="AR27" t="s">
        <v>401</v>
      </c>
      <c r="AS27">
        <v>245.64082352941199</v>
      </c>
      <c r="AT27">
        <v>324.08</v>
      </c>
      <c r="AU27">
        <f t="shared" si="27"/>
        <v>0.24203646158537395</v>
      </c>
      <c r="AV27">
        <v>0.5</v>
      </c>
      <c r="AW27">
        <f t="shared" si="28"/>
        <v>1854.6022182175238</v>
      </c>
      <c r="AX27">
        <f t="shared" si="29"/>
        <v>38.275251620669053</v>
      </c>
      <c r="AY27">
        <f t="shared" si="30"/>
        <v>224.4406792728775</v>
      </c>
      <c r="AZ27">
        <f t="shared" si="31"/>
        <v>0.51092322883238706</v>
      </c>
      <c r="BA27">
        <f t="shared" si="32"/>
        <v>2.1177183567922656E-2</v>
      </c>
      <c r="BB27">
        <f t="shared" si="33"/>
        <v>-0.98889163169587746</v>
      </c>
      <c r="BC27" t="s">
        <v>402</v>
      </c>
      <c r="BD27">
        <v>158.5</v>
      </c>
      <c r="BE27">
        <f t="shared" si="34"/>
        <v>165.57999999999998</v>
      </c>
      <c r="BF27">
        <f t="shared" si="35"/>
        <v>0.47372373759263198</v>
      </c>
      <c r="BG27">
        <f t="shared" si="36"/>
        <v>2.0689477081988374</v>
      </c>
      <c r="BH27">
        <f t="shared" si="37"/>
        <v>0.24384225463376025</v>
      </c>
      <c r="BI27">
        <f t="shared" si="38"/>
        <v>-267.06666666666661</v>
      </c>
      <c r="BJ27">
        <v>7368</v>
      </c>
      <c r="BK27">
        <v>300</v>
      </c>
      <c r="BL27">
        <v>300</v>
      </c>
      <c r="BM27">
        <v>300</v>
      </c>
      <c r="BN27">
        <v>9021.8700000000008</v>
      </c>
      <c r="BO27">
        <v>299.70299999999997</v>
      </c>
      <c r="BP27">
        <v>-5.8510999999999997E-3</v>
      </c>
      <c r="BQ27">
        <v>0.95690900000000001</v>
      </c>
      <c r="BR27" t="s">
        <v>347</v>
      </c>
      <c r="BS27" t="s">
        <v>347</v>
      </c>
      <c r="BT27" t="s">
        <v>347</v>
      </c>
      <c r="BU27" t="s">
        <v>347</v>
      </c>
      <c r="BV27" t="s">
        <v>347</v>
      </c>
      <c r="BW27" t="s">
        <v>347</v>
      </c>
      <c r="BX27" t="s">
        <v>347</v>
      </c>
      <c r="BY27" t="s">
        <v>347</v>
      </c>
      <c r="BZ27" t="s">
        <v>347</v>
      </c>
      <c r="CA27" t="s">
        <v>347</v>
      </c>
      <c r="CB27">
        <f t="shared" si="39"/>
        <v>2200.0203225806399</v>
      </c>
      <c r="CC27">
        <f t="shared" si="40"/>
        <v>1854.6022182175238</v>
      </c>
      <c r="CD27">
        <f t="shared" si="41"/>
        <v>0.84299322109991326</v>
      </c>
      <c r="CE27">
        <f t="shared" si="42"/>
        <v>0.19598644219982636</v>
      </c>
      <c r="CF27">
        <v>1564944696</v>
      </c>
      <c r="CG27">
        <v>983.399</v>
      </c>
      <c r="CH27">
        <v>999.98990322580596</v>
      </c>
      <c r="CI27">
        <v>17.522564516128998</v>
      </c>
      <c r="CJ27">
        <v>16.242229032258098</v>
      </c>
      <c r="CK27">
        <v>500.02396774193602</v>
      </c>
      <c r="CL27">
        <v>99.323906451612899</v>
      </c>
      <c r="CM27">
        <v>0.100060867741935</v>
      </c>
      <c r="CN27">
        <v>24.997429032258101</v>
      </c>
      <c r="CO27">
        <v>27.222829032258101</v>
      </c>
      <c r="CP27">
        <v>999.9</v>
      </c>
      <c r="CQ27">
        <v>0</v>
      </c>
      <c r="CR27">
        <v>0</v>
      </c>
      <c r="CS27">
        <v>9999.6806451612902</v>
      </c>
      <c r="CT27">
        <v>0</v>
      </c>
      <c r="CU27">
        <v>207.97338709677399</v>
      </c>
      <c r="CV27">
        <v>-16.590777419354801</v>
      </c>
      <c r="CW27">
        <v>1000.93741935484</v>
      </c>
      <c r="CX27">
        <v>1016.5</v>
      </c>
      <c r="CY27">
        <v>1.2803254838709699</v>
      </c>
      <c r="CZ27">
        <v>979.56</v>
      </c>
      <c r="DA27">
        <v>999.98990322580596</v>
      </c>
      <c r="DB27">
        <v>17.056564516129001</v>
      </c>
      <c r="DC27">
        <v>16.242229032258098</v>
      </c>
      <c r="DD27">
        <v>1.7404087096774199</v>
      </c>
      <c r="DE27">
        <v>1.61324225806452</v>
      </c>
      <c r="DF27">
        <v>15.261593548387101</v>
      </c>
      <c r="DG27">
        <v>14.085883870967701</v>
      </c>
      <c r="DH27">
        <v>2200.0203225806399</v>
      </c>
      <c r="DI27">
        <v>0.89999777419354798</v>
      </c>
      <c r="DJ27">
        <v>0.100002167741935</v>
      </c>
      <c r="DK27">
        <v>0</v>
      </c>
      <c r="DL27">
        <v>245.77280645161301</v>
      </c>
      <c r="DM27">
        <v>5.0002700000000004</v>
      </c>
      <c r="DN27">
        <v>9634.8387096774204</v>
      </c>
      <c r="DO27">
        <v>20016.277419354799</v>
      </c>
      <c r="DP27">
        <v>49.645000000000003</v>
      </c>
      <c r="DQ27">
        <v>50.003999999999998</v>
      </c>
      <c r="DR27">
        <v>50.125</v>
      </c>
      <c r="DS27">
        <v>49.158999999999999</v>
      </c>
      <c r="DT27">
        <v>50.5</v>
      </c>
      <c r="DU27">
        <v>1975.51451612903</v>
      </c>
      <c r="DV27">
        <v>219.50483870967699</v>
      </c>
      <c r="DW27">
        <v>0</v>
      </c>
      <c r="DX27">
        <v>106.30000019073501</v>
      </c>
      <c r="DY27">
        <v>245.64082352941199</v>
      </c>
      <c r="DZ27">
        <v>-2.7223039285786799</v>
      </c>
      <c r="EA27">
        <v>1126.80639333677</v>
      </c>
      <c r="EB27">
        <v>9606.0570588235296</v>
      </c>
      <c r="EC27">
        <v>10</v>
      </c>
      <c r="ED27">
        <v>1564944677</v>
      </c>
      <c r="EE27" t="s">
        <v>403</v>
      </c>
      <c r="EF27">
        <v>52</v>
      </c>
      <c r="EG27">
        <v>3.839</v>
      </c>
      <c r="EH27">
        <v>0.46600000000000003</v>
      </c>
      <c r="EI27">
        <v>1000</v>
      </c>
      <c r="EJ27">
        <v>16</v>
      </c>
      <c r="EK27">
        <v>0.17</v>
      </c>
      <c r="EL27">
        <v>0.08</v>
      </c>
      <c r="EM27">
        <v>38.345423061780302</v>
      </c>
      <c r="EN27">
        <v>-0.28922513447933401</v>
      </c>
      <c r="EO27">
        <v>0.70346606735549</v>
      </c>
      <c r="EP27">
        <v>1</v>
      </c>
      <c r="EQ27">
        <v>0.16782244920591299</v>
      </c>
      <c r="ER27">
        <v>6.8892063650725505E-2</v>
      </c>
      <c r="ES27">
        <v>7.3486691751147503E-3</v>
      </c>
      <c r="ET27">
        <v>1</v>
      </c>
      <c r="EU27">
        <v>2</v>
      </c>
      <c r="EV27">
        <v>2</v>
      </c>
      <c r="EW27" t="s">
        <v>349</v>
      </c>
      <c r="EX27">
        <v>2.9501200000000001</v>
      </c>
      <c r="EY27">
        <v>2.7773699999999999</v>
      </c>
      <c r="EZ27">
        <v>0.176035</v>
      </c>
      <c r="FA27">
        <v>0.173567</v>
      </c>
      <c r="FB27">
        <v>8.8664400000000004E-2</v>
      </c>
      <c r="FC27">
        <v>8.1315999999999999E-2</v>
      </c>
      <c r="FD27">
        <v>19849.099999999999</v>
      </c>
      <c r="FE27">
        <v>19998.599999999999</v>
      </c>
      <c r="FF27">
        <v>22655.4</v>
      </c>
      <c r="FG27">
        <v>26541.9</v>
      </c>
      <c r="FH27">
        <v>29524.5</v>
      </c>
      <c r="FI27">
        <v>38252.300000000003</v>
      </c>
      <c r="FJ27">
        <v>32371.1</v>
      </c>
      <c r="FK27">
        <v>42256.800000000003</v>
      </c>
      <c r="FL27">
        <v>1.9537500000000001</v>
      </c>
      <c r="FM27">
        <v>1.84545</v>
      </c>
      <c r="FN27">
        <v>7.8182699999999994E-2</v>
      </c>
      <c r="FO27">
        <v>0</v>
      </c>
      <c r="FP27">
        <v>25.943899999999999</v>
      </c>
      <c r="FQ27">
        <v>999.9</v>
      </c>
      <c r="FR27">
        <v>27.236999999999998</v>
      </c>
      <c r="FS27">
        <v>43.728999999999999</v>
      </c>
      <c r="FT27">
        <v>24.7454</v>
      </c>
      <c r="FU27">
        <v>61.707900000000002</v>
      </c>
      <c r="FV27">
        <v>46.1098</v>
      </c>
      <c r="FW27">
        <v>1</v>
      </c>
      <c r="FX27">
        <v>0.48081299999999999</v>
      </c>
      <c r="FY27">
        <v>9.2810500000000005</v>
      </c>
      <c r="FZ27">
        <v>20.0105</v>
      </c>
      <c r="GA27">
        <v>5.2288199999999998</v>
      </c>
      <c r="GB27">
        <v>11.962</v>
      </c>
      <c r="GC27">
        <v>4.9720500000000003</v>
      </c>
      <c r="GD27">
        <v>3.2949999999999999</v>
      </c>
      <c r="GE27">
        <v>9999</v>
      </c>
      <c r="GF27">
        <v>9999</v>
      </c>
      <c r="GG27">
        <v>460.9</v>
      </c>
      <c r="GH27">
        <v>9999</v>
      </c>
      <c r="GI27">
        <v>1.86646</v>
      </c>
      <c r="GJ27">
        <v>1.8658699999999999</v>
      </c>
      <c r="GK27">
        <v>1.8660699999999999</v>
      </c>
      <c r="GL27">
        <v>1.8690500000000001</v>
      </c>
      <c r="GM27">
        <v>1.8633599999999999</v>
      </c>
      <c r="GN27">
        <v>1.8614299999999999</v>
      </c>
      <c r="GO27">
        <v>1.8576699999999999</v>
      </c>
      <c r="GP27">
        <v>1.8638399999999999</v>
      </c>
      <c r="GQ27" t="s">
        <v>350</v>
      </c>
      <c r="GR27" t="s">
        <v>19</v>
      </c>
      <c r="GS27" t="s">
        <v>19</v>
      </c>
      <c r="GT27" t="s">
        <v>19</v>
      </c>
      <c r="GU27" t="s">
        <v>351</v>
      </c>
      <c r="GV27" t="s">
        <v>352</v>
      </c>
      <c r="GW27" t="s">
        <v>353</v>
      </c>
      <c r="GX27" t="s">
        <v>353</v>
      </c>
      <c r="GY27" t="s">
        <v>353</v>
      </c>
      <c r="GZ27" t="s">
        <v>353</v>
      </c>
      <c r="HA27">
        <v>0</v>
      </c>
      <c r="HB27">
        <v>100</v>
      </c>
      <c r="HC27">
        <v>100</v>
      </c>
      <c r="HD27">
        <v>3.839</v>
      </c>
      <c r="HE27">
        <v>0.46600000000000003</v>
      </c>
      <c r="HF27">
        <v>2</v>
      </c>
      <c r="HG27">
        <v>503.09699999999998</v>
      </c>
      <c r="HH27">
        <v>471.51</v>
      </c>
      <c r="HI27">
        <v>17.540500000000002</v>
      </c>
      <c r="HJ27">
        <v>33.068399999999997</v>
      </c>
      <c r="HK27">
        <v>30.000299999999999</v>
      </c>
      <c r="HL27">
        <v>33.016300000000001</v>
      </c>
      <c r="HM27">
        <v>33.000300000000003</v>
      </c>
      <c r="HN27">
        <v>45.082500000000003</v>
      </c>
      <c r="HO27">
        <v>32.920699999999997</v>
      </c>
      <c r="HP27">
        <v>0</v>
      </c>
      <c r="HQ27">
        <v>16.0335</v>
      </c>
      <c r="HR27">
        <v>1000</v>
      </c>
      <c r="HS27">
        <v>16.250599999999999</v>
      </c>
      <c r="HT27">
        <v>99.634399999999999</v>
      </c>
      <c r="HU27">
        <v>103.057</v>
      </c>
    </row>
    <row r="28" spans="1:229" x14ac:dyDescent="0.35">
      <c r="A28">
        <v>13</v>
      </c>
      <c r="B28">
        <v>1564944802.5</v>
      </c>
      <c r="C28">
        <v>1263.9000000953699</v>
      </c>
      <c r="D28" t="s">
        <v>404</v>
      </c>
      <c r="E28" t="s">
        <v>405</v>
      </c>
      <c r="G28">
        <v>1564944794.5</v>
      </c>
      <c r="H28">
        <f t="shared" si="0"/>
        <v>3.0484948972361332E-3</v>
      </c>
      <c r="I28">
        <f t="shared" si="1"/>
        <v>37.919850927631373</v>
      </c>
      <c r="J28">
        <f t="shared" si="2"/>
        <v>1183.33967741935</v>
      </c>
      <c r="K28">
        <f t="shared" si="3"/>
        <v>768.95035604078191</v>
      </c>
      <c r="L28">
        <f t="shared" si="4"/>
        <v>76.451312056979347</v>
      </c>
      <c r="M28">
        <f t="shared" si="5"/>
        <v>117.65112043591273</v>
      </c>
      <c r="N28">
        <f t="shared" si="6"/>
        <v>0.16148064143175292</v>
      </c>
      <c r="O28">
        <f t="shared" si="7"/>
        <v>3.3835398554007727</v>
      </c>
      <c r="P28">
        <f t="shared" si="8"/>
        <v>0.15731815798963195</v>
      </c>
      <c r="Q28">
        <f t="shared" si="9"/>
        <v>9.8688894525674808E-2</v>
      </c>
      <c r="R28">
        <f t="shared" si="10"/>
        <v>363.47595838727671</v>
      </c>
      <c r="S28">
        <f t="shared" si="11"/>
        <v>25.915418262740946</v>
      </c>
      <c r="T28">
        <f t="shared" si="12"/>
        <v>27.142906451612902</v>
      </c>
      <c r="U28">
        <f t="shared" si="13"/>
        <v>3.6093107500006103</v>
      </c>
      <c r="V28">
        <f t="shared" si="14"/>
        <v>55.423353582516519</v>
      </c>
      <c r="W28">
        <f t="shared" si="15"/>
        <v>1.7344788879927797</v>
      </c>
      <c r="X28">
        <f t="shared" si="16"/>
        <v>3.1295090893596282</v>
      </c>
      <c r="Y28">
        <f t="shared" si="17"/>
        <v>1.8748318620078306</v>
      </c>
      <c r="Z28">
        <f t="shared" si="18"/>
        <v>-134.43862496811346</v>
      </c>
      <c r="AA28">
        <f t="shared" si="19"/>
        <v>-439.50567074826375</v>
      </c>
      <c r="AB28">
        <f t="shared" si="20"/>
        <v>-27.736760400791457</v>
      </c>
      <c r="AC28">
        <f t="shared" si="21"/>
        <v>-238.20509772989197</v>
      </c>
      <c r="AD28">
        <v>-4.1192863761536698E-2</v>
      </c>
      <c r="AE28">
        <v>4.62425982653899E-2</v>
      </c>
      <c r="AF28">
        <v>3.4558261139161401</v>
      </c>
      <c r="AG28">
        <v>0</v>
      </c>
      <c r="AH28">
        <v>0</v>
      </c>
      <c r="AI28">
        <f t="shared" si="22"/>
        <v>1</v>
      </c>
      <c r="AJ28">
        <f t="shared" si="23"/>
        <v>0</v>
      </c>
      <c r="AK28">
        <f t="shared" si="24"/>
        <v>52926.962194669592</v>
      </c>
      <c r="AL28">
        <v>0</v>
      </c>
      <c r="AM28">
        <v>2.4</v>
      </c>
      <c r="AN28">
        <v>3.6</v>
      </c>
      <c r="AO28">
        <f t="shared" si="25"/>
        <v>1.2000000000000002</v>
      </c>
      <c r="AP28">
        <f t="shared" si="26"/>
        <v>0.33333333333333337</v>
      </c>
      <c r="AQ28">
        <v>-1</v>
      </c>
      <c r="AR28" t="s">
        <v>406</v>
      </c>
      <c r="AS28">
        <v>244.89576470588199</v>
      </c>
      <c r="AT28">
        <v>319.709</v>
      </c>
      <c r="AU28">
        <f t="shared" si="27"/>
        <v>0.23400415782514106</v>
      </c>
      <c r="AV28">
        <v>0.5</v>
      </c>
      <c r="AW28">
        <f t="shared" si="28"/>
        <v>1854.5973379015043</v>
      </c>
      <c r="AX28">
        <f t="shared" si="29"/>
        <v>37.919850927631373</v>
      </c>
      <c r="AY28">
        <f t="shared" si="30"/>
        <v>216.99174408019502</v>
      </c>
      <c r="AZ28">
        <f t="shared" si="31"/>
        <v>0.50142160527229451</v>
      </c>
      <c r="BA28">
        <f t="shared" si="32"/>
        <v>2.0985607027598552E-2</v>
      </c>
      <c r="BB28">
        <f t="shared" si="33"/>
        <v>-0.98873976021944954</v>
      </c>
      <c r="BC28" t="s">
        <v>407</v>
      </c>
      <c r="BD28">
        <v>159.4</v>
      </c>
      <c r="BE28">
        <f t="shared" si="34"/>
        <v>160.309</v>
      </c>
      <c r="BF28">
        <f t="shared" si="35"/>
        <v>0.46668144205327222</v>
      </c>
      <c r="BG28">
        <f t="shared" si="36"/>
        <v>2.0289409499358149</v>
      </c>
      <c r="BH28">
        <f t="shared" si="37"/>
        <v>0.23577407288831395</v>
      </c>
      <c r="BI28">
        <f t="shared" si="38"/>
        <v>-263.42416666666662</v>
      </c>
      <c r="BJ28">
        <v>7370</v>
      </c>
      <c r="BK28">
        <v>300</v>
      </c>
      <c r="BL28">
        <v>300</v>
      </c>
      <c r="BM28">
        <v>300</v>
      </c>
      <c r="BN28">
        <v>9021.4500000000007</v>
      </c>
      <c r="BO28">
        <v>296.02300000000002</v>
      </c>
      <c r="BP28">
        <v>-5.8507899999999998E-3</v>
      </c>
      <c r="BQ28">
        <v>1.1778900000000001</v>
      </c>
      <c r="BR28" t="s">
        <v>347</v>
      </c>
      <c r="BS28" t="s">
        <v>347</v>
      </c>
      <c r="BT28" t="s">
        <v>347</v>
      </c>
      <c r="BU28" t="s">
        <v>347</v>
      </c>
      <c r="BV28" t="s">
        <v>347</v>
      </c>
      <c r="BW28" t="s">
        <v>347</v>
      </c>
      <c r="BX28" t="s">
        <v>347</v>
      </c>
      <c r="BY28" t="s">
        <v>347</v>
      </c>
      <c r="BZ28" t="s">
        <v>347</v>
      </c>
      <c r="CA28" t="s">
        <v>347</v>
      </c>
      <c r="CB28">
        <f t="shared" si="39"/>
        <v>2200.0145161290302</v>
      </c>
      <c r="CC28">
        <f t="shared" si="40"/>
        <v>1854.5973379015043</v>
      </c>
      <c r="CD28">
        <f t="shared" si="41"/>
        <v>0.84299322768319984</v>
      </c>
      <c r="CE28">
        <f t="shared" si="42"/>
        <v>0.19598645536639961</v>
      </c>
      <c r="CF28">
        <v>1564944794.5</v>
      </c>
      <c r="CG28">
        <v>1183.33967741935</v>
      </c>
      <c r="CH28">
        <v>1199.95032258064</v>
      </c>
      <c r="CI28">
        <v>17.445458064516099</v>
      </c>
      <c r="CJ28">
        <v>16.247351612903199</v>
      </c>
      <c r="CK28">
        <v>500.00774193548398</v>
      </c>
      <c r="CL28">
        <v>99.322999999999993</v>
      </c>
      <c r="CM28">
        <v>9.9949032258064494E-2</v>
      </c>
      <c r="CN28">
        <v>24.733512903225801</v>
      </c>
      <c r="CO28">
        <v>27.142906451612902</v>
      </c>
      <c r="CP28">
        <v>999.9</v>
      </c>
      <c r="CQ28">
        <v>0</v>
      </c>
      <c r="CR28">
        <v>0</v>
      </c>
      <c r="CS28">
        <v>10001.57</v>
      </c>
      <c r="CT28">
        <v>0</v>
      </c>
      <c r="CU28">
        <v>584.39544516129001</v>
      </c>
      <c r="CV28">
        <v>-16.611054838709698</v>
      </c>
      <c r="CW28">
        <v>1204.3490322580601</v>
      </c>
      <c r="CX28">
        <v>1219.76870967742</v>
      </c>
      <c r="CY28">
        <v>1.1981090322580601</v>
      </c>
      <c r="CZ28">
        <v>1179.8703225806501</v>
      </c>
      <c r="DA28">
        <v>1199.95032258064</v>
      </c>
      <c r="DB28">
        <v>16.975458064516101</v>
      </c>
      <c r="DC28">
        <v>16.247351612903199</v>
      </c>
      <c r="DD28">
        <v>1.7327351612903199</v>
      </c>
      <c r="DE28">
        <v>1.61373612903226</v>
      </c>
      <c r="DF28">
        <v>15.1928387096774</v>
      </c>
      <c r="DG28">
        <v>14.090590322580599</v>
      </c>
      <c r="DH28">
        <v>2200.0145161290302</v>
      </c>
      <c r="DI28">
        <v>0.89999774193548399</v>
      </c>
      <c r="DJ28">
        <v>0.100002322580645</v>
      </c>
      <c r="DK28">
        <v>0</v>
      </c>
      <c r="DL28">
        <v>245.02054838709699</v>
      </c>
      <c r="DM28">
        <v>5.0002700000000004</v>
      </c>
      <c r="DN28">
        <v>9628.3551612903193</v>
      </c>
      <c r="DO28">
        <v>20016.216129032298</v>
      </c>
      <c r="DP28">
        <v>49.713419354838699</v>
      </c>
      <c r="DQ28">
        <v>50.054000000000002</v>
      </c>
      <c r="DR28">
        <v>50.186999999999998</v>
      </c>
      <c r="DS28">
        <v>49.28</v>
      </c>
      <c r="DT28">
        <v>50.436999999999998</v>
      </c>
      <c r="DU28">
        <v>1975.5096774193501</v>
      </c>
      <c r="DV28">
        <v>219.50483870967699</v>
      </c>
      <c r="DW28">
        <v>0</v>
      </c>
      <c r="DX28">
        <v>97.800000190734906</v>
      </c>
      <c r="DY28">
        <v>244.89576470588199</v>
      </c>
      <c r="DZ28">
        <v>-1.9022058973968601</v>
      </c>
      <c r="EA28">
        <v>-729.09313265754895</v>
      </c>
      <c r="EB28">
        <v>9779.5182352941192</v>
      </c>
      <c r="EC28">
        <v>10</v>
      </c>
      <c r="ED28">
        <v>1564944761.5</v>
      </c>
      <c r="EE28" t="s">
        <v>408</v>
      </c>
      <c r="EF28">
        <v>53</v>
      </c>
      <c r="EG28">
        <v>3.4689999999999999</v>
      </c>
      <c r="EH28">
        <v>0.47</v>
      </c>
      <c r="EI28">
        <v>1200</v>
      </c>
      <c r="EJ28">
        <v>16</v>
      </c>
      <c r="EK28">
        <v>0.32</v>
      </c>
      <c r="EL28">
        <v>0.11</v>
      </c>
      <c r="EM28">
        <v>37.909929139209503</v>
      </c>
      <c r="EN28">
        <v>0.14332282526308801</v>
      </c>
      <c r="EO28">
        <v>0.196018027438908</v>
      </c>
      <c r="EP28">
        <v>1</v>
      </c>
      <c r="EQ28">
        <v>0.16331532502822499</v>
      </c>
      <c r="ER28">
        <v>-3.3431728302498798E-2</v>
      </c>
      <c r="ES28">
        <v>3.5829366934103501E-3</v>
      </c>
      <c r="ET28">
        <v>1</v>
      </c>
      <c r="EU28">
        <v>2</v>
      </c>
      <c r="EV28">
        <v>2</v>
      </c>
      <c r="EW28" t="s">
        <v>349</v>
      </c>
      <c r="EX28">
        <v>2.9500500000000001</v>
      </c>
      <c r="EY28">
        <v>2.77732</v>
      </c>
      <c r="EZ28">
        <v>0.197827</v>
      </c>
      <c r="FA28">
        <v>0.19455500000000001</v>
      </c>
      <c r="FB28">
        <v>8.81078E-2</v>
      </c>
      <c r="FC28">
        <v>8.1278100000000006E-2</v>
      </c>
      <c r="FD28">
        <v>19321.400000000001</v>
      </c>
      <c r="FE28">
        <v>19487.8</v>
      </c>
      <c r="FF28">
        <v>22653.8</v>
      </c>
      <c r="FG28">
        <v>26540.2</v>
      </c>
      <c r="FH28">
        <v>29541.3</v>
      </c>
      <c r="FI28">
        <v>38252.300000000003</v>
      </c>
      <c r="FJ28">
        <v>32369.5</v>
      </c>
      <c r="FK28">
        <v>42254.8</v>
      </c>
      <c r="FL28">
        <v>1.9536</v>
      </c>
      <c r="FM28">
        <v>1.84518</v>
      </c>
      <c r="FN28">
        <v>7.1793800000000005E-2</v>
      </c>
      <c r="FO28">
        <v>0</v>
      </c>
      <c r="FP28">
        <v>25.968800000000002</v>
      </c>
      <c r="FQ28">
        <v>999.9</v>
      </c>
      <c r="FR28">
        <v>27.213000000000001</v>
      </c>
      <c r="FS28">
        <v>43.768999999999998</v>
      </c>
      <c r="FT28">
        <v>24.779599999999999</v>
      </c>
      <c r="FU28">
        <v>61.5379</v>
      </c>
      <c r="FV28">
        <v>46.486400000000003</v>
      </c>
      <c r="FW28">
        <v>1</v>
      </c>
      <c r="FX28">
        <v>0.48459600000000003</v>
      </c>
      <c r="FY28">
        <v>9.2810500000000005</v>
      </c>
      <c r="FZ28">
        <v>20.0108</v>
      </c>
      <c r="GA28">
        <v>5.2225299999999999</v>
      </c>
      <c r="GB28">
        <v>11.962</v>
      </c>
      <c r="GC28">
        <v>4.9714999999999998</v>
      </c>
      <c r="GD28">
        <v>3.29433</v>
      </c>
      <c r="GE28">
        <v>9999</v>
      </c>
      <c r="GF28">
        <v>9999</v>
      </c>
      <c r="GG28">
        <v>461</v>
      </c>
      <c r="GH28">
        <v>9999</v>
      </c>
      <c r="GI28">
        <v>1.8665</v>
      </c>
      <c r="GJ28">
        <v>1.8660000000000001</v>
      </c>
      <c r="GK28">
        <v>1.86615</v>
      </c>
      <c r="GL28">
        <v>1.86907</v>
      </c>
      <c r="GM28">
        <v>1.8633999999999999</v>
      </c>
      <c r="GN28">
        <v>1.8615600000000001</v>
      </c>
      <c r="GO28">
        <v>1.8577600000000001</v>
      </c>
      <c r="GP28">
        <v>1.8638600000000001</v>
      </c>
      <c r="GQ28" t="s">
        <v>350</v>
      </c>
      <c r="GR28" t="s">
        <v>19</v>
      </c>
      <c r="GS28" t="s">
        <v>19</v>
      </c>
      <c r="GT28" t="s">
        <v>19</v>
      </c>
      <c r="GU28" t="s">
        <v>351</v>
      </c>
      <c r="GV28" t="s">
        <v>352</v>
      </c>
      <c r="GW28" t="s">
        <v>353</v>
      </c>
      <c r="GX28" t="s">
        <v>353</v>
      </c>
      <c r="GY28" t="s">
        <v>353</v>
      </c>
      <c r="GZ28" t="s">
        <v>353</v>
      </c>
      <c r="HA28">
        <v>0</v>
      </c>
      <c r="HB28">
        <v>100</v>
      </c>
      <c r="HC28">
        <v>100</v>
      </c>
      <c r="HD28">
        <v>3.4689999999999999</v>
      </c>
      <c r="HE28">
        <v>0.47</v>
      </c>
      <c r="HF28">
        <v>2</v>
      </c>
      <c r="HG28">
        <v>503.13900000000001</v>
      </c>
      <c r="HH28">
        <v>471.41699999999997</v>
      </c>
      <c r="HI28">
        <v>17.364000000000001</v>
      </c>
      <c r="HJ28">
        <v>33.121499999999997</v>
      </c>
      <c r="HK28">
        <v>30.000299999999999</v>
      </c>
      <c r="HL28">
        <v>33.033999999999999</v>
      </c>
      <c r="HM28">
        <v>33.012099999999997</v>
      </c>
      <c r="HN28">
        <v>52.311</v>
      </c>
      <c r="HO28">
        <v>33.359699999999997</v>
      </c>
      <c r="HP28">
        <v>0</v>
      </c>
      <c r="HQ28">
        <v>15.7225</v>
      </c>
      <c r="HR28">
        <v>1200</v>
      </c>
      <c r="HS28">
        <v>16.1295</v>
      </c>
      <c r="HT28">
        <v>99.628600000000006</v>
      </c>
      <c r="HU28">
        <v>103.05200000000001</v>
      </c>
    </row>
    <row r="29" spans="1:229" x14ac:dyDescent="0.35">
      <c r="A29">
        <v>14</v>
      </c>
      <c r="B29">
        <v>1564944907.5</v>
      </c>
      <c r="C29">
        <v>1368.9000000953699</v>
      </c>
      <c r="D29" t="s">
        <v>409</v>
      </c>
      <c r="E29" t="s">
        <v>410</v>
      </c>
      <c r="G29">
        <v>1564944899.5</v>
      </c>
      <c r="H29">
        <f t="shared" si="0"/>
        <v>2.5516046812833334E-3</v>
      </c>
      <c r="I29">
        <f t="shared" si="1"/>
        <v>37.368632672424994</v>
      </c>
      <c r="J29">
        <f t="shared" si="2"/>
        <v>1583.44032258065</v>
      </c>
      <c r="K29">
        <f t="shared" si="3"/>
        <v>1082.7909778546232</v>
      </c>
      <c r="L29">
        <f t="shared" si="4"/>
        <v>107.65651327028743</v>
      </c>
      <c r="M29">
        <f t="shared" si="5"/>
        <v>157.43358375442537</v>
      </c>
      <c r="N29">
        <f t="shared" si="6"/>
        <v>0.13272310267811549</v>
      </c>
      <c r="O29">
        <f t="shared" si="7"/>
        <v>3.3836359096534268</v>
      </c>
      <c r="P29">
        <f t="shared" si="8"/>
        <v>0.12989727515388186</v>
      </c>
      <c r="Q29">
        <f t="shared" si="9"/>
        <v>8.1434675258634931E-2</v>
      </c>
      <c r="R29">
        <f t="shared" si="10"/>
        <v>363.47380021365115</v>
      </c>
      <c r="S29">
        <f t="shared" si="11"/>
        <v>25.916519449789842</v>
      </c>
      <c r="T29">
        <f t="shared" si="12"/>
        <v>27.124464516128999</v>
      </c>
      <c r="U29">
        <f t="shared" si="13"/>
        <v>3.6054073692355271</v>
      </c>
      <c r="V29">
        <f t="shared" si="14"/>
        <v>54.832189168324753</v>
      </c>
      <c r="W29">
        <f t="shared" si="15"/>
        <v>1.7045290508806312</v>
      </c>
      <c r="X29">
        <f t="shared" si="16"/>
        <v>3.1086284839878271</v>
      </c>
      <c r="Y29">
        <f t="shared" si="17"/>
        <v>1.9008783183548958</v>
      </c>
      <c r="Z29">
        <f t="shared" si="18"/>
        <v>-112.52576644459501</v>
      </c>
      <c r="AA29">
        <f t="shared" si="19"/>
        <v>-456.58781917027994</v>
      </c>
      <c r="AB29">
        <f t="shared" si="20"/>
        <v>-28.795159125288727</v>
      </c>
      <c r="AC29">
        <f t="shared" si="21"/>
        <v>-234.43494452651251</v>
      </c>
      <c r="AD29">
        <v>-4.1194349535689297E-2</v>
      </c>
      <c r="AE29">
        <v>4.6244266177037099E-2</v>
      </c>
      <c r="AF29">
        <v>3.4559247754421101</v>
      </c>
      <c r="AG29">
        <v>0</v>
      </c>
      <c r="AH29">
        <v>0</v>
      </c>
      <c r="AI29">
        <f t="shared" si="22"/>
        <v>1</v>
      </c>
      <c r="AJ29">
        <f t="shared" si="23"/>
        <v>0</v>
      </c>
      <c r="AK29">
        <f t="shared" si="24"/>
        <v>52948.757305852894</v>
      </c>
      <c r="AL29">
        <v>0</v>
      </c>
      <c r="AM29">
        <v>2.4</v>
      </c>
      <c r="AN29">
        <v>3.6</v>
      </c>
      <c r="AO29">
        <f t="shared" si="25"/>
        <v>1.2000000000000002</v>
      </c>
      <c r="AP29">
        <f t="shared" si="26"/>
        <v>0.33333333333333337</v>
      </c>
      <c r="AQ29">
        <v>-1</v>
      </c>
      <c r="AR29" t="s">
        <v>411</v>
      </c>
      <c r="AS29">
        <v>244.84352941176499</v>
      </c>
      <c r="AT29">
        <v>312.35700000000003</v>
      </c>
      <c r="AU29">
        <f t="shared" si="27"/>
        <v>0.21614201246725717</v>
      </c>
      <c r="AV29">
        <v>0.5</v>
      </c>
      <c r="AW29">
        <f t="shared" si="28"/>
        <v>1854.5842540305086</v>
      </c>
      <c r="AX29">
        <f t="shared" si="29"/>
        <v>37.368632672424994</v>
      </c>
      <c r="AY29">
        <f t="shared" si="30"/>
        <v>200.42678647812053</v>
      </c>
      <c r="AZ29">
        <f t="shared" si="31"/>
        <v>0.49538508821636784</v>
      </c>
      <c r="BA29">
        <f t="shared" si="32"/>
        <v>2.0688535766999892E-2</v>
      </c>
      <c r="BB29">
        <f t="shared" si="33"/>
        <v>-0.98847472603463338</v>
      </c>
      <c r="BC29" t="s">
        <v>412</v>
      </c>
      <c r="BD29">
        <v>157.62</v>
      </c>
      <c r="BE29">
        <f t="shared" si="34"/>
        <v>154.73700000000002</v>
      </c>
      <c r="BF29">
        <f t="shared" si="35"/>
        <v>0.43631109940243784</v>
      </c>
      <c r="BG29">
        <f t="shared" si="36"/>
        <v>2.0046552395792752</v>
      </c>
      <c r="BH29">
        <f t="shared" si="37"/>
        <v>0.21781560212621437</v>
      </c>
      <c r="BI29">
        <f t="shared" si="38"/>
        <v>-257.29749999999996</v>
      </c>
      <c r="BJ29">
        <v>7372</v>
      </c>
      <c r="BK29">
        <v>300</v>
      </c>
      <c r="BL29">
        <v>300</v>
      </c>
      <c r="BM29">
        <v>300</v>
      </c>
      <c r="BN29">
        <v>9020.9599999999991</v>
      </c>
      <c r="BO29">
        <v>291.18700000000001</v>
      </c>
      <c r="BP29">
        <v>-5.8502900000000002E-3</v>
      </c>
      <c r="BQ29">
        <v>0.95455900000000005</v>
      </c>
      <c r="BR29" t="s">
        <v>347</v>
      </c>
      <c r="BS29" t="s">
        <v>347</v>
      </c>
      <c r="BT29" t="s">
        <v>347</v>
      </c>
      <c r="BU29" t="s">
        <v>347</v>
      </c>
      <c r="BV29" t="s">
        <v>347</v>
      </c>
      <c r="BW29" t="s">
        <v>347</v>
      </c>
      <c r="BX29" t="s">
        <v>347</v>
      </c>
      <c r="BY29" t="s">
        <v>347</v>
      </c>
      <c r="BZ29" t="s">
        <v>347</v>
      </c>
      <c r="CA29" t="s">
        <v>347</v>
      </c>
      <c r="CB29">
        <f t="shared" si="39"/>
        <v>2199.9987096774198</v>
      </c>
      <c r="CC29">
        <f t="shared" si="40"/>
        <v>1854.5842540305086</v>
      </c>
      <c r="CD29">
        <f t="shared" si="41"/>
        <v>0.84299333716538483</v>
      </c>
      <c r="CE29">
        <f t="shared" si="42"/>
        <v>0.19598667433076991</v>
      </c>
      <c r="CF29">
        <v>1564944899.5</v>
      </c>
      <c r="CG29">
        <v>1583.44032258065</v>
      </c>
      <c r="CH29">
        <v>1600.00322580645</v>
      </c>
      <c r="CI29">
        <v>17.143864516129</v>
      </c>
      <c r="CJ29">
        <v>16.140761290322601</v>
      </c>
      <c r="CK29">
        <v>500.02038709677402</v>
      </c>
      <c r="CL29">
        <v>99.324987096774194</v>
      </c>
      <c r="CM29">
        <v>0.10003164838709699</v>
      </c>
      <c r="CN29">
        <v>24.621496774193499</v>
      </c>
      <c r="CO29">
        <v>27.124464516128999</v>
      </c>
      <c r="CP29">
        <v>999.9</v>
      </c>
      <c r="CQ29">
        <v>0</v>
      </c>
      <c r="CR29">
        <v>0</v>
      </c>
      <c r="CS29">
        <v>10001.7306451613</v>
      </c>
      <c r="CT29">
        <v>0</v>
      </c>
      <c r="CU29">
        <v>1830.22258064516</v>
      </c>
      <c r="CV29">
        <v>-16.562361290322599</v>
      </c>
      <c r="CW29">
        <v>1611.05967741936</v>
      </c>
      <c r="CX29">
        <v>1626.25129032258</v>
      </c>
      <c r="CY29">
        <v>1.00310903225806</v>
      </c>
      <c r="CZ29">
        <v>1580.87161290323</v>
      </c>
      <c r="DA29">
        <v>1600.00322580645</v>
      </c>
      <c r="DB29">
        <v>16.681864516129</v>
      </c>
      <c r="DC29">
        <v>16.140761290322601</v>
      </c>
      <c r="DD29">
        <v>1.7028125806451599</v>
      </c>
      <c r="DE29">
        <v>1.6031796774193501</v>
      </c>
      <c r="DF29">
        <v>14.9221096774194</v>
      </c>
      <c r="DG29">
        <v>13.9893967741935</v>
      </c>
      <c r="DH29">
        <v>2199.9987096774198</v>
      </c>
      <c r="DI29">
        <v>0.899993483870968</v>
      </c>
      <c r="DJ29">
        <v>0.10000654516129</v>
      </c>
      <c r="DK29">
        <v>0</v>
      </c>
      <c r="DL29">
        <v>244.95903225806401</v>
      </c>
      <c r="DM29">
        <v>5.0002700000000004</v>
      </c>
      <c r="DN29">
        <v>10085.5</v>
      </c>
      <c r="DO29">
        <v>20016.064516129001</v>
      </c>
      <c r="DP29">
        <v>49.811999999999998</v>
      </c>
      <c r="DQ29">
        <v>50.443129032258</v>
      </c>
      <c r="DR29">
        <v>50.360774193548401</v>
      </c>
      <c r="DS29">
        <v>49.436999999999998</v>
      </c>
      <c r="DT29">
        <v>50.561999999999998</v>
      </c>
      <c r="DU29">
        <v>1975.4874193548401</v>
      </c>
      <c r="DV29">
        <v>219.511290322581</v>
      </c>
      <c r="DW29">
        <v>0</v>
      </c>
      <c r="DX29">
        <v>104.40000009536701</v>
      </c>
      <c r="DY29">
        <v>244.84352941176499</v>
      </c>
      <c r="DZ29">
        <v>-2.6845588404715901</v>
      </c>
      <c r="EA29">
        <v>-352.89216087070798</v>
      </c>
      <c r="EB29">
        <v>10077.082352941199</v>
      </c>
      <c r="EC29">
        <v>10</v>
      </c>
      <c r="ED29">
        <v>1564944879.5</v>
      </c>
      <c r="EE29" t="s">
        <v>413</v>
      </c>
      <c r="EF29">
        <v>54</v>
      </c>
      <c r="EG29">
        <v>2.5680000000000001</v>
      </c>
      <c r="EH29">
        <v>0.46200000000000002</v>
      </c>
      <c r="EI29">
        <v>1600</v>
      </c>
      <c r="EJ29">
        <v>16</v>
      </c>
      <c r="EK29">
        <v>0.24</v>
      </c>
      <c r="EL29">
        <v>0.11</v>
      </c>
      <c r="EM29">
        <v>37.387732599567997</v>
      </c>
      <c r="EN29">
        <v>-0.22146012845611099</v>
      </c>
      <c r="EO29">
        <v>0.41827692503261499</v>
      </c>
      <c r="EP29">
        <v>1</v>
      </c>
      <c r="EQ29">
        <v>0.13225736018672099</v>
      </c>
      <c r="ER29">
        <v>6.1494123085319603E-3</v>
      </c>
      <c r="ES29">
        <v>8.89021624097037E-4</v>
      </c>
      <c r="ET29">
        <v>1</v>
      </c>
      <c r="EU29">
        <v>2</v>
      </c>
      <c r="EV29">
        <v>2</v>
      </c>
      <c r="EW29" t="s">
        <v>349</v>
      </c>
      <c r="EX29">
        <v>2.9499399999999998</v>
      </c>
      <c r="EY29">
        <v>2.7771699999999999</v>
      </c>
      <c r="EZ29">
        <v>0.235874</v>
      </c>
      <c r="FA29">
        <v>0.23125200000000001</v>
      </c>
      <c r="FB29">
        <v>8.71064E-2</v>
      </c>
      <c r="FC29">
        <v>8.0948199999999998E-2</v>
      </c>
      <c r="FD29">
        <v>18400.3</v>
      </c>
      <c r="FE29">
        <v>18595.8</v>
      </c>
      <c r="FF29">
        <v>22652</v>
      </c>
      <c r="FG29">
        <v>26539.599999999999</v>
      </c>
      <c r="FH29">
        <v>29572.799999999999</v>
      </c>
      <c r="FI29">
        <v>38265.199999999997</v>
      </c>
      <c r="FJ29">
        <v>32368</v>
      </c>
      <c r="FK29">
        <v>42253.5</v>
      </c>
      <c r="FL29">
        <v>1.95265</v>
      </c>
      <c r="FM29">
        <v>1.8449500000000001</v>
      </c>
      <c r="FN29">
        <v>6.9446900000000006E-2</v>
      </c>
      <c r="FO29">
        <v>0</v>
      </c>
      <c r="FP29">
        <v>25.977799999999998</v>
      </c>
      <c r="FQ29">
        <v>999.9</v>
      </c>
      <c r="FR29">
        <v>27.236999999999998</v>
      </c>
      <c r="FS29">
        <v>43.84</v>
      </c>
      <c r="FT29">
        <v>24.890899999999998</v>
      </c>
      <c r="FU29">
        <v>61.777900000000002</v>
      </c>
      <c r="FV29">
        <v>46.406199999999998</v>
      </c>
      <c r="FW29">
        <v>1</v>
      </c>
      <c r="FX29">
        <v>0.48832100000000001</v>
      </c>
      <c r="FY29">
        <v>9.2810500000000005</v>
      </c>
      <c r="FZ29">
        <v>20.011299999999999</v>
      </c>
      <c r="GA29">
        <v>5.2289700000000003</v>
      </c>
      <c r="GB29">
        <v>11.962</v>
      </c>
      <c r="GC29">
        <v>4.9716500000000003</v>
      </c>
      <c r="GD29">
        <v>3.2949999999999999</v>
      </c>
      <c r="GE29">
        <v>9999</v>
      </c>
      <c r="GF29">
        <v>9999</v>
      </c>
      <c r="GG29">
        <v>461</v>
      </c>
      <c r="GH29">
        <v>9999</v>
      </c>
      <c r="GI29">
        <v>1.8665099999999999</v>
      </c>
      <c r="GJ29">
        <v>1.8660000000000001</v>
      </c>
      <c r="GK29">
        <v>1.86615</v>
      </c>
      <c r="GL29">
        <v>1.8691199999999999</v>
      </c>
      <c r="GM29">
        <v>1.8633999999999999</v>
      </c>
      <c r="GN29">
        <v>1.86154</v>
      </c>
      <c r="GO29">
        <v>1.8577600000000001</v>
      </c>
      <c r="GP29">
        <v>1.8638600000000001</v>
      </c>
      <c r="GQ29" t="s">
        <v>350</v>
      </c>
      <c r="GR29" t="s">
        <v>19</v>
      </c>
      <c r="GS29" t="s">
        <v>19</v>
      </c>
      <c r="GT29" t="s">
        <v>19</v>
      </c>
      <c r="GU29" t="s">
        <v>351</v>
      </c>
      <c r="GV29" t="s">
        <v>352</v>
      </c>
      <c r="GW29" t="s">
        <v>353</v>
      </c>
      <c r="GX29" t="s">
        <v>353</v>
      </c>
      <c r="GY29" t="s">
        <v>353</v>
      </c>
      <c r="GZ29" t="s">
        <v>353</v>
      </c>
      <c r="HA29">
        <v>0</v>
      </c>
      <c r="HB29">
        <v>100</v>
      </c>
      <c r="HC29">
        <v>100</v>
      </c>
      <c r="HD29">
        <v>2.5680000000000001</v>
      </c>
      <c r="HE29">
        <v>0.46200000000000002</v>
      </c>
      <c r="HF29">
        <v>2</v>
      </c>
      <c r="HG29">
        <v>502.72800000000001</v>
      </c>
      <c r="HH29">
        <v>471.49200000000002</v>
      </c>
      <c r="HI29">
        <v>17.266300000000001</v>
      </c>
      <c r="HJ29">
        <v>33.180900000000001</v>
      </c>
      <c r="HK29">
        <v>30.000299999999999</v>
      </c>
      <c r="HL29">
        <v>33.062600000000003</v>
      </c>
      <c r="HM29">
        <v>33.041499999999999</v>
      </c>
      <c r="HN29">
        <v>66.002700000000004</v>
      </c>
      <c r="HO29">
        <v>34.3033</v>
      </c>
      <c r="HP29">
        <v>0</v>
      </c>
      <c r="HQ29">
        <v>15.8431</v>
      </c>
      <c r="HR29">
        <v>1600</v>
      </c>
      <c r="HS29">
        <v>16.113700000000001</v>
      </c>
      <c r="HT29">
        <v>99.622699999999995</v>
      </c>
      <c r="HU29">
        <v>103.04900000000001</v>
      </c>
    </row>
  </sheetData>
  <sortState xmlns:xlrd2="http://schemas.microsoft.com/office/spreadsheetml/2017/richdata2" ref="J34:L47">
    <sortCondition ref="J3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s">
        <v>3</v>
      </c>
    </row>
    <row r="3" spans="1:2" x14ac:dyDescent="0.35">
      <c r="A3" t="s">
        <v>4</v>
      </c>
      <c r="B3" t="s">
        <v>5</v>
      </c>
    </row>
    <row r="4" spans="1:2" x14ac:dyDescent="0.35">
      <c r="A4" t="s">
        <v>6</v>
      </c>
      <c r="B4" t="s">
        <v>7</v>
      </c>
    </row>
    <row r="5" spans="1:2" x14ac:dyDescent="0.35">
      <c r="A5" t="s">
        <v>8</v>
      </c>
      <c r="B5" t="s">
        <v>9</v>
      </c>
    </row>
    <row r="6" spans="1:2" x14ac:dyDescent="0.35">
      <c r="A6" t="s">
        <v>10</v>
      </c>
      <c r="B6" t="s">
        <v>11</v>
      </c>
    </row>
    <row r="7" spans="1:2" x14ac:dyDescent="0.35">
      <c r="A7" t="s">
        <v>12</v>
      </c>
      <c r="B7" t="s">
        <v>13</v>
      </c>
    </row>
    <row r="8" spans="1:2" x14ac:dyDescent="0.35">
      <c r="A8" t="s">
        <v>14</v>
      </c>
      <c r="B8" t="s">
        <v>15</v>
      </c>
    </row>
    <row r="9" spans="1:2" x14ac:dyDescent="0.35">
      <c r="A9" t="s">
        <v>16</v>
      </c>
      <c r="B9" t="s">
        <v>17</v>
      </c>
    </row>
    <row r="10" spans="1:2" x14ac:dyDescent="0.35">
      <c r="A10" t="s">
        <v>18</v>
      </c>
      <c r="B10" t="s">
        <v>19</v>
      </c>
    </row>
    <row r="11" spans="1:2" x14ac:dyDescent="0.35">
      <c r="A11" t="s">
        <v>20</v>
      </c>
      <c r="B11" t="s">
        <v>19</v>
      </c>
    </row>
    <row r="12" spans="1:2" x14ac:dyDescent="0.35">
      <c r="A12" t="s">
        <v>21</v>
      </c>
      <c r="B12" t="s">
        <v>17</v>
      </c>
    </row>
    <row r="13" spans="1:2" x14ac:dyDescent="0.35">
      <c r="A13" t="s">
        <v>22</v>
      </c>
      <c r="B13" t="s">
        <v>11</v>
      </c>
    </row>
    <row r="14" spans="1:2" x14ac:dyDescent="0.35">
      <c r="A14" t="s">
        <v>23</v>
      </c>
      <c r="B1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Wu, Genghong</cp:lastModifiedBy>
  <dcterms:created xsi:type="dcterms:W3CDTF">2019-08-03T13:54:01Z</dcterms:created>
  <dcterms:modified xsi:type="dcterms:W3CDTF">2019-08-28T03:06:16Z</dcterms:modified>
</cp:coreProperties>
</file>