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20190803_De Kauwe\A-Ci\raw\"/>
    </mc:Choice>
  </mc:AlternateContent>
  <xr:revisionPtr revIDLastSave="0" documentId="13_ncr:1_{3C696568-421A-4C08-BA21-AE2B8A240A29}" xr6:coauthVersionLast="41" xr6:coauthVersionMax="41" xr10:uidLastSave="{00000000-0000-0000-0000-000000000000}"/>
  <bookViews>
    <workbookView xWindow="-110" yWindow="-110" windowWidth="19420" windowHeight="1042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E29" i="1" l="1"/>
  <c r="CD29" i="1"/>
  <c r="CB29" i="1"/>
  <c r="BI29" i="1"/>
  <c r="BH29" i="1"/>
  <c r="BG29" i="1"/>
  <c r="BF29" i="1"/>
  <c r="BE29" i="1"/>
  <c r="AZ29" i="1" s="1"/>
  <c r="BB29" i="1"/>
  <c r="AU29" i="1"/>
  <c r="AO29" i="1"/>
  <c r="AP29" i="1" s="1"/>
  <c r="AK29" i="1"/>
  <c r="AI29" i="1" s="1"/>
  <c r="H29" i="1" s="1"/>
  <c r="Z29" i="1" s="1"/>
  <c r="X29" i="1"/>
  <c r="W29" i="1"/>
  <c r="O29" i="1"/>
  <c r="CE28" i="1"/>
  <c r="CD28" i="1"/>
  <c r="CB28" i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 s="1"/>
  <c r="J28" i="1" s="1"/>
  <c r="X28" i="1"/>
  <c r="W28" i="1"/>
  <c r="O28" i="1"/>
  <c r="CE27" i="1"/>
  <c r="CD27" i="1"/>
  <c r="CB27" i="1"/>
  <c r="CC27" i="1" s="1"/>
  <c r="AW27" i="1" s="1"/>
  <c r="AY27" i="1" s="1"/>
  <c r="BI27" i="1"/>
  <c r="BH27" i="1"/>
  <c r="BG27" i="1"/>
  <c r="BF27" i="1"/>
  <c r="BE27" i="1"/>
  <c r="AZ27" i="1" s="1"/>
  <c r="BB27" i="1"/>
  <c r="AU27" i="1"/>
  <c r="AP27" i="1"/>
  <c r="AO27" i="1"/>
  <c r="AK27" i="1"/>
  <c r="AI27" i="1"/>
  <c r="X27" i="1"/>
  <c r="V27" i="1" s="1"/>
  <c r="W27" i="1"/>
  <c r="O27" i="1"/>
  <c r="CE26" i="1"/>
  <c r="CD26" i="1"/>
  <c r="CB26" i="1"/>
  <c r="BI26" i="1"/>
  <c r="BH26" i="1"/>
  <c r="BG26" i="1"/>
  <c r="BF26" i="1"/>
  <c r="BE26" i="1"/>
  <c r="AZ26" i="1" s="1"/>
  <c r="BB26" i="1"/>
  <c r="AU26" i="1"/>
  <c r="AO26" i="1"/>
  <c r="AP26" i="1" s="1"/>
  <c r="AK26" i="1"/>
  <c r="AI26" i="1" s="1"/>
  <c r="I26" i="1" s="1"/>
  <c r="AX26" i="1" s="1"/>
  <c r="X26" i="1"/>
  <c r="W26" i="1"/>
  <c r="O26" i="1"/>
  <c r="CE25" i="1"/>
  <c r="CD25" i="1"/>
  <c r="CB25" i="1"/>
  <c r="BI25" i="1"/>
  <c r="BH25" i="1"/>
  <c r="BG25" i="1"/>
  <c r="BF25" i="1"/>
  <c r="BE25" i="1"/>
  <c r="BB25" i="1"/>
  <c r="AZ25" i="1"/>
  <c r="AU25" i="1"/>
  <c r="AO25" i="1"/>
  <c r="AP25" i="1" s="1"/>
  <c r="AK25" i="1"/>
  <c r="AI25" i="1" s="1"/>
  <c r="H25" i="1" s="1"/>
  <c r="Z25" i="1" s="1"/>
  <c r="X25" i="1"/>
  <c r="W25" i="1"/>
  <c r="O25" i="1"/>
  <c r="CE24" i="1"/>
  <c r="CD24" i="1"/>
  <c r="CB24" i="1"/>
  <c r="BI24" i="1"/>
  <c r="BH24" i="1"/>
  <c r="BG24" i="1"/>
  <c r="BF24" i="1"/>
  <c r="BE24" i="1"/>
  <c r="AZ24" i="1" s="1"/>
  <c r="BB24" i="1"/>
  <c r="AU24" i="1"/>
  <c r="AO24" i="1"/>
  <c r="AP24" i="1" s="1"/>
  <c r="AK24" i="1"/>
  <c r="AI24" i="1" s="1"/>
  <c r="X24" i="1"/>
  <c r="W24" i="1"/>
  <c r="O24" i="1"/>
  <c r="CE23" i="1"/>
  <c r="CD23" i="1"/>
  <c r="CB23" i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 s="1"/>
  <c r="M23" i="1" s="1"/>
  <c r="X23" i="1"/>
  <c r="W23" i="1"/>
  <c r="V23" i="1" s="1"/>
  <c r="O23" i="1"/>
  <c r="CE22" i="1"/>
  <c r="CD22" i="1"/>
  <c r="CB22" i="1"/>
  <c r="BI22" i="1"/>
  <c r="BH22" i="1"/>
  <c r="BG22" i="1"/>
  <c r="BF22" i="1"/>
  <c r="BE22" i="1"/>
  <c r="AZ22" i="1" s="1"/>
  <c r="BB22" i="1"/>
  <c r="AU22" i="1"/>
  <c r="AO22" i="1"/>
  <c r="AP22" i="1" s="1"/>
  <c r="AK22" i="1"/>
  <c r="AI22" i="1" s="1"/>
  <c r="X22" i="1"/>
  <c r="W22" i="1"/>
  <c r="O22" i="1"/>
  <c r="H22" i="1"/>
  <c r="Z22" i="1" s="1"/>
  <c r="CE21" i="1"/>
  <c r="CD21" i="1"/>
  <c r="CB21" i="1"/>
  <c r="BI21" i="1"/>
  <c r="BH21" i="1"/>
  <c r="BG21" i="1"/>
  <c r="BF21" i="1"/>
  <c r="BE21" i="1"/>
  <c r="AZ21" i="1" s="1"/>
  <c r="BB21" i="1"/>
  <c r="AU21" i="1"/>
  <c r="AP21" i="1"/>
  <c r="AO21" i="1"/>
  <c r="AK21" i="1"/>
  <c r="AI21" i="1" s="1"/>
  <c r="X21" i="1"/>
  <c r="W21" i="1"/>
  <c r="V21" i="1" s="1"/>
  <c r="O21" i="1"/>
  <c r="CE20" i="1"/>
  <c r="CD20" i="1"/>
  <c r="CB20" i="1"/>
  <c r="BI20" i="1"/>
  <c r="BH20" i="1"/>
  <c r="BG20" i="1"/>
  <c r="BF20" i="1"/>
  <c r="BE20" i="1"/>
  <c r="AZ20" i="1" s="1"/>
  <c r="BB20" i="1"/>
  <c r="AU20" i="1"/>
  <c r="AP20" i="1"/>
  <c r="AO20" i="1"/>
  <c r="AK20" i="1"/>
  <c r="AI20" i="1" s="1"/>
  <c r="X20" i="1"/>
  <c r="V20" i="1" s="1"/>
  <c r="W20" i="1"/>
  <c r="O20" i="1"/>
  <c r="CE19" i="1"/>
  <c r="CD19" i="1"/>
  <c r="CB19" i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 s="1"/>
  <c r="I19" i="1" s="1"/>
  <c r="AX19" i="1" s="1"/>
  <c r="X19" i="1"/>
  <c r="W19" i="1"/>
  <c r="O19" i="1"/>
  <c r="M19" i="1"/>
  <c r="H19" i="1"/>
  <c r="CE18" i="1"/>
  <c r="CD18" i="1"/>
  <c r="CB18" i="1"/>
  <c r="BI18" i="1"/>
  <c r="BH18" i="1"/>
  <c r="BG18" i="1"/>
  <c r="BF18" i="1"/>
  <c r="BE18" i="1"/>
  <c r="AZ18" i="1" s="1"/>
  <c r="BB18" i="1"/>
  <c r="AU18" i="1"/>
  <c r="AO18" i="1"/>
  <c r="AP18" i="1" s="1"/>
  <c r="AK18" i="1"/>
  <c r="AI18" i="1" s="1"/>
  <c r="J18" i="1" s="1"/>
  <c r="X18" i="1"/>
  <c r="W18" i="1"/>
  <c r="V18" i="1" s="1"/>
  <c r="O18" i="1"/>
  <c r="CE17" i="1"/>
  <c r="CD17" i="1"/>
  <c r="CB17" i="1"/>
  <c r="BI17" i="1"/>
  <c r="BH17" i="1"/>
  <c r="BG17" i="1"/>
  <c r="BF17" i="1"/>
  <c r="BE17" i="1"/>
  <c r="AZ17" i="1" s="1"/>
  <c r="BB17" i="1"/>
  <c r="AU17" i="1"/>
  <c r="AP17" i="1"/>
  <c r="AO17" i="1"/>
  <c r="AK17" i="1"/>
  <c r="AI17" i="1" s="1"/>
  <c r="X17" i="1"/>
  <c r="W17" i="1"/>
  <c r="O17" i="1"/>
  <c r="J17" i="1" l="1"/>
  <c r="M17" i="1"/>
  <c r="V17" i="1"/>
  <c r="CC22" i="1"/>
  <c r="R22" i="1" s="1"/>
  <c r="V24" i="1"/>
  <c r="V26" i="1"/>
  <c r="CC28" i="1"/>
  <c r="AW28" i="1" s="1"/>
  <c r="CC29" i="1"/>
  <c r="R29" i="1" s="1"/>
  <c r="J21" i="1"/>
  <c r="AJ21" i="1"/>
  <c r="AJ24" i="1"/>
  <c r="J24" i="1"/>
  <c r="R27" i="1"/>
  <c r="R28" i="1"/>
  <c r="AJ28" i="1"/>
  <c r="CC17" i="1"/>
  <c r="AW17" i="1" s="1"/>
  <c r="AY17" i="1" s="1"/>
  <c r="CC18" i="1"/>
  <c r="V19" i="1"/>
  <c r="CC23" i="1"/>
  <c r="CC24" i="1"/>
  <c r="H26" i="1"/>
  <c r="CC26" i="1"/>
  <c r="AW26" i="1" s="1"/>
  <c r="V28" i="1"/>
  <c r="M26" i="1"/>
  <c r="CC19" i="1"/>
  <c r="R19" i="1" s="1"/>
  <c r="AY28" i="1"/>
  <c r="R17" i="1"/>
  <c r="CC20" i="1"/>
  <c r="CC21" i="1"/>
  <c r="CC25" i="1"/>
  <c r="AW19" i="1"/>
  <c r="AY19" i="1" s="1"/>
  <c r="H20" i="1"/>
  <c r="AJ20" i="1"/>
  <c r="J20" i="1"/>
  <c r="I20" i="1"/>
  <c r="AX20" i="1" s="1"/>
  <c r="H27" i="1"/>
  <c r="AJ27" i="1"/>
  <c r="J27" i="1"/>
  <c r="I27" i="1"/>
  <c r="AX27" i="1" s="1"/>
  <c r="BA27" i="1" s="1"/>
  <c r="H17" i="1"/>
  <c r="AJ17" i="1"/>
  <c r="J25" i="1"/>
  <c r="M25" i="1"/>
  <c r="I25" i="1"/>
  <c r="AX25" i="1" s="1"/>
  <c r="AJ25" i="1"/>
  <c r="Z19" i="1"/>
  <c r="M20" i="1"/>
  <c r="H23" i="1"/>
  <c r="AJ23" i="1"/>
  <c r="J23" i="1"/>
  <c r="I23" i="1"/>
  <c r="AX23" i="1" s="1"/>
  <c r="Z26" i="1"/>
  <c r="M27" i="1"/>
  <c r="R26" i="1"/>
  <c r="S27" i="1"/>
  <c r="T27" i="1" s="1"/>
  <c r="AA27" i="1" s="1"/>
  <c r="AW29" i="1"/>
  <c r="I17" i="1"/>
  <c r="AX17" i="1" s="1"/>
  <c r="BA17" i="1" s="1"/>
  <c r="M18" i="1"/>
  <c r="I18" i="1"/>
  <c r="AX18" i="1" s="1"/>
  <c r="AJ18" i="1"/>
  <c r="H18" i="1"/>
  <c r="J22" i="1"/>
  <c r="M22" i="1"/>
  <c r="I22" i="1"/>
  <c r="AX22" i="1" s="1"/>
  <c r="AJ22" i="1"/>
  <c r="R25" i="1"/>
  <c r="AW25" i="1"/>
  <c r="J29" i="1"/>
  <c r="M29" i="1"/>
  <c r="I29" i="1"/>
  <c r="AX29" i="1" s="1"/>
  <c r="AJ29" i="1"/>
  <c r="AJ19" i="1"/>
  <c r="J19" i="1"/>
  <c r="AY25" i="1"/>
  <c r="AJ26" i="1"/>
  <c r="J26" i="1"/>
  <c r="AY29" i="1"/>
  <c r="M21" i="1"/>
  <c r="I21" i="1"/>
  <c r="AX21" i="1" s="1"/>
  <c r="H21" i="1"/>
  <c r="V22" i="1"/>
  <c r="M24" i="1"/>
  <c r="I24" i="1"/>
  <c r="AX24" i="1" s="1"/>
  <c r="H24" i="1"/>
  <c r="V25" i="1"/>
  <c r="M28" i="1"/>
  <c r="I28" i="1"/>
  <c r="AX28" i="1" s="1"/>
  <c r="BA28" i="1" s="1"/>
  <c r="H28" i="1"/>
  <c r="V29" i="1"/>
  <c r="BA29" i="1" l="1"/>
  <c r="BA19" i="1"/>
  <c r="AW22" i="1"/>
  <c r="AY22" i="1" s="1"/>
  <c r="AY26" i="1"/>
  <c r="BA26" i="1"/>
  <c r="AW20" i="1"/>
  <c r="AY20" i="1" s="1"/>
  <c r="R20" i="1"/>
  <c r="S20" i="1" s="1"/>
  <c r="T20" i="1" s="1"/>
  <c r="AA20" i="1" s="1"/>
  <c r="AW18" i="1"/>
  <c r="AY18" i="1" s="1"/>
  <c r="R18" i="1"/>
  <c r="BA20" i="1"/>
  <c r="AW21" i="1"/>
  <c r="AY21" i="1" s="1"/>
  <c r="R21" i="1"/>
  <c r="AW24" i="1"/>
  <c r="AY24" i="1" s="1"/>
  <c r="R24" i="1"/>
  <c r="S24" i="1" s="1"/>
  <c r="T24" i="1" s="1"/>
  <c r="P24" i="1" s="1"/>
  <c r="N24" i="1" s="1"/>
  <c r="Q24" i="1" s="1"/>
  <c r="K24" i="1" s="1"/>
  <c r="L24" i="1" s="1"/>
  <c r="BA21" i="1"/>
  <c r="BA18" i="1"/>
  <c r="AW23" i="1"/>
  <c r="AY23" i="1" s="1"/>
  <c r="R23" i="1"/>
  <c r="S25" i="1"/>
  <c r="T25" i="1" s="1"/>
  <c r="Z18" i="1"/>
  <c r="S22" i="1"/>
  <c r="T22" i="1" s="1"/>
  <c r="S26" i="1"/>
  <c r="T26" i="1" s="1"/>
  <c r="Z28" i="1"/>
  <c r="Z24" i="1"/>
  <c r="AB27" i="1"/>
  <c r="U27" i="1"/>
  <c r="Y27" i="1" s="1"/>
  <c r="AB20" i="1"/>
  <c r="U20" i="1"/>
  <c r="Y20" i="1" s="1"/>
  <c r="BA25" i="1"/>
  <c r="Z17" i="1"/>
  <c r="P27" i="1"/>
  <c r="N27" i="1" s="1"/>
  <c r="Q27" i="1" s="1"/>
  <c r="K27" i="1" s="1"/>
  <c r="L27" i="1" s="1"/>
  <c r="Z27" i="1"/>
  <c r="P20" i="1"/>
  <c r="N20" i="1" s="1"/>
  <c r="Q20" i="1" s="1"/>
  <c r="K20" i="1" s="1"/>
  <c r="L20" i="1" s="1"/>
  <c r="Z20" i="1"/>
  <c r="S17" i="1"/>
  <c r="T17" i="1" s="1"/>
  <c r="AB24" i="1"/>
  <c r="S19" i="1"/>
  <c r="T19" i="1" s="1"/>
  <c r="Z21" i="1"/>
  <c r="Z23" i="1"/>
  <c r="S21" i="1"/>
  <c r="T21" i="1" s="1"/>
  <c r="P21" i="1" s="1"/>
  <c r="N21" i="1" s="1"/>
  <c r="Q21" i="1" s="1"/>
  <c r="K21" i="1" s="1"/>
  <c r="L21" i="1" s="1"/>
  <c r="S29" i="1"/>
  <c r="T29" i="1" s="1"/>
  <c r="S28" i="1"/>
  <c r="T28" i="1" s="1"/>
  <c r="S23" i="1"/>
  <c r="T23" i="1" s="1"/>
  <c r="P23" i="1" s="1"/>
  <c r="N23" i="1" s="1"/>
  <c r="Q23" i="1" s="1"/>
  <c r="K23" i="1" s="1"/>
  <c r="L23" i="1" s="1"/>
  <c r="S18" i="1"/>
  <c r="T18" i="1" s="1"/>
  <c r="P18" i="1" s="1"/>
  <c r="N18" i="1" s="1"/>
  <c r="Q18" i="1" s="1"/>
  <c r="K18" i="1" s="1"/>
  <c r="L18" i="1" s="1"/>
  <c r="AA24" i="1" l="1"/>
  <c r="U24" i="1"/>
  <c r="Y24" i="1" s="1"/>
  <c r="BA23" i="1"/>
  <c r="BA22" i="1"/>
  <c r="BA24" i="1"/>
  <c r="U29" i="1"/>
  <c r="Y29" i="1" s="1"/>
  <c r="AB29" i="1"/>
  <c r="AA29" i="1"/>
  <c r="P29" i="1"/>
  <c r="N29" i="1" s="1"/>
  <c r="Q29" i="1" s="1"/>
  <c r="K29" i="1" s="1"/>
  <c r="L29" i="1" s="1"/>
  <c r="U18" i="1"/>
  <c r="Y18" i="1" s="1"/>
  <c r="AB18" i="1"/>
  <c r="AA18" i="1"/>
  <c r="U19" i="1"/>
  <c r="Y19" i="1" s="1"/>
  <c r="AB19" i="1"/>
  <c r="P19" i="1"/>
  <c r="N19" i="1" s="1"/>
  <c r="Q19" i="1" s="1"/>
  <c r="K19" i="1" s="1"/>
  <c r="L19" i="1" s="1"/>
  <c r="AA19" i="1"/>
  <c r="AC20" i="1"/>
  <c r="U22" i="1"/>
  <c r="Y22" i="1" s="1"/>
  <c r="AA22" i="1"/>
  <c r="AB22" i="1"/>
  <c r="AC22" i="1" s="1"/>
  <c r="P22" i="1"/>
  <c r="N22" i="1" s="1"/>
  <c r="Q22" i="1" s="1"/>
  <c r="K22" i="1" s="1"/>
  <c r="L22" i="1" s="1"/>
  <c r="U25" i="1"/>
  <c r="Y25" i="1" s="1"/>
  <c r="AB25" i="1"/>
  <c r="AA25" i="1"/>
  <c r="P25" i="1"/>
  <c r="N25" i="1" s="1"/>
  <c r="Q25" i="1" s="1"/>
  <c r="K25" i="1" s="1"/>
  <c r="L25" i="1" s="1"/>
  <c r="U28" i="1"/>
  <c r="Y28" i="1" s="1"/>
  <c r="AB28" i="1"/>
  <c r="AA28" i="1"/>
  <c r="AC27" i="1"/>
  <c r="AB17" i="1"/>
  <c r="U17" i="1"/>
  <c r="Y17" i="1" s="1"/>
  <c r="AA17" i="1"/>
  <c r="U26" i="1"/>
  <c r="Y26" i="1" s="1"/>
  <c r="AB26" i="1"/>
  <c r="P26" i="1"/>
  <c r="N26" i="1" s="1"/>
  <c r="Q26" i="1" s="1"/>
  <c r="K26" i="1" s="1"/>
  <c r="L26" i="1" s="1"/>
  <c r="AA26" i="1"/>
  <c r="AB23" i="1"/>
  <c r="AC23" i="1" s="1"/>
  <c r="U23" i="1"/>
  <c r="Y23" i="1" s="1"/>
  <c r="AA23" i="1"/>
  <c r="U21" i="1"/>
  <c r="Y21" i="1" s="1"/>
  <c r="AB21" i="1"/>
  <c r="AC21" i="1" s="1"/>
  <c r="AA21" i="1"/>
  <c r="AC24" i="1"/>
  <c r="P17" i="1"/>
  <c r="N17" i="1" s="1"/>
  <c r="Q17" i="1" s="1"/>
  <c r="K17" i="1" s="1"/>
  <c r="L17" i="1" s="1"/>
  <c r="P28" i="1"/>
  <c r="N28" i="1" s="1"/>
  <c r="Q28" i="1" s="1"/>
  <c r="K28" i="1" s="1"/>
  <c r="L28" i="1" s="1"/>
  <c r="AC28" i="1" l="1"/>
  <c r="AC25" i="1"/>
  <c r="AC18" i="1"/>
  <c r="AC29" i="1"/>
  <c r="AC26" i="1"/>
  <c r="AC17" i="1"/>
  <c r="AC19" i="1"/>
</calcChain>
</file>

<file path=xl/sharedStrings.xml><?xml version="1.0" encoding="utf-8"?>
<sst xmlns="http://schemas.openxmlformats.org/spreadsheetml/2006/main" count="1034" uniqueCount="416">
  <si>
    <t>File opened</t>
  </si>
  <si>
    <t>2019-08-03 13:54:16</t>
  </si>
  <si>
    <t>Console s/n</t>
  </si>
  <si>
    <t>68C-831448</t>
  </si>
  <si>
    <t>Console ver</t>
  </si>
  <si>
    <t>Bluestem v.1.3.17</t>
  </si>
  <si>
    <t>Scripts ver</t>
  </si>
  <si>
    <t>2018.12  1.3.16, Nov 2018</t>
  </si>
  <si>
    <t>Head s/n</t>
  </si>
  <si>
    <t>68H-581448</t>
  </si>
  <si>
    <t>Head ver</t>
  </si>
  <si>
    <t>1.3.1</t>
  </si>
  <si>
    <t>Head cal</t>
  </si>
  <si>
    <t>{"co2aspanconc2": "296.4", "co2aspan2": "-0.0275709", "oxygen": "21", "co2aspan2b": "0.298132", "co2bspanconc2": "296.4", "co2bspan1": "1.00063", "chamberpressurezero": "2.62898", "h2oazero": "0.99813", "h2obspanconc1": "20", "h2obzero": "1.01301", "h2oaspanconc2": "0", "tazero": "-0.075655", "tbzero": "-0.00914764", "flowmeterzero": "1.01484", "co2aspan2a": "0.300565", "h2oaspan2a": "0.0687344", "h2oaspan1": "1.00284", "co2aspan1": "1.00019", "h2oaspan2": "0", "ssb_ref": "33378.8", "co2azero": "0.936047", "co2bspanconc1": "2500", "h2obspan2": "0", "h2obspanconc2": "0", "co2aspanconc1": "2500", "ssa_ref": "27614.2", "co2bspan2a": "0.292725", "co2bspan2": "-0.029811", "flowazero": "0.30339", "h2oaspanconc1": "12.25", "flowbzero": "0.2519", "h2oaspan2b": "0.0689295", "co2bspan2b": "0.290353", "h2obspan2b": "0.0966582", "h2obspan1": "1", "h2obspan2a": "-0.0693626", "co2bzero": "1.08871"}</t>
  </si>
  <si>
    <t>Chamber type</t>
  </si>
  <si>
    <t>6800-01A</t>
  </si>
  <si>
    <t>Chamber s/n</t>
  </si>
  <si>
    <t>MPF-651357</t>
  </si>
  <si>
    <t>Chamber rev</t>
  </si>
  <si>
    <t>0</t>
  </si>
  <si>
    <t>Chamber cal</t>
  </si>
  <si>
    <t>Fluorometer</t>
  </si>
  <si>
    <t>Flr. Version</t>
  </si>
  <si>
    <t>13:54:16</t>
  </si>
  <si>
    <t>Stability Definition:	gsw (GasEx): Slp&lt;0.1 Std&lt;1 Per=15	A (GasEx): Slp&lt;0.3 Std&lt;1 Per=15</t>
  </si>
  <si>
    <t>SysConst</t>
  </si>
  <si>
    <t>AvgTime</t>
  </si>
  <si>
    <t>4</t>
  </si>
  <si>
    <t>Oxygen</t>
  </si>
  <si>
    <t>Chamber</t>
  </si>
  <si>
    <t>6800-01A 2 cm²</t>
  </si>
  <si>
    <t>Const</t>
  </si>
  <si>
    <t>S</t>
  </si>
  <si>
    <t>K</t>
  </si>
  <si>
    <t>Geometry</t>
  </si>
  <si>
    <t>0: Broadleaf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</si>
  <si>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</si>
  <si>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</si>
  <si>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</si>
  <si>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</si>
  <si>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</si>
  <si>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</si>
  <si>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</si>
  <si>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</si>
  <si>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</si>
  <si>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</si>
  <si>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</si>
  <si>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</si>
  <si>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</si>
  <si>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</si>
  <si>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</si>
  <si>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</si>
  <si>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</si>
  <si>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</si>
  <si>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</si>
  <si>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</si>
  <si>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</si>
  <si>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</si>
  <si>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</si>
  <si>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</si>
  <si>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</si>
  <si>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</si>
  <si>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</si>
  <si>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</si>
  <si>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</si>
  <si>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</si>
  <si>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</si>
  <si>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</si>
  <si>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</si>
  <si>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</si>
  <si>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</si>
  <si>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</si>
  <si>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</si>
  <si>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1.33247 83.9444 380.131 623.883 871.563 1081.28 1253.95 1414.66</t>
  </si>
  <si>
    <t>Fs_true</t>
  </si>
  <si>
    <t>0.0281949 103.12 404.934 601.429 803.322 1004.56 1200.95 1401.59</t>
  </si>
  <si>
    <t>leak_wt</t>
  </si>
  <si>
    <t>Sys</t>
  </si>
  <si>
    <t>UserDefVar</t>
  </si>
  <si>
    <t>GasEx</t>
  </si>
  <si>
    <t>Leak</t>
  </si>
  <si>
    <t>FLR</t>
  </si>
  <si>
    <t>MPF</t>
  </si>
  <si>
    <t>FastKntcs</t>
  </si>
  <si>
    <t>LeafQ</t>
  </si>
  <si>
    <t>Meas</t>
  </si>
  <si>
    <t>Meas2</t>
  </si>
  <si>
    <t>FlrLS</t>
  </si>
  <si>
    <t>FlrStats</t>
  </si>
  <si>
    <t>Match</t>
  </si>
  <si>
    <t>Stability</t>
  </si>
  <si>
    <t>Raw</t>
  </si>
  <si>
    <t>Status2</t>
  </si>
  <si>
    <t>Auxiliary</t>
  </si>
  <si>
    <t>Status</t>
  </si>
  <si>
    <t>obs</t>
  </si>
  <si>
    <t>time</t>
  </si>
  <si>
    <t>elapsed</t>
  </si>
  <si>
    <t>date</t>
  </si>
  <si>
    <t>hhmmss</t>
  </si>
  <si>
    <t>plant ID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</si>
  <si>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</si>
  <si>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</si>
  <si>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</si>
  <si>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</si>
  <si>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</si>
  <si>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</si>
  <si>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</si>
  <si>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</si>
  <si>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</si>
  <si>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</si>
  <si>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</si>
  <si>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</si>
  <si>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</si>
  <si>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</si>
  <si>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</si>
  <si>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</si>
  <si>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</si>
  <si>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</si>
  <si>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</si>
  <si>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</si>
  <si>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</si>
  <si>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</si>
  <si>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</si>
  <si>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</si>
  <si>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</si>
  <si>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</si>
  <si>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</si>
  <si>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</si>
  <si>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</si>
  <si>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</si>
  <si>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</si>
  <si>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</si>
  <si>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</si>
  <si>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</si>
  <si>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</si>
  <si>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</si>
  <si>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</si>
  <si>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</si>
  <si>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</si>
  <si>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</si>
  <si>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</si>
  <si>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</si>
  <si>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</si>
  <si>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</si>
  <si>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</si>
  <si>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</si>
  <si>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</si>
  <si>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</si>
  <si>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</si>
  <si>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</si>
  <si>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</si>
  <si>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</si>
  <si>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</si>
  <si>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</si>
  <si>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</si>
  <si>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</si>
  <si>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</si>
  <si>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</si>
  <si>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</si>
  <si>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</si>
  <si>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</si>
  <si>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</si>
  <si>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Duration</t>
  </si>
  <si>
    <t>F1</t>
  </si>
  <si>
    <t>F2</t>
  </si>
  <si>
    <t>Fmax</t>
  </si>
  <si>
    <t>T@HIR</t>
  </si>
  <si>
    <t>T@F1</t>
  </si>
  <si>
    <t>T@F2</t>
  </si>
  <si>
    <t>T@Fmax</t>
  </si>
  <si>
    <t>Qin</t>
  </si>
  <si>
    <t>Qabs</t>
  </si>
  <si>
    <t>alpha</t>
  </si>
  <si>
    <t>convert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</si>
  <si>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</si>
  <si>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</si>
  <si>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</si>
  <si>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</si>
  <si>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</si>
  <si>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</si>
  <si>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</si>
  <si>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</si>
  <si>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</si>
  <si>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</si>
  <si>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</si>
  <si>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</si>
  <si>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</si>
  <si>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</si>
  <si>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</si>
  <si>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</si>
  <si>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</si>
  <si>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</si>
  <si>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</si>
  <si>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CO2_a</t>
  </si>
  <si>
    <t>CO2_b</t>
  </si>
  <si>
    <t>H2O_a</t>
  </si>
  <si>
    <t>H2O_b</t>
  </si>
  <si>
    <t>e_s</t>
  </si>
  <si>
    <t>e_r</t>
  </si>
  <si>
    <t>Td_s</t>
  </si>
  <si>
    <t>Td_r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</si>
  <si>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</si>
  <si>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</si>
  <si>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</si>
  <si>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</si>
  <si>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</si>
  <si>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</si>
  <si>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</si>
  <si>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</si>
  <si>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</si>
  <si>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</si>
  <si>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</si>
  <si>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</si>
  <si>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</si>
  <si>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</si>
  <si>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</si>
  <si>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</si>
  <si>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</si>
  <si>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</si>
  <si>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</si>
  <si>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</si>
  <si>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</si>
  <si>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</si>
  <si>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</si>
  <si>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</si>
  <si>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</si>
  <si>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</si>
  <si>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</si>
  <si>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</si>
  <si>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</si>
  <si>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</si>
  <si>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</si>
  <si>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</si>
  <si>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</si>
  <si>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gsw:MN</t>
  </si>
  <si>
    <t>gsw:SLP</t>
  </si>
  <si>
    <t>gsw:SD</t>
  </si>
  <si>
    <t>gsw:OK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</si>
  <si>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</si>
  <si>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</si>
  <si>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</si>
  <si>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</si>
  <si>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</si>
  <si>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</si>
  <si>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</si>
  <si>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</si>
  <si>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</si>
  <si>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</si>
  <si>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</si>
  <si>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</si>
  <si>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</si>
  <si>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</si>
  <si>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</si>
  <si>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</si>
  <si>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</si>
  <si>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</si>
  <si>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</si>
  <si>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</si>
  <si>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</si>
  <si>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</si>
  <si>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</si>
  <si>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</si>
  <si>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</si>
  <si>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</si>
  <si>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</si>
  <si>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</si>
  <si>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</si>
  <si>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</si>
  <si>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</si>
  <si>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</si>
  <si>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</si>
  <si>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</si>
  <si>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</si>
  <si>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</si>
  <si>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</si>
  <si>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AccH2O_hum</t>
  </si>
  <si>
    <t>CO2_hrs</t>
  </si>
  <si>
    <t>AccH2O_des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</si>
  <si>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</si>
  <si>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</si>
  <si>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</si>
  <si>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</si>
  <si>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</si>
  <si>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</si>
  <si>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</si>
  <si>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</si>
  <si>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</si>
  <si>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</si>
  <si>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</si>
  <si>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</si>
  <si>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</si>
  <si>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</si>
  <si>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</si>
  <si>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</si>
  <si>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</si>
  <si>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</si>
  <si>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</si>
  <si>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</si>
  <si>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</si>
  <si>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</si>
  <si>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</si>
  <si>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</si>
  <si>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</si>
  <si>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</si>
  <si>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</si>
  <si>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</si>
  <si>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</si>
  <si>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</si>
  <si>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</si>
  <si>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</si>
  <si>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</si>
  <si>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</si>
  <si>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</si>
  <si>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</si>
  <si>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</si>
  <si>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</si>
  <si>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</si>
  <si>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</si>
  <si>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</si>
  <si>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</si>
  <si>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</si>
  <si>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</si>
  <si>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</si>
  <si>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</si>
  <si>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</si>
  <si>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</si>
  <si>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</si>
  <si>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</si>
  <si>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</si>
  <si>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</si>
  <si>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</si>
  <si>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</si>
  <si>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</si>
  <si>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</si>
  <si>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</si>
  <si>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</si>
  <si>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</si>
  <si>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mol m⁻² s⁻¹ min⁻¹</t>
  </si>
  <si>
    <t>V</t>
  </si>
  <si>
    <t>mV</t>
  </si>
  <si>
    <t>mg</t>
  </si>
  <si>
    <t>hrs</t>
  </si>
  <si>
    <t>20190804 14:00:32</t>
  </si>
  <si>
    <t>14:00:32</t>
  </si>
  <si>
    <t>MPF-7374-20190804-14_01_10</t>
  </si>
  <si>
    <t>DARK-7375-20190804-14_01_12</t>
  </si>
  <si>
    <t>-</t>
  </si>
  <si>
    <t>13:59:11</t>
  </si>
  <si>
    <t>2/2</t>
  </si>
  <si>
    <t>5</t>
  </si>
  <si>
    <t>11111111</t>
  </si>
  <si>
    <t>oooooooo</t>
  </si>
  <si>
    <t>off</t>
  </si>
  <si>
    <t>20190804 14:02:20</t>
  </si>
  <si>
    <t>14:02:20</t>
  </si>
  <si>
    <t>MPF-7376-20190804-14_02_58</t>
  </si>
  <si>
    <t>DARK-7377-20190804-14_02_59</t>
  </si>
  <si>
    <t>14:01:34</t>
  </si>
  <si>
    <t>20190804 14:04:20</t>
  </si>
  <si>
    <t>14:04:20</t>
  </si>
  <si>
    <t>MPF-7378-20190804-14_04_58</t>
  </si>
  <si>
    <t>DARK-7379-20190804-14_05_00</t>
  </si>
  <si>
    <t>14:03:48</t>
  </si>
  <si>
    <t>20190804 14:06:00</t>
  </si>
  <si>
    <t>14:06:00</t>
  </si>
  <si>
    <t>MPF-7380-20190804-14_06_38</t>
  </si>
  <si>
    <t>DARK-7381-20190804-14_06_39</t>
  </si>
  <si>
    <t>14:05:23</t>
  </si>
  <si>
    <t>20190804 14:07:40</t>
  </si>
  <si>
    <t>14:07:40</t>
  </si>
  <si>
    <t>MPF-7382-20190804-14_08_18</t>
  </si>
  <si>
    <t>DARK-7383-20190804-14_08_20</t>
  </si>
  <si>
    <t>14:07:08</t>
  </si>
  <si>
    <t>20190804 14:09:17</t>
  </si>
  <si>
    <t>14:09:17</t>
  </si>
  <si>
    <t>MPF-7384-20190804-14_09_55</t>
  </si>
  <si>
    <t>DARK-7385-20190804-14_09_57</t>
  </si>
  <si>
    <t>14:08:42</t>
  </si>
  <si>
    <t>20190804 14:12:32</t>
  </si>
  <si>
    <t>14:12:32</t>
  </si>
  <si>
    <t>MPF-7388-20190804-14_13_10</t>
  </si>
  <si>
    <t>DARK-7389-20190804-14_13_12</t>
  </si>
  <si>
    <t>14:11:56</t>
  </si>
  <si>
    <t>20190804 14:14:47</t>
  </si>
  <si>
    <t>14:14:47</t>
  </si>
  <si>
    <t>MPF-7390-20190804-14_15_25</t>
  </si>
  <si>
    <t>DARK-7391-20190804-14_15_27</t>
  </si>
  <si>
    <t>14:13:32</t>
  </si>
  <si>
    <t>20190804 14:16:27</t>
  </si>
  <si>
    <t>14:16:27</t>
  </si>
  <si>
    <t>MPF-7392-20190804-14_17_05</t>
  </si>
  <si>
    <t>DARK-7393-20190804-14_17_07</t>
  </si>
  <si>
    <t>14:15:46</t>
  </si>
  <si>
    <t>20190804 14:18:08</t>
  </si>
  <si>
    <t>14:18:08</t>
  </si>
  <si>
    <t>MPF-7394-20190804-14_18_46</t>
  </si>
  <si>
    <t>DARK-7395-20190804-14_18_48</t>
  </si>
  <si>
    <t>14:17:43</t>
  </si>
  <si>
    <t>0/2</t>
  </si>
  <si>
    <t>20190804 14:19:48</t>
  </si>
  <si>
    <t>14:19:48</t>
  </si>
  <si>
    <t>MPF-7396-20190804-14_20_26</t>
  </si>
  <si>
    <t>DARK-7397-20190804-14_20_28</t>
  </si>
  <si>
    <t>14:19:12</t>
  </si>
  <si>
    <t>1/2</t>
  </si>
  <si>
    <t>20190804 14:21:29</t>
  </si>
  <si>
    <t>14:21:29</t>
  </si>
  <si>
    <t>MPF-7398-20190804-14_22_07</t>
  </si>
  <si>
    <t>DARK-7399-20190804-14_22_09</t>
  </si>
  <si>
    <t>14:20:55</t>
  </si>
  <si>
    <t>20190804 14:23:09</t>
  </si>
  <si>
    <t>14:23:09</t>
  </si>
  <si>
    <t>MPF-7400-20190804-14_23_47</t>
  </si>
  <si>
    <t>DARK-7401-20190804-14_23_49</t>
  </si>
  <si>
    <t>14:22:27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</si>
</sst>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U29"/>
  <sheetViews>
    <sheetView tabSelected="1" topLeftCell="A12" workbookViewId="0">
      <selection activeCell="A23" sqref="A23:XFD23"/>
    </sheetView>
  </sheetViews>
  <sheetFormatPr defaultRowHeight="14.5" x14ac:dyDescent="0.35"/>
  <sheetData>
    <row r="2" spans="1:229" x14ac:dyDescent="0.35">
      <c r="A2" t="s">
        <v>25</v>
      </c>
      <c r="B2" t="s">
        <v>26</v>
      </c>
      <c r="C2" t="s">
        <v>28</v>
      </c>
      <c r="D2" t="s">
        <v>29</v>
      </c>
    </row>
    <row r="3" spans="1:229" x14ac:dyDescent="0.35">
      <c r="B3" t="s">
        <v>27</v>
      </c>
      <c r="C3">
        <v>21</v>
      </c>
      <c r="D3" t="s">
        <v>30</v>
      </c>
    </row>
    <row r="4" spans="1:229" x14ac:dyDescent="0.35">
      <c r="A4" t="s">
        <v>31</v>
      </c>
      <c r="B4" t="s">
        <v>32</v>
      </c>
      <c r="C4" t="s">
        <v>33</v>
      </c>
      <c r="D4" t="s">
        <v>34</v>
      </c>
      <c r="E4" t="s">
        <v>36</v>
      </c>
    </row>
    <row r="5" spans="1:229" x14ac:dyDescent="0.35">
      <c r="B5">
        <v>2</v>
      </c>
      <c r="C5">
        <v>0.5</v>
      </c>
      <c r="D5" t="s">
        <v>35</v>
      </c>
      <c r="E5">
        <v>2</v>
      </c>
    </row>
    <row r="6" spans="1:229" x14ac:dyDescent="0.35">
      <c r="A6" t="s">
        <v>37</v>
      </c>
      <c r="B6" t="s">
        <v>38</v>
      </c>
      <c r="C6" t="s">
        <v>39</v>
      </c>
      <c r="D6" t="s">
        <v>40</v>
      </c>
      <c r="E6" t="s">
        <v>41</v>
      </c>
    </row>
    <row r="7" spans="1:229" x14ac:dyDescent="0.35">
      <c r="B7">
        <v>0</v>
      </c>
      <c r="C7">
        <v>1</v>
      </c>
      <c r="D7">
        <v>0</v>
      </c>
      <c r="E7">
        <v>0</v>
      </c>
    </row>
    <row r="8" spans="1:229" x14ac:dyDescent="0.35">
      <c r="A8" t="s">
        <v>42</v>
      </c>
      <c r="B8" t="s">
        <v>43</v>
      </c>
      <c r="C8" t="s">
        <v>45</v>
      </c>
      <c r="D8" t="s">
        <v>47</v>
      </c>
      <c r="E8" t="s">
        <v>48</v>
      </c>
      <c r="F8" t="s">
        <v>49</v>
      </c>
      <c r="G8" t="s">
        <v>50</v>
      </c>
      <c r="H8" t="s">
        <v>51</v>
      </c>
      <c r="I8" t="s">
        <v>52</v>
      </c>
      <c r="J8" t="s">
        <v>53</v>
      </c>
      <c r="K8" t="s">
        <v>54</v>
      </c>
      <c r="L8" t="s">
        <v>55</v>
      </c>
      <c r="M8" t="s">
        <v>56</v>
      </c>
      <c r="N8" t="s">
        <v>57</v>
      </c>
      <c r="O8" t="s">
        <v>58</v>
      </c>
      <c r="P8" t="s">
        <v>59</v>
      </c>
      <c r="Q8" t="s">
        <v>60</v>
      </c>
    </row>
    <row r="9" spans="1:229" x14ac:dyDescent="0.35">
      <c r="B9" t="s">
        <v>44</v>
      </c>
      <c r="C9" t="s">
        <v>46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229" x14ac:dyDescent="0.35">
      <c r="A10" t="s">
        <v>61</v>
      </c>
      <c r="B10" t="s">
        <v>62</v>
      </c>
      <c r="C10" t="s">
        <v>63</v>
      </c>
      <c r="D10" t="s">
        <v>64</v>
      </c>
      <c r="E10" t="s">
        <v>65</v>
      </c>
      <c r="F10" t="s">
        <v>66</v>
      </c>
    </row>
    <row r="11" spans="1:229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229" x14ac:dyDescent="0.35">
      <c r="A12" t="s">
        <v>67</v>
      </c>
      <c r="B12" t="s">
        <v>68</v>
      </c>
      <c r="C12" t="s">
        <v>69</v>
      </c>
      <c r="D12" t="s">
        <v>70</v>
      </c>
      <c r="E12" t="s">
        <v>71</v>
      </c>
      <c r="F12" t="s">
        <v>72</v>
      </c>
      <c r="G12" t="s">
        <v>74</v>
      </c>
      <c r="H12" t="s">
        <v>76</v>
      </c>
    </row>
    <row r="13" spans="1:229" x14ac:dyDescent="0.35">
      <c r="B13">
        <v>-6276</v>
      </c>
      <c r="C13">
        <v>6.6</v>
      </c>
      <c r="D13">
        <v>1.7090000000000001E-5</v>
      </c>
      <c r="E13">
        <v>3.11</v>
      </c>
      <c r="F13" t="s">
        <v>73</v>
      </c>
      <c r="G13" t="s">
        <v>75</v>
      </c>
      <c r="H13">
        <v>0</v>
      </c>
    </row>
    <row r="14" spans="1:229" x14ac:dyDescent="0.35">
      <c r="A14" t="s">
        <v>77</v>
      </c>
      <c r="B14" t="s">
        <v>77</v>
      </c>
      <c r="C14" t="s">
        <v>77</v>
      </c>
      <c r="D14" t="s">
        <v>77</v>
      </c>
      <c r="E14" t="s">
        <v>77</v>
      </c>
      <c r="F14" t="s">
        <v>78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81</v>
      </c>
      <c r="AM14" t="s">
        <v>81</v>
      </c>
      <c r="AN14" t="s">
        <v>81</v>
      </c>
      <c r="AO14" t="s">
        <v>81</v>
      </c>
      <c r="AP14" t="s">
        <v>81</v>
      </c>
      <c r="AQ14" t="s">
        <v>81</v>
      </c>
      <c r="AR14" t="s">
        <v>81</v>
      </c>
      <c r="AS14" t="s">
        <v>81</v>
      </c>
      <c r="AT14" t="s">
        <v>81</v>
      </c>
      <c r="AU14" t="s">
        <v>81</v>
      </c>
      <c r="AV14" t="s">
        <v>81</v>
      </c>
      <c r="AW14" t="s">
        <v>81</v>
      </c>
      <c r="AX14" t="s">
        <v>81</v>
      </c>
      <c r="AY14" t="s">
        <v>81</v>
      </c>
      <c r="AZ14" t="s">
        <v>81</v>
      </c>
      <c r="BA14" t="s">
        <v>81</v>
      </c>
      <c r="BB14" t="s">
        <v>81</v>
      </c>
      <c r="BC14" t="s">
        <v>81</v>
      </c>
      <c r="BD14" t="s">
        <v>81</v>
      </c>
      <c r="BE14" t="s">
        <v>81</v>
      </c>
      <c r="BF14" t="s">
        <v>81</v>
      </c>
      <c r="BG14" t="s">
        <v>81</v>
      </c>
      <c r="BH14" t="s">
        <v>81</v>
      </c>
      <c r="BI14" t="s">
        <v>81</v>
      </c>
      <c r="BJ14" t="s">
        <v>82</v>
      </c>
      <c r="BK14" t="s">
        <v>82</v>
      </c>
      <c r="BL14" t="s">
        <v>82</v>
      </c>
      <c r="BM14" t="s">
        <v>82</v>
      </c>
      <c r="BN14" t="s">
        <v>82</v>
      </c>
      <c r="BO14" t="s">
        <v>82</v>
      </c>
      <c r="BP14" t="s">
        <v>82</v>
      </c>
      <c r="BQ14" t="s">
        <v>82</v>
      </c>
      <c r="BR14" t="s">
        <v>83</v>
      </c>
      <c r="BS14" t="s">
        <v>83</v>
      </c>
      <c r="BT14" t="s">
        <v>83</v>
      </c>
      <c r="BU14" t="s">
        <v>83</v>
      </c>
      <c r="BV14" t="s">
        <v>83</v>
      </c>
      <c r="BW14" t="s">
        <v>83</v>
      </c>
      <c r="BX14" t="s">
        <v>83</v>
      </c>
      <c r="BY14" t="s">
        <v>83</v>
      </c>
      <c r="BZ14" t="s">
        <v>83</v>
      </c>
      <c r="CA14" t="s">
        <v>83</v>
      </c>
      <c r="CB14" t="s">
        <v>84</v>
      </c>
      <c r="CC14" t="s">
        <v>84</v>
      </c>
      <c r="CD14" t="s">
        <v>84</v>
      </c>
      <c r="CE14" t="s">
        <v>84</v>
      </c>
      <c r="CF14" t="s">
        <v>85</v>
      </c>
      <c r="CG14" t="s">
        <v>85</v>
      </c>
      <c r="CH14" t="s">
        <v>85</v>
      </c>
      <c r="CI14" t="s">
        <v>85</v>
      </c>
      <c r="CJ14" t="s">
        <v>85</v>
      </c>
      <c r="CK14" t="s">
        <v>85</v>
      </c>
      <c r="CL14" t="s">
        <v>85</v>
      </c>
      <c r="CM14" t="s">
        <v>85</v>
      </c>
      <c r="CN14" t="s">
        <v>85</v>
      </c>
      <c r="CO14" t="s">
        <v>85</v>
      </c>
      <c r="CP14" t="s">
        <v>85</v>
      </c>
      <c r="CQ14" t="s">
        <v>85</v>
      </c>
      <c r="CR14" t="s">
        <v>85</v>
      </c>
      <c r="CS14" t="s">
        <v>85</v>
      </c>
      <c r="CT14" t="s">
        <v>85</v>
      </c>
      <c r="CU14" t="s">
        <v>85</v>
      </c>
      <c r="CV14" t="s">
        <v>86</v>
      </c>
      <c r="CW14" t="s">
        <v>86</v>
      </c>
      <c r="CX14" t="s">
        <v>86</v>
      </c>
      <c r="CY14" t="s">
        <v>86</v>
      </c>
      <c r="CZ14" t="s">
        <v>86</v>
      </c>
      <c r="DA14" t="s">
        <v>86</v>
      </c>
      <c r="DB14" t="s">
        <v>86</v>
      </c>
      <c r="DC14" t="s">
        <v>86</v>
      </c>
      <c r="DD14" t="s">
        <v>86</v>
      </c>
      <c r="DE14" t="s">
        <v>86</v>
      </c>
      <c r="DF14" t="s">
        <v>86</v>
      </c>
      <c r="DG14" t="s">
        <v>86</v>
      </c>
      <c r="DH14" t="s">
        <v>87</v>
      </c>
      <c r="DI14" t="s">
        <v>87</v>
      </c>
      <c r="DJ14" t="s">
        <v>87</v>
      </c>
      <c r="DK14" t="s">
        <v>87</v>
      </c>
      <c r="DL14" t="s">
        <v>87</v>
      </c>
      <c r="DM14" t="s">
        <v>87</v>
      </c>
      <c r="DN14" t="s">
        <v>87</v>
      </c>
      <c r="DO14" t="s">
        <v>87</v>
      </c>
      <c r="DP14" t="s">
        <v>87</v>
      </c>
      <c r="DQ14" t="s">
        <v>87</v>
      </c>
      <c r="DR14" t="s">
        <v>87</v>
      </c>
      <c r="DS14" t="s">
        <v>87</v>
      </c>
      <c r="DT14" t="s">
        <v>87</v>
      </c>
      <c r="DU14" t="s">
        <v>87</v>
      </c>
      <c r="DV14" t="s">
        <v>87</v>
      </c>
      <c r="DW14" t="s">
        <v>87</v>
      </c>
      <c r="DX14" t="s">
        <v>87</v>
      </c>
      <c r="DY14" t="s">
        <v>88</v>
      </c>
      <c r="DZ14" t="s">
        <v>88</v>
      </c>
      <c r="EA14" t="s">
        <v>88</v>
      </c>
      <c r="EB14" t="s">
        <v>88</v>
      </c>
      <c r="EC14" t="s">
        <v>88</v>
      </c>
      <c r="ED14" t="s">
        <v>89</v>
      </c>
      <c r="EE14" t="s">
        <v>89</v>
      </c>
      <c r="EF14" t="s">
        <v>89</v>
      </c>
      <c r="EG14" t="s">
        <v>89</v>
      </c>
      <c r="EH14" t="s">
        <v>89</v>
      </c>
      <c r="EI14" t="s">
        <v>89</v>
      </c>
      <c r="EJ14" t="s">
        <v>89</v>
      </c>
      <c r="EK14" t="s">
        <v>89</v>
      </c>
      <c r="EL14" t="s">
        <v>89</v>
      </c>
      <c r="EM14" t="s">
        <v>90</v>
      </c>
      <c r="EN14" t="s">
        <v>90</v>
      </c>
      <c r="EO14" t="s">
        <v>90</v>
      </c>
      <c r="EP14" t="s">
        <v>90</v>
      </c>
      <c r="EQ14" t="s">
        <v>90</v>
      </c>
      <c r="ER14" t="s">
        <v>90</v>
      </c>
      <c r="ES14" t="s">
        <v>90</v>
      </c>
      <c r="ET14" t="s">
        <v>90</v>
      </c>
      <c r="EU14" t="s">
        <v>90</v>
      </c>
      <c r="EV14" t="s">
        <v>90</v>
      </c>
      <c r="EW14" t="s">
        <v>90</v>
      </c>
      <c r="EX14" t="s">
        <v>91</v>
      </c>
      <c r="EY14" t="s">
        <v>91</v>
      </c>
      <c r="EZ14" t="s">
        <v>91</v>
      </c>
      <c r="FA14" t="s">
        <v>91</v>
      </c>
      <c r="FB14" t="s">
        <v>91</v>
      </c>
      <c r="FC14" t="s">
        <v>91</v>
      </c>
      <c r="FD14" t="s">
        <v>91</v>
      </c>
      <c r="FE14" t="s">
        <v>91</v>
      </c>
      <c r="FF14" t="s">
        <v>91</v>
      </c>
      <c r="FG14" t="s">
        <v>91</v>
      </c>
      <c r="FH14" t="s">
        <v>91</v>
      </c>
      <c r="FI14" t="s">
        <v>91</v>
      </c>
      <c r="FJ14" t="s">
        <v>91</v>
      </c>
      <c r="FK14" t="s">
        <v>91</v>
      </c>
      <c r="FL14" t="s">
        <v>91</v>
      </c>
      <c r="FM14" t="s">
        <v>91</v>
      </c>
      <c r="FN14" t="s">
        <v>91</v>
      </c>
      <c r="FO14" t="s">
        <v>91</v>
      </c>
      <c r="FP14" t="s">
        <v>92</v>
      </c>
      <c r="FQ14" t="s">
        <v>92</v>
      </c>
      <c r="FR14" t="s">
        <v>92</v>
      </c>
      <c r="FS14" t="s">
        <v>92</v>
      </c>
      <c r="FT14" t="s">
        <v>92</v>
      </c>
      <c r="FU14" t="s">
        <v>92</v>
      </c>
      <c r="FV14" t="s">
        <v>92</v>
      </c>
      <c r="FW14" t="s">
        <v>92</v>
      </c>
      <c r="FX14" t="s">
        <v>92</v>
      </c>
      <c r="FY14" t="s">
        <v>92</v>
      </c>
      <c r="FZ14" t="s">
        <v>92</v>
      </c>
      <c r="GA14" t="s">
        <v>92</v>
      </c>
      <c r="GB14" t="s">
        <v>92</v>
      </c>
      <c r="GC14" t="s">
        <v>92</v>
      </c>
      <c r="GD14" t="s">
        <v>92</v>
      </c>
      <c r="GE14" t="s">
        <v>92</v>
      </c>
      <c r="GF14" t="s">
        <v>92</v>
      </c>
      <c r="GG14" t="s">
        <v>92</v>
      </c>
      <c r="GH14" t="s">
        <v>92</v>
      </c>
      <c r="GI14" t="s">
        <v>93</v>
      </c>
      <c r="GJ14" t="s">
        <v>93</v>
      </c>
      <c r="GK14" t="s">
        <v>93</v>
      </c>
      <c r="GL14" t="s">
        <v>93</v>
      </c>
      <c r="GM14" t="s">
        <v>93</v>
      </c>
      <c r="GN14" t="s">
        <v>93</v>
      </c>
      <c r="GO14" t="s">
        <v>93</v>
      </c>
      <c r="GP14" t="s">
        <v>93</v>
      </c>
      <c r="GQ14" t="s">
        <v>93</v>
      </c>
      <c r="GR14" t="s">
        <v>93</v>
      </c>
      <c r="GS14" t="s">
        <v>93</v>
      </c>
      <c r="GT14" t="s">
        <v>93</v>
      </c>
      <c r="GU14" t="s">
        <v>93</v>
      </c>
      <c r="GV14" t="s">
        <v>93</v>
      </c>
      <c r="GW14" t="s">
        <v>93</v>
      </c>
      <c r="GX14" t="s">
        <v>93</v>
      </c>
      <c r="GY14" t="s">
        <v>93</v>
      </c>
      <c r="GZ14" t="s">
        <v>93</v>
      </c>
      <c r="HA14" t="s">
        <v>93</v>
      </c>
      <c r="HB14" t="s">
        <v>94</v>
      </c>
      <c r="HC14" t="s">
        <v>94</v>
      </c>
      <c r="HD14" t="s">
        <v>94</v>
      </c>
      <c r="HE14" t="s">
        <v>94</v>
      </c>
      <c r="HF14" t="s">
        <v>94</v>
      </c>
      <c r="HG14" t="s">
        <v>94</v>
      </c>
      <c r="HH14" t="s">
        <v>94</v>
      </c>
      <c r="HI14" t="s">
        <v>94</v>
      </c>
      <c r="HJ14" t="s">
        <v>94</v>
      </c>
      <c r="HK14" t="s">
        <v>94</v>
      </c>
      <c r="HL14" t="s">
        <v>94</v>
      </c>
      <c r="HM14" t="s">
        <v>94</v>
      </c>
      <c r="HN14" t="s">
        <v>94</v>
      </c>
      <c r="HO14" t="s">
        <v>94</v>
      </c>
      <c r="HP14" t="s">
        <v>94</v>
      </c>
      <c r="HQ14" t="s">
        <v>94</v>
      </c>
      <c r="HR14" t="s">
        <v>94</v>
      </c>
      <c r="HS14" t="s">
        <v>94</v>
      </c>
      <c r="HT14" t="s">
        <v>94</v>
      </c>
      <c r="HU14" t="s">
        <v>94</v>
      </c>
    </row>
    <row r="15" spans="1:229" x14ac:dyDescent="0.35">
      <c r="A15" t="s">
        <v>95</v>
      </c>
      <c r="B15" t="s">
        <v>96</v>
      </c>
      <c r="C15" t="s">
        <v>97</v>
      </c>
      <c r="D15" t="s">
        <v>98</v>
      </c>
      <c r="E15" t="s">
        <v>99</v>
      </c>
      <c r="F15" t="s">
        <v>100</v>
      </c>
      <c r="G15" t="s">
        <v>101</v>
      </c>
      <c r="H15" t="s">
        <v>102</v>
      </c>
      <c r="I15" t="s">
        <v>103</v>
      </c>
      <c r="J15" t="s">
        <v>104</v>
      </c>
      <c r="K15" t="s">
        <v>105</v>
      </c>
      <c r="L15" t="s">
        <v>106</v>
      </c>
      <c r="M15" t="s">
        <v>107</v>
      </c>
      <c r="N15" t="s">
        <v>108</v>
      </c>
      <c r="O15" t="s">
        <v>109</v>
      </c>
      <c r="P15" t="s">
        <v>110</v>
      </c>
      <c r="Q15" t="s">
        <v>111</v>
      </c>
      <c r="R15" t="s">
        <v>112</v>
      </c>
      <c r="S15" t="s">
        <v>113</v>
      </c>
      <c r="T15" t="s">
        <v>114</v>
      </c>
      <c r="U15" t="s">
        <v>115</v>
      </c>
      <c r="V15" t="s">
        <v>116</v>
      </c>
      <c r="W15" t="s">
        <v>117</v>
      </c>
      <c r="X15" t="s">
        <v>118</v>
      </c>
      <c r="Y15" t="s">
        <v>119</v>
      </c>
      <c r="Z15" t="s">
        <v>120</v>
      </c>
      <c r="AA15" t="s">
        <v>121</v>
      </c>
      <c r="AB15" t="s">
        <v>122</v>
      </c>
      <c r="AC15" t="s">
        <v>123</v>
      </c>
      <c r="AD15" t="s">
        <v>124</v>
      </c>
      <c r="AE15" t="s">
        <v>125</v>
      </c>
      <c r="AF15" t="s">
        <v>126</v>
      </c>
      <c r="AG15" t="s">
        <v>80</v>
      </c>
      <c r="AH15" t="s">
        <v>127</v>
      </c>
      <c r="AI15" t="s">
        <v>128</v>
      </c>
      <c r="AJ15" t="s">
        <v>129</v>
      </c>
      <c r="AK15" t="s">
        <v>130</v>
      </c>
      <c r="AL15" t="s">
        <v>131</v>
      </c>
      <c r="AM15" t="s">
        <v>132</v>
      </c>
      <c r="AN15" t="s">
        <v>133</v>
      </c>
      <c r="AO15" t="s">
        <v>134</v>
      </c>
      <c r="AP15" t="s">
        <v>135</v>
      </c>
      <c r="AQ15" t="s">
        <v>136</v>
      </c>
      <c r="AR15" t="s">
        <v>137</v>
      </c>
      <c r="AS15" t="s">
        <v>138</v>
      </c>
      <c r="AT15" t="s">
        <v>139</v>
      </c>
      <c r="AU15" t="s">
        <v>140</v>
      </c>
      <c r="AV15" t="s">
        <v>141</v>
      </c>
      <c r="AW15" t="s">
        <v>142</v>
      </c>
      <c r="AX15" t="s">
        <v>143</v>
      </c>
      <c r="AY15" t="s">
        <v>144</v>
      </c>
      <c r="AZ15" t="s">
        <v>145</v>
      </c>
      <c r="BA15" t="s">
        <v>146</v>
      </c>
      <c r="BB15" t="s">
        <v>147</v>
      </c>
      <c r="BC15" t="s">
        <v>148</v>
      </c>
      <c r="BD15" t="s">
        <v>149</v>
      </c>
      <c r="BE15" t="s">
        <v>150</v>
      </c>
      <c r="BF15" t="s">
        <v>151</v>
      </c>
      <c r="BG15" t="s">
        <v>152</v>
      </c>
      <c r="BH15" t="s">
        <v>153</v>
      </c>
      <c r="BI15" t="s">
        <v>154</v>
      </c>
      <c r="BJ15" t="s">
        <v>155</v>
      </c>
      <c r="BK15" t="s">
        <v>156</v>
      </c>
      <c r="BL15" t="s">
        <v>157</v>
      </c>
      <c r="BM15" t="s">
        <v>158</v>
      </c>
      <c r="BN15" t="s">
        <v>159</v>
      </c>
      <c r="BO15" t="s">
        <v>160</v>
      </c>
      <c r="BP15" t="s">
        <v>161</v>
      </c>
      <c r="BQ15" t="s">
        <v>162</v>
      </c>
      <c r="BR15" t="s">
        <v>155</v>
      </c>
      <c r="BS15" t="s">
        <v>163</v>
      </c>
      <c r="BT15" t="s">
        <v>132</v>
      </c>
      <c r="BU15" t="s">
        <v>164</v>
      </c>
      <c r="BV15" t="s">
        <v>165</v>
      </c>
      <c r="BW15" t="s">
        <v>166</v>
      </c>
      <c r="BX15" t="s">
        <v>167</v>
      </c>
      <c r="BY15" t="s">
        <v>168</v>
      </c>
      <c r="BZ15" t="s">
        <v>169</v>
      </c>
      <c r="CA15" t="s">
        <v>170</v>
      </c>
      <c r="CB15" t="s">
        <v>171</v>
      </c>
      <c r="CC15" t="s">
        <v>172</v>
      </c>
      <c r="CD15" t="s">
        <v>173</v>
      </c>
      <c r="CE15" t="s">
        <v>174</v>
      </c>
      <c r="CF15" t="s">
        <v>101</v>
      </c>
      <c r="CG15" t="s">
        <v>175</v>
      </c>
      <c r="CH15" t="s">
        <v>176</v>
      </c>
      <c r="CI15" t="s">
        <v>177</v>
      </c>
      <c r="CJ15" t="s">
        <v>178</v>
      </c>
      <c r="CK15" t="s">
        <v>179</v>
      </c>
      <c r="CL15" t="s">
        <v>180</v>
      </c>
      <c r="CM15" t="s">
        <v>181</v>
      </c>
      <c r="CN15" t="s">
        <v>182</v>
      </c>
      <c r="CO15" t="s">
        <v>183</v>
      </c>
      <c r="CP15" t="s">
        <v>184</v>
      </c>
      <c r="CQ15" t="s">
        <v>185</v>
      </c>
      <c r="CR15" t="s">
        <v>186</v>
      </c>
      <c r="CS15" t="s">
        <v>187</v>
      </c>
      <c r="CT15" t="s">
        <v>188</v>
      </c>
      <c r="CU15" t="s">
        <v>189</v>
      </c>
      <c r="CV15" t="s">
        <v>190</v>
      </c>
      <c r="CW15" t="s">
        <v>191</v>
      </c>
      <c r="CX15" t="s">
        <v>192</v>
      </c>
      <c r="CY15" t="s">
        <v>193</v>
      </c>
      <c r="CZ15" t="s">
        <v>194</v>
      </c>
      <c r="DA15" t="s">
        <v>195</v>
      </c>
      <c r="DB15" t="s">
        <v>196</v>
      </c>
      <c r="DC15" t="s">
        <v>197</v>
      </c>
      <c r="DD15" t="s">
        <v>198</v>
      </c>
      <c r="DE15" t="s">
        <v>199</v>
      </c>
      <c r="DF15" t="s">
        <v>200</v>
      </c>
      <c r="DG15" t="s">
        <v>201</v>
      </c>
      <c r="DH15" t="s">
        <v>202</v>
      </c>
      <c r="DI15" t="s">
        <v>203</v>
      </c>
      <c r="DJ15" t="s">
        <v>204</v>
      </c>
      <c r="DK15" t="s">
        <v>205</v>
      </c>
      <c r="DL15" t="s">
        <v>206</v>
      </c>
      <c r="DM15" t="s">
        <v>207</v>
      </c>
      <c r="DN15" t="s">
        <v>208</v>
      </c>
      <c r="DO15" t="s">
        <v>209</v>
      </c>
      <c r="DP15" t="s">
        <v>210</v>
      </c>
      <c r="DQ15" t="s">
        <v>211</v>
      </c>
      <c r="DR15" t="s">
        <v>212</v>
      </c>
      <c r="DS15" t="s">
        <v>213</v>
      </c>
      <c r="DT15" t="s">
        <v>214</v>
      </c>
      <c r="DU15" t="s">
        <v>215</v>
      </c>
      <c r="DV15" t="s">
        <v>216</v>
      </c>
      <c r="DW15" t="s">
        <v>217</v>
      </c>
      <c r="DX15" t="s">
        <v>218</v>
      </c>
      <c r="DY15" t="s">
        <v>219</v>
      </c>
      <c r="DZ15" t="s">
        <v>220</v>
      </c>
      <c r="EA15" t="s">
        <v>221</v>
      </c>
      <c r="EB15" t="s">
        <v>222</v>
      </c>
      <c r="EC15" t="s">
        <v>223</v>
      </c>
      <c r="ED15" t="s">
        <v>96</v>
      </c>
      <c r="EE15" t="s">
        <v>99</v>
      </c>
      <c r="EF15" t="s">
        <v>224</v>
      </c>
      <c r="EG15" t="s">
        <v>225</v>
      </c>
      <c r="EH15" t="s">
        <v>226</v>
      </c>
      <c r="EI15" t="s">
        <v>227</v>
      </c>
      <c r="EJ15" t="s">
        <v>228</v>
      </c>
      <c r="EK15" t="s">
        <v>229</v>
      </c>
      <c r="EL15" t="s">
        <v>230</v>
      </c>
      <c r="EM15" t="s">
        <v>231</v>
      </c>
      <c r="EN15" t="s">
        <v>232</v>
      </c>
      <c r="EO15" t="s">
        <v>233</v>
      </c>
      <c r="EP15" t="s">
        <v>234</v>
      </c>
      <c r="EQ15" t="s">
        <v>235</v>
      </c>
      <c r="ER15" t="s">
        <v>236</v>
      </c>
      <c r="ES15" t="s">
        <v>237</v>
      </c>
      <c r="ET15" t="s">
        <v>238</v>
      </c>
      <c r="EU15" t="s">
        <v>239</v>
      </c>
      <c r="EV15" t="s">
        <v>240</v>
      </c>
      <c r="EW15" t="s">
        <v>241</v>
      </c>
      <c r="EX15" t="s">
        <v>242</v>
      </c>
      <c r="EY15" t="s">
        <v>243</v>
      </c>
      <c r="EZ15" t="s">
        <v>244</v>
      </c>
      <c r="FA15" t="s">
        <v>245</v>
      </c>
      <c r="FB15" t="s">
        <v>246</v>
      </c>
      <c r="FC15" t="s">
        <v>247</v>
      </c>
      <c r="FD15" t="s">
        <v>248</v>
      </c>
      <c r="FE15" t="s">
        <v>249</v>
      </c>
      <c r="FF15" t="s">
        <v>250</v>
      </c>
      <c r="FG15" t="s">
        <v>251</v>
      </c>
      <c r="FH15" t="s">
        <v>252</v>
      </c>
      <c r="FI15" t="s">
        <v>253</v>
      </c>
      <c r="FJ15" t="s">
        <v>254</v>
      </c>
      <c r="FK15" t="s">
        <v>255</v>
      </c>
      <c r="FL15" t="s">
        <v>256</v>
      </c>
      <c r="FM15" t="s">
        <v>257</v>
      </c>
      <c r="FN15" t="s">
        <v>258</v>
      </c>
      <c r="FO15" t="s">
        <v>259</v>
      </c>
      <c r="FP15" t="s">
        <v>260</v>
      </c>
      <c r="FQ15" t="s">
        <v>261</v>
      </c>
      <c r="FR15" t="s">
        <v>262</v>
      </c>
      <c r="FS15" t="s">
        <v>263</v>
      </c>
      <c r="FT15" t="s">
        <v>264</v>
      </c>
      <c r="FU15" t="s">
        <v>265</v>
      </c>
      <c r="FV15" t="s">
        <v>266</v>
      </c>
      <c r="FW15" t="s">
        <v>267</v>
      </c>
      <c r="FX15" t="s">
        <v>268</v>
      </c>
      <c r="FY15" t="s">
        <v>269</v>
      </c>
      <c r="FZ15" t="s">
        <v>270</v>
      </c>
      <c r="GA15" t="s">
        <v>271</v>
      </c>
      <c r="GB15" t="s">
        <v>272</v>
      </c>
      <c r="GC15" t="s">
        <v>273</v>
      </c>
      <c r="GD15" t="s">
        <v>274</v>
      </c>
      <c r="GE15" t="s">
        <v>275</v>
      </c>
      <c r="GF15" t="s">
        <v>276</v>
      </c>
      <c r="GG15" t="s">
        <v>277</v>
      </c>
      <c r="GH15" t="s">
        <v>278</v>
      </c>
      <c r="GI15" t="s">
        <v>279</v>
      </c>
      <c r="GJ15" t="s">
        <v>280</v>
      </c>
      <c r="GK15" t="s">
        <v>281</v>
      </c>
      <c r="GL15" t="s">
        <v>282</v>
      </c>
      <c r="GM15" t="s">
        <v>283</v>
      </c>
      <c r="GN15" t="s">
        <v>284</v>
      </c>
      <c r="GO15" t="s">
        <v>285</v>
      </c>
      <c r="GP15" t="s">
        <v>286</v>
      </c>
      <c r="GQ15" t="s">
        <v>287</v>
      </c>
      <c r="GR15" t="s">
        <v>288</v>
      </c>
      <c r="GS15" t="s">
        <v>289</v>
      </c>
      <c r="GT15" t="s">
        <v>290</v>
      </c>
      <c r="GU15" t="s">
        <v>291</v>
      </c>
      <c r="GV15" t="s">
        <v>292</v>
      </c>
      <c r="GW15" t="s">
        <v>293</v>
      </c>
      <c r="GX15" t="s">
        <v>294</v>
      </c>
      <c r="GY15" t="s">
        <v>295</v>
      </c>
      <c r="GZ15" t="s">
        <v>296</v>
      </c>
      <c r="HA15" t="s">
        <v>297</v>
      </c>
      <c r="HB15" t="s">
        <v>298</v>
      </c>
      <c r="HC15" t="s">
        <v>299</v>
      </c>
      <c r="HD15" t="s">
        <v>300</v>
      </c>
      <c r="HE15" t="s">
        <v>301</v>
      </c>
      <c r="HF15" t="s">
        <v>302</v>
      </c>
      <c r="HG15" t="s">
        <v>303</v>
      </c>
      <c r="HH15" t="s">
        <v>304</v>
      </c>
      <c r="HI15" t="s">
        <v>305</v>
      </c>
      <c r="HJ15" t="s">
        <v>306</v>
      </c>
      <c r="HK15" t="s">
        <v>307</v>
      </c>
      <c r="HL15" t="s">
        <v>308</v>
      </c>
      <c r="HM15" t="s">
        <v>309</v>
      </c>
      <c r="HN15" t="s">
        <v>310</v>
      </c>
      <c r="HO15" t="s">
        <v>311</v>
      </c>
      <c r="HP15" t="s">
        <v>312</v>
      </c>
      <c r="HQ15" t="s">
        <v>313</v>
      </c>
      <c r="HR15" t="s">
        <v>314</v>
      </c>
      <c r="HS15" t="s">
        <v>315</v>
      </c>
      <c r="HT15" t="s">
        <v>316</v>
      </c>
      <c r="HU15" t="s">
        <v>317</v>
      </c>
    </row>
    <row r="16" spans="1:229" x14ac:dyDescent="0.35">
      <c r="B16" t="s">
        <v>318</v>
      </c>
      <c r="C16" t="s">
        <v>318</v>
      </c>
      <c r="G16" t="s">
        <v>318</v>
      </c>
      <c r="H16" t="s">
        <v>319</v>
      </c>
      <c r="I16" t="s">
        <v>320</v>
      </c>
      <c r="J16" t="s">
        <v>321</v>
      </c>
      <c r="K16" t="s">
        <v>321</v>
      </c>
      <c r="L16" t="s">
        <v>180</v>
      </c>
      <c r="M16" t="s">
        <v>180</v>
      </c>
      <c r="N16" t="s">
        <v>319</v>
      </c>
      <c r="O16" t="s">
        <v>319</v>
      </c>
      <c r="P16" t="s">
        <v>319</v>
      </c>
      <c r="Q16" t="s">
        <v>319</v>
      </c>
      <c r="R16" t="s">
        <v>322</v>
      </c>
      <c r="S16" t="s">
        <v>323</v>
      </c>
      <c r="T16" t="s">
        <v>323</v>
      </c>
      <c r="U16" t="s">
        <v>324</v>
      </c>
      <c r="V16" t="s">
        <v>325</v>
      </c>
      <c r="W16" t="s">
        <v>324</v>
      </c>
      <c r="X16" t="s">
        <v>324</v>
      </c>
      <c r="Y16" t="s">
        <v>324</v>
      </c>
      <c r="Z16" t="s">
        <v>322</v>
      </c>
      <c r="AA16" t="s">
        <v>322</v>
      </c>
      <c r="AB16" t="s">
        <v>322</v>
      </c>
      <c r="AC16" t="s">
        <v>322</v>
      </c>
      <c r="AG16" t="s">
        <v>326</v>
      </c>
      <c r="AH16" t="s">
        <v>325</v>
      </c>
      <c r="AJ16" t="s">
        <v>325</v>
      </c>
      <c r="AK16" t="s">
        <v>326</v>
      </c>
      <c r="AQ16" t="s">
        <v>320</v>
      </c>
      <c r="AW16" t="s">
        <v>320</v>
      </c>
      <c r="AX16" t="s">
        <v>320</v>
      </c>
      <c r="AY16" t="s">
        <v>320</v>
      </c>
      <c r="BA16" t="s">
        <v>327</v>
      </c>
      <c r="BK16" t="s">
        <v>328</v>
      </c>
      <c r="BL16" t="s">
        <v>328</v>
      </c>
      <c r="BM16" t="s">
        <v>328</v>
      </c>
      <c r="BN16" t="s">
        <v>320</v>
      </c>
      <c r="BP16" t="s">
        <v>329</v>
      </c>
      <c r="BS16" t="s">
        <v>328</v>
      </c>
      <c r="BX16" t="s">
        <v>318</v>
      </c>
      <c r="BY16" t="s">
        <v>318</v>
      </c>
      <c r="BZ16" t="s">
        <v>318</v>
      </c>
      <c r="CA16" t="s">
        <v>318</v>
      </c>
      <c r="CB16" t="s">
        <v>320</v>
      </c>
      <c r="CC16" t="s">
        <v>320</v>
      </c>
      <c r="CE16" t="s">
        <v>330</v>
      </c>
      <c r="CF16" t="s">
        <v>318</v>
      </c>
      <c r="CG16" t="s">
        <v>321</v>
      </c>
      <c r="CH16" t="s">
        <v>321</v>
      </c>
      <c r="CI16" t="s">
        <v>331</v>
      </c>
      <c r="CJ16" t="s">
        <v>331</v>
      </c>
      <c r="CK16" t="s">
        <v>326</v>
      </c>
      <c r="CL16" t="s">
        <v>324</v>
      </c>
      <c r="CM16" t="s">
        <v>324</v>
      </c>
      <c r="CN16" t="s">
        <v>323</v>
      </c>
      <c r="CO16" t="s">
        <v>323</v>
      </c>
      <c r="CP16" t="s">
        <v>323</v>
      </c>
      <c r="CQ16" t="s">
        <v>323</v>
      </c>
      <c r="CR16" t="s">
        <v>323</v>
      </c>
      <c r="CS16" t="s">
        <v>332</v>
      </c>
      <c r="CT16" t="s">
        <v>320</v>
      </c>
      <c r="CU16" t="s">
        <v>320</v>
      </c>
      <c r="CV16" t="s">
        <v>321</v>
      </c>
      <c r="CW16" t="s">
        <v>321</v>
      </c>
      <c r="CX16" t="s">
        <v>321</v>
      </c>
      <c r="CY16" t="s">
        <v>331</v>
      </c>
      <c r="CZ16" t="s">
        <v>321</v>
      </c>
      <c r="DA16" t="s">
        <v>321</v>
      </c>
      <c r="DB16" t="s">
        <v>331</v>
      </c>
      <c r="DC16" t="s">
        <v>331</v>
      </c>
      <c r="DD16" t="s">
        <v>324</v>
      </c>
      <c r="DE16" t="s">
        <v>324</v>
      </c>
      <c r="DF16" t="s">
        <v>323</v>
      </c>
      <c r="DG16" t="s">
        <v>323</v>
      </c>
      <c r="DH16" t="s">
        <v>320</v>
      </c>
      <c r="DM16" t="s">
        <v>320</v>
      </c>
      <c r="DP16" t="s">
        <v>323</v>
      </c>
      <c r="DQ16" t="s">
        <v>323</v>
      </c>
      <c r="DR16" t="s">
        <v>323</v>
      </c>
      <c r="DS16" t="s">
        <v>323</v>
      </c>
      <c r="DT16" t="s">
        <v>323</v>
      </c>
      <c r="DU16" t="s">
        <v>320</v>
      </c>
      <c r="DV16" t="s">
        <v>320</v>
      </c>
      <c r="DW16" t="s">
        <v>320</v>
      </c>
      <c r="DX16" t="s">
        <v>318</v>
      </c>
      <c r="DZ16" t="s">
        <v>333</v>
      </c>
      <c r="EA16" t="s">
        <v>333</v>
      </c>
      <c r="EC16" t="s">
        <v>318</v>
      </c>
      <c r="ED16" t="s">
        <v>334</v>
      </c>
      <c r="EG16" t="s">
        <v>335</v>
      </c>
      <c r="EH16" t="s">
        <v>336</v>
      </c>
      <c r="EI16" t="s">
        <v>335</v>
      </c>
      <c r="EJ16" t="s">
        <v>336</v>
      </c>
      <c r="EK16" t="s">
        <v>325</v>
      </c>
      <c r="EL16" t="s">
        <v>325</v>
      </c>
      <c r="EM16" t="s">
        <v>320</v>
      </c>
      <c r="EN16" t="s">
        <v>337</v>
      </c>
      <c r="EO16" t="s">
        <v>320</v>
      </c>
      <c r="EQ16" t="s">
        <v>319</v>
      </c>
      <c r="ER16" t="s">
        <v>338</v>
      </c>
      <c r="ES16" t="s">
        <v>319</v>
      </c>
      <c r="EX16" t="s">
        <v>339</v>
      </c>
      <c r="EY16" t="s">
        <v>339</v>
      </c>
      <c r="FL16" t="s">
        <v>339</v>
      </c>
      <c r="FM16" t="s">
        <v>339</v>
      </c>
      <c r="FN16" t="s">
        <v>340</v>
      </c>
      <c r="FO16" t="s">
        <v>340</v>
      </c>
      <c r="FP16" t="s">
        <v>323</v>
      </c>
      <c r="FQ16" t="s">
        <v>323</v>
      </c>
      <c r="FR16" t="s">
        <v>325</v>
      </c>
      <c r="FS16" t="s">
        <v>323</v>
      </c>
      <c r="FT16" t="s">
        <v>331</v>
      </c>
      <c r="FU16" t="s">
        <v>325</v>
      </c>
      <c r="FV16" t="s">
        <v>325</v>
      </c>
      <c r="FX16" t="s">
        <v>339</v>
      </c>
      <c r="FY16" t="s">
        <v>339</v>
      </c>
      <c r="FZ16" t="s">
        <v>339</v>
      </c>
      <c r="GA16" t="s">
        <v>339</v>
      </c>
      <c r="GB16" t="s">
        <v>339</v>
      </c>
      <c r="GC16" t="s">
        <v>339</v>
      </c>
      <c r="GD16" t="s">
        <v>339</v>
      </c>
      <c r="GE16" t="s">
        <v>341</v>
      </c>
      <c r="GF16" t="s">
        <v>341</v>
      </c>
      <c r="GG16" t="s">
        <v>342</v>
      </c>
      <c r="GH16" t="s">
        <v>341</v>
      </c>
      <c r="GI16" t="s">
        <v>339</v>
      </c>
      <c r="GJ16" t="s">
        <v>339</v>
      </c>
      <c r="GK16" t="s">
        <v>339</v>
      </c>
      <c r="GL16" t="s">
        <v>339</v>
      </c>
      <c r="GM16" t="s">
        <v>339</v>
      </c>
      <c r="GN16" t="s">
        <v>339</v>
      </c>
      <c r="GO16" t="s">
        <v>339</v>
      </c>
      <c r="GP16" t="s">
        <v>339</v>
      </c>
      <c r="GQ16" t="s">
        <v>339</v>
      </c>
      <c r="GR16" t="s">
        <v>339</v>
      </c>
      <c r="GS16" t="s">
        <v>339</v>
      </c>
      <c r="GT16" t="s">
        <v>339</v>
      </c>
      <c r="HA16" t="s">
        <v>339</v>
      </c>
      <c r="HB16" t="s">
        <v>325</v>
      </c>
      <c r="HC16" t="s">
        <v>325</v>
      </c>
      <c r="HD16" t="s">
        <v>335</v>
      </c>
      <c r="HE16" t="s">
        <v>336</v>
      </c>
      <c r="HG16" t="s">
        <v>326</v>
      </c>
      <c r="HH16" t="s">
        <v>326</v>
      </c>
      <c r="HI16" t="s">
        <v>323</v>
      </c>
      <c r="HJ16" t="s">
        <v>323</v>
      </c>
      <c r="HK16" t="s">
        <v>323</v>
      </c>
      <c r="HL16" t="s">
        <v>323</v>
      </c>
      <c r="HM16" t="s">
        <v>323</v>
      </c>
      <c r="HN16" t="s">
        <v>325</v>
      </c>
      <c r="HO16" t="s">
        <v>325</v>
      </c>
      <c r="HP16" t="s">
        <v>325</v>
      </c>
      <c r="HQ16" t="s">
        <v>323</v>
      </c>
      <c r="HR16" t="s">
        <v>321</v>
      </c>
      <c r="HS16" t="s">
        <v>331</v>
      </c>
      <c r="HT16" t="s">
        <v>325</v>
      </c>
      <c r="HU16" t="s">
        <v>325</v>
      </c>
    </row>
    <row r="17" spans="1:229" x14ac:dyDescent="0.35">
      <c r="A17">
        <v>1</v>
      </c>
      <c r="B17">
        <v>1564945232.5</v>
      </c>
      <c r="C17">
        <v>0</v>
      </c>
      <c r="D17" t="s">
        <v>343</v>
      </c>
      <c r="E17" t="s">
        <v>344</v>
      </c>
      <c r="G17">
        <v>1564945224.5</v>
      </c>
      <c r="H17">
        <f t="shared" ref="H17:H29" si="0">CK17*AI17*(CI17-CJ17)/(100*$B$5*(1000-AI17*CI17))</f>
        <v>6.7536435417630443E-3</v>
      </c>
      <c r="I17">
        <f t="shared" ref="I17:I29" si="1">CK17*AI17*(CH17-CG17*(1000-AI17*CJ17)/(1000-AI17*CI17))/(100*$B$5)</f>
        <v>30.088165452627077</v>
      </c>
      <c r="J17">
        <f t="shared" ref="J17:J29" si="2">CG17 - IF(AI17&gt;1, I17*$B$5*100/(AK17*CS17), 0)</f>
        <v>386.93312903225802</v>
      </c>
      <c r="K17">
        <f t="shared" ref="K17:K29" si="3">((Q17-H17/2)*J17-I17)/(Q17+H17/2)</f>
        <v>247.54179986058699</v>
      </c>
      <c r="L17">
        <f t="shared" ref="L17:L29" si="4">K17*(CL17+CM17)/1000</f>
        <v>24.611887365054152</v>
      </c>
      <c r="M17">
        <f t="shared" ref="M17:M29" si="5">(CG17 - IF(AI17&gt;1, I17*$B$5*100/(AK17*CS17), 0))*(CL17+CM17)/1000</f>
        <v>38.470894995969331</v>
      </c>
      <c r="N17">
        <f t="shared" ref="N17:N29" si="6">2/((1/P17-1/O17)+SIGN(P17)*SQRT((1/P17-1/O17)*(1/P17-1/O17) + 4*$C$5/(($C$5+1)*($C$5+1))*(2*1/P17*1/O17-1/O17*1/O17)))</f>
        <v>0.39022259125758235</v>
      </c>
      <c r="O17">
        <f t="shared" ref="O17:O29" si="7">AF17+AE17*$B$5+AD17*$B$5*$B$5</f>
        <v>3.3747656725000783</v>
      </c>
      <c r="P17">
        <f t="shared" ref="P17:P29" si="8">H17*(1000-(1000*0.61365*EXP(17.502*T17/(240.97+T17))/(CL17+CM17)+CI17)/2)/(1000*0.61365*EXP(17.502*T17/(240.97+T17))/(CL17+CM17)-CI17)</f>
        <v>0.36677653350509309</v>
      </c>
      <c r="Q17">
        <f t="shared" ref="Q17:Q29" si="9">1/(($C$5+1)/(N17/1.6)+1/(O17/1.37)) + $C$5/(($C$5+1)/(N17/1.6) + $C$5/(O17/1.37))</f>
        <v>0.23122438387753963</v>
      </c>
      <c r="R17">
        <f t="shared" ref="R17:R29" si="10">(CC17*CE17)</f>
        <v>363.47514212829321</v>
      </c>
      <c r="S17">
        <f t="shared" ref="S17:S29" si="11">(CN17+(R17+2*0.95*0.0000000567*(((CN17+$B$7)+273)^4-(CN17+273)^4)-44100*H17)/(1.84*29.3*O17+8*0.95*0.0000000567*(CN17+273)^3))</f>
        <v>25.789624111089019</v>
      </c>
      <c r="T17">
        <f t="shared" ref="T17:T29" si="12">($C$7*CO17+$D$7*CP17+$E$7*S17)</f>
        <v>27.008148387096799</v>
      </c>
      <c r="U17">
        <f t="shared" ref="U17:U29" si="13">0.61365*EXP(17.502*T17/(240.97+T17))</f>
        <v>3.5808729467569087</v>
      </c>
      <c r="V17">
        <f t="shared" ref="V17:V29" si="14">(W17/X17*100)</f>
        <v>55.101815291070011</v>
      </c>
      <c r="W17">
        <f t="shared" ref="W17:W29" si="15">CI17*(CL17+CM17)/1000</f>
        <v>1.7996434991704282</v>
      </c>
      <c r="X17">
        <f t="shared" ref="X17:X29" si="16">0.61365*EXP(17.502*CN17/(240.97+CN17))</f>
        <v>3.2660330511145332</v>
      </c>
      <c r="Y17">
        <f t="shared" ref="Y17:Y29" si="17">(U17-CI17*(CL17+CM17)/1000)</f>
        <v>1.7812294475864805</v>
      </c>
      <c r="Z17">
        <f t="shared" ref="Z17:Z29" si="18">(-H17*44100)</f>
        <v>-297.83568019175027</v>
      </c>
      <c r="AA17">
        <f t="shared" ref="AA17:AA29" si="19">2*29.3*O17*0.92*(CN17-T17)</f>
        <v>-283.45017978901194</v>
      </c>
      <c r="AB17">
        <f t="shared" ref="AB17:AB29" si="20">2*0.95*0.0000000567*(((CN17+$B$7)+273)^4-(T17+273)^4)</f>
        <v>-17.987015506293183</v>
      </c>
      <c r="AC17">
        <f t="shared" ref="AC17:AC29" si="21">R17+AB17+Z17+AA17</f>
        <v>-235.79773335876217</v>
      </c>
      <c r="AD17">
        <v>-4.1057223825652099E-2</v>
      </c>
      <c r="AE17">
        <v>4.6090330554648402E-2</v>
      </c>
      <c r="AF17">
        <v>3.4468139066933898</v>
      </c>
      <c r="AG17">
        <v>0</v>
      </c>
      <c r="AH17">
        <v>0</v>
      </c>
      <c r="AI17">
        <f t="shared" ref="AI17:AI29" si="22">IF(AG17*$H$13&gt;=AK17,1,(AK17/(AK17-AG17*$H$13)))</f>
        <v>1</v>
      </c>
      <c r="AJ17">
        <f t="shared" ref="AJ17:AJ29" si="23">(AI17-1)*100</f>
        <v>0</v>
      </c>
      <c r="AK17">
        <f t="shared" ref="AK17:AK29" si="24">MAX(0,($B$13+$C$13*CS17)/(1+$D$13*CS17)*CL17/(CN17+273)*$E$13)</f>
        <v>52633.074872448742</v>
      </c>
      <c r="AL17">
        <v>0</v>
      </c>
      <c r="AM17">
        <v>2.4</v>
      </c>
      <c r="AN17">
        <v>3.6</v>
      </c>
      <c r="AO17">
        <f t="shared" ref="AO17:AO29" si="25">AN17-AM17</f>
        <v>1.2000000000000002</v>
      </c>
      <c r="AP17">
        <f t="shared" ref="AP17:AP29" si="26">AO17/AN17</f>
        <v>0.33333333333333337</v>
      </c>
      <c r="AQ17">
        <v>-1</v>
      </c>
      <c r="AR17" t="s">
        <v>345</v>
      </c>
      <c r="AS17">
        <v>255.750470588235</v>
      </c>
      <c r="AT17">
        <v>366.69600000000003</v>
      </c>
      <c r="AU17">
        <f t="shared" ref="AU17:AU29" si="27">1-AS17/AT17</f>
        <v>0.3025545122165636</v>
      </c>
      <c r="AV17">
        <v>0.5</v>
      </c>
      <c r="AW17">
        <f t="shared" ref="AW17:AW29" si="28">CC17</f>
        <v>1854.5939808025444</v>
      </c>
      <c r="AX17">
        <f t="shared" ref="AX17:AX29" si="29">I17</f>
        <v>30.088165452627077</v>
      </c>
      <c r="AY17">
        <f t="shared" ref="AY17:AY29" si="30">AU17*AV17*AW17</f>
        <v>280.55788861074439</v>
      </c>
      <c r="AZ17">
        <f t="shared" ref="AZ17:AZ29" si="31">BE17/AT17</f>
        <v>0.54572725091083618</v>
      </c>
      <c r="BA17">
        <f t="shared" ref="BA17:BA29" si="32">(AX17-AQ17)/AW17</f>
        <v>1.6762787852451777E-2</v>
      </c>
      <c r="BB17">
        <f t="shared" ref="BB17:BB29" si="33">(AN17-AT17)/AT17</f>
        <v>-0.99018260357353227</v>
      </c>
      <c r="BC17" t="s">
        <v>346</v>
      </c>
      <c r="BD17">
        <v>166.58</v>
      </c>
      <c r="BE17">
        <f t="shared" ref="BE17:BE29" si="34">AT17-BD17</f>
        <v>200.11600000000001</v>
      </c>
      <c r="BF17">
        <f t="shared" ref="BF17:BF29" si="35">(AT17-AS17)/(AT17-BD17)</f>
        <v>0.55440609152574016</v>
      </c>
      <c r="BG17">
        <f t="shared" ref="BG17:BG29" si="36">(AN17-AT17)/(AN17-BD17)</f>
        <v>2.2278561786722295</v>
      </c>
      <c r="BH17">
        <f t="shared" ref="BH17:BH29" si="37">(AT17-AS17)/(AT17-AM17)</f>
        <v>0.30454775625251174</v>
      </c>
      <c r="BI17">
        <f t="shared" ref="BI17:BI29" si="38">(AN17-AT17)/(AN17-AM17)</f>
        <v>-302.58</v>
      </c>
      <c r="BJ17">
        <v>7374</v>
      </c>
      <c r="BK17">
        <v>300</v>
      </c>
      <c r="BL17">
        <v>300</v>
      </c>
      <c r="BM17">
        <v>300</v>
      </c>
      <c r="BN17">
        <v>9020.49</v>
      </c>
      <c r="BO17">
        <v>332.77199999999999</v>
      </c>
      <c r="BP17">
        <v>-5.8502500000000004E-3</v>
      </c>
      <c r="BQ17">
        <v>1.8251299999999999</v>
      </c>
      <c r="BR17" t="s">
        <v>347</v>
      </c>
      <c r="BS17" t="s">
        <v>347</v>
      </c>
      <c r="BT17" t="s">
        <v>347</v>
      </c>
      <c r="BU17" t="s">
        <v>347</v>
      </c>
      <c r="BV17" t="s">
        <v>347</v>
      </c>
      <c r="BW17" t="s">
        <v>347</v>
      </c>
      <c r="BX17" t="s">
        <v>347</v>
      </c>
      <c r="BY17" t="s">
        <v>347</v>
      </c>
      <c r="BZ17" t="s">
        <v>347</v>
      </c>
      <c r="CA17" t="s">
        <v>347</v>
      </c>
      <c r="CB17">
        <f t="shared" ref="CB17:CB29" si="39">$B$11*CT17+$C$11*CU17+$F$11*DH17</f>
        <v>2200.0106451612901</v>
      </c>
      <c r="CC17">
        <f t="shared" ref="CC17:CC29" si="40">CB17*CD17</f>
        <v>1854.5939808025444</v>
      </c>
      <c r="CD17">
        <f t="shared" ref="CD17:CD29" si="41">($B$11*$D$9+$C$11*$D$9+$F$11*((DU17+DM17)/MAX(DU17+DM17+DV17, 0.1)*$I$9+DV17/MAX(DU17+DM17+DV17, 0.1)*$J$9))/($B$11+$C$11+$F$11)</f>
        <v>0.84299318500187437</v>
      </c>
      <c r="CE17">
        <f t="shared" ref="CE17:CE29" si="42">($B$11*$K$9+$C$11*$K$9+$F$11*((DU17+DM17)/MAX(DU17+DM17+DV17, 0.1)*$P$9+DV17/MAX(DU17+DM17+DV17, 0.1)*$Q$9))/($B$11+$C$11+$F$11)</f>
        <v>0.19598637000374899</v>
      </c>
      <c r="CF17">
        <v>1564945224.5</v>
      </c>
      <c r="CG17">
        <v>386.93312903225802</v>
      </c>
      <c r="CH17">
        <v>400.01316129032301</v>
      </c>
      <c r="CI17">
        <v>18.100480645161301</v>
      </c>
      <c r="CJ17">
        <v>15.4480258064516</v>
      </c>
      <c r="CK17">
        <v>500.01977419354802</v>
      </c>
      <c r="CL17">
        <v>99.324877419354806</v>
      </c>
      <c r="CM17">
        <v>0.100299980645161</v>
      </c>
      <c r="CN17">
        <v>25.450219354838701</v>
      </c>
      <c r="CO17">
        <v>27.008148387096799</v>
      </c>
      <c r="CP17">
        <v>999.9</v>
      </c>
      <c r="CQ17">
        <v>0</v>
      </c>
      <c r="CR17">
        <v>0</v>
      </c>
      <c r="CS17">
        <v>9968.4483870967706</v>
      </c>
      <c r="CT17">
        <v>0</v>
      </c>
      <c r="CU17">
        <v>81.711635483871007</v>
      </c>
      <c r="CV17">
        <v>-13.080093548387101</v>
      </c>
      <c r="CW17">
        <v>394.065838709677</v>
      </c>
      <c r="CX17">
        <v>406.28948387096801</v>
      </c>
      <c r="CY17">
        <v>2.6524477419354802</v>
      </c>
      <c r="CZ17">
        <v>383.03212903225801</v>
      </c>
      <c r="DA17">
        <v>400.01316129032301</v>
      </c>
      <c r="DB17">
        <v>17.630480645161299</v>
      </c>
      <c r="DC17">
        <v>15.4480258064516</v>
      </c>
      <c r="DD17">
        <v>1.79782741935484</v>
      </c>
      <c r="DE17">
        <v>1.53437290322581</v>
      </c>
      <c r="DF17">
        <v>15.767887096774199</v>
      </c>
      <c r="DG17">
        <v>13.3149870967742</v>
      </c>
      <c r="DH17">
        <v>2200.0106451612901</v>
      </c>
      <c r="DI17">
        <v>0.89999958064516095</v>
      </c>
      <c r="DJ17">
        <v>9.9999983870967701E-2</v>
      </c>
      <c r="DK17">
        <v>0</v>
      </c>
      <c r="DL17">
        <v>256.15641935483899</v>
      </c>
      <c r="DM17">
        <v>5.0002700000000004</v>
      </c>
      <c r="DN17">
        <v>8407.7483870967808</v>
      </c>
      <c r="DO17">
        <v>20016.1870967742</v>
      </c>
      <c r="DP17">
        <v>50.436999999999998</v>
      </c>
      <c r="DQ17">
        <v>51.125</v>
      </c>
      <c r="DR17">
        <v>50.936999999999998</v>
      </c>
      <c r="DS17">
        <v>50.311999999999998</v>
      </c>
      <c r="DT17">
        <v>51.191064516129003</v>
      </c>
      <c r="DU17">
        <v>1975.50903225806</v>
      </c>
      <c r="DV17">
        <v>219.50129032258101</v>
      </c>
      <c r="DW17">
        <v>0</v>
      </c>
      <c r="DX17">
        <v>324</v>
      </c>
      <c r="DY17">
        <v>255.750470588235</v>
      </c>
      <c r="DZ17">
        <v>-8.5495098022479397</v>
      </c>
      <c r="EA17">
        <v>6601.9558764830999</v>
      </c>
      <c r="EB17">
        <v>8544.4888235294093</v>
      </c>
      <c r="EC17">
        <v>10</v>
      </c>
      <c r="ED17">
        <v>1564945151.5</v>
      </c>
      <c r="EE17" t="s">
        <v>348</v>
      </c>
      <c r="EF17">
        <v>55</v>
      </c>
      <c r="EG17">
        <v>3.9009999999999998</v>
      </c>
      <c r="EH17">
        <v>0.47</v>
      </c>
      <c r="EI17">
        <v>400</v>
      </c>
      <c r="EJ17">
        <v>16</v>
      </c>
      <c r="EK17">
        <v>0.25</v>
      </c>
      <c r="EL17">
        <v>0.09</v>
      </c>
      <c r="EM17">
        <v>30.082881025017599</v>
      </c>
      <c r="EN17">
        <v>-8.4583493763794496E-2</v>
      </c>
      <c r="EO17">
        <v>0.101489930851395</v>
      </c>
      <c r="EP17">
        <v>1</v>
      </c>
      <c r="EQ17">
        <v>0.38911085662908101</v>
      </c>
      <c r="ER17">
        <v>1.24631344494058E-2</v>
      </c>
      <c r="ES17">
        <v>2.9068705461681101E-3</v>
      </c>
      <c r="ET17">
        <v>1</v>
      </c>
      <c r="EU17">
        <v>2</v>
      </c>
      <c r="EV17">
        <v>2</v>
      </c>
      <c r="EW17" t="s">
        <v>349</v>
      </c>
      <c r="EX17">
        <v>2.9496099999999998</v>
      </c>
      <c r="EY17">
        <v>2.7773099999999999</v>
      </c>
      <c r="EZ17">
        <v>9.1046100000000005E-2</v>
      </c>
      <c r="FA17">
        <v>9.1680399999999995E-2</v>
      </c>
      <c r="FB17">
        <v>9.0273500000000007E-2</v>
      </c>
      <c r="FC17">
        <v>7.8015299999999996E-2</v>
      </c>
      <c r="FD17">
        <v>21877.200000000001</v>
      </c>
      <c r="FE17">
        <v>21958.5</v>
      </c>
      <c r="FF17">
        <v>22634.3</v>
      </c>
      <c r="FG17">
        <v>26514.5</v>
      </c>
      <c r="FH17">
        <v>29445.9</v>
      </c>
      <c r="FI17">
        <v>38355</v>
      </c>
      <c r="FJ17">
        <v>32342.9</v>
      </c>
      <c r="FK17">
        <v>42220.3</v>
      </c>
      <c r="FL17">
        <v>1.9490000000000001</v>
      </c>
      <c r="FM17">
        <v>1.8323</v>
      </c>
      <c r="FN17">
        <v>5.1315899999999998E-2</v>
      </c>
      <c r="FO17">
        <v>0</v>
      </c>
      <c r="FP17">
        <v>26.212399999999999</v>
      </c>
      <c r="FQ17">
        <v>999.9</v>
      </c>
      <c r="FR17">
        <v>27.31</v>
      </c>
      <c r="FS17">
        <v>44.021000000000001</v>
      </c>
      <c r="FT17">
        <v>25.190799999999999</v>
      </c>
      <c r="FU17">
        <v>61.798000000000002</v>
      </c>
      <c r="FV17">
        <v>45.901400000000002</v>
      </c>
      <c r="FW17">
        <v>1</v>
      </c>
      <c r="FX17">
        <v>0.50960899999999998</v>
      </c>
      <c r="FY17">
        <v>6.8791900000000004</v>
      </c>
      <c r="FZ17">
        <v>20.119199999999999</v>
      </c>
      <c r="GA17">
        <v>5.2228300000000001</v>
      </c>
      <c r="GB17">
        <v>11.962</v>
      </c>
      <c r="GC17">
        <v>4.9715999999999996</v>
      </c>
      <c r="GD17">
        <v>3.2947000000000002</v>
      </c>
      <c r="GE17">
        <v>9999</v>
      </c>
      <c r="GF17">
        <v>9999</v>
      </c>
      <c r="GG17">
        <v>461.1</v>
      </c>
      <c r="GH17">
        <v>9999</v>
      </c>
      <c r="GI17">
        <v>1.86656</v>
      </c>
      <c r="GJ17">
        <v>1.8660000000000001</v>
      </c>
      <c r="GK17">
        <v>1.86615</v>
      </c>
      <c r="GL17">
        <v>1.86917</v>
      </c>
      <c r="GM17">
        <v>1.8633999999999999</v>
      </c>
      <c r="GN17">
        <v>1.8615699999999999</v>
      </c>
      <c r="GO17">
        <v>1.8577600000000001</v>
      </c>
      <c r="GP17">
        <v>1.8638600000000001</v>
      </c>
      <c r="GQ17" t="s">
        <v>350</v>
      </c>
      <c r="GR17" t="s">
        <v>19</v>
      </c>
      <c r="GS17" t="s">
        <v>19</v>
      </c>
      <c r="GT17" t="s">
        <v>19</v>
      </c>
      <c r="GU17" t="s">
        <v>351</v>
      </c>
      <c r="GV17" t="s">
        <v>352</v>
      </c>
      <c r="GW17" t="s">
        <v>353</v>
      </c>
      <c r="GX17" t="s">
        <v>353</v>
      </c>
      <c r="GY17" t="s">
        <v>353</v>
      </c>
      <c r="GZ17" t="s">
        <v>353</v>
      </c>
      <c r="HA17">
        <v>0</v>
      </c>
      <c r="HB17">
        <v>100</v>
      </c>
      <c r="HC17">
        <v>100</v>
      </c>
      <c r="HD17">
        <v>3.9009999999999998</v>
      </c>
      <c r="HE17">
        <v>0.47</v>
      </c>
      <c r="HF17">
        <v>2</v>
      </c>
      <c r="HG17">
        <v>503.23599999999999</v>
      </c>
      <c r="HH17">
        <v>465.92200000000003</v>
      </c>
      <c r="HI17">
        <v>19.761800000000001</v>
      </c>
      <c r="HJ17">
        <v>33.588299999999997</v>
      </c>
      <c r="HK17">
        <v>30.004200000000001</v>
      </c>
      <c r="HL17">
        <v>33.432899999999997</v>
      </c>
      <c r="HM17">
        <v>33.412300000000002</v>
      </c>
      <c r="HN17">
        <v>21.319500000000001</v>
      </c>
      <c r="HO17">
        <v>38.757300000000001</v>
      </c>
      <c r="HP17">
        <v>0</v>
      </c>
      <c r="HQ17">
        <v>19.645199999999999</v>
      </c>
      <c r="HR17">
        <v>400</v>
      </c>
      <c r="HS17">
        <v>15.470499999999999</v>
      </c>
      <c r="HT17">
        <v>99.545100000000005</v>
      </c>
      <c r="HU17">
        <v>102.962</v>
      </c>
    </row>
    <row r="18" spans="1:229" x14ac:dyDescent="0.35">
      <c r="A18">
        <v>2</v>
      </c>
      <c r="B18">
        <v>1564945340</v>
      </c>
      <c r="C18">
        <v>107.5</v>
      </c>
      <c r="D18" t="s">
        <v>354</v>
      </c>
      <c r="E18" t="s">
        <v>355</v>
      </c>
      <c r="G18">
        <v>1564945332</v>
      </c>
      <c r="H18">
        <f t="shared" si="0"/>
        <v>5.9188060002754537E-3</v>
      </c>
      <c r="I18">
        <f t="shared" si="1"/>
        <v>21.241967854103606</v>
      </c>
      <c r="J18">
        <f t="shared" si="2"/>
        <v>290.816709677419</v>
      </c>
      <c r="K18">
        <f t="shared" si="3"/>
        <v>177.84286692471122</v>
      </c>
      <c r="L18">
        <f t="shared" si="4"/>
        <v>17.681679311847528</v>
      </c>
      <c r="M18">
        <f t="shared" si="5"/>
        <v>28.913882732331793</v>
      </c>
      <c r="N18">
        <f t="shared" si="6"/>
        <v>0.3355521293345497</v>
      </c>
      <c r="O18">
        <f t="shared" si="7"/>
        <v>3.3825374204497831</v>
      </c>
      <c r="P18">
        <f t="shared" si="8"/>
        <v>0.31809533952502289</v>
      </c>
      <c r="Q18">
        <f t="shared" si="9"/>
        <v>0.20030229883103498</v>
      </c>
      <c r="R18">
        <f t="shared" si="10"/>
        <v>363.47446480478766</v>
      </c>
      <c r="S18">
        <f t="shared" si="11"/>
        <v>26.017527760722828</v>
      </c>
      <c r="T18">
        <f t="shared" si="12"/>
        <v>27.174119354838702</v>
      </c>
      <c r="U18">
        <f t="shared" si="13"/>
        <v>3.6159256116814942</v>
      </c>
      <c r="V18">
        <f t="shared" si="14"/>
        <v>55.490207826028183</v>
      </c>
      <c r="W18">
        <f t="shared" si="15"/>
        <v>1.8164997584579401</v>
      </c>
      <c r="X18">
        <f t="shared" si="16"/>
        <v>3.273550108431734</v>
      </c>
      <c r="Y18">
        <f t="shared" si="17"/>
        <v>1.7994258532235541</v>
      </c>
      <c r="Z18">
        <f t="shared" si="18"/>
        <v>-261.01934461214751</v>
      </c>
      <c r="AA18">
        <f t="shared" si="19"/>
        <v>-307.31257736548611</v>
      </c>
      <c r="AB18">
        <f t="shared" si="20"/>
        <v>-19.476446287057303</v>
      </c>
      <c r="AC18">
        <f t="shared" si="21"/>
        <v>-224.33390345990324</v>
      </c>
      <c r="AD18">
        <v>-4.1177359154626801E-2</v>
      </c>
      <c r="AE18">
        <v>4.6225192985855298E-2</v>
      </c>
      <c r="AF18">
        <v>3.4547964710965799</v>
      </c>
      <c r="AG18">
        <v>0</v>
      </c>
      <c r="AH18">
        <v>0</v>
      </c>
      <c r="AI18">
        <f t="shared" si="22"/>
        <v>1</v>
      </c>
      <c r="AJ18">
        <f t="shared" si="23"/>
        <v>0</v>
      </c>
      <c r="AK18">
        <f t="shared" si="24"/>
        <v>52773.958570787923</v>
      </c>
      <c r="AL18">
        <v>0</v>
      </c>
      <c r="AM18">
        <v>2.4</v>
      </c>
      <c r="AN18">
        <v>3.6</v>
      </c>
      <c r="AO18">
        <f t="shared" si="25"/>
        <v>1.2000000000000002</v>
      </c>
      <c r="AP18">
        <f t="shared" si="26"/>
        <v>0.33333333333333337</v>
      </c>
      <c r="AQ18">
        <v>-1</v>
      </c>
      <c r="AR18" t="s">
        <v>356</v>
      </c>
      <c r="AS18">
        <v>238.899176470588</v>
      </c>
      <c r="AT18">
        <v>326.63400000000001</v>
      </c>
      <c r="AU18">
        <f t="shared" si="27"/>
        <v>0.26860285068122736</v>
      </c>
      <c r="AV18">
        <v>0.5</v>
      </c>
      <c r="AW18">
        <f t="shared" si="28"/>
        <v>1854.5872869251596</v>
      </c>
      <c r="AX18">
        <f t="shared" si="29"/>
        <v>21.241967854103606</v>
      </c>
      <c r="AY18">
        <f t="shared" si="30"/>
        <v>249.0737160526306</v>
      </c>
      <c r="AZ18">
        <f t="shared" si="31"/>
        <v>0.49999081540807144</v>
      </c>
      <c r="BA18">
        <f t="shared" si="32"/>
        <v>1.1992947439524405E-2</v>
      </c>
      <c r="BB18">
        <f t="shared" si="33"/>
        <v>-0.98897848968570323</v>
      </c>
      <c r="BC18" t="s">
        <v>357</v>
      </c>
      <c r="BD18">
        <v>163.32</v>
      </c>
      <c r="BE18">
        <f t="shared" si="34"/>
        <v>163.31400000000002</v>
      </c>
      <c r="BF18">
        <f t="shared" si="35"/>
        <v>0.53721556957402306</v>
      </c>
      <c r="BG18">
        <f t="shared" si="36"/>
        <v>2.0225018782870023</v>
      </c>
      <c r="BH18">
        <f t="shared" si="37"/>
        <v>0.27059106549409379</v>
      </c>
      <c r="BI18">
        <f t="shared" si="38"/>
        <v>-269.19499999999994</v>
      </c>
      <c r="BJ18">
        <v>7376</v>
      </c>
      <c r="BK18">
        <v>300</v>
      </c>
      <c r="BL18">
        <v>300</v>
      </c>
      <c r="BM18">
        <v>300</v>
      </c>
      <c r="BN18">
        <v>9020.19</v>
      </c>
      <c r="BO18">
        <v>301.39</v>
      </c>
      <c r="BP18">
        <v>-5.8500799999999997E-3</v>
      </c>
      <c r="BQ18">
        <v>1.7452399999999999</v>
      </c>
      <c r="BR18" t="s">
        <v>347</v>
      </c>
      <c r="BS18" t="s">
        <v>347</v>
      </c>
      <c r="BT18" t="s">
        <v>347</v>
      </c>
      <c r="BU18" t="s">
        <v>347</v>
      </c>
      <c r="BV18" t="s">
        <v>347</v>
      </c>
      <c r="BW18" t="s">
        <v>347</v>
      </c>
      <c r="BX18" t="s">
        <v>347</v>
      </c>
      <c r="BY18" t="s">
        <v>347</v>
      </c>
      <c r="BZ18" t="s">
        <v>347</v>
      </c>
      <c r="CA18" t="s">
        <v>347</v>
      </c>
      <c r="CB18">
        <f t="shared" si="39"/>
        <v>2200.00225806452</v>
      </c>
      <c r="CC18">
        <f t="shared" si="40"/>
        <v>1854.5872869251596</v>
      </c>
      <c r="CD18">
        <f t="shared" si="41"/>
        <v>0.84299335608716885</v>
      </c>
      <c r="CE18">
        <f t="shared" si="42"/>
        <v>0.195986712174338</v>
      </c>
      <c r="CF18">
        <v>1564945332</v>
      </c>
      <c r="CG18">
        <v>290.816709677419</v>
      </c>
      <c r="CH18">
        <v>300.001709677419</v>
      </c>
      <c r="CI18">
        <v>18.270409677419401</v>
      </c>
      <c r="CJ18">
        <v>15.9462193548387</v>
      </c>
      <c r="CK18">
        <v>500.01645161290298</v>
      </c>
      <c r="CL18">
        <v>99.323029032258106</v>
      </c>
      <c r="CM18">
        <v>0.10001569032258099</v>
      </c>
      <c r="CN18">
        <v>25.488916129032301</v>
      </c>
      <c r="CO18">
        <v>27.174119354838702</v>
      </c>
      <c r="CP18">
        <v>999.9</v>
      </c>
      <c r="CQ18">
        <v>0</v>
      </c>
      <c r="CR18">
        <v>0</v>
      </c>
      <c r="CS18">
        <v>9997.8025806451606</v>
      </c>
      <c r="CT18">
        <v>0</v>
      </c>
      <c r="CU18">
        <v>192.76754838709701</v>
      </c>
      <c r="CV18">
        <v>-9.1850219354838707</v>
      </c>
      <c r="CW18">
        <v>296.22890322580599</v>
      </c>
      <c r="CX18">
        <v>304.86306451612899</v>
      </c>
      <c r="CY18">
        <v>2.3241809677419401</v>
      </c>
      <c r="CZ18">
        <v>287.00470967741899</v>
      </c>
      <c r="DA18">
        <v>300.001709677419</v>
      </c>
      <c r="DB18">
        <v>17.8014096774194</v>
      </c>
      <c r="DC18">
        <v>15.9462193548387</v>
      </c>
      <c r="DD18">
        <v>1.8146716129032301</v>
      </c>
      <c r="DE18">
        <v>1.5838261290322599</v>
      </c>
      <c r="DF18">
        <v>15.913722580645199</v>
      </c>
      <c r="DG18">
        <v>13.802332258064499</v>
      </c>
      <c r="DH18">
        <v>2200.00225806452</v>
      </c>
      <c r="DI18">
        <v>0.899994903225806</v>
      </c>
      <c r="DJ18">
        <v>0.100004874193548</v>
      </c>
      <c r="DK18">
        <v>0</v>
      </c>
      <c r="DL18">
        <v>239.094129032258</v>
      </c>
      <c r="DM18">
        <v>5.0002700000000004</v>
      </c>
      <c r="DN18">
        <v>8064.4722580645202</v>
      </c>
      <c r="DO18">
        <v>20016.0903225806</v>
      </c>
      <c r="DP18">
        <v>50.455290322580602</v>
      </c>
      <c r="DQ18">
        <v>50.884999999999998</v>
      </c>
      <c r="DR18">
        <v>50.936999999999998</v>
      </c>
      <c r="DS18">
        <v>50.155000000000001</v>
      </c>
      <c r="DT18">
        <v>51.211387096774203</v>
      </c>
      <c r="DU18">
        <v>1975.48806451613</v>
      </c>
      <c r="DV18">
        <v>219.51290322580601</v>
      </c>
      <c r="DW18">
        <v>0</v>
      </c>
      <c r="DX18">
        <v>106.80000019073501</v>
      </c>
      <c r="DY18">
        <v>238.899176470588</v>
      </c>
      <c r="DZ18">
        <v>-5.3154411796923098</v>
      </c>
      <c r="EA18">
        <v>9.1936261336430594</v>
      </c>
      <c r="EB18">
        <v>8054.6058823529402</v>
      </c>
      <c r="EC18">
        <v>10</v>
      </c>
      <c r="ED18">
        <v>1564945294</v>
      </c>
      <c r="EE18" t="s">
        <v>358</v>
      </c>
      <c r="EF18">
        <v>56</v>
      </c>
      <c r="EG18">
        <v>3.8119999999999998</v>
      </c>
      <c r="EH18">
        <v>0.46899999999999997</v>
      </c>
      <c r="EI18">
        <v>300</v>
      </c>
      <c r="EJ18">
        <v>16</v>
      </c>
      <c r="EK18">
        <v>0.54</v>
      </c>
      <c r="EL18">
        <v>0.08</v>
      </c>
      <c r="EM18">
        <v>21.234538013971999</v>
      </c>
      <c r="EN18">
        <v>-3.86901544761801E-2</v>
      </c>
      <c r="EO18">
        <v>0.10352315848299901</v>
      </c>
      <c r="EP18">
        <v>1</v>
      </c>
      <c r="EQ18">
        <v>0.33285902938332701</v>
      </c>
      <c r="ER18">
        <v>2.8373097634150302E-2</v>
      </c>
      <c r="ES18">
        <v>6.0294820805504804E-3</v>
      </c>
      <c r="ET18">
        <v>1</v>
      </c>
      <c r="EU18">
        <v>2</v>
      </c>
      <c r="EV18">
        <v>2</v>
      </c>
      <c r="EW18" t="s">
        <v>349</v>
      </c>
      <c r="EX18">
        <v>2.9498099999999998</v>
      </c>
      <c r="EY18">
        <v>2.7776800000000001</v>
      </c>
      <c r="EZ18">
        <v>7.2248400000000004E-2</v>
      </c>
      <c r="FA18">
        <v>7.3002899999999996E-2</v>
      </c>
      <c r="FB18">
        <v>9.1008900000000004E-2</v>
      </c>
      <c r="FC18">
        <v>8.0068399999999998E-2</v>
      </c>
      <c r="FD18">
        <v>22326.799999999999</v>
      </c>
      <c r="FE18">
        <v>22407.4</v>
      </c>
      <c r="FF18">
        <v>22631.599999999999</v>
      </c>
      <c r="FG18">
        <v>26511.5</v>
      </c>
      <c r="FH18">
        <v>29418.5</v>
      </c>
      <c r="FI18">
        <v>38265.5</v>
      </c>
      <c r="FJ18">
        <v>32339.1</v>
      </c>
      <c r="FK18">
        <v>42216</v>
      </c>
      <c r="FL18">
        <v>1.9482699999999999</v>
      </c>
      <c r="FM18">
        <v>1.8319000000000001</v>
      </c>
      <c r="FN18">
        <v>6.10203E-2</v>
      </c>
      <c r="FO18">
        <v>0</v>
      </c>
      <c r="FP18">
        <v>26.1464</v>
      </c>
      <c r="FQ18">
        <v>999.9</v>
      </c>
      <c r="FR18">
        <v>27.31</v>
      </c>
      <c r="FS18">
        <v>44.081000000000003</v>
      </c>
      <c r="FT18">
        <v>25.2729</v>
      </c>
      <c r="FU18">
        <v>61.648000000000003</v>
      </c>
      <c r="FV18">
        <v>45.6691</v>
      </c>
      <c r="FW18">
        <v>1</v>
      </c>
      <c r="FX18">
        <v>0.52751000000000003</v>
      </c>
      <c r="FY18">
        <v>9.2810500000000005</v>
      </c>
      <c r="FZ18">
        <v>20.008299999999998</v>
      </c>
      <c r="GA18">
        <v>5.2273199999999997</v>
      </c>
      <c r="GB18">
        <v>11.962</v>
      </c>
      <c r="GC18">
        <v>4.9717500000000001</v>
      </c>
      <c r="GD18">
        <v>3.2949999999999999</v>
      </c>
      <c r="GE18">
        <v>9999</v>
      </c>
      <c r="GF18">
        <v>9999</v>
      </c>
      <c r="GG18">
        <v>461.1</v>
      </c>
      <c r="GH18">
        <v>9999</v>
      </c>
      <c r="GI18">
        <v>1.8665499999999999</v>
      </c>
      <c r="GJ18">
        <v>1.86598</v>
      </c>
      <c r="GK18">
        <v>1.86615</v>
      </c>
      <c r="GL18">
        <v>1.8691199999999999</v>
      </c>
      <c r="GM18">
        <v>1.8633999999999999</v>
      </c>
      <c r="GN18">
        <v>1.8615600000000001</v>
      </c>
      <c r="GO18">
        <v>1.8577600000000001</v>
      </c>
      <c r="GP18">
        <v>1.8638600000000001</v>
      </c>
      <c r="GQ18" t="s">
        <v>350</v>
      </c>
      <c r="GR18" t="s">
        <v>19</v>
      </c>
      <c r="GS18" t="s">
        <v>19</v>
      </c>
      <c r="GT18" t="s">
        <v>19</v>
      </c>
      <c r="GU18" t="s">
        <v>351</v>
      </c>
      <c r="GV18" t="s">
        <v>352</v>
      </c>
      <c r="GW18" t="s">
        <v>353</v>
      </c>
      <c r="GX18" t="s">
        <v>353</v>
      </c>
      <c r="GY18" t="s">
        <v>353</v>
      </c>
      <c r="GZ18" t="s">
        <v>353</v>
      </c>
      <c r="HA18">
        <v>0</v>
      </c>
      <c r="HB18">
        <v>100</v>
      </c>
      <c r="HC18">
        <v>100</v>
      </c>
      <c r="HD18">
        <v>3.8119999999999998</v>
      </c>
      <c r="HE18">
        <v>0.46899999999999997</v>
      </c>
      <c r="HF18">
        <v>2</v>
      </c>
      <c r="HG18">
        <v>503.13499999999999</v>
      </c>
      <c r="HH18">
        <v>465.99700000000001</v>
      </c>
      <c r="HI18">
        <v>18.138300000000001</v>
      </c>
      <c r="HJ18">
        <v>33.6143</v>
      </c>
      <c r="HK18">
        <v>30</v>
      </c>
      <c r="HL18">
        <v>33.481299999999997</v>
      </c>
      <c r="HM18">
        <v>33.457700000000003</v>
      </c>
      <c r="HN18">
        <v>16.924199999999999</v>
      </c>
      <c r="HO18">
        <v>37.402900000000002</v>
      </c>
      <c r="HP18">
        <v>0</v>
      </c>
      <c r="HQ18">
        <v>16.486999999999998</v>
      </c>
      <c r="HR18">
        <v>300</v>
      </c>
      <c r="HS18">
        <v>15.829499999999999</v>
      </c>
      <c r="HT18">
        <v>99.533500000000004</v>
      </c>
      <c r="HU18">
        <v>102.95099999999999</v>
      </c>
    </row>
    <row r="19" spans="1:229" x14ac:dyDescent="0.35">
      <c r="A19">
        <v>3</v>
      </c>
      <c r="B19">
        <v>1564945460</v>
      </c>
      <c r="C19">
        <v>227.5</v>
      </c>
      <c r="D19" t="s">
        <v>359</v>
      </c>
      <c r="E19" t="s">
        <v>360</v>
      </c>
      <c r="G19">
        <v>1564945452</v>
      </c>
      <c r="H19">
        <f t="shared" si="0"/>
        <v>6.3406439778227221E-3</v>
      </c>
      <c r="I19">
        <f t="shared" si="1"/>
        <v>13.317027287952971</v>
      </c>
      <c r="J19">
        <f t="shared" si="2"/>
        <v>194.22409677419401</v>
      </c>
      <c r="K19">
        <f t="shared" si="3"/>
        <v>128.23179601582689</v>
      </c>
      <c r="L19">
        <f t="shared" si="4"/>
        <v>12.748354595141057</v>
      </c>
      <c r="M19">
        <f t="shared" si="5"/>
        <v>19.309077261093773</v>
      </c>
      <c r="N19">
        <f t="shared" si="6"/>
        <v>0.3654554596780169</v>
      </c>
      <c r="O19">
        <f t="shared" si="7"/>
        <v>3.3829735614978014</v>
      </c>
      <c r="P19">
        <f t="shared" si="8"/>
        <v>0.34485371243173946</v>
      </c>
      <c r="Q19">
        <f t="shared" si="9"/>
        <v>0.21728771584768769</v>
      </c>
      <c r="R19">
        <f t="shared" si="10"/>
        <v>363.47754472863232</v>
      </c>
      <c r="S19">
        <f t="shared" si="11"/>
        <v>25.688427673013951</v>
      </c>
      <c r="T19">
        <f t="shared" si="12"/>
        <v>26.952454838709698</v>
      </c>
      <c r="U19">
        <f t="shared" si="13"/>
        <v>3.5691772591814193</v>
      </c>
      <c r="V19">
        <f t="shared" si="14"/>
        <v>55.460363367881847</v>
      </c>
      <c r="W19">
        <f t="shared" si="15"/>
        <v>1.7905316474173381</v>
      </c>
      <c r="X19">
        <f t="shared" si="16"/>
        <v>3.2284888498481585</v>
      </c>
      <c r="Y19">
        <f t="shared" si="17"/>
        <v>1.7786456117640812</v>
      </c>
      <c r="Z19">
        <f t="shared" si="18"/>
        <v>-279.62239942198204</v>
      </c>
      <c r="AA19">
        <f t="shared" si="19"/>
        <v>-309.44548663651796</v>
      </c>
      <c r="AB19">
        <f t="shared" si="20"/>
        <v>-19.56443958951246</v>
      </c>
      <c r="AC19">
        <f t="shared" si="21"/>
        <v>-245.15478091938013</v>
      </c>
      <c r="AD19">
        <v>-4.1184104671157497E-2</v>
      </c>
      <c r="AE19">
        <v>4.6232765419100798E-2</v>
      </c>
      <c r="AF19">
        <v>3.4552444493442298</v>
      </c>
      <c r="AG19">
        <v>0</v>
      </c>
      <c r="AH19">
        <v>0</v>
      </c>
      <c r="AI19">
        <f t="shared" si="22"/>
        <v>1</v>
      </c>
      <c r="AJ19">
        <f t="shared" si="23"/>
        <v>0</v>
      </c>
      <c r="AK19">
        <f t="shared" si="24"/>
        <v>52823.367863277243</v>
      </c>
      <c r="AL19">
        <v>0</v>
      </c>
      <c r="AM19">
        <v>2.4</v>
      </c>
      <c r="AN19">
        <v>3.6</v>
      </c>
      <c r="AO19">
        <f t="shared" si="25"/>
        <v>1.2000000000000002</v>
      </c>
      <c r="AP19">
        <f t="shared" si="26"/>
        <v>0.33333333333333337</v>
      </c>
      <c r="AQ19">
        <v>-1</v>
      </c>
      <c r="AR19" t="s">
        <v>361</v>
      </c>
      <c r="AS19">
        <v>233.214823529412</v>
      </c>
      <c r="AT19">
        <v>303.56799999999998</v>
      </c>
      <c r="AU19">
        <f t="shared" si="27"/>
        <v>0.23175425759825796</v>
      </c>
      <c r="AV19">
        <v>0.5</v>
      </c>
      <c r="AW19">
        <f t="shared" si="28"/>
        <v>1854.6064637079742</v>
      </c>
      <c r="AX19">
        <f t="shared" si="29"/>
        <v>13.317027287952971</v>
      </c>
      <c r="AY19">
        <f t="shared" si="30"/>
        <v>214.90647206678605</v>
      </c>
      <c r="AZ19">
        <f t="shared" si="31"/>
        <v>0.4467137511200126</v>
      </c>
      <c r="BA19">
        <f t="shared" si="32"/>
        <v>7.7197117383752019E-3</v>
      </c>
      <c r="BB19">
        <f t="shared" si="33"/>
        <v>-0.98814104253412738</v>
      </c>
      <c r="BC19" t="s">
        <v>362</v>
      </c>
      <c r="BD19">
        <v>167.96</v>
      </c>
      <c r="BE19">
        <f t="shared" si="34"/>
        <v>135.60799999999998</v>
      </c>
      <c r="BF19">
        <f t="shared" si="35"/>
        <v>0.51879812747469167</v>
      </c>
      <c r="BG19">
        <f t="shared" si="36"/>
        <v>1.8250669262594301</v>
      </c>
      <c r="BH19">
        <f t="shared" si="37"/>
        <v>0.23360110128097269</v>
      </c>
      <c r="BI19">
        <f t="shared" si="38"/>
        <v>-249.97333333333327</v>
      </c>
      <c r="BJ19">
        <v>7378</v>
      </c>
      <c r="BK19">
        <v>300</v>
      </c>
      <c r="BL19">
        <v>300</v>
      </c>
      <c r="BM19">
        <v>300</v>
      </c>
      <c r="BN19">
        <v>9020.98</v>
      </c>
      <c r="BO19">
        <v>283.39400000000001</v>
      </c>
      <c r="BP19">
        <v>-5.8504500000000001E-3</v>
      </c>
      <c r="BQ19">
        <v>1.7991900000000001</v>
      </c>
      <c r="BR19" t="s">
        <v>347</v>
      </c>
      <c r="BS19" t="s">
        <v>347</v>
      </c>
      <c r="BT19" t="s">
        <v>347</v>
      </c>
      <c r="BU19" t="s">
        <v>347</v>
      </c>
      <c r="BV19" t="s">
        <v>347</v>
      </c>
      <c r="BW19" t="s">
        <v>347</v>
      </c>
      <c r="BX19" t="s">
        <v>347</v>
      </c>
      <c r="BY19" t="s">
        <v>347</v>
      </c>
      <c r="BZ19" t="s">
        <v>347</v>
      </c>
      <c r="CA19" t="s">
        <v>347</v>
      </c>
      <c r="CB19">
        <f t="shared" si="39"/>
        <v>2200.0254838709702</v>
      </c>
      <c r="CC19">
        <f t="shared" si="40"/>
        <v>1854.6064637079742</v>
      </c>
      <c r="CD19">
        <f t="shared" si="41"/>
        <v>0.84299317317214562</v>
      </c>
      <c r="CE19">
        <f t="shared" si="42"/>
        <v>0.1959863463442913</v>
      </c>
      <c r="CF19">
        <v>1564945452</v>
      </c>
      <c r="CG19">
        <v>194.22409677419401</v>
      </c>
      <c r="CH19">
        <v>200.04361290322601</v>
      </c>
      <c r="CI19">
        <v>18.0104096774194</v>
      </c>
      <c r="CJ19">
        <v>15.5197870967742</v>
      </c>
      <c r="CK19">
        <v>499.99116129032302</v>
      </c>
      <c r="CL19">
        <v>99.316500000000005</v>
      </c>
      <c r="CM19">
        <v>9.9986325806451601E-2</v>
      </c>
      <c r="CN19">
        <v>25.255774193548401</v>
      </c>
      <c r="CO19">
        <v>26.952454838709698</v>
      </c>
      <c r="CP19">
        <v>999.9</v>
      </c>
      <c r="CQ19">
        <v>0</v>
      </c>
      <c r="CR19">
        <v>0</v>
      </c>
      <c r="CS19">
        <v>10000.0977419355</v>
      </c>
      <c r="CT19">
        <v>0</v>
      </c>
      <c r="CU19">
        <v>349.27474193548397</v>
      </c>
      <c r="CV19">
        <v>-5.8195280645161303</v>
      </c>
      <c r="CW19">
        <v>197.78638709677401</v>
      </c>
      <c r="CX19">
        <v>203.19719354838699</v>
      </c>
      <c r="CY19">
        <v>2.4906161290322602</v>
      </c>
      <c r="CZ19">
        <v>190.465096774194</v>
      </c>
      <c r="DA19">
        <v>200.04361290322601</v>
      </c>
      <c r="DB19">
        <v>17.540409677419401</v>
      </c>
      <c r="DC19">
        <v>15.5197870967742</v>
      </c>
      <c r="DD19">
        <v>1.78872967741935</v>
      </c>
      <c r="DE19">
        <v>1.54137096774194</v>
      </c>
      <c r="DF19">
        <v>15.688570967741899</v>
      </c>
      <c r="DG19">
        <v>13.384719354838699</v>
      </c>
      <c r="DH19">
        <v>2200.0254838709702</v>
      </c>
      <c r="DI19">
        <v>0.90000045161290299</v>
      </c>
      <c r="DJ19">
        <v>9.9999635483871002E-2</v>
      </c>
      <c r="DK19">
        <v>0</v>
      </c>
      <c r="DL19">
        <v>233.342935483871</v>
      </c>
      <c r="DM19">
        <v>5.0002700000000004</v>
      </c>
      <c r="DN19">
        <v>9372.39</v>
      </c>
      <c r="DO19">
        <v>20016.329032258102</v>
      </c>
      <c r="DP19">
        <v>50.375</v>
      </c>
      <c r="DQ19">
        <v>50.625</v>
      </c>
      <c r="DR19">
        <v>50.875</v>
      </c>
      <c r="DS19">
        <v>49.816064516129003</v>
      </c>
      <c r="DT19">
        <v>51.070129032258102</v>
      </c>
      <c r="DU19">
        <v>1975.5235483870999</v>
      </c>
      <c r="DV19">
        <v>219.50193548387099</v>
      </c>
      <c r="DW19">
        <v>0</v>
      </c>
      <c r="DX19">
        <v>119.40000009536701</v>
      </c>
      <c r="DY19">
        <v>233.214823529412</v>
      </c>
      <c r="DZ19">
        <v>-1.08431376788208</v>
      </c>
      <c r="EA19">
        <v>-3497.1103018277799</v>
      </c>
      <c r="EB19">
        <v>9411.6894117647007</v>
      </c>
      <c r="EC19">
        <v>10</v>
      </c>
      <c r="ED19">
        <v>1564945428.5</v>
      </c>
      <c r="EE19" t="s">
        <v>363</v>
      </c>
      <c r="EF19">
        <v>57</v>
      </c>
      <c r="EG19">
        <v>3.7589999999999999</v>
      </c>
      <c r="EH19">
        <v>0.47</v>
      </c>
      <c r="EI19">
        <v>200</v>
      </c>
      <c r="EJ19">
        <v>16</v>
      </c>
      <c r="EK19">
        <v>0.57999999999999996</v>
      </c>
      <c r="EL19">
        <v>7.0000000000000007E-2</v>
      </c>
      <c r="EM19">
        <v>13.3136497024636</v>
      </c>
      <c r="EN19">
        <v>-0.129664816842538</v>
      </c>
      <c r="EO19">
        <v>0.14452563849153199</v>
      </c>
      <c r="EP19">
        <v>1</v>
      </c>
      <c r="EQ19">
        <v>0.35807334423294701</v>
      </c>
      <c r="ER19">
        <v>9.8032966749712694E-2</v>
      </c>
      <c r="ES19">
        <v>1.66235834738837E-2</v>
      </c>
      <c r="ET19">
        <v>1</v>
      </c>
      <c r="EU19">
        <v>2</v>
      </c>
      <c r="EV19">
        <v>2</v>
      </c>
      <c r="EW19" t="s">
        <v>349</v>
      </c>
      <c r="EX19">
        <v>2.9496000000000002</v>
      </c>
      <c r="EY19">
        <v>2.7775400000000001</v>
      </c>
      <c r="EZ19">
        <v>5.0799400000000001E-2</v>
      </c>
      <c r="FA19">
        <v>5.17168E-2</v>
      </c>
      <c r="FB19">
        <v>8.99089E-2</v>
      </c>
      <c r="FC19">
        <v>7.8392400000000001E-2</v>
      </c>
      <c r="FD19">
        <v>22843.9</v>
      </c>
      <c r="FE19">
        <v>22923.5</v>
      </c>
      <c r="FF19">
        <v>22632.799999999999</v>
      </c>
      <c r="FG19">
        <v>26513.4</v>
      </c>
      <c r="FH19">
        <v>29455.4</v>
      </c>
      <c r="FI19">
        <v>38337.5</v>
      </c>
      <c r="FJ19">
        <v>32340.799999999999</v>
      </c>
      <c r="FK19">
        <v>42218.8</v>
      </c>
      <c r="FL19">
        <v>1.94845</v>
      </c>
      <c r="FM19">
        <v>1.82995</v>
      </c>
      <c r="FN19">
        <v>5.6587199999999997E-2</v>
      </c>
      <c r="FO19">
        <v>0</v>
      </c>
      <c r="FP19">
        <v>26.0259</v>
      </c>
      <c r="FQ19">
        <v>999.9</v>
      </c>
      <c r="FR19">
        <v>27.39</v>
      </c>
      <c r="FS19">
        <v>44.122</v>
      </c>
      <c r="FT19">
        <v>25.401599999999998</v>
      </c>
      <c r="FU19">
        <v>61.738</v>
      </c>
      <c r="FV19">
        <v>45.9816</v>
      </c>
      <c r="FW19">
        <v>1</v>
      </c>
      <c r="FX19">
        <v>0.51915900000000004</v>
      </c>
      <c r="FY19">
        <v>7.7990399999999998</v>
      </c>
      <c r="FZ19">
        <v>20.0809</v>
      </c>
      <c r="GA19">
        <v>5.2264200000000001</v>
      </c>
      <c r="GB19">
        <v>11.962</v>
      </c>
      <c r="GC19">
        <v>4.9715499999999997</v>
      </c>
      <c r="GD19">
        <v>3.2948499999999998</v>
      </c>
      <c r="GE19">
        <v>9999</v>
      </c>
      <c r="GF19">
        <v>9999</v>
      </c>
      <c r="GG19">
        <v>461.1</v>
      </c>
      <c r="GH19">
        <v>9999</v>
      </c>
      <c r="GI19">
        <v>1.8665799999999999</v>
      </c>
      <c r="GJ19">
        <v>1.8660000000000001</v>
      </c>
      <c r="GK19">
        <v>1.86615</v>
      </c>
      <c r="GL19">
        <v>1.8691500000000001</v>
      </c>
      <c r="GM19">
        <v>1.86341</v>
      </c>
      <c r="GN19">
        <v>1.8615699999999999</v>
      </c>
      <c r="GO19">
        <v>1.8577699999999999</v>
      </c>
      <c r="GP19">
        <v>1.86388</v>
      </c>
      <c r="GQ19" t="s">
        <v>350</v>
      </c>
      <c r="GR19" t="s">
        <v>19</v>
      </c>
      <c r="GS19" t="s">
        <v>19</v>
      </c>
      <c r="GT19" t="s">
        <v>19</v>
      </c>
      <c r="GU19" t="s">
        <v>351</v>
      </c>
      <c r="GV19" t="s">
        <v>352</v>
      </c>
      <c r="GW19" t="s">
        <v>353</v>
      </c>
      <c r="GX19" t="s">
        <v>353</v>
      </c>
      <c r="GY19" t="s">
        <v>353</v>
      </c>
      <c r="GZ19" t="s">
        <v>353</v>
      </c>
      <c r="HA19">
        <v>0</v>
      </c>
      <c r="HB19">
        <v>100</v>
      </c>
      <c r="HC19">
        <v>100</v>
      </c>
      <c r="HD19">
        <v>3.7589999999999999</v>
      </c>
      <c r="HE19">
        <v>0.47</v>
      </c>
      <c r="HF19">
        <v>2</v>
      </c>
      <c r="HG19">
        <v>503.32499999999999</v>
      </c>
      <c r="HH19">
        <v>464.75900000000001</v>
      </c>
      <c r="HI19">
        <v>18.6008</v>
      </c>
      <c r="HJ19">
        <v>33.609000000000002</v>
      </c>
      <c r="HK19">
        <v>29.999700000000001</v>
      </c>
      <c r="HL19">
        <v>33.490400000000001</v>
      </c>
      <c r="HM19">
        <v>33.463799999999999</v>
      </c>
      <c r="HN19">
        <v>12.313499999999999</v>
      </c>
      <c r="HO19">
        <v>38.680700000000002</v>
      </c>
      <c r="HP19">
        <v>0</v>
      </c>
      <c r="HQ19">
        <v>18.6235</v>
      </c>
      <c r="HR19">
        <v>200</v>
      </c>
      <c r="HS19">
        <v>15.513999999999999</v>
      </c>
      <c r="HT19">
        <v>99.538700000000006</v>
      </c>
      <c r="HU19">
        <v>102.958</v>
      </c>
    </row>
    <row r="20" spans="1:229" x14ac:dyDescent="0.35">
      <c r="A20">
        <v>4</v>
      </c>
      <c r="B20">
        <v>1564945560.0999999</v>
      </c>
      <c r="C20">
        <v>327.59999990463302</v>
      </c>
      <c r="D20" t="s">
        <v>364</v>
      </c>
      <c r="E20" t="s">
        <v>365</v>
      </c>
      <c r="G20">
        <v>1564945552.0999999</v>
      </c>
      <c r="H20">
        <f t="shared" si="0"/>
        <v>6.7173568986816628E-3</v>
      </c>
      <c r="I20">
        <f t="shared" si="1"/>
        <v>4.6320084108618342</v>
      </c>
      <c r="J20">
        <f t="shared" si="2"/>
        <v>97.884280645161297</v>
      </c>
      <c r="K20">
        <f t="shared" si="3"/>
        <v>75.061325200365289</v>
      </c>
      <c r="L20">
        <f t="shared" si="4"/>
        <v>7.4621838158234768</v>
      </c>
      <c r="M20">
        <f t="shared" si="5"/>
        <v>9.7311164291873062</v>
      </c>
      <c r="N20">
        <f t="shared" si="6"/>
        <v>0.3851587887329504</v>
      </c>
      <c r="O20">
        <f t="shared" si="7"/>
        <v>3.382844610964951</v>
      </c>
      <c r="P20">
        <f t="shared" si="8"/>
        <v>0.36234928636124258</v>
      </c>
      <c r="Q20">
        <f t="shared" si="9"/>
        <v>0.22840499788610907</v>
      </c>
      <c r="R20">
        <f t="shared" si="10"/>
        <v>363.47444718824664</v>
      </c>
      <c r="S20">
        <f t="shared" si="11"/>
        <v>25.872227248462398</v>
      </c>
      <c r="T20">
        <f t="shared" si="12"/>
        <v>27.100587096774198</v>
      </c>
      <c r="U20">
        <f t="shared" si="13"/>
        <v>3.600358999646966</v>
      </c>
      <c r="V20">
        <f t="shared" si="14"/>
        <v>55.09609053922685</v>
      </c>
      <c r="W20">
        <f t="shared" si="15"/>
        <v>1.8075049801851266</v>
      </c>
      <c r="X20">
        <f t="shared" si="16"/>
        <v>3.2806410808734867</v>
      </c>
      <c r="Y20">
        <f t="shared" si="17"/>
        <v>1.7928540194618394</v>
      </c>
      <c r="Z20">
        <f t="shared" si="18"/>
        <v>-296.23543923186133</v>
      </c>
      <c r="AA20">
        <f t="shared" si="19"/>
        <v>-287.28560679619972</v>
      </c>
      <c r="AB20">
        <f t="shared" si="20"/>
        <v>-18.202147659851288</v>
      </c>
      <c r="AC20">
        <f t="shared" si="21"/>
        <v>-238.24874649966569</v>
      </c>
      <c r="AD20">
        <v>-4.1182110234551102E-2</v>
      </c>
      <c r="AE20">
        <v>4.6230526489287799E-2</v>
      </c>
      <c r="AF20">
        <v>3.45511199892458</v>
      </c>
      <c r="AG20">
        <v>0</v>
      </c>
      <c r="AH20">
        <v>0</v>
      </c>
      <c r="AI20">
        <f t="shared" si="22"/>
        <v>1</v>
      </c>
      <c r="AJ20">
        <f t="shared" si="23"/>
        <v>0</v>
      </c>
      <c r="AK20">
        <f t="shared" si="24"/>
        <v>52773.172500788962</v>
      </c>
      <c r="AL20">
        <v>0</v>
      </c>
      <c r="AM20">
        <v>2.4</v>
      </c>
      <c r="AN20">
        <v>3.6</v>
      </c>
      <c r="AO20">
        <f t="shared" si="25"/>
        <v>1.2000000000000002</v>
      </c>
      <c r="AP20">
        <f t="shared" si="26"/>
        <v>0.33333333333333337</v>
      </c>
      <c r="AQ20">
        <v>-1</v>
      </c>
      <c r="AR20" t="s">
        <v>366</v>
      </c>
      <c r="AS20">
        <v>233.220529411765</v>
      </c>
      <c r="AT20">
        <v>288.70800000000003</v>
      </c>
      <c r="AU20">
        <f t="shared" si="27"/>
        <v>0.1921923555572933</v>
      </c>
      <c r="AV20">
        <v>0.5</v>
      </c>
      <c r="AW20">
        <f t="shared" si="28"/>
        <v>1854.5884956369277</v>
      </c>
      <c r="AX20">
        <f t="shared" si="29"/>
        <v>4.6320084108618342</v>
      </c>
      <c r="AY20">
        <f t="shared" si="30"/>
        <v>178.21886578295906</v>
      </c>
      <c r="AZ20">
        <f t="shared" si="31"/>
        <v>0.40645912132673845</v>
      </c>
      <c r="BA20">
        <f t="shared" si="32"/>
        <v>3.0367968010756013E-3</v>
      </c>
      <c r="BB20">
        <f t="shared" si="33"/>
        <v>-0.98753065380938521</v>
      </c>
      <c r="BC20" t="s">
        <v>367</v>
      </c>
      <c r="BD20">
        <v>171.36</v>
      </c>
      <c r="BE20">
        <f t="shared" si="34"/>
        <v>117.34800000000001</v>
      </c>
      <c r="BF20">
        <f t="shared" si="35"/>
        <v>0.47284547319285392</v>
      </c>
      <c r="BG20">
        <f t="shared" si="36"/>
        <v>1.6994992846924175</v>
      </c>
      <c r="BH20">
        <f t="shared" si="37"/>
        <v>0.19380342354469668</v>
      </c>
      <c r="BI20">
        <f t="shared" si="38"/>
        <v>-237.58999999999997</v>
      </c>
      <c r="BJ20">
        <v>7380</v>
      </c>
      <c r="BK20">
        <v>300</v>
      </c>
      <c r="BL20">
        <v>300</v>
      </c>
      <c r="BM20">
        <v>300</v>
      </c>
      <c r="BN20">
        <v>9020.67</v>
      </c>
      <c r="BO20">
        <v>274.55900000000003</v>
      </c>
      <c r="BP20">
        <v>-5.8502700000000003E-3</v>
      </c>
      <c r="BQ20">
        <v>1.61887</v>
      </c>
      <c r="BR20" t="s">
        <v>347</v>
      </c>
      <c r="BS20" t="s">
        <v>347</v>
      </c>
      <c r="BT20" t="s">
        <v>347</v>
      </c>
      <c r="BU20" t="s">
        <v>347</v>
      </c>
      <c r="BV20" t="s">
        <v>347</v>
      </c>
      <c r="BW20" t="s">
        <v>347</v>
      </c>
      <c r="BX20" t="s">
        <v>347</v>
      </c>
      <c r="BY20" t="s">
        <v>347</v>
      </c>
      <c r="BZ20" t="s">
        <v>347</v>
      </c>
      <c r="CA20" t="s">
        <v>347</v>
      </c>
      <c r="CB20">
        <f t="shared" si="39"/>
        <v>2200.0038709677401</v>
      </c>
      <c r="CC20">
        <f t="shared" si="40"/>
        <v>1854.5884956369277</v>
      </c>
      <c r="CD20">
        <f t="shared" si="41"/>
        <v>0.84299328747141222</v>
      </c>
      <c r="CE20">
        <f t="shared" si="42"/>
        <v>0.19598657494282437</v>
      </c>
      <c r="CF20">
        <v>1564945552.0999999</v>
      </c>
      <c r="CG20">
        <v>97.884280645161297</v>
      </c>
      <c r="CH20">
        <v>100.00005483871</v>
      </c>
      <c r="CI20">
        <v>18.181503225806502</v>
      </c>
      <c r="CJ20">
        <v>15.5434612903226</v>
      </c>
      <c r="CK20">
        <v>500.00912903225799</v>
      </c>
      <c r="CL20">
        <v>99.314496774193501</v>
      </c>
      <c r="CM20">
        <v>9.9999251612903198E-2</v>
      </c>
      <c r="CN20">
        <v>25.525348387096798</v>
      </c>
      <c r="CO20">
        <v>27.100587096774198</v>
      </c>
      <c r="CP20">
        <v>999.9</v>
      </c>
      <c r="CQ20">
        <v>0</v>
      </c>
      <c r="CR20">
        <v>0</v>
      </c>
      <c r="CS20">
        <v>9999.8151612903202</v>
      </c>
      <c r="CT20">
        <v>0</v>
      </c>
      <c r="CU20">
        <v>1783.7493548387099</v>
      </c>
      <c r="CV20">
        <v>-2.1157438709677399</v>
      </c>
      <c r="CW20">
        <v>99.696922580645094</v>
      </c>
      <c r="CX20">
        <v>101.578903225806</v>
      </c>
      <c r="CY20">
        <v>2.6380377419354799</v>
      </c>
      <c r="CZ20">
        <v>94.206277419354805</v>
      </c>
      <c r="DA20">
        <v>100.00005483871</v>
      </c>
      <c r="DB20">
        <v>17.710503225806399</v>
      </c>
      <c r="DC20">
        <v>15.5434612903226</v>
      </c>
      <c r="DD20">
        <v>1.8056864516129001</v>
      </c>
      <c r="DE20">
        <v>1.54369064516129</v>
      </c>
      <c r="DF20">
        <v>15.836093548387099</v>
      </c>
      <c r="DG20">
        <v>13.407906451612901</v>
      </c>
      <c r="DH20">
        <v>2200.0038709677401</v>
      </c>
      <c r="DI20">
        <v>0.89999541935483895</v>
      </c>
      <c r="DJ20">
        <v>0.100004625806452</v>
      </c>
      <c r="DK20">
        <v>0</v>
      </c>
      <c r="DL20">
        <v>233.26083870967699</v>
      </c>
      <c r="DM20">
        <v>5.0002700000000004</v>
      </c>
      <c r="DN20">
        <v>9852.8706451612907</v>
      </c>
      <c r="DO20">
        <v>20016.096774193498</v>
      </c>
      <c r="DP20">
        <v>50.390999999999998</v>
      </c>
      <c r="DQ20">
        <v>50.864677419354798</v>
      </c>
      <c r="DR20">
        <v>50.901000000000003</v>
      </c>
      <c r="DS20">
        <v>49.875</v>
      </c>
      <c r="DT20">
        <v>51.096548387096803</v>
      </c>
      <c r="DU20">
        <v>1975.4948387096799</v>
      </c>
      <c r="DV20">
        <v>219.508064516129</v>
      </c>
      <c r="DW20">
        <v>0</v>
      </c>
      <c r="DX20">
        <v>99.100000143051105</v>
      </c>
      <c r="DY20">
        <v>233.220529411765</v>
      </c>
      <c r="DZ20">
        <v>-3.9997549090431801</v>
      </c>
      <c r="EA20">
        <v>269.27941090656498</v>
      </c>
      <c r="EB20">
        <v>9858.1</v>
      </c>
      <c r="EC20">
        <v>10</v>
      </c>
      <c r="ED20">
        <v>1564945523</v>
      </c>
      <c r="EE20" t="s">
        <v>368</v>
      </c>
      <c r="EF20">
        <v>58</v>
      </c>
      <c r="EG20">
        <v>3.6779999999999999</v>
      </c>
      <c r="EH20">
        <v>0.47099999999999997</v>
      </c>
      <c r="EI20">
        <v>100</v>
      </c>
      <c r="EJ20">
        <v>16</v>
      </c>
      <c r="EK20">
        <v>0.36</v>
      </c>
      <c r="EL20">
        <v>0.09</v>
      </c>
      <c r="EM20">
        <v>4.63508449309158</v>
      </c>
      <c r="EN20">
        <v>-0.197478780427744</v>
      </c>
      <c r="EO20">
        <v>0.124431785261832</v>
      </c>
      <c r="EP20">
        <v>1</v>
      </c>
      <c r="EQ20">
        <v>0.38419920458644702</v>
      </c>
      <c r="ER20">
        <v>2.4965750633160399E-3</v>
      </c>
      <c r="ES20">
        <v>5.2695584571672196E-3</v>
      </c>
      <c r="ET20">
        <v>1</v>
      </c>
      <c r="EU20">
        <v>2</v>
      </c>
      <c r="EV20">
        <v>2</v>
      </c>
      <c r="EW20" t="s">
        <v>349</v>
      </c>
      <c r="EX20">
        <v>2.9497300000000002</v>
      </c>
      <c r="EY20">
        <v>2.7776299999999998</v>
      </c>
      <c r="EZ20">
        <v>2.63772E-2</v>
      </c>
      <c r="FA20">
        <v>2.72448E-2</v>
      </c>
      <c r="FB20">
        <v>9.0809500000000001E-2</v>
      </c>
      <c r="FC20">
        <v>7.8631400000000004E-2</v>
      </c>
      <c r="FD20">
        <v>23430.799999999999</v>
      </c>
      <c r="FE20">
        <v>23514.799999999999</v>
      </c>
      <c r="FF20">
        <v>22632.7</v>
      </c>
      <c r="FG20">
        <v>26513.7</v>
      </c>
      <c r="FH20">
        <v>29425.599999999999</v>
      </c>
      <c r="FI20">
        <v>38327.699999999997</v>
      </c>
      <c r="FJ20">
        <v>32340.400000000001</v>
      </c>
      <c r="FK20">
        <v>42219.199999999997</v>
      </c>
      <c r="FL20">
        <v>1.9482999999999999</v>
      </c>
      <c r="FM20">
        <v>1.8288500000000001</v>
      </c>
      <c r="FN20">
        <v>3.9912799999999998E-2</v>
      </c>
      <c r="FO20">
        <v>0</v>
      </c>
      <c r="FP20">
        <v>26.4404</v>
      </c>
      <c r="FQ20">
        <v>999.9</v>
      </c>
      <c r="FR20">
        <v>27.414000000000001</v>
      </c>
      <c r="FS20">
        <v>44.182000000000002</v>
      </c>
      <c r="FT20">
        <v>25.505199999999999</v>
      </c>
      <c r="FU20">
        <v>61.777200000000001</v>
      </c>
      <c r="FV20">
        <v>45.889400000000002</v>
      </c>
      <c r="FW20">
        <v>1</v>
      </c>
      <c r="FX20">
        <v>0.52613299999999996</v>
      </c>
      <c r="FY20">
        <v>9.2810500000000005</v>
      </c>
      <c r="FZ20">
        <v>20.005500000000001</v>
      </c>
      <c r="GA20">
        <v>5.2262700000000004</v>
      </c>
      <c r="GB20">
        <v>11.962</v>
      </c>
      <c r="GC20">
        <v>4.9717000000000002</v>
      </c>
      <c r="GD20">
        <v>3.2949700000000002</v>
      </c>
      <c r="GE20">
        <v>9999</v>
      </c>
      <c r="GF20">
        <v>9999</v>
      </c>
      <c r="GG20">
        <v>461.2</v>
      </c>
      <c r="GH20">
        <v>9999</v>
      </c>
      <c r="GI20">
        <v>1.86659</v>
      </c>
      <c r="GJ20">
        <v>1.8660000000000001</v>
      </c>
      <c r="GK20">
        <v>1.86616</v>
      </c>
      <c r="GL20">
        <v>1.86917</v>
      </c>
      <c r="GM20">
        <v>1.8633999999999999</v>
      </c>
      <c r="GN20">
        <v>1.8615699999999999</v>
      </c>
      <c r="GO20">
        <v>1.8577699999999999</v>
      </c>
      <c r="GP20">
        <v>1.8638600000000001</v>
      </c>
      <c r="GQ20" t="s">
        <v>350</v>
      </c>
      <c r="GR20" t="s">
        <v>19</v>
      </c>
      <c r="GS20" t="s">
        <v>19</v>
      </c>
      <c r="GT20" t="s">
        <v>19</v>
      </c>
      <c r="GU20" t="s">
        <v>351</v>
      </c>
      <c r="GV20" t="s">
        <v>352</v>
      </c>
      <c r="GW20" t="s">
        <v>353</v>
      </c>
      <c r="GX20" t="s">
        <v>353</v>
      </c>
      <c r="GY20" t="s">
        <v>353</v>
      </c>
      <c r="GZ20" t="s">
        <v>353</v>
      </c>
      <c r="HA20">
        <v>0</v>
      </c>
      <c r="HB20">
        <v>100</v>
      </c>
      <c r="HC20">
        <v>100</v>
      </c>
      <c r="HD20">
        <v>3.6779999999999999</v>
      </c>
      <c r="HE20">
        <v>0.47099999999999997</v>
      </c>
      <c r="HF20">
        <v>2</v>
      </c>
      <c r="HG20">
        <v>503.363</v>
      </c>
      <c r="HH20">
        <v>464.22899999999998</v>
      </c>
      <c r="HI20">
        <v>18.328800000000001</v>
      </c>
      <c r="HJ20">
        <v>33.613700000000001</v>
      </c>
      <c r="HK20">
        <v>30.001000000000001</v>
      </c>
      <c r="HL20">
        <v>33.507800000000003</v>
      </c>
      <c r="HM20">
        <v>33.489899999999999</v>
      </c>
      <c r="HN20">
        <v>7.5642699999999996</v>
      </c>
      <c r="HO20">
        <v>38.762700000000002</v>
      </c>
      <c r="HP20">
        <v>0</v>
      </c>
      <c r="HQ20">
        <v>18.220300000000002</v>
      </c>
      <c r="HR20">
        <v>100</v>
      </c>
      <c r="HS20">
        <v>15.5665</v>
      </c>
      <c r="HT20">
        <v>99.537700000000001</v>
      </c>
      <c r="HU20">
        <v>102.959</v>
      </c>
    </row>
    <row r="21" spans="1:229" x14ac:dyDescent="0.35">
      <c r="A21">
        <v>5</v>
      </c>
      <c r="B21">
        <v>1564945660.5999999</v>
      </c>
      <c r="C21">
        <v>428.09999990463302</v>
      </c>
      <c r="D21" t="s">
        <v>369</v>
      </c>
      <c r="E21" t="s">
        <v>370</v>
      </c>
      <c r="G21">
        <v>1564945652.5999999</v>
      </c>
      <c r="H21">
        <f t="shared" si="0"/>
        <v>7.9141895110077208E-3</v>
      </c>
      <c r="I21">
        <f t="shared" si="1"/>
        <v>0.31437733646571009</v>
      </c>
      <c r="J21">
        <f t="shared" si="2"/>
        <v>49.725006451612899</v>
      </c>
      <c r="K21">
        <f t="shared" si="3"/>
        <v>47.205410736283604</v>
      </c>
      <c r="L21">
        <f t="shared" si="4"/>
        <v>4.6927968927623072</v>
      </c>
      <c r="M21">
        <f t="shared" si="5"/>
        <v>4.9432756145759971</v>
      </c>
      <c r="N21">
        <f t="shared" si="6"/>
        <v>0.47251139325238584</v>
      </c>
      <c r="O21">
        <f t="shared" si="7"/>
        <v>3.382423061691072</v>
      </c>
      <c r="P21">
        <f t="shared" si="8"/>
        <v>0.43866599798226963</v>
      </c>
      <c r="Q21">
        <f t="shared" si="9"/>
        <v>0.27700482967265339</v>
      </c>
      <c r="R21">
        <f t="shared" si="10"/>
        <v>363.46694435073374</v>
      </c>
      <c r="S21">
        <f t="shared" si="11"/>
        <v>25.65306174145795</v>
      </c>
      <c r="T21">
        <f t="shared" si="12"/>
        <v>26.980922580645199</v>
      </c>
      <c r="U21">
        <f t="shared" si="13"/>
        <v>3.5751513336388676</v>
      </c>
      <c r="V21">
        <f t="shared" si="14"/>
        <v>55.617179111062264</v>
      </c>
      <c r="W21">
        <f t="shared" si="15"/>
        <v>1.8303674347911152</v>
      </c>
      <c r="X21">
        <f t="shared" si="16"/>
        <v>3.2910109143364572</v>
      </c>
      <c r="Y21">
        <f t="shared" si="17"/>
        <v>1.7447838988477524</v>
      </c>
      <c r="Z21">
        <f t="shared" si="18"/>
        <v>-349.01575743544049</v>
      </c>
      <c r="AA21">
        <f t="shared" si="19"/>
        <v>-255.73564602030862</v>
      </c>
      <c r="AB21">
        <f t="shared" si="20"/>
        <v>-16.199766987872394</v>
      </c>
      <c r="AC21">
        <f t="shared" si="21"/>
        <v>-257.48422609288775</v>
      </c>
      <c r="AD21">
        <v>-4.1175590504921498E-2</v>
      </c>
      <c r="AE21">
        <v>4.6223207521618903E-2</v>
      </c>
      <c r="AF21">
        <v>3.4546790086675201</v>
      </c>
      <c r="AG21">
        <v>0</v>
      </c>
      <c r="AH21">
        <v>0</v>
      </c>
      <c r="AI21">
        <f t="shared" si="22"/>
        <v>1</v>
      </c>
      <c r="AJ21">
        <f t="shared" si="23"/>
        <v>0</v>
      </c>
      <c r="AK21">
        <f t="shared" si="24"/>
        <v>52755.717058965143</v>
      </c>
      <c r="AL21">
        <v>0</v>
      </c>
      <c r="AM21">
        <v>2.4</v>
      </c>
      <c r="AN21">
        <v>3.6</v>
      </c>
      <c r="AO21">
        <f t="shared" si="25"/>
        <v>1.2000000000000002</v>
      </c>
      <c r="AP21">
        <f t="shared" si="26"/>
        <v>0.33333333333333337</v>
      </c>
      <c r="AQ21">
        <v>-1</v>
      </c>
      <c r="AR21" t="s">
        <v>371</v>
      </c>
      <c r="AS21">
        <v>234.16388235294099</v>
      </c>
      <c r="AT21">
        <v>283.65600000000001</v>
      </c>
      <c r="AU21">
        <f t="shared" si="27"/>
        <v>0.17447936108194084</v>
      </c>
      <c r="AV21">
        <v>0.5</v>
      </c>
      <c r="AW21">
        <f t="shared" si="28"/>
        <v>1854.550890150857</v>
      </c>
      <c r="AX21">
        <f t="shared" si="29"/>
        <v>0.31437733646571009</v>
      </c>
      <c r="AY21">
        <f t="shared" si="30"/>
        <v>161.79042720373309</v>
      </c>
      <c r="AZ21">
        <f t="shared" si="31"/>
        <v>0.38975378627633472</v>
      </c>
      <c r="BA21">
        <f t="shared" si="32"/>
        <v>7.0873080024177343E-4</v>
      </c>
      <c r="BB21">
        <f t="shared" si="33"/>
        <v>-0.98730857094508828</v>
      </c>
      <c r="BC21" t="s">
        <v>372</v>
      </c>
      <c r="BD21">
        <v>173.1</v>
      </c>
      <c r="BE21">
        <f t="shared" si="34"/>
        <v>110.55600000000001</v>
      </c>
      <c r="BF21">
        <f t="shared" si="35"/>
        <v>0.4476655961418558</v>
      </c>
      <c r="BG21">
        <f t="shared" si="36"/>
        <v>1.6522477876106194</v>
      </c>
      <c r="BH21">
        <f t="shared" si="37"/>
        <v>0.17596821986751932</v>
      </c>
      <c r="BI21">
        <f t="shared" si="38"/>
        <v>-233.37999999999994</v>
      </c>
      <c r="BJ21">
        <v>7382</v>
      </c>
      <c r="BK21">
        <v>300</v>
      </c>
      <c r="BL21">
        <v>300</v>
      </c>
      <c r="BM21">
        <v>300</v>
      </c>
      <c r="BN21">
        <v>9018.8700000000008</v>
      </c>
      <c r="BO21">
        <v>268.70299999999997</v>
      </c>
      <c r="BP21">
        <v>-5.8490699999999996E-3</v>
      </c>
      <c r="BQ21">
        <v>0.484985</v>
      </c>
      <c r="BR21" t="s">
        <v>347</v>
      </c>
      <c r="BS21" t="s">
        <v>347</v>
      </c>
      <c r="BT21" t="s">
        <v>347</v>
      </c>
      <c r="BU21" t="s">
        <v>347</v>
      </c>
      <c r="BV21" t="s">
        <v>347</v>
      </c>
      <c r="BW21" t="s">
        <v>347</v>
      </c>
      <c r="BX21" t="s">
        <v>347</v>
      </c>
      <c r="BY21" t="s">
        <v>347</v>
      </c>
      <c r="BZ21" t="s">
        <v>347</v>
      </c>
      <c r="CA21" t="s">
        <v>347</v>
      </c>
      <c r="CB21">
        <f t="shared" si="39"/>
        <v>2199.9593548387102</v>
      </c>
      <c r="CC21">
        <f t="shared" si="40"/>
        <v>1854.550890150857</v>
      </c>
      <c r="CD21">
        <f t="shared" si="41"/>
        <v>0.84299325170342665</v>
      </c>
      <c r="CE21">
        <f t="shared" si="42"/>
        <v>0.19598650340685331</v>
      </c>
      <c r="CF21">
        <v>1564945652.5999999</v>
      </c>
      <c r="CG21">
        <v>49.725006451612899</v>
      </c>
      <c r="CH21">
        <v>50.008164516129</v>
      </c>
      <c r="CI21">
        <v>18.411887096774201</v>
      </c>
      <c r="CJ21">
        <v>15.304564516129</v>
      </c>
      <c r="CK21">
        <v>500.01080645161301</v>
      </c>
      <c r="CL21">
        <v>99.3122677419355</v>
      </c>
      <c r="CM21">
        <v>9.9999190322580603E-2</v>
      </c>
      <c r="CN21">
        <v>25.5785032258065</v>
      </c>
      <c r="CO21">
        <v>26.980922580645199</v>
      </c>
      <c r="CP21">
        <v>999.9</v>
      </c>
      <c r="CQ21">
        <v>0</v>
      </c>
      <c r="CR21">
        <v>0</v>
      </c>
      <c r="CS21">
        <v>9998.4564516128994</v>
      </c>
      <c r="CT21">
        <v>0</v>
      </c>
      <c r="CU21">
        <v>1769.02967741935</v>
      </c>
      <c r="CV21">
        <v>-0.283154838709677</v>
      </c>
      <c r="CW21">
        <v>50.6577032258065</v>
      </c>
      <c r="CX21">
        <v>50.785390322580596</v>
      </c>
      <c r="CY21">
        <v>3.1073406451612899</v>
      </c>
      <c r="CZ21">
        <v>46.031006451612903</v>
      </c>
      <c r="DA21">
        <v>50.008164516129</v>
      </c>
      <c r="DB21">
        <v>17.940887096774201</v>
      </c>
      <c r="DC21">
        <v>15.304564516129</v>
      </c>
      <c r="DD21">
        <v>1.8285264516129001</v>
      </c>
      <c r="DE21">
        <v>1.51993</v>
      </c>
      <c r="DF21">
        <v>16.032764516128999</v>
      </c>
      <c r="DG21">
        <v>13.1700258064516</v>
      </c>
      <c r="DH21">
        <v>2199.9593548387102</v>
      </c>
      <c r="DI21">
        <v>0.899997548387097</v>
      </c>
      <c r="DJ21">
        <v>0.100002332258064</v>
      </c>
      <c r="DK21">
        <v>0</v>
      </c>
      <c r="DL21">
        <v>234.26122580645199</v>
      </c>
      <c r="DM21">
        <v>5.0002700000000004</v>
      </c>
      <c r="DN21">
        <v>9845.39806451613</v>
      </c>
      <c r="DO21">
        <v>20015.706451612899</v>
      </c>
      <c r="DP21">
        <v>50.686999999999998</v>
      </c>
      <c r="DQ21">
        <v>51.4270322580645</v>
      </c>
      <c r="DR21">
        <v>51.174999999999997</v>
      </c>
      <c r="DS21">
        <v>50.28</v>
      </c>
      <c r="DT21">
        <v>51.338419354838699</v>
      </c>
      <c r="DU21">
        <v>1975.4570967741899</v>
      </c>
      <c r="DV21">
        <v>219.500967741935</v>
      </c>
      <c r="DW21">
        <v>0</v>
      </c>
      <c r="DX21">
        <v>99.5</v>
      </c>
      <c r="DY21">
        <v>234.16388235294099</v>
      </c>
      <c r="DZ21">
        <v>0.82524508768430704</v>
      </c>
      <c r="EA21">
        <v>122.700979317102</v>
      </c>
      <c r="EB21">
        <v>9841.96529411765</v>
      </c>
      <c r="EC21">
        <v>10</v>
      </c>
      <c r="ED21">
        <v>1564945628.0999999</v>
      </c>
      <c r="EE21" t="s">
        <v>373</v>
      </c>
      <c r="EF21">
        <v>59</v>
      </c>
      <c r="EG21">
        <v>3.694</v>
      </c>
      <c r="EH21">
        <v>0.47099999999999997</v>
      </c>
      <c r="EI21">
        <v>50</v>
      </c>
      <c r="EJ21">
        <v>15</v>
      </c>
      <c r="EK21">
        <v>0.38</v>
      </c>
      <c r="EL21">
        <v>0.05</v>
      </c>
      <c r="EM21">
        <v>0.31050453706946601</v>
      </c>
      <c r="EN21">
        <v>-7.7242216975011505E-2</v>
      </c>
      <c r="EO21">
        <v>7.2667547685396794E-2</v>
      </c>
      <c r="EP21">
        <v>1</v>
      </c>
      <c r="EQ21">
        <v>0.46675056362573297</v>
      </c>
      <c r="ER21">
        <v>8.5252796864989502E-2</v>
      </c>
      <c r="ES21">
        <v>1.2035757954124199E-2</v>
      </c>
      <c r="ET21">
        <v>1</v>
      </c>
      <c r="EU21">
        <v>2</v>
      </c>
      <c r="EV21">
        <v>2</v>
      </c>
      <c r="EW21" t="s">
        <v>349</v>
      </c>
      <c r="EX21">
        <v>2.9493900000000002</v>
      </c>
      <c r="EY21">
        <v>2.77712</v>
      </c>
      <c r="EZ21">
        <v>1.3088199999999999E-2</v>
      </c>
      <c r="FA21">
        <v>1.38531E-2</v>
      </c>
      <c r="FB21">
        <v>9.1412999999999994E-2</v>
      </c>
      <c r="FC21">
        <v>7.7416399999999996E-2</v>
      </c>
      <c r="FD21">
        <v>23741.5</v>
      </c>
      <c r="FE21">
        <v>23827.5</v>
      </c>
      <c r="FF21">
        <v>22625.1</v>
      </c>
      <c r="FG21">
        <v>26502.799999999999</v>
      </c>
      <c r="FH21">
        <v>29396.799999999999</v>
      </c>
      <c r="FI21">
        <v>38364.699999999997</v>
      </c>
      <c r="FJ21">
        <v>32330.3</v>
      </c>
      <c r="FK21">
        <v>42204.800000000003</v>
      </c>
      <c r="FL21">
        <v>1.94662</v>
      </c>
      <c r="FM21">
        <v>1.8248800000000001</v>
      </c>
      <c r="FN21">
        <v>1.2815E-2</v>
      </c>
      <c r="FO21">
        <v>0</v>
      </c>
      <c r="FP21">
        <v>26.761099999999999</v>
      </c>
      <c r="FQ21">
        <v>999.9</v>
      </c>
      <c r="FR21">
        <v>27.439</v>
      </c>
      <c r="FS21">
        <v>44.222000000000001</v>
      </c>
      <c r="FT21">
        <v>25.581399999999999</v>
      </c>
      <c r="FU21">
        <v>61.797199999999997</v>
      </c>
      <c r="FV21">
        <v>45.885399999999997</v>
      </c>
      <c r="FW21">
        <v>1</v>
      </c>
      <c r="FX21">
        <v>0.53543700000000005</v>
      </c>
      <c r="FY21">
        <v>8.1271100000000001</v>
      </c>
      <c r="FZ21">
        <v>20.063500000000001</v>
      </c>
      <c r="GA21">
        <v>5.2234299999999996</v>
      </c>
      <c r="GB21">
        <v>11.962</v>
      </c>
      <c r="GC21">
        <v>4.9708500000000004</v>
      </c>
      <c r="GD21">
        <v>3.2944</v>
      </c>
      <c r="GE21">
        <v>9999</v>
      </c>
      <c r="GF21">
        <v>9999</v>
      </c>
      <c r="GG21">
        <v>461.2</v>
      </c>
      <c r="GH21">
        <v>9999</v>
      </c>
      <c r="GI21">
        <v>1.8665799999999999</v>
      </c>
      <c r="GJ21">
        <v>1.8660000000000001</v>
      </c>
      <c r="GK21">
        <v>1.86615</v>
      </c>
      <c r="GL21">
        <v>1.8692</v>
      </c>
      <c r="GM21">
        <v>1.8633999999999999</v>
      </c>
      <c r="GN21">
        <v>1.8615699999999999</v>
      </c>
      <c r="GO21">
        <v>1.8577699999999999</v>
      </c>
      <c r="GP21">
        <v>1.8638600000000001</v>
      </c>
      <c r="GQ21" t="s">
        <v>350</v>
      </c>
      <c r="GR21" t="s">
        <v>19</v>
      </c>
      <c r="GS21" t="s">
        <v>19</v>
      </c>
      <c r="GT21" t="s">
        <v>19</v>
      </c>
      <c r="GU21" t="s">
        <v>351</v>
      </c>
      <c r="GV21" t="s">
        <v>352</v>
      </c>
      <c r="GW21" t="s">
        <v>353</v>
      </c>
      <c r="GX21" t="s">
        <v>353</v>
      </c>
      <c r="GY21" t="s">
        <v>353</v>
      </c>
      <c r="GZ21" t="s">
        <v>353</v>
      </c>
      <c r="HA21">
        <v>0</v>
      </c>
      <c r="HB21">
        <v>100</v>
      </c>
      <c r="HC21">
        <v>100</v>
      </c>
      <c r="HD21">
        <v>3.694</v>
      </c>
      <c r="HE21">
        <v>0.47099999999999997</v>
      </c>
      <c r="HF21">
        <v>2</v>
      </c>
      <c r="HG21">
        <v>503.38299999999998</v>
      </c>
      <c r="HH21">
        <v>462.71499999999997</v>
      </c>
      <c r="HI21">
        <v>18.7624</v>
      </c>
      <c r="HJ21">
        <v>33.790300000000002</v>
      </c>
      <c r="HK21">
        <v>30.001300000000001</v>
      </c>
      <c r="HL21">
        <v>33.652500000000003</v>
      </c>
      <c r="HM21">
        <v>33.637999999999998</v>
      </c>
      <c r="HN21">
        <v>5.1951099999999997</v>
      </c>
      <c r="HO21">
        <v>40.523000000000003</v>
      </c>
      <c r="HP21">
        <v>0</v>
      </c>
      <c r="HQ21">
        <v>18.751300000000001</v>
      </c>
      <c r="HR21">
        <v>50</v>
      </c>
      <c r="HS21">
        <v>15.135</v>
      </c>
      <c r="HT21">
        <v>99.505600000000001</v>
      </c>
      <c r="HU21">
        <v>102.92100000000001</v>
      </c>
    </row>
    <row r="22" spans="1:229" x14ac:dyDescent="0.35">
      <c r="A22">
        <v>6</v>
      </c>
      <c r="B22">
        <v>1564945757.5999999</v>
      </c>
      <c r="C22">
        <v>525.09999990463302</v>
      </c>
      <c r="D22" t="s">
        <v>374</v>
      </c>
      <c r="E22" t="s">
        <v>375</v>
      </c>
      <c r="G22">
        <v>1564945749.5999999</v>
      </c>
      <c r="H22">
        <f t="shared" si="0"/>
        <v>8.8324448886933655E-3</v>
      </c>
      <c r="I22">
        <f t="shared" si="1"/>
        <v>-3.8824895650762103</v>
      </c>
      <c r="J22">
        <f t="shared" si="2"/>
        <v>14.0099580645161</v>
      </c>
      <c r="K22">
        <f t="shared" si="3"/>
        <v>25.891840625026152</v>
      </c>
      <c r="L22">
        <f t="shared" si="4"/>
        <v>2.573943828941478</v>
      </c>
      <c r="M22">
        <f t="shared" si="5"/>
        <v>1.3927493848789936</v>
      </c>
      <c r="N22">
        <f t="shared" si="6"/>
        <v>0.53652292200370399</v>
      </c>
      <c r="O22">
        <f t="shared" si="7"/>
        <v>3.3827355589730312</v>
      </c>
      <c r="P22">
        <f t="shared" si="8"/>
        <v>0.49333883396196015</v>
      </c>
      <c r="Q22">
        <f t="shared" si="9"/>
        <v>0.3119265257217414</v>
      </c>
      <c r="R22">
        <f t="shared" si="10"/>
        <v>363.4733872488336</v>
      </c>
      <c r="S22">
        <f t="shared" si="11"/>
        <v>25.766178993394355</v>
      </c>
      <c r="T22">
        <f t="shared" si="12"/>
        <v>27.0241096774194</v>
      </c>
      <c r="U22">
        <f t="shared" si="13"/>
        <v>3.5842309915963617</v>
      </c>
      <c r="V22">
        <f t="shared" si="14"/>
        <v>55.24329058409262</v>
      </c>
      <c r="W22">
        <f t="shared" si="15"/>
        <v>1.8531020396191298</v>
      </c>
      <c r="X22">
        <f t="shared" si="16"/>
        <v>3.3544381951656099</v>
      </c>
      <c r="Y22">
        <f t="shared" si="17"/>
        <v>1.7311289519772319</v>
      </c>
      <c r="Z22">
        <f t="shared" si="18"/>
        <v>-389.51081959137741</v>
      </c>
      <c r="AA22">
        <f t="shared" si="19"/>
        <v>-204.91685923654964</v>
      </c>
      <c r="AB22">
        <f t="shared" si="20"/>
        <v>-13.003157349906578</v>
      </c>
      <c r="AC22">
        <f t="shared" si="21"/>
        <v>-243.95744892900004</v>
      </c>
      <c r="AD22">
        <v>-4.1180423588929101E-2</v>
      </c>
      <c r="AE22">
        <v>4.6228633081818897E-2</v>
      </c>
      <c r="AF22">
        <v>3.45499998716511</v>
      </c>
      <c r="AG22">
        <v>0</v>
      </c>
      <c r="AH22">
        <v>0</v>
      </c>
      <c r="AI22">
        <f t="shared" si="22"/>
        <v>1</v>
      </c>
      <c r="AJ22">
        <f t="shared" si="23"/>
        <v>0</v>
      </c>
      <c r="AK22">
        <f t="shared" si="24"/>
        <v>52704.802921570765</v>
      </c>
      <c r="AL22">
        <v>0</v>
      </c>
      <c r="AM22">
        <v>2.4</v>
      </c>
      <c r="AN22">
        <v>3.6</v>
      </c>
      <c r="AO22">
        <f t="shared" si="25"/>
        <v>1.2000000000000002</v>
      </c>
      <c r="AP22">
        <f t="shared" si="26"/>
        <v>0.33333333333333337</v>
      </c>
      <c r="AQ22">
        <v>-1</v>
      </c>
      <c r="AR22" t="s">
        <v>376</v>
      </c>
      <c r="AS22">
        <v>236.61435294117601</v>
      </c>
      <c r="AT22">
        <v>273.57100000000003</v>
      </c>
      <c r="AU22">
        <f t="shared" si="27"/>
        <v>0.13508978312329889</v>
      </c>
      <c r="AV22">
        <v>0.5</v>
      </c>
      <c r="AW22">
        <f t="shared" si="28"/>
        <v>1854.5842782131642</v>
      </c>
      <c r="AX22">
        <f t="shared" si="29"/>
        <v>-3.8824895650762103</v>
      </c>
      <c r="AY22">
        <f t="shared" si="30"/>
        <v>125.26769396384809</v>
      </c>
      <c r="AZ22">
        <f t="shared" si="31"/>
        <v>0.34824963172266066</v>
      </c>
      <c r="BA22">
        <f t="shared" si="32"/>
        <v>-1.5542510518062849E-3</v>
      </c>
      <c r="BB22">
        <f t="shared" si="33"/>
        <v>-0.98684071045542099</v>
      </c>
      <c r="BC22" t="s">
        <v>377</v>
      </c>
      <c r="BD22">
        <v>178.3</v>
      </c>
      <c r="BE22">
        <f t="shared" si="34"/>
        <v>95.271000000000015</v>
      </c>
      <c r="BF22">
        <f t="shared" si="35"/>
        <v>0.38791077094629017</v>
      </c>
      <c r="BG22">
        <f t="shared" si="36"/>
        <v>1.5453405838580423</v>
      </c>
      <c r="BH22">
        <f t="shared" si="37"/>
        <v>0.1362853957791357</v>
      </c>
      <c r="BI22">
        <f t="shared" si="38"/>
        <v>-224.9758333333333</v>
      </c>
      <c r="BJ22">
        <v>7384</v>
      </c>
      <c r="BK22">
        <v>300</v>
      </c>
      <c r="BL22">
        <v>300</v>
      </c>
      <c r="BM22">
        <v>300</v>
      </c>
      <c r="BN22">
        <v>9016.51</v>
      </c>
      <c r="BO22">
        <v>263.75099999999998</v>
      </c>
      <c r="BP22">
        <v>-5.8473800000000001E-3</v>
      </c>
      <c r="BQ22">
        <v>0.68899500000000002</v>
      </c>
      <c r="BR22" t="s">
        <v>347</v>
      </c>
      <c r="BS22" t="s">
        <v>347</v>
      </c>
      <c r="BT22" t="s">
        <v>347</v>
      </c>
      <c r="BU22" t="s">
        <v>347</v>
      </c>
      <c r="BV22" t="s">
        <v>347</v>
      </c>
      <c r="BW22" t="s">
        <v>347</v>
      </c>
      <c r="BX22" t="s">
        <v>347</v>
      </c>
      <c r="BY22" t="s">
        <v>347</v>
      </c>
      <c r="BZ22" t="s">
        <v>347</v>
      </c>
      <c r="CA22" t="s">
        <v>347</v>
      </c>
      <c r="CB22">
        <f t="shared" si="39"/>
        <v>2199.9990322580702</v>
      </c>
      <c r="CC22">
        <f t="shared" si="40"/>
        <v>1854.5842782131642</v>
      </c>
      <c r="CD22">
        <f t="shared" si="41"/>
        <v>0.84299322455138825</v>
      </c>
      <c r="CE22">
        <f t="shared" si="42"/>
        <v>0.19598644910277638</v>
      </c>
      <c r="CF22">
        <v>1564945749.5999999</v>
      </c>
      <c r="CG22">
        <v>14.0099580645161</v>
      </c>
      <c r="CH22">
        <v>12.5064806451613</v>
      </c>
      <c r="CI22">
        <v>18.640741935483899</v>
      </c>
      <c r="CJ22">
        <v>15.1736709677419</v>
      </c>
      <c r="CK22">
        <v>500.00716129032298</v>
      </c>
      <c r="CL22">
        <v>99.311396774193597</v>
      </c>
      <c r="CM22">
        <v>9.9991787096774198E-2</v>
      </c>
      <c r="CN22">
        <v>25.9004774193548</v>
      </c>
      <c r="CO22">
        <v>27.0241096774194</v>
      </c>
      <c r="CP22">
        <v>999.9</v>
      </c>
      <c r="CQ22">
        <v>0</v>
      </c>
      <c r="CR22">
        <v>0</v>
      </c>
      <c r="CS22">
        <v>9999.7177419354794</v>
      </c>
      <c r="CT22">
        <v>0</v>
      </c>
      <c r="CU22">
        <v>1756.37838709677</v>
      </c>
      <c r="CV22">
        <v>1.50347129032258</v>
      </c>
      <c r="CW22">
        <v>14.276077419354801</v>
      </c>
      <c r="CX22">
        <v>12.6991709677419</v>
      </c>
      <c r="CY22">
        <v>3.4670764516129</v>
      </c>
      <c r="CZ22">
        <v>10.174958064516099</v>
      </c>
      <c r="DA22">
        <v>12.5064806451613</v>
      </c>
      <c r="DB22">
        <v>18.1737419354839</v>
      </c>
      <c r="DC22">
        <v>15.1736709677419</v>
      </c>
      <c r="DD22">
        <v>1.85123774193548</v>
      </c>
      <c r="DE22">
        <v>1.50691806451613</v>
      </c>
      <c r="DF22">
        <v>16.226264516129</v>
      </c>
      <c r="DG22">
        <v>13.0384677419355</v>
      </c>
      <c r="DH22">
        <v>2199.9990322580702</v>
      </c>
      <c r="DI22">
        <v>0.89999870967741902</v>
      </c>
      <c r="DJ22">
        <v>0.100001196774194</v>
      </c>
      <c r="DK22">
        <v>0</v>
      </c>
      <c r="DL22">
        <v>236.59461290322599</v>
      </c>
      <c r="DM22">
        <v>5.0002700000000004</v>
      </c>
      <c r="DN22">
        <v>9756.6541935483892</v>
      </c>
      <c r="DO22">
        <v>20016.0903225806</v>
      </c>
      <c r="DP22">
        <v>51.0741935483871</v>
      </c>
      <c r="DQ22">
        <v>51.997774193548402</v>
      </c>
      <c r="DR22">
        <v>51.552</v>
      </c>
      <c r="DS22">
        <v>50.8181935483871</v>
      </c>
      <c r="DT22">
        <v>51.723580645161299</v>
      </c>
      <c r="DU22">
        <v>1975.49451612903</v>
      </c>
      <c r="DV22">
        <v>219.50290322580599</v>
      </c>
      <c r="DW22">
        <v>0</v>
      </c>
      <c r="DX22">
        <v>96</v>
      </c>
      <c r="DY22">
        <v>236.61435294117601</v>
      </c>
      <c r="DZ22">
        <v>0.74681375283881801</v>
      </c>
      <c r="EA22">
        <v>-393.38725531360001</v>
      </c>
      <c r="EB22">
        <v>9749.4858823529394</v>
      </c>
      <c r="EC22">
        <v>10</v>
      </c>
      <c r="ED22">
        <v>1564945722.0999999</v>
      </c>
      <c r="EE22" t="s">
        <v>378</v>
      </c>
      <c r="EF22">
        <v>60</v>
      </c>
      <c r="EG22">
        <v>3.835</v>
      </c>
      <c r="EH22">
        <v>0.46700000000000003</v>
      </c>
      <c r="EI22">
        <v>13</v>
      </c>
      <c r="EJ22">
        <v>15</v>
      </c>
      <c r="EK22">
        <v>0.45</v>
      </c>
      <c r="EL22">
        <v>0.04</v>
      </c>
      <c r="EM22">
        <v>-3.89166888912805</v>
      </c>
      <c r="EN22">
        <v>0.26734856918191802</v>
      </c>
      <c r="EO22">
        <v>7.5718512331914595E-2</v>
      </c>
      <c r="EP22">
        <v>1</v>
      </c>
      <c r="EQ22">
        <v>0.53147830697609499</v>
      </c>
      <c r="ER22">
        <v>8.4803506177173901E-2</v>
      </c>
      <c r="ES22">
        <v>9.0028821528789597E-3</v>
      </c>
      <c r="ET22">
        <v>1</v>
      </c>
      <c r="EU22">
        <v>2</v>
      </c>
      <c r="EV22">
        <v>2</v>
      </c>
      <c r="EW22" t="s">
        <v>349</v>
      </c>
      <c r="EX22">
        <v>2.9494099999999999</v>
      </c>
      <c r="EY22">
        <v>2.77759</v>
      </c>
      <c r="EZ22">
        <v>2.9004399999999998E-3</v>
      </c>
      <c r="FA22">
        <v>3.46569E-3</v>
      </c>
      <c r="FB22">
        <v>9.2350000000000002E-2</v>
      </c>
      <c r="FC22">
        <v>7.6897999999999994E-2</v>
      </c>
      <c r="FD22">
        <v>23971.9</v>
      </c>
      <c r="FE22">
        <v>24061.4</v>
      </c>
      <c r="FF22">
        <v>22612.5</v>
      </c>
      <c r="FG22">
        <v>26486</v>
      </c>
      <c r="FH22">
        <v>29351.1</v>
      </c>
      <c r="FI22">
        <v>38365.1</v>
      </c>
      <c r="FJ22">
        <v>32313.4</v>
      </c>
      <c r="FK22">
        <v>42181.9</v>
      </c>
      <c r="FL22">
        <v>1.9440299999999999</v>
      </c>
      <c r="FM22">
        <v>1.8206</v>
      </c>
      <c r="FN22">
        <v>-3.2782599999999999E-3</v>
      </c>
      <c r="FO22">
        <v>0</v>
      </c>
      <c r="FP22">
        <v>27.070599999999999</v>
      </c>
      <c r="FQ22">
        <v>999.9</v>
      </c>
      <c r="FR22">
        <v>27.463000000000001</v>
      </c>
      <c r="FS22">
        <v>44.283000000000001</v>
      </c>
      <c r="FT22">
        <v>25.682600000000001</v>
      </c>
      <c r="FU22">
        <v>61.697200000000002</v>
      </c>
      <c r="FV22">
        <v>45.837299999999999</v>
      </c>
      <c r="FW22">
        <v>1</v>
      </c>
      <c r="FX22">
        <v>0.55823699999999998</v>
      </c>
      <c r="FY22">
        <v>8.0525400000000005</v>
      </c>
      <c r="FZ22">
        <v>20.062799999999999</v>
      </c>
      <c r="GA22">
        <v>5.2226800000000004</v>
      </c>
      <c r="GB22">
        <v>11.962</v>
      </c>
      <c r="GC22">
        <v>4.9709000000000003</v>
      </c>
      <c r="GD22">
        <v>3.2944800000000001</v>
      </c>
      <c r="GE22">
        <v>9999</v>
      </c>
      <c r="GF22">
        <v>9999</v>
      </c>
      <c r="GG22">
        <v>461.2</v>
      </c>
      <c r="GH22">
        <v>9999</v>
      </c>
      <c r="GI22">
        <v>1.8665700000000001</v>
      </c>
      <c r="GJ22">
        <v>1.8660000000000001</v>
      </c>
      <c r="GK22">
        <v>1.86615</v>
      </c>
      <c r="GL22">
        <v>1.86917</v>
      </c>
      <c r="GM22">
        <v>1.8634200000000001</v>
      </c>
      <c r="GN22">
        <v>1.8615699999999999</v>
      </c>
      <c r="GO22">
        <v>1.8577600000000001</v>
      </c>
      <c r="GP22">
        <v>1.8638699999999999</v>
      </c>
      <c r="GQ22" t="s">
        <v>350</v>
      </c>
      <c r="GR22" t="s">
        <v>19</v>
      </c>
      <c r="GS22" t="s">
        <v>19</v>
      </c>
      <c r="GT22" t="s">
        <v>19</v>
      </c>
      <c r="GU22" t="s">
        <v>351</v>
      </c>
      <c r="GV22" t="s">
        <v>352</v>
      </c>
      <c r="GW22" t="s">
        <v>353</v>
      </c>
      <c r="GX22" t="s">
        <v>353</v>
      </c>
      <c r="GY22" t="s">
        <v>353</v>
      </c>
      <c r="GZ22" t="s">
        <v>353</v>
      </c>
      <c r="HA22">
        <v>0</v>
      </c>
      <c r="HB22">
        <v>100</v>
      </c>
      <c r="HC22">
        <v>100</v>
      </c>
      <c r="HD22">
        <v>3.835</v>
      </c>
      <c r="HE22">
        <v>0.46700000000000003</v>
      </c>
      <c r="HF22">
        <v>2</v>
      </c>
      <c r="HG22">
        <v>503.37400000000002</v>
      </c>
      <c r="HH22">
        <v>461.536</v>
      </c>
      <c r="HI22">
        <v>19.262</v>
      </c>
      <c r="HJ22">
        <v>34.043599999999998</v>
      </c>
      <c r="HK22">
        <v>30.0017</v>
      </c>
      <c r="HL22">
        <v>33.872500000000002</v>
      </c>
      <c r="HM22">
        <v>33.859099999999998</v>
      </c>
      <c r="HN22">
        <v>3.4544000000000001</v>
      </c>
      <c r="HO22">
        <v>41.277000000000001</v>
      </c>
      <c r="HP22">
        <v>0</v>
      </c>
      <c r="HQ22">
        <v>19.248699999999999</v>
      </c>
      <c r="HR22">
        <v>12.5</v>
      </c>
      <c r="HS22">
        <v>15.031700000000001</v>
      </c>
      <c r="HT22">
        <v>99.452200000000005</v>
      </c>
      <c r="HU22">
        <v>102.86199999999999</v>
      </c>
    </row>
    <row r="23" spans="1:229" x14ac:dyDescent="0.35">
      <c r="A23">
        <v>8</v>
      </c>
      <c r="B23">
        <v>1564945952.5999999</v>
      </c>
      <c r="C23">
        <v>720.09999990463302</v>
      </c>
      <c r="D23" t="s">
        <v>379</v>
      </c>
      <c r="E23" t="s">
        <v>380</v>
      </c>
      <c r="G23">
        <v>1564945944.5999999</v>
      </c>
      <c r="H23">
        <f t="shared" si="0"/>
        <v>9.0918955071538181E-3</v>
      </c>
      <c r="I23">
        <f t="shared" si="1"/>
        <v>33.134560660174799</v>
      </c>
      <c r="J23">
        <f t="shared" si="2"/>
        <v>385.33858064516102</v>
      </c>
      <c r="K23">
        <f t="shared" si="3"/>
        <v>273.8989634621376</v>
      </c>
      <c r="L23">
        <f t="shared" si="4"/>
        <v>27.229752965074315</v>
      </c>
      <c r="M23">
        <f t="shared" si="5"/>
        <v>38.30855811300124</v>
      </c>
      <c r="N23">
        <f t="shared" si="6"/>
        <v>0.5593096390821618</v>
      </c>
      <c r="O23">
        <f t="shared" si="7"/>
        <v>3.3835063836373478</v>
      </c>
      <c r="P23">
        <f t="shared" si="8"/>
        <v>0.5125603260551348</v>
      </c>
      <c r="Q23">
        <f t="shared" si="9"/>
        <v>0.32422419428758731</v>
      </c>
      <c r="R23">
        <f t="shared" si="10"/>
        <v>363.47485597490373</v>
      </c>
      <c r="S23">
        <f t="shared" si="11"/>
        <v>26.056572100252922</v>
      </c>
      <c r="T23">
        <f t="shared" si="12"/>
        <v>27.131445161290301</v>
      </c>
      <c r="U23">
        <f t="shared" si="13"/>
        <v>3.6068844440948706</v>
      </c>
      <c r="V23">
        <f t="shared" si="14"/>
        <v>55.255701880331351</v>
      </c>
      <c r="W23">
        <f t="shared" si="15"/>
        <v>1.8922080146537228</v>
      </c>
      <c r="X23">
        <f t="shared" si="16"/>
        <v>3.4244574772604004</v>
      </c>
      <c r="Y23">
        <f t="shared" si="17"/>
        <v>1.7146764294411478</v>
      </c>
      <c r="Z23">
        <f t="shared" si="18"/>
        <v>-400.95259186548338</v>
      </c>
      <c r="AA23">
        <f t="shared" si="19"/>
        <v>-160.82288953748764</v>
      </c>
      <c r="AB23">
        <f t="shared" si="20"/>
        <v>-10.226157162604922</v>
      </c>
      <c r="AC23">
        <f t="shared" si="21"/>
        <v>-208.52678259067221</v>
      </c>
      <c r="AD23">
        <v>-4.11923460223187E-2</v>
      </c>
      <c r="AE23">
        <v>4.6242017057761299E-2</v>
      </c>
      <c r="AF23">
        <v>3.4557917336110999</v>
      </c>
      <c r="AG23">
        <v>0</v>
      </c>
      <c r="AH23">
        <v>0</v>
      </c>
      <c r="AI23">
        <f t="shared" si="22"/>
        <v>1</v>
      </c>
      <c r="AJ23">
        <f t="shared" si="23"/>
        <v>0</v>
      </c>
      <c r="AK23">
        <f t="shared" si="24"/>
        <v>52657.983206939331</v>
      </c>
      <c r="AL23">
        <v>0</v>
      </c>
      <c r="AM23">
        <v>2.4</v>
      </c>
      <c r="AN23">
        <v>3.6</v>
      </c>
      <c r="AO23">
        <f t="shared" si="25"/>
        <v>1.2000000000000002</v>
      </c>
      <c r="AP23">
        <f t="shared" si="26"/>
        <v>0.33333333333333337</v>
      </c>
      <c r="AQ23">
        <v>-1</v>
      </c>
      <c r="AR23" t="s">
        <v>381</v>
      </c>
      <c r="AS23">
        <v>227.011529411765</v>
      </c>
      <c r="AT23">
        <v>320.20800000000003</v>
      </c>
      <c r="AU23">
        <f t="shared" si="27"/>
        <v>0.29104978822588767</v>
      </c>
      <c r="AV23">
        <v>0.5</v>
      </c>
      <c r="AW23">
        <f t="shared" si="28"/>
        <v>1854.5918798369933</v>
      </c>
      <c r="AX23">
        <f t="shared" si="29"/>
        <v>33.134560660174799</v>
      </c>
      <c r="AY23">
        <f t="shared" si="30"/>
        <v>269.88928693600388</v>
      </c>
      <c r="AZ23">
        <f t="shared" si="31"/>
        <v>0.51169239994003901</v>
      </c>
      <c r="BA23">
        <f t="shared" si="32"/>
        <v>1.840542980441336E-2</v>
      </c>
      <c r="BB23">
        <f t="shared" si="33"/>
        <v>-0.9887573077499624</v>
      </c>
      <c r="BC23" t="s">
        <v>382</v>
      </c>
      <c r="BD23">
        <v>156.36000000000001</v>
      </c>
      <c r="BE23">
        <f t="shared" si="34"/>
        <v>163.84800000000001</v>
      </c>
      <c r="BF23">
        <f t="shared" si="35"/>
        <v>0.56879834107364768</v>
      </c>
      <c r="BG23">
        <f t="shared" si="36"/>
        <v>2.0725844461901017</v>
      </c>
      <c r="BH23">
        <f t="shared" si="37"/>
        <v>0.29324771745278599</v>
      </c>
      <c r="BI23">
        <f t="shared" si="38"/>
        <v>-263.83999999999997</v>
      </c>
      <c r="BJ23">
        <v>7388</v>
      </c>
      <c r="BK23">
        <v>300</v>
      </c>
      <c r="BL23">
        <v>300</v>
      </c>
      <c r="BM23">
        <v>300</v>
      </c>
      <c r="BN23">
        <v>9023.7999999999993</v>
      </c>
      <c r="BO23">
        <v>290.20600000000002</v>
      </c>
      <c r="BP23">
        <v>-5.8520500000000001E-3</v>
      </c>
      <c r="BQ23">
        <v>1.5755300000000001</v>
      </c>
      <c r="BR23" t="s">
        <v>347</v>
      </c>
      <c r="BS23" t="s">
        <v>347</v>
      </c>
      <c r="BT23" t="s">
        <v>347</v>
      </c>
      <c r="BU23" t="s">
        <v>347</v>
      </c>
      <c r="BV23" t="s">
        <v>347</v>
      </c>
      <c r="BW23" t="s">
        <v>347</v>
      </c>
      <c r="BX23" t="s">
        <v>347</v>
      </c>
      <c r="BY23" t="s">
        <v>347</v>
      </c>
      <c r="BZ23" t="s">
        <v>347</v>
      </c>
      <c r="CA23" t="s">
        <v>347</v>
      </c>
      <c r="CB23">
        <f t="shared" si="39"/>
        <v>2200.0080645161302</v>
      </c>
      <c r="CC23">
        <f t="shared" si="40"/>
        <v>1854.5918798369933</v>
      </c>
      <c r="CD23">
        <f t="shared" si="41"/>
        <v>0.8429932188657191</v>
      </c>
      <c r="CE23">
        <f t="shared" si="42"/>
        <v>0.19598643773143817</v>
      </c>
      <c r="CF23">
        <v>1564945944.5999999</v>
      </c>
      <c r="CG23">
        <v>385.33858064516102</v>
      </c>
      <c r="CH23">
        <v>399.99370967741902</v>
      </c>
      <c r="CI23">
        <v>19.033364516129001</v>
      </c>
      <c r="CJ23">
        <v>15.4658451612903</v>
      </c>
      <c r="CK23">
        <v>500.002677419355</v>
      </c>
      <c r="CL23">
        <v>99.3153516129032</v>
      </c>
      <c r="CM23">
        <v>9.9967893548387102E-2</v>
      </c>
      <c r="CN23">
        <v>26.249796774193602</v>
      </c>
      <c r="CO23">
        <v>27.131445161290301</v>
      </c>
      <c r="CP23">
        <v>999.9</v>
      </c>
      <c r="CQ23">
        <v>0</v>
      </c>
      <c r="CR23">
        <v>0</v>
      </c>
      <c r="CS23">
        <v>10002.214516128999</v>
      </c>
      <c r="CT23">
        <v>0</v>
      </c>
      <c r="CU23">
        <v>1178.5058387096799</v>
      </c>
      <c r="CV23">
        <v>-14.6550225806452</v>
      </c>
      <c r="CW23">
        <v>392.81519354838701</v>
      </c>
      <c r="CX23">
        <v>406.27706451612897</v>
      </c>
      <c r="CY23">
        <v>3.56751483870968</v>
      </c>
      <c r="CZ23">
        <v>381.18148387096801</v>
      </c>
      <c r="DA23">
        <v>399.99370967741902</v>
      </c>
      <c r="DB23">
        <v>18.574364516128998</v>
      </c>
      <c r="DC23">
        <v>15.4658451612903</v>
      </c>
      <c r="DD23">
        <v>1.8903051612903199</v>
      </c>
      <c r="DE23">
        <v>1.5359964516129001</v>
      </c>
      <c r="DF23">
        <v>16.554235483871</v>
      </c>
      <c r="DG23">
        <v>13.331264516129</v>
      </c>
      <c r="DH23">
        <v>2200.0080645161302</v>
      </c>
      <c r="DI23">
        <v>0.89999874193548401</v>
      </c>
      <c r="DJ23">
        <v>0.10000121935483899</v>
      </c>
      <c r="DK23">
        <v>0</v>
      </c>
      <c r="DL23">
        <v>227.039064516129</v>
      </c>
      <c r="DM23">
        <v>5.0002700000000004</v>
      </c>
      <c r="DN23">
        <v>9281.4432258064498</v>
      </c>
      <c r="DO23">
        <v>20016.170967741898</v>
      </c>
      <c r="DP23">
        <v>49.884838709677403</v>
      </c>
      <c r="DQ23">
        <v>50.977580645161297</v>
      </c>
      <c r="DR23">
        <v>50.384774193548402</v>
      </c>
      <c r="DS23">
        <v>49.423000000000002</v>
      </c>
      <c r="DT23">
        <v>50.653064516129</v>
      </c>
      <c r="DU23">
        <v>1975.50451612903</v>
      </c>
      <c r="DV23">
        <v>219.503548387097</v>
      </c>
      <c r="DW23">
        <v>0</v>
      </c>
      <c r="DX23">
        <v>91.200000047683702</v>
      </c>
      <c r="DY23">
        <v>227.011529411765</v>
      </c>
      <c r="DZ23">
        <v>0.39264705028807101</v>
      </c>
      <c r="EA23">
        <v>-1275.2377449130499</v>
      </c>
      <c r="EB23">
        <v>9411.5952941176492</v>
      </c>
      <c r="EC23">
        <v>10</v>
      </c>
      <c r="ED23">
        <v>1564945916.5999999</v>
      </c>
      <c r="EE23" t="s">
        <v>383</v>
      </c>
      <c r="EF23">
        <v>62</v>
      </c>
      <c r="EG23">
        <v>4.157</v>
      </c>
      <c r="EH23">
        <v>0.45900000000000002</v>
      </c>
      <c r="EI23">
        <v>400</v>
      </c>
      <c r="EJ23">
        <v>15</v>
      </c>
      <c r="EK23">
        <v>0.24</v>
      </c>
      <c r="EL23">
        <v>0.05</v>
      </c>
      <c r="EM23">
        <v>33.149863864973703</v>
      </c>
      <c r="EN23">
        <v>-0.24144420443478901</v>
      </c>
      <c r="EO23">
        <v>8.7628800297465198E-2</v>
      </c>
      <c r="EP23">
        <v>1</v>
      </c>
      <c r="EQ23">
        <v>0.56107100906392904</v>
      </c>
      <c r="ER23">
        <v>-3.9525417673527401E-2</v>
      </c>
      <c r="ES23">
        <v>5.1166801523325799E-3</v>
      </c>
      <c r="ET23">
        <v>1</v>
      </c>
      <c r="EU23">
        <v>2</v>
      </c>
      <c r="EV23">
        <v>2</v>
      </c>
      <c r="EW23" t="s">
        <v>349</v>
      </c>
      <c r="EX23">
        <v>2.9491200000000002</v>
      </c>
      <c r="EY23">
        <v>2.7778499999999999</v>
      </c>
      <c r="EZ23">
        <v>9.0477299999999997E-2</v>
      </c>
      <c r="FA23">
        <v>9.1450699999999996E-2</v>
      </c>
      <c r="FB23">
        <v>9.3712500000000004E-2</v>
      </c>
      <c r="FC23">
        <v>7.8189800000000004E-2</v>
      </c>
      <c r="FD23">
        <v>21845.7</v>
      </c>
      <c r="FE23">
        <v>21913</v>
      </c>
      <c r="FF23">
        <v>22590.3</v>
      </c>
      <c r="FG23">
        <v>26458.2</v>
      </c>
      <c r="FH23">
        <v>29281.599999999999</v>
      </c>
      <c r="FI23">
        <v>38277.9</v>
      </c>
      <c r="FJ23">
        <v>32284.1</v>
      </c>
      <c r="FK23">
        <v>42144.6</v>
      </c>
      <c r="FL23">
        <v>1.9381299999999999</v>
      </c>
      <c r="FM23">
        <v>1.81548</v>
      </c>
      <c r="FN23">
        <v>-1.27032E-2</v>
      </c>
      <c r="FO23">
        <v>0</v>
      </c>
      <c r="FP23">
        <v>27.3386</v>
      </c>
      <c r="FQ23">
        <v>999.9</v>
      </c>
      <c r="FR23">
        <v>27.341000000000001</v>
      </c>
      <c r="FS23">
        <v>44.414000000000001</v>
      </c>
      <c r="FT23">
        <v>25.7422</v>
      </c>
      <c r="FU23">
        <v>61.667299999999997</v>
      </c>
      <c r="FV23">
        <v>45.857399999999998</v>
      </c>
      <c r="FW23">
        <v>1</v>
      </c>
      <c r="FX23">
        <v>0.60704499999999995</v>
      </c>
      <c r="FY23">
        <v>9.2810500000000005</v>
      </c>
      <c r="FZ23">
        <v>20.004300000000001</v>
      </c>
      <c r="GA23">
        <v>5.2264200000000001</v>
      </c>
      <c r="GB23">
        <v>11.962</v>
      </c>
      <c r="GC23">
        <v>4.9714499999999999</v>
      </c>
      <c r="GD23">
        <v>3.2948499999999998</v>
      </c>
      <c r="GE23">
        <v>9999</v>
      </c>
      <c r="GF23">
        <v>9999</v>
      </c>
      <c r="GG23">
        <v>461.3</v>
      </c>
      <c r="GH23">
        <v>9999</v>
      </c>
      <c r="GI23">
        <v>1.8665499999999999</v>
      </c>
      <c r="GJ23">
        <v>1.8660000000000001</v>
      </c>
      <c r="GK23">
        <v>1.86615</v>
      </c>
      <c r="GL23">
        <v>1.8691500000000001</v>
      </c>
      <c r="GM23">
        <v>1.8633999999999999</v>
      </c>
      <c r="GN23">
        <v>1.8615699999999999</v>
      </c>
      <c r="GO23">
        <v>1.8577600000000001</v>
      </c>
      <c r="GP23">
        <v>1.8638600000000001</v>
      </c>
      <c r="GQ23" t="s">
        <v>350</v>
      </c>
      <c r="GR23" t="s">
        <v>19</v>
      </c>
      <c r="GS23" t="s">
        <v>19</v>
      </c>
      <c r="GT23" t="s">
        <v>19</v>
      </c>
      <c r="GU23" t="s">
        <v>351</v>
      </c>
      <c r="GV23" t="s">
        <v>352</v>
      </c>
      <c r="GW23" t="s">
        <v>353</v>
      </c>
      <c r="GX23" t="s">
        <v>353</v>
      </c>
      <c r="GY23" t="s">
        <v>353</v>
      </c>
      <c r="GZ23" t="s">
        <v>353</v>
      </c>
      <c r="HA23">
        <v>0</v>
      </c>
      <c r="HB23">
        <v>100</v>
      </c>
      <c r="HC23">
        <v>100</v>
      </c>
      <c r="HD23">
        <v>4.157</v>
      </c>
      <c r="HE23">
        <v>0.45900000000000002</v>
      </c>
      <c r="HF23">
        <v>2</v>
      </c>
      <c r="HG23">
        <v>503.03500000000003</v>
      </c>
      <c r="HH23">
        <v>461.49799999999999</v>
      </c>
      <c r="HI23">
        <v>18.872900000000001</v>
      </c>
      <c r="HJ23">
        <v>34.530200000000001</v>
      </c>
      <c r="HK23">
        <v>30.000599999999999</v>
      </c>
      <c r="HL23">
        <v>34.335299999999997</v>
      </c>
      <c r="HM23">
        <v>34.314700000000002</v>
      </c>
      <c r="HN23">
        <v>21.322199999999999</v>
      </c>
      <c r="HO23">
        <v>39.701999999999998</v>
      </c>
      <c r="HP23">
        <v>0</v>
      </c>
      <c r="HQ23">
        <v>18.518000000000001</v>
      </c>
      <c r="HR23">
        <v>400</v>
      </c>
      <c r="HS23">
        <v>15.427</v>
      </c>
      <c r="HT23">
        <v>99.358999999999995</v>
      </c>
      <c r="HU23">
        <v>102.764</v>
      </c>
    </row>
    <row r="24" spans="1:229" x14ac:dyDescent="0.35">
      <c r="A24">
        <v>9</v>
      </c>
      <c r="B24">
        <v>1564946087.5999999</v>
      </c>
      <c r="C24">
        <v>855.09999990463302</v>
      </c>
      <c r="D24" t="s">
        <v>384</v>
      </c>
      <c r="E24" t="s">
        <v>385</v>
      </c>
      <c r="G24">
        <v>1564946079.5999999</v>
      </c>
      <c r="H24">
        <f t="shared" si="0"/>
        <v>7.2067298274862187E-3</v>
      </c>
      <c r="I24">
        <f t="shared" si="1"/>
        <v>37.711169777508488</v>
      </c>
      <c r="J24">
        <f t="shared" si="2"/>
        <v>483.51799999999997</v>
      </c>
      <c r="K24">
        <f t="shared" si="3"/>
        <v>318.70593083422415</v>
      </c>
      <c r="L24">
        <f t="shared" si="4"/>
        <v>31.682641439170254</v>
      </c>
      <c r="M24">
        <f t="shared" si="5"/>
        <v>48.066653115887611</v>
      </c>
      <c r="N24">
        <f t="shared" si="6"/>
        <v>0.41719772827482432</v>
      </c>
      <c r="O24">
        <f t="shared" si="7"/>
        <v>3.3809000598977264</v>
      </c>
      <c r="P24">
        <f t="shared" si="8"/>
        <v>0.39056207922613023</v>
      </c>
      <c r="Q24">
        <f t="shared" si="9"/>
        <v>0.24635256112222159</v>
      </c>
      <c r="R24">
        <f t="shared" si="10"/>
        <v>363.47571363613957</v>
      </c>
      <c r="S24">
        <f t="shared" si="11"/>
        <v>26.177766902140515</v>
      </c>
      <c r="T24">
        <f t="shared" si="12"/>
        <v>27.2515258064516</v>
      </c>
      <c r="U24">
        <f t="shared" si="13"/>
        <v>3.6323758205101648</v>
      </c>
      <c r="V24">
        <f t="shared" si="14"/>
        <v>54.973448660178484</v>
      </c>
      <c r="W24">
        <f t="shared" si="15"/>
        <v>1.8486057328230829</v>
      </c>
      <c r="X24">
        <f t="shared" si="16"/>
        <v>3.3627246932429964</v>
      </c>
      <c r="Y24">
        <f t="shared" si="17"/>
        <v>1.7837700876870819</v>
      </c>
      <c r="Z24">
        <f t="shared" si="18"/>
        <v>-317.81678539214226</v>
      </c>
      <c r="AA24">
        <f t="shared" si="19"/>
        <v>-238.66164162916385</v>
      </c>
      <c r="AB24">
        <f t="shared" si="20"/>
        <v>-15.173132295647612</v>
      </c>
      <c r="AC24">
        <f t="shared" si="21"/>
        <v>-208.17584568081418</v>
      </c>
      <c r="AD24">
        <v>-4.11520386205559E-2</v>
      </c>
      <c r="AE24">
        <v>4.6196768468160197E-2</v>
      </c>
      <c r="AF24">
        <v>3.4531146774436299</v>
      </c>
      <c r="AG24">
        <v>0</v>
      </c>
      <c r="AH24">
        <v>0</v>
      </c>
      <c r="AI24">
        <f t="shared" si="22"/>
        <v>1</v>
      </c>
      <c r="AJ24">
        <f t="shared" si="23"/>
        <v>0</v>
      </c>
      <c r="AK24">
        <f t="shared" si="24"/>
        <v>52662.589272850251</v>
      </c>
      <c r="AL24">
        <v>0</v>
      </c>
      <c r="AM24">
        <v>2.4</v>
      </c>
      <c r="AN24">
        <v>3.6</v>
      </c>
      <c r="AO24">
        <f t="shared" si="25"/>
        <v>1.2000000000000002</v>
      </c>
      <c r="AP24">
        <f t="shared" si="26"/>
        <v>0.33333333333333337</v>
      </c>
      <c r="AQ24">
        <v>-1</v>
      </c>
      <c r="AR24" t="s">
        <v>386</v>
      </c>
      <c r="AS24">
        <v>230.82341176470601</v>
      </c>
      <c r="AT24">
        <v>336.10399999999998</v>
      </c>
      <c r="AU24">
        <f t="shared" si="27"/>
        <v>0.31323812937452089</v>
      </c>
      <c r="AV24">
        <v>0.5</v>
      </c>
      <c r="AW24">
        <f t="shared" si="28"/>
        <v>1854.5950153208489</v>
      </c>
      <c r="AX24">
        <f t="shared" si="29"/>
        <v>37.711169777508488</v>
      </c>
      <c r="AY24">
        <f t="shared" si="30"/>
        <v>290.46493667320681</v>
      </c>
      <c r="AZ24">
        <f t="shared" si="31"/>
        <v>0.52603955918406198</v>
      </c>
      <c r="BA24">
        <f t="shared" si="32"/>
        <v>2.0873112166114267E-2</v>
      </c>
      <c r="BB24">
        <f t="shared" si="33"/>
        <v>-0.98928902958608045</v>
      </c>
      <c r="BC24" t="s">
        <v>387</v>
      </c>
      <c r="BD24">
        <v>159.30000000000001</v>
      </c>
      <c r="BE24">
        <f t="shared" si="34"/>
        <v>176.80399999999997</v>
      </c>
      <c r="BF24">
        <f t="shared" si="35"/>
        <v>0.59546496818677175</v>
      </c>
      <c r="BG24">
        <f t="shared" si="36"/>
        <v>2.1355427103403977</v>
      </c>
      <c r="BH24">
        <f t="shared" si="37"/>
        <v>0.31549093878195639</v>
      </c>
      <c r="BI24">
        <f t="shared" si="38"/>
        <v>-277.08666666666659</v>
      </c>
      <c r="BJ24">
        <v>7390</v>
      </c>
      <c r="BK24">
        <v>300</v>
      </c>
      <c r="BL24">
        <v>300</v>
      </c>
      <c r="BM24">
        <v>300</v>
      </c>
      <c r="BN24">
        <v>9028.58</v>
      </c>
      <c r="BO24">
        <v>303.911</v>
      </c>
      <c r="BP24">
        <v>-5.8553700000000004E-3</v>
      </c>
      <c r="BQ24">
        <v>1.70383</v>
      </c>
      <c r="BR24" t="s">
        <v>347</v>
      </c>
      <c r="BS24" t="s">
        <v>347</v>
      </c>
      <c r="BT24" t="s">
        <v>347</v>
      </c>
      <c r="BU24" t="s">
        <v>347</v>
      </c>
      <c r="BV24" t="s">
        <v>347</v>
      </c>
      <c r="BW24" t="s">
        <v>347</v>
      </c>
      <c r="BX24" t="s">
        <v>347</v>
      </c>
      <c r="BY24" t="s">
        <v>347</v>
      </c>
      <c r="BZ24" t="s">
        <v>347</v>
      </c>
      <c r="CA24" t="s">
        <v>347</v>
      </c>
      <c r="CB24">
        <f t="shared" si="39"/>
        <v>2200.0116129032299</v>
      </c>
      <c r="CC24">
        <f t="shared" si="40"/>
        <v>1854.5950153208489</v>
      </c>
      <c r="CD24">
        <f t="shared" si="41"/>
        <v>0.84299328441882437</v>
      </c>
      <c r="CE24">
        <f t="shared" si="42"/>
        <v>0.19598656883764864</v>
      </c>
      <c r="CF24">
        <v>1564946079.5999999</v>
      </c>
      <c r="CG24">
        <v>483.51799999999997</v>
      </c>
      <c r="CH24">
        <v>499.99641935483902</v>
      </c>
      <c r="CI24">
        <v>18.595722580645202</v>
      </c>
      <c r="CJ24">
        <v>15.7666161290323</v>
      </c>
      <c r="CK24">
        <v>499.99641935483902</v>
      </c>
      <c r="CL24">
        <v>99.3102709677419</v>
      </c>
      <c r="CM24">
        <v>9.9995280645161305E-2</v>
      </c>
      <c r="CN24">
        <v>25.9421483870968</v>
      </c>
      <c r="CO24">
        <v>27.2515258064516</v>
      </c>
      <c r="CP24">
        <v>999.9</v>
      </c>
      <c r="CQ24">
        <v>0</v>
      </c>
      <c r="CR24">
        <v>0</v>
      </c>
      <c r="CS24">
        <v>9992.9383870967704</v>
      </c>
      <c r="CT24">
        <v>0</v>
      </c>
      <c r="CU24">
        <v>1762.81741935484</v>
      </c>
      <c r="CV24">
        <v>-16.478390322580601</v>
      </c>
      <c r="CW24">
        <v>492.679741935484</v>
      </c>
      <c r="CX24">
        <v>508.005903225807</v>
      </c>
      <c r="CY24">
        <v>2.8291029032258099</v>
      </c>
      <c r="CZ24">
        <v>479.18599999999998</v>
      </c>
      <c r="DA24">
        <v>499.99641935483902</v>
      </c>
      <c r="DB24">
        <v>18.134722580645199</v>
      </c>
      <c r="DC24">
        <v>15.7666161290323</v>
      </c>
      <c r="DD24">
        <v>1.84674612903226</v>
      </c>
      <c r="DE24">
        <v>1.56578741935484</v>
      </c>
      <c r="DF24">
        <v>16.188164516129</v>
      </c>
      <c r="DG24">
        <v>13.626164516129</v>
      </c>
      <c r="DH24">
        <v>2200.0116129032299</v>
      </c>
      <c r="DI24">
        <v>0.89999725806451603</v>
      </c>
      <c r="DJ24">
        <v>0.100002919354839</v>
      </c>
      <c r="DK24">
        <v>0</v>
      </c>
      <c r="DL24">
        <v>230.807806451613</v>
      </c>
      <c r="DM24">
        <v>5.0002700000000004</v>
      </c>
      <c r="DN24">
        <v>9698.3825806451605</v>
      </c>
      <c r="DO24">
        <v>20016.180645161301</v>
      </c>
      <c r="DP24">
        <v>49.122935483870997</v>
      </c>
      <c r="DQ24">
        <v>50.264000000000003</v>
      </c>
      <c r="DR24">
        <v>49.596548387096803</v>
      </c>
      <c r="DS24">
        <v>48.846548387096803</v>
      </c>
      <c r="DT24">
        <v>49.872870967741903</v>
      </c>
      <c r="DU24">
        <v>1975.5029032258101</v>
      </c>
      <c r="DV24">
        <v>219.50870967741901</v>
      </c>
      <c r="DW24">
        <v>0</v>
      </c>
      <c r="DX24">
        <v>134.200000047684</v>
      </c>
      <c r="DY24">
        <v>230.82341176470601</v>
      </c>
      <c r="DZ24">
        <v>-1.79117647381801</v>
      </c>
      <c r="EA24">
        <v>121.98038996063801</v>
      </c>
      <c r="EB24">
        <v>9698.8794117647103</v>
      </c>
      <c r="EC24">
        <v>10</v>
      </c>
      <c r="ED24">
        <v>1564946012.5999999</v>
      </c>
      <c r="EE24" t="s">
        <v>388</v>
      </c>
      <c r="EF24">
        <v>63</v>
      </c>
      <c r="EG24">
        <v>4.3319999999999999</v>
      </c>
      <c r="EH24">
        <v>0.46100000000000002</v>
      </c>
      <c r="EI24">
        <v>500</v>
      </c>
      <c r="EJ24">
        <v>15</v>
      </c>
      <c r="EK24">
        <v>0.24</v>
      </c>
      <c r="EL24">
        <v>0.04</v>
      </c>
      <c r="EM24">
        <v>37.706683857204901</v>
      </c>
      <c r="EN24">
        <v>-0.118665117817762</v>
      </c>
      <c r="EO24">
        <v>8.0447373679797596E-2</v>
      </c>
      <c r="EP24">
        <v>1</v>
      </c>
      <c r="EQ24">
        <v>0.41985063466376799</v>
      </c>
      <c r="ER24">
        <v>-4.59960267521018E-2</v>
      </c>
      <c r="ES24">
        <v>4.7006728494435402E-3</v>
      </c>
      <c r="ET24">
        <v>1</v>
      </c>
      <c r="EU24">
        <v>2</v>
      </c>
      <c r="EV24">
        <v>2</v>
      </c>
      <c r="EW24" t="s">
        <v>349</v>
      </c>
      <c r="EX24">
        <v>2.9488400000000001</v>
      </c>
      <c r="EY24">
        <v>2.7774800000000002</v>
      </c>
      <c r="EZ24">
        <v>0.10753600000000001</v>
      </c>
      <c r="FA24">
        <v>0.108014</v>
      </c>
      <c r="FB24">
        <v>9.2131699999999997E-2</v>
      </c>
      <c r="FC24">
        <v>7.9296500000000006E-2</v>
      </c>
      <c r="FD24">
        <v>21428.799999999999</v>
      </c>
      <c r="FE24">
        <v>21506.9</v>
      </c>
      <c r="FF24">
        <v>22583.4</v>
      </c>
      <c r="FG24">
        <v>26451.5</v>
      </c>
      <c r="FH24">
        <v>29324.7</v>
      </c>
      <c r="FI24">
        <v>38224.400000000001</v>
      </c>
      <c r="FJ24">
        <v>32275</v>
      </c>
      <c r="FK24">
        <v>42136.3</v>
      </c>
      <c r="FL24">
        <v>1.9358500000000001</v>
      </c>
      <c r="FM24">
        <v>1.81332</v>
      </c>
      <c r="FN24">
        <v>-2.14204E-3</v>
      </c>
      <c r="FO24">
        <v>0</v>
      </c>
      <c r="FP24">
        <v>27.284400000000002</v>
      </c>
      <c r="FQ24">
        <v>999.9</v>
      </c>
      <c r="FR24">
        <v>27.39</v>
      </c>
      <c r="FS24">
        <v>44.484000000000002</v>
      </c>
      <c r="FT24">
        <v>25.884399999999999</v>
      </c>
      <c r="FU24">
        <v>61.877299999999998</v>
      </c>
      <c r="FV24">
        <v>45.661099999999998</v>
      </c>
      <c r="FW24">
        <v>1</v>
      </c>
      <c r="FX24">
        <v>0.62115299999999996</v>
      </c>
      <c r="FY24">
        <v>9.2810500000000005</v>
      </c>
      <c r="FZ24">
        <v>20.005199999999999</v>
      </c>
      <c r="GA24">
        <v>5.2202799999999998</v>
      </c>
      <c r="GB24">
        <v>11.962</v>
      </c>
      <c r="GC24">
        <v>4.97105</v>
      </c>
      <c r="GD24">
        <v>3.2942200000000001</v>
      </c>
      <c r="GE24">
        <v>9999</v>
      </c>
      <c r="GF24">
        <v>9999</v>
      </c>
      <c r="GG24">
        <v>461.3</v>
      </c>
      <c r="GH24">
        <v>9999</v>
      </c>
      <c r="GI24">
        <v>1.8664400000000001</v>
      </c>
      <c r="GJ24">
        <v>1.8658399999999999</v>
      </c>
      <c r="GK24">
        <v>1.8660000000000001</v>
      </c>
      <c r="GL24">
        <v>1.8690500000000001</v>
      </c>
      <c r="GM24">
        <v>1.86327</v>
      </c>
      <c r="GN24">
        <v>1.8614200000000001</v>
      </c>
      <c r="GO24">
        <v>1.85764</v>
      </c>
      <c r="GP24">
        <v>1.8637600000000001</v>
      </c>
      <c r="GQ24" t="s">
        <v>350</v>
      </c>
      <c r="GR24" t="s">
        <v>19</v>
      </c>
      <c r="GS24" t="s">
        <v>19</v>
      </c>
      <c r="GT24" t="s">
        <v>19</v>
      </c>
      <c r="GU24" t="s">
        <v>351</v>
      </c>
      <c r="GV24" t="s">
        <v>352</v>
      </c>
      <c r="GW24" t="s">
        <v>353</v>
      </c>
      <c r="GX24" t="s">
        <v>353</v>
      </c>
      <c r="GY24" t="s">
        <v>353</v>
      </c>
      <c r="GZ24" t="s">
        <v>353</v>
      </c>
      <c r="HA24">
        <v>0</v>
      </c>
      <c r="HB24">
        <v>100</v>
      </c>
      <c r="HC24">
        <v>100</v>
      </c>
      <c r="HD24">
        <v>4.3319999999999999</v>
      </c>
      <c r="HE24">
        <v>0.46100000000000002</v>
      </c>
      <c r="HF24">
        <v>2</v>
      </c>
      <c r="HG24">
        <v>502.95800000000003</v>
      </c>
      <c r="HH24">
        <v>461.45499999999998</v>
      </c>
      <c r="HI24">
        <v>18.6249</v>
      </c>
      <c r="HJ24">
        <v>34.712800000000001</v>
      </c>
      <c r="HK24">
        <v>30.000699999999998</v>
      </c>
      <c r="HL24">
        <v>34.522100000000002</v>
      </c>
      <c r="HM24">
        <v>34.503500000000003</v>
      </c>
      <c r="HN24">
        <v>25.565899999999999</v>
      </c>
      <c r="HO24">
        <v>38.741</v>
      </c>
      <c r="HP24">
        <v>0</v>
      </c>
      <c r="HQ24">
        <v>16.709099999999999</v>
      </c>
      <c r="HR24">
        <v>500</v>
      </c>
      <c r="HS24">
        <v>15.762600000000001</v>
      </c>
      <c r="HT24">
        <v>99.33</v>
      </c>
      <c r="HU24">
        <v>102.742</v>
      </c>
    </row>
    <row r="25" spans="1:229" x14ac:dyDescent="0.35">
      <c r="A25">
        <v>10</v>
      </c>
      <c r="B25">
        <v>1564946187.5999999</v>
      </c>
      <c r="C25">
        <v>955.09999990463302</v>
      </c>
      <c r="D25" t="s">
        <v>389</v>
      </c>
      <c r="E25" t="s">
        <v>390</v>
      </c>
      <c r="G25">
        <v>1564946179.5999999</v>
      </c>
      <c r="H25">
        <f t="shared" si="0"/>
        <v>6.4494548637353283E-3</v>
      </c>
      <c r="I25">
        <f t="shared" si="1"/>
        <v>42.099592376157545</v>
      </c>
      <c r="J25">
        <f t="shared" si="2"/>
        <v>581.67041935483905</v>
      </c>
      <c r="K25">
        <f t="shared" si="3"/>
        <v>374.77685930958899</v>
      </c>
      <c r="L25">
        <f t="shared" si="4"/>
        <v>37.254986491068635</v>
      </c>
      <c r="M25">
        <f t="shared" si="5"/>
        <v>57.821402461292017</v>
      </c>
      <c r="N25">
        <f t="shared" si="6"/>
        <v>0.36741127916215094</v>
      </c>
      <c r="O25">
        <f t="shared" si="7"/>
        <v>3.3823367613875304</v>
      </c>
      <c r="P25">
        <f t="shared" si="8"/>
        <v>0.34659149272331918</v>
      </c>
      <c r="Q25">
        <f t="shared" si="9"/>
        <v>0.21839188297073941</v>
      </c>
      <c r="R25">
        <f t="shared" si="10"/>
        <v>363.47605335666827</v>
      </c>
      <c r="S25">
        <f t="shared" si="11"/>
        <v>26.140834348500579</v>
      </c>
      <c r="T25">
        <f t="shared" si="12"/>
        <v>27.245861290322601</v>
      </c>
      <c r="U25">
        <f t="shared" si="13"/>
        <v>3.6311698017642708</v>
      </c>
      <c r="V25">
        <f t="shared" si="14"/>
        <v>55.166033064757691</v>
      </c>
      <c r="W25">
        <f t="shared" si="15"/>
        <v>1.8322361366179898</v>
      </c>
      <c r="X25">
        <f t="shared" si="16"/>
        <v>3.3213121096947189</v>
      </c>
      <c r="Y25">
        <f t="shared" si="17"/>
        <v>1.7989336651462811</v>
      </c>
      <c r="Z25">
        <f t="shared" si="18"/>
        <v>-284.42095949072797</v>
      </c>
      <c r="AA25">
        <f t="shared" si="19"/>
        <v>-275.86981138933368</v>
      </c>
      <c r="AB25">
        <f t="shared" si="20"/>
        <v>-17.512404905963109</v>
      </c>
      <c r="AC25">
        <f t="shared" si="21"/>
        <v>-214.32712242935651</v>
      </c>
      <c r="AD25">
        <v>-4.1174255819435499E-2</v>
      </c>
      <c r="AE25">
        <v>4.62217092202361E-2</v>
      </c>
      <c r="AF25">
        <v>3.4545903662247999</v>
      </c>
      <c r="AG25">
        <v>0</v>
      </c>
      <c r="AH25">
        <v>0</v>
      </c>
      <c r="AI25">
        <f t="shared" si="22"/>
        <v>1</v>
      </c>
      <c r="AJ25">
        <f t="shared" si="23"/>
        <v>0</v>
      </c>
      <c r="AK25">
        <f t="shared" si="24"/>
        <v>52726.654745987224</v>
      </c>
      <c r="AL25">
        <v>0</v>
      </c>
      <c r="AM25">
        <v>2.4</v>
      </c>
      <c r="AN25">
        <v>3.6</v>
      </c>
      <c r="AO25">
        <f t="shared" si="25"/>
        <v>1.2000000000000002</v>
      </c>
      <c r="AP25">
        <f t="shared" si="26"/>
        <v>0.33333333333333337</v>
      </c>
      <c r="AQ25">
        <v>-1</v>
      </c>
      <c r="AR25" t="s">
        <v>391</v>
      </c>
      <c r="AS25">
        <v>234.88476470588199</v>
      </c>
      <c r="AT25">
        <v>347.93</v>
      </c>
      <c r="AU25">
        <f t="shared" si="27"/>
        <v>0.32490798521000774</v>
      </c>
      <c r="AV25">
        <v>0.5</v>
      </c>
      <c r="AW25">
        <f t="shared" si="28"/>
        <v>1854.595683062769</v>
      </c>
      <c r="AX25">
        <f t="shared" si="29"/>
        <v>42.099592376157545</v>
      </c>
      <c r="AY25">
        <f t="shared" si="30"/>
        <v>301.28647338155116</v>
      </c>
      <c r="AZ25">
        <f t="shared" si="31"/>
        <v>0.54720777167821122</v>
      </c>
      <c r="BA25">
        <f t="shared" si="32"/>
        <v>2.3239346866687834E-2</v>
      </c>
      <c r="BB25">
        <f t="shared" si="33"/>
        <v>-0.98965309113902211</v>
      </c>
      <c r="BC25" t="s">
        <v>392</v>
      </c>
      <c r="BD25">
        <v>157.54</v>
      </c>
      <c r="BE25">
        <f t="shared" si="34"/>
        <v>190.39000000000001</v>
      </c>
      <c r="BF25">
        <f t="shared" si="35"/>
        <v>0.59375615995649988</v>
      </c>
      <c r="BG25">
        <f t="shared" si="36"/>
        <v>2.2367805638560476</v>
      </c>
      <c r="BH25">
        <f t="shared" si="37"/>
        <v>0.32716474776175153</v>
      </c>
      <c r="BI25">
        <f t="shared" si="38"/>
        <v>-286.94166666666661</v>
      </c>
      <c r="BJ25">
        <v>7392</v>
      </c>
      <c r="BK25">
        <v>300</v>
      </c>
      <c r="BL25">
        <v>300</v>
      </c>
      <c r="BM25">
        <v>300</v>
      </c>
      <c r="BN25">
        <v>9030.17</v>
      </c>
      <c r="BO25">
        <v>312.685</v>
      </c>
      <c r="BP25">
        <v>-5.8564100000000003E-3</v>
      </c>
      <c r="BQ25">
        <v>1.8387100000000001</v>
      </c>
      <c r="BR25" t="s">
        <v>347</v>
      </c>
      <c r="BS25" t="s">
        <v>347</v>
      </c>
      <c r="BT25" t="s">
        <v>347</v>
      </c>
      <c r="BU25" t="s">
        <v>347</v>
      </c>
      <c r="BV25" t="s">
        <v>347</v>
      </c>
      <c r="BW25" t="s">
        <v>347</v>
      </c>
      <c r="BX25" t="s">
        <v>347</v>
      </c>
      <c r="BY25" t="s">
        <v>347</v>
      </c>
      <c r="BZ25" t="s">
        <v>347</v>
      </c>
      <c r="CA25" t="s">
        <v>347</v>
      </c>
      <c r="CB25">
        <f t="shared" si="39"/>
        <v>2200.0122580645202</v>
      </c>
      <c r="CC25">
        <f t="shared" si="40"/>
        <v>1854.595683062769</v>
      </c>
      <c r="CD25">
        <f t="shared" si="41"/>
        <v>0.84299334072545828</v>
      </c>
      <c r="CE25">
        <f t="shared" si="42"/>
        <v>0.19598668145091674</v>
      </c>
      <c r="CF25">
        <v>1564946179.5999999</v>
      </c>
      <c r="CG25">
        <v>581.67041935483905</v>
      </c>
      <c r="CH25">
        <v>600.010516129032</v>
      </c>
      <c r="CI25">
        <v>18.431887096774201</v>
      </c>
      <c r="CJ25">
        <v>15.899699999999999</v>
      </c>
      <c r="CK25">
        <v>500.008806451613</v>
      </c>
      <c r="CL25">
        <v>99.305774193548402</v>
      </c>
      <c r="CM25">
        <v>0.10000704838709699</v>
      </c>
      <c r="CN25">
        <v>25.732990322580601</v>
      </c>
      <c r="CO25">
        <v>27.245861290322601</v>
      </c>
      <c r="CP25">
        <v>999.9</v>
      </c>
      <c r="CQ25">
        <v>0</v>
      </c>
      <c r="CR25">
        <v>0</v>
      </c>
      <c r="CS25">
        <v>9998.7861290322599</v>
      </c>
      <c r="CT25">
        <v>0</v>
      </c>
      <c r="CU25">
        <v>1763.4419354838701</v>
      </c>
      <c r="CV25">
        <v>-18.340161290322602</v>
      </c>
      <c r="CW25">
        <v>592.59309677419401</v>
      </c>
      <c r="CX25">
        <v>609.70474193548398</v>
      </c>
      <c r="CY25">
        <v>2.5321767741935499</v>
      </c>
      <c r="CZ25">
        <v>577.31741935483899</v>
      </c>
      <c r="DA25">
        <v>600.010516129032</v>
      </c>
      <c r="DB25">
        <v>17.964887096774198</v>
      </c>
      <c r="DC25">
        <v>15.899699999999999</v>
      </c>
      <c r="DD25">
        <v>1.8303929032258099</v>
      </c>
      <c r="DE25">
        <v>1.5789332258064499</v>
      </c>
      <c r="DF25">
        <v>16.048787096774198</v>
      </c>
      <c r="DG25">
        <v>13.754725806451599</v>
      </c>
      <c r="DH25">
        <v>2200.0122580645202</v>
      </c>
      <c r="DI25">
        <v>0.89999493548387099</v>
      </c>
      <c r="DJ25">
        <v>0.100005080645161</v>
      </c>
      <c r="DK25">
        <v>0</v>
      </c>
      <c r="DL25">
        <v>234.96667741935499</v>
      </c>
      <c r="DM25">
        <v>5.0002700000000004</v>
      </c>
      <c r="DN25">
        <v>9728.3464516129006</v>
      </c>
      <c r="DO25">
        <v>20016.1870967742</v>
      </c>
      <c r="DP25">
        <v>48.875</v>
      </c>
      <c r="DQ25">
        <v>50.098580645161299</v>
      </c>
      <c r="DR25">
        <v>49.311999999999998</v>
      </c>
      <c r="DS25">
        <v>48.75</v>
      </c>
      <c r="DT25">
        <v>49.625</v>
      </c>
      <c r="DU25">
        <v>1975.4993548387099</v>
      </c>
      <c r="DV25">
        <v>219.51290322580601</v>
      </c>
      <c r="DW25">
        <v>0</v>
      </c>
      <c r="DX25">
        <v>99.399999856948895</v>
      </c>
      <c r="DY25">
        <v>234.88476470588199</v>
      </c>
      <c r="DZ25">
        <v>-0.16813723761943</v>
      </c>
      <c r="EA25">
        <v>-67.120097831019393</v>
      </c>
      <c r="EB25">
        <v>9723.0911764705907</v>
      </c>
      <c r="EC25">
        <v>10</v>
      </c>
      <c r="ED25">
        <v>1564946146.0999999</v>
      </c>
      <c r="EE25" t="s">
        <v>393</v>
      </c>
      <c r="EF25">
        <v>64</v>
      </c>
      <c r="EG25">
        <v>4.3529999999999998</v>
      </c>
      <c r="EH25">
        <v>0.46700000000000003</v>
      </c>
      <c r="EI25">
        <v>600</v>
      </c>
      <c r="EJ25">
        <v>16</v>
      </c>
      <c r="EK25">
        <v>0.2</v>
      </c>
      <c r="EL25">
        <v>7.0000000000000007E-2</v>
      </c>
      <c r="EM25">
        <v>42.071720789118402</v>
      </c>
      <c r="EN25">
        <v>0.10071277006868599</v>
      </c>
      <c r="EO25">
        <v>0.16380224920290301</v>
      </c>
      <c r="EP25">
        <v>1</v>
      </c>
      <c r="EQ25">
        <v>0.37034569216089502</v>
      </c>
      <c r="ER25">
        <v>-4.7148860939385598E-2</v>
      </c>
      <c r="ES25">
        <v>5.0007546931876102E-3</v>
      </c>
      <c r="ET25">
        <v>1</v>
      </c>
      <c r="EU25">
        <v>2</v>
      </c>
      <c r="EV25">
        <v>2</v>
      </c>
      <c r="EW25" t="s">
        <v>349</v>
      </c>
      <c r="EX25">
        <v>2.9487000000000001</v>
      </c>
      <c r="EY25">
        <v>2.7773300000000001</v>
      </c>
      <c r="EZ25">
        <v>0.122975</v>
      </c>
      <c r="FA25">
        <v>0.122992</v>
      </c>
      <c r="FB25">
        <v>9.1495300000000002E-2</v>
      </c>
      <c r="FC25">
        <v>7.9756499999999994E-2</v>
      </c>
      <c r="FD25">
        <v>21051.200000000001</v>
      </c>
      <c r="FE25">
        <v>21137.4</v>
      </c>
      <c r="FF25">
        <v>22576.799999999999</v>
      </c>
      <c r="FG25">
        <v>26442.6</v>
      </c>
      <c r="FH25">
        <v>29337.5</v>
      </c>
      <c r="FI25">
        <v>38194.5</v>
      </c>
      <c r="FJ25">
        <v>32266.2</v>
      </c>
      <c r="FK25">
        <v>42124.5</v>
      </c>
      <c r="FL25">
        <v>1.93405</v>
      </c>
      <c r="FM25">
        <v>1.8105199999999999</v>
      </c>
      <c r="FN25">
        <v>-1.50874E-3</v>
      </c>
      <c r="FO25">
        <v>0</v>
      </c>
      <c r="FP25">
        <v>27.262</v>
      </c>
      <c r="FQ25">
        <v>999.9</v>
      </c>
      <c r="FR25">
        <v>27.486999999999998</v>
      </c>
      <c r="FS25">
        <v>44.534999999999997</v>
      </c>
      <c r="FT25">
        <v>26.045500000000001</v>
      </c>
      <c r="FU25">
        <v>61.717300000000002</v>
      </c>
      <c r="FV25">
        <v>45.837299999999999</v>
      </c>
      <c r="FW25">
        <v>1</v>
      </c>
      <c r="FX25">
        <v>0.63420699999999997</v>
      </c>
      <c r="FY25">
        <v>9.2810500000000005</v>
      </c>
      <c r="FZ25">
        <v>20.0352</v>
      </c>
      <c r="GA25">
        <v>5.2286700000000002</v>
      </c>
      <c r="GB25">
        <v>11.962</v>
      </c>
      <c r="GC25">
        <v>4.9717000000000002</v>
      </c>
      <c r="GD25">
        <v>3.2949999999999999</v>
      </c>
      <c r="GE25">
        <v>9999</v>
      </c>
      <c r="GF25">
        <v>9999</v>
      </c>
      <c r="GG25">
        <v>461.3</v>
      </c>
      <c r="GH25">
        <v>9999</v>
      </c>
      <c r="GI25">
        <v>1.86581</v>
      </c>
      <c r="GJ25">
        <v>1.8652299999999999</v>
      </c>
      <c r="GK25">
        <v>1.8653900000000001</v>
      </c>
      <c r="GL25">
        <v>1.86839</v>
      </c>
      <c r="GM25">
        <v>1.8626499999999999</v>
      </c>
      <c r="GN25">
        <v>1.8608100000000001</v>
      </c>
      <c r="GO25">
        <v>1.8569899999999999</v>
      </c>
      <c r="GP25">
        <v>1.8631</v>
      </c>
      <c r="GQ25" t="s">
        <v>350</v>
      </c>
      <c r="GR25" t="s">
        <v>19</v>
      </c>
      <c r="GS25" t="s">
        <v>19</v>
      </c>
      <c r="GT25" t="s">
        <v>19</v>
      </c>
      <c r="GU25" t="s">
        <v>351</v>
      </c>
      <c r="GV25" t="s">
        <v>352</v>
      </c>
      <c r="GW25" t="s">
        <v>353</v>
      </c>
      <c r="GX25" t="s">
        <v>353</v>
      </c>
      <c r="GY25" t="s">
        <v>353</v>
      </c>
      <c r="GZ25" t="s">
        <v>353</v>
      </c>
      <c r="HA25">
        <v>0</v>
      </c>
      <c r="HB25">
        <v>100</v>
      </c>
      <c r="HC25">
        <v>100</v>
      </c>
      <c r="HD25">
        <v>4.3529999999999998</v>
      </c>
      <c r="HE25">
        <v>0.46700000000000003</v>
      </c>
      <c r="HF25">
        <v>2</v>
      </c>
      <c r="HG25">
        <v>503.02</v>
      </c>
      <c r="HH25">
        <v>460.80700000000002</v>
      </c>
      <c r="HI25">
        <v>18.541599999999999</v>
      </c>
      <c r="HJ25">
        <v>34.886899999999997</v>
      </c>
      <c r="HK25">
        <v>30.001000000000001</v>
      </c>
      <c r="HL25">
        <v>34.686199999999999</v>
      </c>
      <c r="HM25">
        <v>34.668599999999998</v>
      </c>
      <c r="HN25">
        <v>29.677600000000002</v>
      </c>
      <c r="HO25">
        <v>38.7179</v>
      </c>
      <c r="HP25">
        <v>0</v>
      </c>
      <c r="HQ25">
        <v>16.572600000000001</v>
      </c>
      <c r="HR25">
        <v>600</v>
      </c>
      <c r="HS25">
        <v>15.8834</v>
      </c>
      <c r="HT25">
        <v>99.302199999999999</v>
      </c>
      <c r="HU25">
        <v>102.711</v>
      </c>
    </row>
    <row r="26" spans="1:229" x14ac:dyDescent="0.35">
      <c r="A26">
        <v>11</v>
      </c>
      <c r="B26">
        <v>1564946288.0999999</v>
      </c>
      <c r="C26">
        <v>1055.5999999046301</v>
      </c>
      <c r="D26" t="s">
        <v>394</v>
      </c>
      <c r="E26" t="s">
        <v>395</v>
      </c>
      <c r="G26">
        <v>1564946280.0999999</v>
      </c>
      <c r="H26">
        <f t="shared" si="0"/>
        <v>6.0347825409283705E-3</v>
      </c>
      <c r="I26">
        <f t="shared" si="1"/>
        <v>46.636798830442459</v>
      </c>
      <c r="J26">
        <f t="shared" si="2"/>
        <v>779.47074193548303</v>
      </c>
      <c r="K26">
        <f t="shared" si="3"/>
        <v>529.28417368092676</v>
      </c>
      <c r="L26">
        <f t="shared" si="4"/>
        <v>52.616840643481602</v>
      </c>
      <c r="M26">
        <f t="shared" si="5"/>
        <v>77.488218718967588</v>
      </c>
      <c r="N26">
        <f t="shared" si="6"/>
        <v>0.33886140200107073</v>
      </c>
      <c r="O26">
        <f t="shared" si="7"/>
        <v>3.3839895752335107</v>
      </c>
      <c r="P26">
        <f t="shared" si="8"/>
        <v>0.32107560006888425</v>
      </c>
      <c r="Q26">
        <f t="shared" si="9"/>
        <v>0.20219240721400825</v>
      </c>
      <c r="R26">
        <f t="shared" si="10"/>
        <v>363.46648575280216</v>
      </c>
      <c r="S26">
        <f t="shared" si="11"/>
        <v>26.244352113464885</v>
      </c>
      <c r="T26">
        <f t="shared" si="12"/>
        <v>27.348099999999999</v>
      </c>
      <c r="U26">
        <f t="shared" si="13"/>
        <v>3.6529910617404147</v>
      </c>
      <c r="V26">
        <f t="shared" si="14"/>
        <v>55.251036035721036</v>
      </c>
      <c r="W26">
        <f t="shared" si="15"/>
        <v>1.8360886782563619</v>
      </c>
      <c r="X26">
        <f t="shared" si="16"/>
        <v>3.3231751112672154</v>
      </c>
      <c r="Y26">
        <f t="shared" si="17"/>
        <v>1.8169023834840528</v>
      </c>
      <c r="Z26">
        <f t="shared" si="18"/>
        <v>-266.13391005494111</v>
      </c>
      <c r="AA26">
        <f t="shared" si="19"/>
        <v>-292.93130052203213</v>
      </c>
      <c r="AB26">
        <f t="shared" si="20"/>
        <v>-18.596812293213659</v>
      </c>
      <c r="AC26">
        <f t="shared" si="21"/>
        <v>-214.19553711738473</v>
      </c>
      <c r="AD26">
        <v>-4.1199820223754E-2</v>
      </c>
      <c r="AE26">
        <v>4.6250407503648401E-2</v>
      </c>
      <c r="AF26">
        <v>3.4562880411212298</v>
      </c>
      <c r="AG26">
        <v>0</v>
      </c>
      <c r="AH26">
        <v>0</v>
      </c>
      <c r="AI26">
        <f t="shared" si="22"/>
        <v>1</v>
      </c>
      <c r="AJ26">
        <f t="shared" si="23"/>
        <v>0</v>
      </c>
      <c r="AK26">
        <f t="shared" si="24"/>
        <v>52756.504795195338</v>
      </c>
      <c r="AL26">
        <v>0</v>
      </c>
      <c r="AM26">
        <v>2.4</v>
      </c>
      <c r="AN26">
        <v>3.6</v>
      </c>
      <c r="AO26">
        <f t="shared" si="25"/>
        <v>1.2000000000000002</v>
      </c>
      <c r="AP26">
        <f t="shared" si="26"/>
        <v>0.33333333333333337</v>
      </c>
      <c r="AQ26">
        <v>-1</v>
      </c>
      <c r="AR26" t="s">
        <v>396</v>
      </c>
      <c r="AS26">
        <v>235.20482352941201</v>
      </c>
      <c r="AT26">
        <v>339.07400000000001</v>
      </c>
      <c r="AU26">
        <f t="shared" si="27"/>
        <v>0.30633188174436254</v>
      </c>
      <c r="AV26">
        <v>0.5</v>
      </c>
      <c r="AW26">
        <f t="shared" si="28"/>
        <v>1854.5499156280496</v>
      </c>
      <c r="AX26">
        <f t="shared" si="29"/>
        <v>46.636798830442459</v>
      </c>
      <c r="AY26">
        <f t="shared" si="30"/>
        <v>284.05388272159462</v>
      </c>
      <c r="AZ26">
        <f t="shared" si="31"/>
        <v>0.53443791030866417</v>
      </c>
      <c r="BA26">
        <f t="shared" si="32"/>
        <v>2.5686447384895596E-2</v>
      </c>
      <c r="BB26">
        <f t="shared" si="33"/>
        <v>-0.98938284858172543</v>
      </c>
      <c r="BC26" t="s">
        <v>397</v>
      </c>
      <c r="BD26">
        <v>157.86000000000001</v>
      </c>
      <c r="BE26">
        <f t="shared" si="34"/>
        <v>181.214</v>
      </c>
      <c r="BF26">
        <f t="shared" si="35"/>
        <v>0.57318516489116733</v>
      </c>
      <c r="BG26">
        <f t="shared" si="36"/>
        <v>2.1747309736807985</v>
      </c>
      <c r="BH26">
        <f t="shared" si="37"/>
        <v>0.30851558620679942</v>
      </c>
      <c r="BI26">
        <f t="shared" si="38"/>
        <v>-279.56166666666661</v>
      </c>
      <c r="BJ26">
        <v>7394</v>
      </c>
      <c r="BK26">
        <v>300</v>
      </c>
      <c r="BL26">
        <v>300</v>
      </c>
      <c r="BM26">
        <v>300</v>
      </c>
      <c r="BN26">
        <v>9030.8700000000008</v>
      </c>
      <c r="BO26">
        <v>309.27699999999999</v>
      </c>
      <c r="BP26">
        <v>-5.8569700000000004E-3</v>
      </c>
      <c r="BQ26">
        <v>1.5196799999999999</v>
      </c>
      <c r="BR26" t="s">
        <v>347</v>
      </c>
      <c r="BS26" t="s">
        <v>347</v>
      </c>
      <c r="BT26" t="s">
        <v>347</v>
      </c>
      <c r="BU26" t="s">
        <v>347</v>
      </c>
      <c r="BV26" t="s">
        <v>347</v>
      </c>
      <c r="BW26" t="s">
        <v>347</v>
      </c>
      <c r="BX26" t="s">
        <v>347</v>
      </c>
      <c r="BY26" t="s">
        <v>347</v>
      </c>
      <c r="BZ26" t="s">
        <v>347</v>
      </c>
      <c r="CA26" t="s">
        <v>347</v>
      </c>
      <c r="CB26">
        <f t="shared" si="39"/>
        <v>2199.9583870967699</v>
      </c>
      <c r="CC26">
        <f t="shared" si="40"/>
        <v>1854.5499156280496</v>
      </c>
      <c r="CD26">
        <f t="shared" si="41"/>
        <v>0.84299317955529729</v>
      </c>
      <c r="CE26">
        <f t="shared" si="42"/>
        <v>0.19598635911059478</v>
      </c>
      <c r="CF26">
        <v>1564946280.0999999</v>
      </c>
      <c r="CG26">
        <v>779.47074193548303</v>
      </c>
      <c r="CH26">
        <v>800.00748387096803</v>
      </c>
      <c r="CI26">
        <v>18.469612903225801</v>
      </c>
      <c r="CJ26">
        <v>16.100232258064501</v>
      </c>
      <c r="CK26">
        <v>499.98909677419402</v>
      </c>
      <c r="CL26">
        <v>99.311432258064499</v>
      </c>
      <c r="CM26">
        <v>9.9892054838709707E-2</v>
      </c>
      <c r="CN26">
        <v>25.7424483870968</v>
      </c>
      <c r="CO26">
        <v>27.348099999999999</v>
      </c>
      <c r="CP26">
        <v>999.9</v>
      </c>
      <c r="CQ26">
        <v>0</v>
      </c>
      <c r="CR26">
        <v>0</v>
      </c>
      <c r="CS26">
        <v>10004.424193548401</v>
      </c>
      <c r="CT26">
        <v>0</v>
      </c>
      <c r="CU26">
        <v>1765.2364516129001</v>
      </c>
      <c r="CV26">
        <v>-20.5366838709677</v>
      </c>
      <c r="CW26">
        <v>794.13825806451598</v>
      </c>
      <c r="CX26">
        <v>813.09861290322601</v>
      </c>
      <c r="CY26">
        <v>2.3693777419354798</v>
      </c>
      <c r="CZ26">
        <v>774.974774193548</v>
      </c>
      <c r="DA26">
        <v>800.00748387096803</v>
      </c>
      <c r="DB26">
        <v>18.001612903225801</v>
      </c>
      <c r="DC26">
        <v>16.100232258064501</v>
      </c>
      <c r="DD26">
        <v>1.8342429032258101</v>
      </c>
      <c r="DE26">
        <v>1.5989361290322599</v>
      </c>
      <c r="DF26">
        <v>16.0816967741935</v>
      </c>
      <c r="DG26">
        <v>13.9483935483871</v>
      </c>
      <c r="DH26">
        <v>2199.9583870967699</v>
      </c>
      <c r="DI26">
        <v>0.89999967741935505</v>
      </c>
      <c r="DJ26">
        <v>0.10000011612903199</v>
      </c>
      <c r="DK26">
        <v>0</v>
      </c>
      <c r="DL26">
        <v>235.27209677419401</v>
      </c>
      <c r="DM26">
        <v>5.0002700000000004</v>
      </c>
      <c r="DN26">
        <v>9711.6174193548395</v>
      </c>
      <c r="DO26">
        <v>20015.716129032298</v>
      </c>
      <c r="DP26">
        <v>48.75</v>
      </c>
      <c r="DQ26">
        <v>50.061999999999998</v>
      </c>
      <c r="DR26">
        <v>49.186999999999998</v>
      </c>
      <c r="DS26">
        <v>48.75</v>
      </c>
      <c r="DT26">
        <v>49.543999999999997</v>
      </c>
      <c r="DU26">
        <v>1975.4606451612899</v>
      </c>
      <c r="DV26">
        <v>219.495483870968</v>
      </c>
      <c r="DW26">
        <v>0</v>
      </c>
      <c r="DX26">
        <v>99.700000047683702</v>
      </c>
      <c r="DY26">
        <v>235.20482352941201</v>
      </c>
      <c r="DZ26">
        <v>-1.13799021484058</v>
      </c>
      <c r="EA26">
        <v>-167.63235445485401</v>
      </c>
      <c r="EB26">
        <v>9706.8052941176502</v>
      </c>
      <c r="EC26">
        <v>10</v>
      </c>
      <c r="ED26">
        <v>1564946263.5999999</v>
      </c>
      <c r="EE26" t="s">
        <v>398</v>
      </c>
      <c r="EF26">
        <v>65</v>
      </c>
      <c r="EG26">
        <v>4.4960000000000004</v>
      </c>
      <c r="EH26">
        <v>0.46800000000000003</v>
      </c>
      <c r="EI26">
        <v>800</v>
      </c>
      <c r="EJ26">
        <v>16</v>
      </c>
      <c r="EK26">
        <v>0.14000000000000001</v>
      </c>
      <c r="EL26">
        <v>7.0000000000000007E-2</v>
      </c>
      <c r="EM26">
        <v>44.614508239504602</v>
      </c>
      <c r="EN26">
        <v>30.860073815587601</v>
      </c>
      <c r="EO26">
        <v>5.9753172509079597</v>
      </c>
      <c r="EP26">
        <v>0</v>
      </c>
      <c r="EQ26">
        <v>0.31347967505727098</v>
      </c>
      <c r="ER26">
        <v>0.40281853374545601</v>
      </c>
      <c r="ES26">
        <v>5.2976500869436199E-2</v>
      </c>
      <c r="ET26">
        <v>0</v>
      </c>
      <c r="EU26">
        <v>0</v>
      </c>
      <c r="EV26">
        <v>2</v>
      </c>
      <c r="EW26" t="s">
        <v>399</v>
      </c>
      <c r="EX26">
        <v>2.9483899999999998</v>
      </c>
      <c r="EY26">
        <v>2.77738</v>
      </c>
      <c r="EZ26">
        <v>0.150506</v>
      </c>
      <c r="FA26">
        <v>0.14957400000000001</v>
      </c>
      <c r="FB26">
        <v>9.1560699999999995E-2</v>
      </c>
      <c r="FC26">
        <v>8.0235200000000007E-2</v>
      </c>
      <c r="FD26">
        <v>20379.400000000001</v>
      </c>
      <c r="FE26">
        <v>20483.599999999999</v>
      </c>
      <c r="FF26">
        <v>22566.400000000001</v>
      </c>
      <c r="FG26">
        <v>26428.799999999999</v>
      </c>
      <c r="FH26">
        <v>29322.7</v>
      </c>
      <c r="FI26">
        <v>38157.9</v>
      </c>
      <c r="FJ26">
        <v>32251.9</v>
      </c>
      <c r="FK26">
        <v>42106</v>
      </c>
      <c r="FL26">
        <v>1.9310700000000001</v>
      </c>
      <c r="FM26">
        <v>1.8081499999999999</v>
      </c>
      <c r="FN26">
        <v>6.3329900000000004E-4</v>
      </c>
      <c r="FO26">
        <v>0</v>
      </c>
      <c r="FP26">
        <v>27.358699999999999</v>
      </c>
      <c r="FQ26">
        <v>999.9</v>
      </c>
      <c r="FR26">
        <v>27.561</v>
      </c>
      <c r="FS26">
        <v>44.564999999999998</v>
      </c>
      <c r="FT26">
        <v>26.1556</v>
      </c>
      <c r="FU26">
        <v>61.817399999999999</v>
      </c>
      <c r="FV26">
        <v>45.789299999999997</v>
      </c>
      <c r="FW26">
        <v>1</v>
      </c>
      <c r="FX26">
        <v>0.65205299999999999</v>
      </c>
      <c r="FY26">
        <v>9.2810500000000005</v>
      </c>
      <c r="FZ26">
        <v>20.036200000000001</v>
      </c>
      <c r="GA26">
        <v>5.2279200000000001</v>
      </c>
      <c r="GB26">
        <v>11.962</v>
      </c>
      <c r="GC26">
        <v>4.9718</v>
      </c>
      <c r="GD26">
        <v>3.2949999999999999</v>
      </c>
      <c r="GE26">
        <v>9999</v>
      </c>
      <c r="GF26">
        <v>9999</v>
      </c>
      <c r="GG26">
        <v>461.4</v>
      </c>
      <c r="GH26">
        <v>9999</v>
      </c>
      <c r="GI26">
        <v>1.8656699999999999</v>
      </c>
      <c r="GJ26">
        <v>1.8650899999999999</v>
      </c>
      <c r="GK26">
        <v>1.8652299999999999</v>
      </c>
      <c r="GL26">
        <v>1.86829</v>
      </c>
      <c r="GM26">
        <v>1.8625</v>
      </c>
      <c r="GN26">
        <v>1.86066</v>
      </c>
      <c r="GO26">
        <v>1.85687</v>
      </c>
      <c r="GP26">
        <v>1.8629599999999999</v>
      </c>
      <c r="GQ26" t="s">
        <v>350</v>
      </c>
      <c r="GR26" t="s">
        <v>19</v>
      </c>
      <c r="GS26" t="s">
        <v>19</v>
      </c>
      <c r="GT26" t="s">
        <v>19</v>
      </c>
      <c r="GU26" t="s">
        <v>351</v>
      </c>
      <c r="GV26" t="s">
        <v>352</v>
      </c>
      <c r="GW26" t="s">
        <v>353</v>
      </c>
      <c r="GX26" t="s">
        <v>353</v>
      </c>
      <c r="GY26" t="s">
        <v>353</v>
      </c>
      <c r="GZ26" t="s">
        <v>353</v>
      </c>
      <c r="HA26">
        <v>0</v>
      </c>
      <c r="HB26">
        <v>100</v>
      </c>
      <c r="HC26">
        <v>100</v>
      </c>
      <c r="HD26">
        <v>4.4960000000000004</v>
      </c>
      <c r="HE26">
        <v>0.46800000000000003</v>
      </c>
      <c r="HF26">
        <v>2</v>
      </c>
      <c r="HG26">
        <v>502.62299999999999</v>
      </c>
      <c r="HH26">
        <v>460.73200000000003</v>
      </c>
      <c r="HI26">
        <v>18.646899999999999</v>
      </c>
      <c r="HJ26">
        <v>35.116</v>
      </c>
      <c r="HK26">
        <v>30.001000000000001</v>
      </c>
      <c r="HL26">
        <v>34.894500000000001</v>
      </c>
      <c r="HM26">
        <v>34.875300000000003</v>
      </c>
      <c r="HN26">
        <v>37.573999999999998</v>
      </c>
      <c r="HO26">
        <v>38.503599999999999</v>
      </c>
      <c r="HP26">
        <v>0</v>
      </c>
      <c r="HQ26">
        <v>16.603300000000001</v>
      </c>
      <c r="HR26">
        <v>800</v>
      </c>
      <c r="HS26">
        <v>15.979799999999999</v>
      </c>
      <c r="HT26">
        <v>99.257499999999993</v>
      </c>
      <c r="HU26">
        <v>102.66200000000001</v>
      </c>
    </row>
    <row r="27" spans="1:229" x14ac:dyDescent="0.35">
      <c r="A27">
        <v>12</v>
      </c>
      <c r="B27">
        <v>1564946388.5999999</v>
      </c>
      <c r="C27">
        <v>1156.0999999046301</v>
      </c>
      <c r="D27" t="s">
        <v>400</v>
      </c>
      <c r="E27" t="s">
        <v>401</v>
      </c>
      <c r="G27">
        <v>1564946380.5999999</v>
      </c>
      <c r="H27">
        <f t="shared" si="0"/>
        <v>5.6787056496689393E-3</v>
      </c>
      <c r="I27">
        <f t="shared" si="1"/>
        <v>46.758490658197161</v>
      </c>
      <c r="J27">
        <f t="shared" si="2"/>
        <v>979.06258064516101</v>
      </c>
      <c r="K27">
        <f t="shared" si="3"/>
        <v>702.98378940596547</v>
      </c>
      <c r="L27">
        <f t="shared" si="4"/>
        <v>69.882479587203676</v>
      </c>
      <c r="M27">
        <f t="shared" si="5"/>
        <v>97.327024943698973</v>
      </c>
      <c r="N27">
        <f t="shared" si="6"/>
        <v>0.31171417349056735</v>
      </c>
      <c r="O27">
        <f t="shared" si="7"/>
        <v>3.382288278709809</v>
      </c>
      <c r="P27">
        <f t="shared" si="8"/>
        <v>0.29658847508829994</v>
      </c>
      <c r="Q27">
        <f t="shared" si="9"/>
        <v>0.1866656020159651</v>
      </c>
      <c r="R27">
        <f t="shared" si="10"/>
        <v>363.47647000836224</v>
      </c>
      <c r="S27">
        <f t="shared" si="11"/>
        <v>26.361373097259627</v>
      </c>
      <c r="T27">
        <f t="shared" si="12"/>
        <v>27.489729032258101</v>
      </c>
      <c r="U27">
        <f t="shared" si="13"/>
        <v>3.6834086184479089</v>
      </c>
      <c r="V27">
        <f t="shared" si="14"/>
        <v>55.037493075381697</v>
      </c>
      <c r="W27">
        <f t="shared" si="15"/>
        <v>1.8328705438745876</v>
      </c>
      <c r="X27">
        <f t="shared" si="16"/>
        <v>3.3302217115234698</v>
      </c>
      <c r="Y27">
        <f t="shared" si="17"/>
        <v>1.8505380745733213</v>
      </c>
      <c r="Z27">
        <f t="shared" si="18"/>
        <v>-250.43091915040023</v>
      </c>
      <c r="AA27">
        <f t="shared" si="19"/>
        <v>-312.09387499436355</v>
      </c>
      <c r="AB27">
        <f t="shared" si="20"/>
        <v>-19.840949644935598</v>
      </c>
      <c r="AC27">
        <f t="shared" si="21"/>
        <v>-218.88927378133715</v>
      </c>
      <c r="AD27">
        <v>-4.1173506012710803E-2</v>
      </c>
      <c r="AE27">
        <v>4.6220867496500902E-2</v>
      </c>
      <c r="AF27">
        <v>3.45454056776765</v>
      </c>
      <c r="AG27">
        <v>0</v>
      </c>
      <c r="AH27">
        <v>0</v>
      </c>
      <c r="AI27">
        <f t="shared" si="22"/>
        <v>1</v>
      </c>
      <c r="AJ27">
        <f t="shared" si="23"/>
        <v>0</v>
      </c>
      <c r="AK27">
        <f t="shared" si="24"/>
        <v>52717.815771732319</v>
      </c>
      <c r="AL27">
        <v>0</v>
      </c>
      <c r="AM27">
        <v>2.4</v>
      </c>
      <c r="AN27">
        <v>3.6</v>
      </c>
      <c r="AO27">
        <f t="shared" si="25"/>
        <v>1.2000000000000002</v>
      </c>
      <c r="AP27">
        <f t="shared" si="26"/>
        <v>0.33333333333333337</v>
      </c>
      <c r="AQ27">
        <v>-1</v>
      </c>
      <c r="AR27" t="s">
        <v>402</v>
      </c>
      <c r="AS27">
        <v>233.344705882353</v>
      </c>
      <c r="AT27">
        <v>328.82400000000001</v>
      </c>
      <c r="AU27">
        <f t="shared" si="27"/>
        <v>0.29036595296464673</v>
      </c>
      <c r="AV27">
        <v>0.5</v>
      </c>
      <c r="AW27">
        <f t="shared" si="28"/>
        <v>1854.6002895144147</v>
      </c>
      <c r="AX27">
        <f t="shared" si="29"/>
        <v>46.758490658197161</v>
      </c>
      <c r="AY27">
        <f t="shared" si="30"/>
        <v>269.25639021668138</v>
      </c>
      <c r="AZ27">
        <f t="shared" si="31"/>
        <v>0.53026543074714738</v>
      </c>
      <c r="BA27">
        <f t="shared" si="32"/>
        <v>2.5751365902515654E-2</v>
      </c>
      <c r="BB27">
        <f t="shared" si="33"/>
        <v>-0.98905189402233407</v>
      </c>
      <c r="BC27" t="s">
        <v>403</v>
      </c>
      <c r="BD27">
        <v>154.46</v>
      </c>
      <c r="BE27">
        <f t="shared" si="34"/>
        <v>174.364</v>
      </c>
      <c r="BF27">
        <f t="shared" si="35"/>
        <v>0.54758605054740095</v>
      </c>
      <c r="BG27">
        <f t="shared" si="36"/>
        <v>2.1558000795439476</v>
      </c>
      <c r="BH27">
        <f t="shared" si="37"/>
        <v>0.29250083975947544</v>
      </c>
      <c r="BI27">
        <f t="shared" si="38"/>
        <v>-271.01999999999992</v>
      </c>
      <c r="BJ27">
        <v>7396</v>
      </c>
      <c r="BK27">
        <v>300</v>
      </c>
      <c r="BL27">
        <v>300</v>
      </c>
      <c r="BM27">
        <v>300</v>
      </c>
      <c r="BN27">
        <v>9031.19</v>
      </c>
      <c r="BO27">
        <v>299.92399999999998</v>
      </c>
      <c r="BP27">
        <v>-5.8571200000000004E-3</v>
      </c>
      <c r="BQ27">
        <v>1.4394199999999999</v>
      </c>
      <c r="BR27" t="s">
        <v>347</v>
      </c>
      <c r="BS27" t="s">
        <v>347</v>
      </c>
      <c r="BT27" t="s">
        <v>347</v>
      </c>
      <c r="BU27" t="s">
        <v>347</v>
      </c>
      <c r="BV27" t="s">
        <v>347</v>
      </c>
      <c r="BW27" t="s">
        <v>347</v>
      </c>
      <c r="BX27" t="s">
        <v>347</v>
      </c>
      <c r="BY27" t="s">
        <v>347</v>
      </c>
      <c r="BZ27" t="s">
        <v>347</v>
      </c>
      <c r="CA27" t="s">
        <v>347</v>
      </c>
      <c r="CB27">
        <f t="shared" si="39"/>
        <v>2200.0180645161299</v>
      </c>
      <c r="CC27">
        <f t="shared" si="40"/>
        <v>1854.6002895144147</v>
      </c>
      <c r="CD27">
        <f t="shared" si="41"/>
        <v>0.84299320965908242</v>
      </c>
      <c r="CE27">
        <f t="shared" si="42"/>
        <v>0.19598641931816496</v>
      </c>
      <c r="CF27">
        <v>1564946380.5999999</v>
      </c>
      <c r="CG27">
        <v>979.06258064516101</v>
      </c>
      <c r="CH27">
        <v>999.98967741935496</v>
      </c>
      <c r="CI27">
        <v>18.437787096774201</v>
      </c>
      <c r="CJ27">
        <v>16.208209677419401</v>
      </c>
      <c r="CK27">
        <v>500.00532258064499</v>
      </c>
      <c r="CL27">
        <v>99.308393548387102</v>
      </c>
      <c r="CM27">
        <v>9.9986332258064498E-2</v>
      </c>
      <c r="CN27">
        <v>25.778180645161299</v>
      </c>
      <c r="CO27">
        <v>27.489729032258101</v>
      </c>
      <c r="CP27">
        <v>999.9</v>
      </c>
      <c r="CQ27">
        <v>0</v>
      </c>
      <c r="CR27">
        <v>0</v>
      </c>
      <c r="CS27">
        <v>9998.3403225806505</v>
      </c>
      <c r="CT27">
        <v>0</v>
      </c>
      <c r="CU27">
        <v>1767.7096774193601</v>
      </c>
      <c r="CV27">
        <v>-20.926448387096801</v>
      </c>
      <c r="CW27">
        <v>997.45351612903198</v>
      </c>
      <c r="CX27">
        <v>1016.46419354839</v>
      </c>
      <c r="CY27">
        <v>2.2295645161290301</v>
      </c>
      <c r="CZ27">
        <v>974.61164516128997</v>
      </c>
      <c r="DA27">
        <v>999.98967741935496</v>
      </c>
      <c r="DB27">
        <v>17.969787096774201</v>
      </c>
      <c r="DC27">
        <v>16.208209677419401</v>
      </c>
      <c r="DD27">
        <v>1.8310264516129</v>
      </c>
      <c r="DE27">
        <v>1.60961225806452</v>
      </c>
      <c r="DF27">
        <v>16.0542032258065</v>
      </c>
      <c r="DG27">
        <v>14.0511322580645</v>
      </c>
      <c r="DH27">
        <v>2200.0180645161299</v>
      </c>
      <c r="DI27">
        <v>0.89999861290322603</v>
      </c>
      <c r="DJ27">
        <v>0.10000121935483899</v>
      </c>
      <c r="DK27">
        <v>0</v>
      </c>
      <c r="DL27">
        <v>233.475387096774</v>
      </c>
      <c r="DM27">
        <v>5.0002700000000004</v>
      </c>
      <c r="DN27">
        <v>9640.1341935483906</v>
      </c>
      <c r="DO27">
        <v>20016.2419354839</v>
      </c>
      <c r="DP27">
        <v>48.745935483871001</v>
      </c>
      <c r="DQ27">
        <v>50.061999999999998</v>
      </c>
      <c r="DR27">
        <v>49.125</v>
      </c>
      <c r="DS27">
        <v>48.777999999999999</v>
      </c>
      <c r="DT27">
        <v>49.5</v>
      </c>
      <c r="DU27">
        <v>1975.51419354839</v>
      </c>
      <c r="DV27">
        <v>219.50387096774199</v>
      </c>
      <c r="DW27">
        <v>0</v>
      </c>
      <c r="DX27">
        <v>100</v>
      </c>
      <c r="DY27">
        <v>233.344705882353</v>
      </c>
      <c r="DZ27">
        <v>-2.7154411628070898</v>
      </c>
      <c r="EA27">
        <v>-77.691175928250004</v>
      </c>
      <c r="EB27">
        <v>9636.3241176470601</v>
      </c>
      <c r="EC27">
        <v>10</v>
      </c>
      <c r="ED27">
        <v>1564946352.0999999</v>
      </c>
      <c r="EE27" t="s">
        <v>404</v>
      </c>
      <c r="EF27">
        <v>66</v>
      </c>
      <c r="EG27">
        <v>4.4509999999999996</v>
      </c>
      <c r="EH27">
        <v>0.46800000000000003</v>
      </c>
      <c r="EI27">
        <v>1000</v>
      </c>
      <c r="EJ27">
        <v>16</v>
      </c>
      <c r="EK27">
        <v>0.25</v>
      </c>
      <c r="EL27">
        <v>0.1</v>
      </c>
      <c r="EM27">
        <v>46.858992218630398</v>
      </c>
      <c r="EN27">
        <v>-1.8972977644900499</v>
      </c>
      <c r="EO27">
        <v>0.235786838331077</v>
      </c>
      <c r="EP27">
        <v>0</v>
      </c>
      <c r="EQ27">
        <v>0.31285685209567299</v>
      </c>
      <c r="ER27">
        <v>-2.4561974961696001E-2</v>
      </c>
      <c r="ES27">
        <v>2.50928670630706E-3</v>
      </c>
      <c r="ET27">
        <v>1</v>
      </c>
      <c r="EU27">
        <v>1</v>
      </c>
      <c r="EV27">
        <v>2</v>
      </c>
      <c r="EW27" t="s">
        <v>405</v>
      </c>
      <c r="EX27">
        <v>2.9484599999999999</v>
      </c>
      <c r="EY27">
        <v>2.7774700000000001</v>
      </c>
      <c r="EZ27">
        <v>0.17471200000000001</v>
      </c>
      <c r="FA27">
        <v>0.172793</v>
      </c>
      <c r="FB27">
        <v>9.1421600000000006E-2</v>
      </c>
      <c r="FC27">
        <v>8.0761700000000006E-2</v>
      </c>
      <c r="FD27">
        <v>19787.599999999999</v>
      </c>
      <c r="FE27">
        <v>19910.900000000001</v>
      </c>
      <c r="FF27">
        <v>22556.1</v>
      </c>
      <c r="FG27">
        <v>26414.5</v>
      </c>
      <c r="FH27">
        <v>29315.200000000001</v>
      </c>
      <c r="FI27">
        <v>38118.699999999997</v>
      </c>
      <c r="FJ27">
        <v>32238.3</v>
      </c>
      <c r="FK27">
        <v>42086.8</v>
      </c>
      <c r="FL27">
        <v>1.9285000000000001</v>
      </c>
      <c r="FM27">
        <v>1.8059700000000001</v>
      </c>
      <c r="FN27">
        <v>3.8556799999999998E-3</v>
      </c>
      <c r="FO27">
        <v>0</v>
      </c>
      <c r="FP27">
        <v>27.444600000000001</v>
      </c>
      <c r="FQ27">
        <v>999.9</v>
      </c>
      <c r="FR27">
        <v>27.591000000000001</v>
      </c>
      <c r="FS27">
        <v>44.594999999999999</v>
      </c>
      <c r="FT27">
        <v>26.223500000000001</v>
      </c>
      <c r="FU27">
        <v>61.417400000000001</v>
      </c>
      <c r="FV27">
        <v>45.540900000000001</v>
      </c>
      <c r="FW27">
        <v>1</v>
      </c>
      <c r="FX27">
        <v>0.67027199999999998</v>
      </c>
      <c r="FY27">
        <v>9.2810500000000005</v>
      </c>
      <c r="FZ27">
        <v>20.036799999999999</v>
      </c>
      <c r="GA27">
        <v>5.2277699999999996</v>
      </c>
      <c r="GB27">
        <v>11.962</v>
      </c>
      <c r="GC27">
        <v>4.9717500000000001</v>
      </c>
      <c r="GD27">
        <v>3.2949999999999999</v>
      </c>
      <c r="GE27">
        <v>9999</v>
      </c>
      <c r="GF27">
        <v>9999</v>
      </c>
      <c r="GG27">
        <v>461.4</v>
      </c>
      <c r="GH27">
        <v>9999</v>
      </c>
      <c r="GI27">
        <v>1.8655600000000001</v>
      </c>
      <c r="GJ27">
        <v>1.8650800000000001</v>
      </c>
      <c r="GK27">
        <v>1.8652299999999999</v>
      </c>
      <c r="GL27">
        <v>1.86818</v>
      </c>
      <c r="GM27">
        <v>1.86249</v>
      </c>
      <c r="GN27">
        <v>1.8606499999999999</v>
      </c>
      <c r="GO27">
        <v>1.85684</v>
      </c>
      <c r="GP27">
        <v>1.8629500000000001</v>
      </c>
      <c r="GQ27" t="s">
        <v>350</v>
      </c>
      <c r="GR27" t="s">
        <v>19</v>
      </c>
      <c r="GS27" t="s">
        <v>19</v>
      </c>
      <c r="GT27" t="s">
        <v>19</v>
      </c>
      <c r="GU27" t="s">
        <v>351</v>
      </c>
      <c r="GV27" t="s">
        <v>352</v>
      </c>
      <c r="GW27" t="s">
        <v>353</v>
      </c>
      <c r="GX27" t="s">
        <v>353</v>
      </c>
      <c r="GY27" t="s">
        <v>353</v>
      </c>
      <c r="GZ27" t="s">
        <v>353</v>
      </c>
      <c r="HA27">
        <v>0</v>
      </c>
      <c r="HB27">
        <v>100</v>
      </c>
      <c r="HC27">
        <v>100</v>
      </c>
      <c r="HD27">
        <v>4.4509999999999996</v>
      </c>
      <c r="HE27">
        <v>0.46800000000000003</v>
      </c>
      <c r="HF27">
        <v>2</v>
      </c>
      <c r="HG27">
        <v>502.55700000000002</v>
      </c>
      <c r="HH27">
        <v>460.86099999999999</v>
      </c>
      <c r="HI27">
        <v>18.743500000000001</v>
      </c>
      <c r="HJ27">
        <v>35.352200000000003</v>
      </c>
      <c r="HK27">
        <v>30.000900000000001</v>
      </c>
      <c r="HL27">
        <v>35.111600000000003</v>
      </c>
      <c r="HM27">
        <v>35.092799999999997</v>
      </c>
      <c r="HN27">
        <v>45.119</v>
      </c>
      <c r="HO27">
        <v>38.131999999999998</v>
      </c>
      <c r="HP27">
        <v>0</v>
      </c>
      <c r="HQ27">
        <v>16.571400000000001</v>
      </c>
      <c r="HR27">
        <v>1000</v>
      </c>
      <c r="HS27">
        <v>16.1616</v>
      </c>
      <c r="HT27">
        <v>99.214100000000002</v>
      </c>
      <c r="HU27">
        <v>102.61199999999999</v>
      </c>
    </row>
    <row r="28" spans="1:229" x14ac:dyDescent="0.35">
      <c r="A28">
        <v>13</v>
      </c>
      <c r="B28">
        <v>1564946489.0999999</v>
      </c>
      <c r="C28">
        <v>1256.5999999046301</v>
      </c>
      <c r="D28" t="s">
        <v>406</v>
      </c>
      <c r="E28" t="s">
        <v>407</v>
      </c>
      <c r="G28">
        <v>1564946481.0999999</v>
      </c>
      <c r="H28">
        <f t="shared" si="0"/>
        <v>5.2605007452624798E-3</v>
      </c>
      <c r="I28">
        <f t="shared" si="1"/>
        <v>46.286881902258393</v>
      </c>
      <c r="J28">
        <f t="shared" si="2"/>
        <v>1179.04096774194</v>
      </c>
      <c r="K28">
        <f t="shared" si="3"/>
        <v>872.77500592442834</v>
      </c>
      <c r="L28">
        <f t="shared" si="4"/>
        <v>86.763379437070654</v>
      </c>
      <c r="M28">
        <f t="shared" si="5"/>
        <v>117.20956507879494</v>
      </c>
      <c r="N28">
        <f t="shared" si="6"/>
        <v>0.2806290603242696</v>
      </c>
      <c r="O28">
        <f t="shared" si="7"/>
        <v>3.3828668851850248</v>
      </c>
      <c r="P28">
        <f t="shared" si="8"/>
        <v>0.26830762740699743</v>
      </c>
      <c r="Q28">
        <f t="shared" si="9"/>
        <v>0.16875421390236225</v>
      </c>
      <c r="R28">
        <f t="shared" si="10"/>
        <v>363.47560602754157</v>
      </c>
      <c r="S28">
        <f t="shared" si="11"/>
        <v>26.542805111246981</v>
      </c>
      <c r="T28">
        <f t="shared" si="12"/>
        <v>27.747796774193599</v>
      </c>
      <c r="U28">
        <f t="shared" si="13"/>
        <v>3.7394022925597956</v>
      </c>
      <c r="V28">
        <f t="shared" si="14"/>
        <v>55.120911982785472</v>
      </c>
      <c r="W28">
        <f t="shared" si="15"/>
        <v>1.8450740097071308</v>
      </c>
      <c r="X28">
        <f t="shared" si="16"/>
        <v>3.3473212676222706</v>
      </c>
      <c r="Y28">
        <f t="shared" si="17"/>
        <v>1.8943282828526649</v>
      </c>
      <c r="Z28">
        <f t="shared" si="18"/>
        <v>-231.98808286607536</v>
      </c>
      <c r="AA28">
        <f t="shared" si="19"/>
        <v>-343.44906158921304</v>
      </c>
      <c r="AB28">
        <f t="shared" si="20"/>
        <v>-21.868287476085982</v>
      </c>
      <c r="AC28">
        <f t="shared" si="21"/>
        <v>-233.82982590383281</v>
      </c>
      <c r="AD28">
        <v>-4.11824547403443E-2</v>
      </c>
      <c r="AE28">
        <v>4.6230913227220997E-2</v>
      </c>
      <c r="AF28">
        <v>3.4551348776919601</v>
      </c>
      <c r="AG28">
        <v>0</v>
      </c>
      <c r="AH28">
        <v>0</v>
      </c>
      <c r="AI28">
        <f t="shared" si="22"/>
        <v>1</v>
      </c>
      <c r="AJ28">
        <f t="shared" si="23"/>
        <v>0</v>
      </c>
      <c r="AK28">
        <f t="shared" si="24"/>
        <v>52713.610392808136</v>
      </c>
      <c r="AL28">
        <v>0</v>
      </c>
      <c r="AM28">
        <v>2.4</v>
      </c>
      <c r="AN28">
        <v>3.6</v>
      </c>
      <c r="AO28">
        <f t="shared" si="25"/>
        <v>1.2000000000000002</v>
      </c>
      <c r="AP28">
        <f t="shared" si="26"/>
        <v>0.33333333333333337</v>
      </c>
      <c r="AQ28">
        <v>-1</v>
      </c>
      <c r="AR28" t="s">
        <v>408</v>
      </c>
      <c r="AS28">
        <v>231.32876470588201</v>
      </c>
      <c r="AT28">
        <v>319.98099999999999</v>
      </c>
      <c r="AU28">
        <f t="shared" si="27"/>
        <v>0.27705468541606526</v>
      </c>
      <c r="AV28">
        <v>0.5</v>
      </c>
      <c r="AW28">
        <f t="shared" si="28"/>
        <v>1854.5976379015335</v>
      </c>
      <c r="AX28">
        <f t="shared" si="29"/>
        <v>46.286881902258393</v>
      </c>
      <c r="AY28">
        <f t="shared" si="30"/>
        <v>256.91248257109356</v>
      </c>
      <c r="AZ28">
        <f t="shared" si="31"/>
        <v>0.51859641666223932</v>
      </c>
      <c r="BA28">
        <f t="shared" si="32"/>
        <v>2.5497111036851761E-2</v>
      </c>
      <c r="BB28">
        <f t="shared" si="33"/>
        <v>-0.98874933199158688</v>
      </c>
      <c r="BC28" t="s">
        <v>409</v>
      </c>
      <c r="BD28">
        <v>154.04</v>
      </c>
      <c r="BE28">
        <f t="shared" si="34"/>
        <v>165.941</v>
      </c>
      <c r="BF28">
        <f t="shared" si="35"/>
        <v>0.53423949050637265</v>
      </c>
      <c r="BG28">
        <f t="shared" si="36"/>
        <v>2.1030377559159796</v>
      </c>
      <c r="BH28">
        <f t="shared" si="37"/>
        <v>0.27914842290350489</v>
      </c>
      <c r="BI28">
        <f t="shared" si="38"/>
        <v>-263.65083333333325</v>
      </c>
      <c r="BJ28">
        <v>7398</v>
      </c>
      <c r="BK28">
        <v>300</v>
      </c>
      <c r="BL28">
        <v>300</v>
      </c>
      <c r="BM28">
        <v>300</v>
      </c>
      <c r="BN28">
        <v>9031.7800000000007</v>
      </c>
      <c r="BO28">
        <v>293.35500000000002</v>
      </c>
      <c r="BP28">
        <v>-5.8574899999999999E-3</v>
      </c>
      <c r="BQ28">
        <v>1.7695000000000001</v>
      </c>
      <c r="BR28" t="s">
        <v>347</v>
      </c>
      <c r="BS28" t="s">
        <v>347</v>
      </c>
      <c r="BT28" t="s">
        <v>347</v>
      </c>
      <c r="BU28" t="s">
        <v>347</v>
      </c>
      <c r="BV28" t="s">
        <v>347</v>
      </c>
      <c r="BW28" t="s">
        <v>347</v>
      </c>
      <c r="BX28" t="s">
        <v>347</v>
      </c>
      <c r="BY28" t="s">
        <v>347</v>
      </c>
      <c r="BZ28" t="s">
        <v>347</v>
      </c>
      <c r="CA28" t="s">
        <v>347</v>
      </c>
      <c r="CB28">
        <f t="shared" si="39"/>
        <v>2200.0151612903201</v>
      </c>
      <c r="CC28">
        <f t="shared" si="40"/>
        <v>1854.5976379015335</v>
      </c>
      <c r="CD28">
        <f t="shared" si="41"/>
        <v>0.84299311683552336</v>
      </c>
      <c r="CE28">
        <f t="shared" si="42"/>
        <v>0.19598623367104689</v>
      </c>
      <c r="CF28">
        <v>1564946481.0999999</v>
      </c>
      <c r="CG28">
        <v>1179.04096774194</v>
      </c>
      <c r="CH28">
        <v>1200.0364516129</v>
      </c>
      <c r="CI28">
        <v>18.5600709677419</v>
      </c>
      <c r="CJ28">
        <v>16.4949451612903</v>
      </c>
      <c r="CK28">
        <v>500.00493548387101</v>
      </c>
      <c r="CL28">
        <v>99.310922580645197</v>
      </c>
      <c r="CM28">
        <v>0.10001248064516099</v>
      </c>
      <c r="CN28">
        <v>25.864616129032299</v>
      </c>
      <c r="CO28">
        <v>27.747796774193599</v>
      </c>
      <c r="CP28">
        <v>999.9</v>
      </c>
      <c r="CQ28">
        <v>0</v>
      </c>
      <c r="CR28">
        <v>0</v>
      </c>
      <c r="CS28">
        <v>10000.2587096774</v>
      </c>
      <c r="CT28">
        <v>0</v>
      </c>
      <c r="CU28">
        <v>1776.53967741936</v>
      </c>
      <c r="CV28">
        <v>-20.9960967741935</v>
      </c>
      <c r="CW28">
        <v>1201.3377419354799</v>
      </c>
      <c r="CX28">
        <v>1220.16258064516</v>
      </c>
      <c r="CY28">
        <v>2.0651270967741899</v>
      </c>
      <c r="CZ28">
        <v>1174.8567741935501</v>
      </c>
      <c r="DA28">
        <v>1200.0364516129</v>
      </c>
      <c r="DB28">
        <v>18.0920709677419</v>
      </c>
      <c r="DC28">
        <v>16.4949451612903</v>
      </c>
      <c r="DD28">
        <v>1.8432170967741901</v>
      </c>
      <c r="DE28">
        <v>1.6381277419354801</v>
      </c>
      <c r="DF28">
        <v>16.158158064516101</v>
      </c>
      <c r="DG28">
        <v>14.321941935483901</v>
      </c>
      <c r="DH28">
        <v>2200.0151612903201</v>
      </c>
      <c r="DI28">
        <v>0.90000212903225796</v>
      </c>
      <c r="DJ28">
        <v>9.9998016129032197E-2</v>
      </c>
      <c r="DK28">
        <v>0</v>
      </c>
      <c r="DL28">
        <v>231.53958064516101</v>
      </c>
      <c r="DM28">
        <v>5.0002700000000004</v>
      </c>
      <c r="DN28">
        <v>9572.2606451612901</v>
      </c>
      <c r="DO28">
        <v>20016.2387096774</v>
      </c>
      <c r="DP28">
        <v>48.625</v>
      </c>
      <c r="DQ28">
        <v>50.015999999999998</v>
      </c>
      <c r="DR28">
        <v>49.061999999999998</v>
      </c>
      <c r="DS28">
        <v>48.756</v>
      </c>
      <c r="DT28">
        <v>49.455290322580602</v>
      </c>
      <c r="DU28">
        <v>1975.5183870967701</v>
      </c>
      <c r="DV28">
        <v>219.49677419354799</v>
      </c>
      <c r="DW28">
        <v>0</v>
      </c>
      <c r="DX28">
        <v>99.700000047683702</v>
      </c>
      <c r="DY28">
        <v>231.32876470588201</v>
      </c>
      <c r="DZ28">
        <v>-1.7607843480165299</v>
      </c>
      <c r="EA28">
        <v>-6.6764683238883604</v>
      </c>
      <c r="EB28">
        <v>9573.4599999999991</v>
      </c>
      <c r="EC28">
        <v>10</v>
      </c>
      <c r="ED28">
        <v>1564946455.0999999</v>
      </c>
      <c r="EE28" t="s">
        <v>410</v>
      </c>
      <c r="EF28">
        <v>67</v>
      </c>
      <c r="EG28">
        <v>4.1840000000000002</v>
      </c>
      <c r="EH28">
        <v>0.46800000000000003</v>
      </c>
      <c r="EI28">
        <v>1200</v>
      </c>
      <c r="EJ28">
        <v>16</v>
      </c>
      <c r="EK28">
        <v>0.19</v>
      </c>
      <c r="EL28">
        <v>0.06</v>
      </c>
      <c r="EM28">
        <v>46.458814777166403</v>
      </c>
      <c r="EN28">
        <v>-1.8926659398944901</v>
      </c>
      <c r="EO28">
        <v>0.65307032659847697</v>
      </c>
      <c r="EP28">
        <v>0</v>
      </c>
      <c r="EQ28">
        <v>0.273912599318482</v>
      </c>
      <c r="ER28">
        <v>0.12735620675188</v>
      </c>
      <c r="ES28">
        <v>1.39235394083752E-2</v>
      </c>
      <c r="ET28">
        <v>0</v>
      </c>
      <c r="EU28">
        <v>0</v>
      </c>
      <c r="EV28">
        <v>2</v>
      </c>
      <c r="EW28" t="s">
        <v>399</v>
      </c>
      <c r="EX28">
        <v>2.9480599999999999</v>
      </c>
      <c r="EY28">
        <v>2.7772899999999998</v>
      </c>
      <c r="EZ28">
        <v>0.196404</v>
      </c>
      <c r="FA28">
        <v>0.19364100000000001</v>
      </c>
      <c r="FB28">
        <v>9.1527200000000003E-2</v>
      </c>
      <c r="FC28">
        <v>8.1344299999999994E-2</v>
      </c>
      <c r="FD28">
        <v>19255.400000000001</v>
      </c>
      <c r="FE28">
        <v>19395.400000000001</v>
      </c>
      <c r="FF28">
        <v>22544.799999999999</v>
      </c>
      <c r="FG28">
        <v>26400.1</v>
      </c>
      <c r="FH28">
        <v>29298.400000000001</v>
      </c>
      <c r="FI28">
        <v>38076.6</v>
      </c>
      <c r="FJ28">
        <v>32223.3</v>
      </c>
      <c r="FK28">
        <v>42067</v>
      </c>
      <c r="FL28">
        <v>1.9252800000000001</v>
      </c>
      <c r="FM28">
        <v>1.8040799999999999</v>
      </c>
      <c r="FN28">
        <v>1.55345E-2</v>
      </c>
      <c r="FO28">
        <v>0</v>
      </c>
      <c r="FP28">
        <v>27.5136</v>
      </c>
      <c r="FQ28">
        <v>999.9</v>
      </c>
      <c r="FR28">
        <v>27.616</v>
      </c>
      <c r="FS28">
        <v>44.625</v>
      </c>
      <c r="FT28">
        <v>26.287800000000001</v>
      </c>
      <c r="FU28">
        <v>61.787399999999998</v>
      </c>
      <c r="FV28">
        <v>45.448700000000002</v>
      </c>
      <c r="FW28">
        <v>1</v>
      </c>
      <c r="FX28">
        <v>0.689357</v>
      </c>
      <c r="FY28">
        <v>9.2810500000000005</v>
      </c>
      <c r="FZ28">
        <v>20.0365</v>
      </c>
      <c r="GA28">
        <v>5.2237299999999998</v>
      </c>
      <c r="GB28">
        <v>11.962</v>
      </c>
      <c r="GC28">
        <v>4.9709500000000002</v>
      </c>
      <c r="GD28">
        <v>3.2942999999999998</v>
      </c>
      <c r="GE28">
        <v>9999</v>
      </c>
      <c r="GF28">
        <v>9999</v>
      </c>
      <c r="GG28">
        <v>461.4</v>
      </c>
      <c r="GH28">
        <v>9999</v>
      </c>
      <c r="GI28">
        <v>1.86554</v>
      </c>
      <c r="GJ28">
        <v>1.8650500000000001</v>
      </c>
      <c r="GK28">
        <v>1.8652200000000001</v>
      </c>
      <c r="GL28">
        <v>1.8681399999999999</v>
      </c>
      <c r="GM28">
        <v>1.86249</v>
      </c>
      <c r="GN28">
        <v>1.8606199999999999</v>
      </c>
      <c r="GO28">
        <v>1.85684</v>
      </c>
      <c r="GP28">
        <v>1.8629500000000001</v>
      </c>
      <c r="GQ28" t="s">
        <v>350</v>
      </c>
      <c r="GR28" t="s">
        <v>19</v>
      </c>
      <c r="GS28" t="s">
        <v>19</v>
      </c>
      <c r="GT28" t="s">
        <v>19</v>
      </c>
      <c r="GU28" t="s">
        <v>351</v>
      </c>
      <c r="GV28" t="s">
        <v>352</v>
      </c>
      <c r="GW28" t="s">
        <v>353</v>
      </c>
      <c r="GX28" t="s">
        <v>353</v>
      </c>
      <c r="GY28" t="s">
        <v>353</v>
      </c>
      <c r="GZ28" t="s">
        <v>353</v>
      </c>
      <c r="HA28">
        <v>0</v>
      </c>
      <c r="HB28">
        <v>100</v>
      </c>
      <c r="HC28">
        <v>100</v>
      </c>
      <c r="HD28">
        <v>4.1840000000000002</v>
      </c>
      <c r="HE28">
        <v>0.46800000000000003</v>
      </c>
      <c r="HF28">
        <v>2</v>
      </c>
      <c r="HG28">
        <v>502.13799999999998</v>
      </c>
      <c r="HH28">
        <v>461.24400000000003</v>
      </c>
      <c r="HI28">
        <v>18.866800000000001</v>
      </c>
      <c r="HJ28">
        <v>35.592399999999998</v>
      </c>
      <c r="HK28">
        <v>30.001100000000001</v>
      </c>
      <c r="HL28">
        <v>35.341200000000001</v>
      </c>
      <c r="HM28">
        <v>35.321899999999999</v>
      </c>
      <c r="HN28">
        <v>52.3688</v>
      </c>
      <c r="HO28">
        <v>37.936</v>
      </c>
      <c r="HP28">
        <v>0</v>
      </c>
      <c r="HQ28">
        <v>16.6906</v>
      </c>
      <c r="HR28">
        <v>1200</v>
      </c>
      <c r="HS28">
        <v>16.469200000000001</v>
      </c>
      <c r="HT28">
        <v>99.166399999999996</v>
      </c>
      <c r="HU28">
        <v>102.56100000000001</v>
      </c>
    </row>
    <row r="29" spans="1:229" x14ac:dyDescent="0.35">
      <c r="A29">
        <v>14</v>
      </c>
      <c r="B29">
        <v>1564946589.0999999</v>
      </c>
      <c r="C29">
        <v>1356.5999999046301</v>
      </c>
      <c r="D29" t="s">
        <v>411</v>
      </c>
      <c r="E29" t="s">
        <v>412</v>
      </c>
      <c r="G29">
        <v>1564946581.0999999</v>
      </c>
      <c r="H29">
        <f t="shared" si="0"/>
        <v>4.8555216837705018E-3</v>
      </c>
      <c r="I29">
        <f t="shared" si="1"/>
        <v>45.518516950359732</v>
      </c>
      <c r="J29">
        <f t="shared" si="2"/>
        <v>1578.73677419355</v>
      </c>
      <c r="K29">
        <f t="shared" si="3"/>
        <v>1239.7557301705017</v>
      </c>
      <c r="L29">
        <f t="shared" si="4"/>
        <v>123.25401299446254</v>
      </c>
      <c r="M29">
        <f t="shared" si="5"/>
        <v>156.95482436247875</v>
      </c>
      <c r="N29">
        <f t="shared" si="6"/>
        <v>0.25602169339510294</v>
      </c>
      <c r="O29">
        <f t="shared" si="7"/>
        <v>3.3817469735656487</v>
      </c>
      <c r="P29">
        <f t="shared" si="8"/>
        <v>0.2457204779368283</v>
      </c>
      <c r="Q29">
        <f t="shared" si="9"/>
        <v>0.15446628538332571</v>
      </c>
      <c r="R29">
        <f t="shared" si="10"/>
        <v>363.47079182162076</v>
      </c>
      <c r="S29">
        <f t="shared" si="11"/>
        <v>26.684407629502953</v>
      </c>
      <c r="T29">
        <f t="shared" si="12"/>
        <v>27.849151612903199</v>
      </c>
      <c r="U29">
        <f t="shared" si="13"/>
        <v>3.7615958182860125</v>
      </c>
      <c r="V29">
        <f t="shared" si="14"/>
        <v>55.182347415450231</v>
      </c>
      <c r="W29">
        <f t="shared" si="15"/>
        <v>1.8525306257739005</v>
      </c>
      <c r="X29">
        <f t="shared" si="16"/>
        <v>3.3571073224319194</v>
      </c>
      <c r="Y29">
        <f t="shared" si="17"/>
        <v>1.909065192512112</v>
      </c>
      <c r="Z29">
        <f t="shared" si="18"/>
        <v>-214.12850625427913</v>
      </c>
      <c r="AA29">
        <f t="shared" si="19"/>
        <v>-352.8270062825992</v>
      </c>
      <c r="AB29">
        <f t="shared" si="20"/>
        <v>-22.489800129274901</v>
      </c>
      <c r="AC29">
        <f t="shared" si="21"/>
        <v>-225.97452084453246</v>
      </c>
      <c r="AD29">
        <v>-4.1165134809135098E-2</v>
      </c>
      <c r="AE29">
        <v>4.6211470087129398E-2</v>
      </c>
      <c r="AF29">
        <v>3.4539845726279301</v>
      </c>
      <c r="AG29">
        <v>0</v>
      </c>
      <c r="AH29">
        <v>0</v>
      </c>
      <c r="AI29">
        <f t="shared" si="22"/>
        <v>1</v>
      </c>
      <c r="AJ29">
        <f t="shared" si="23"/>
        <v>0</v>
      </c>
      <c r="AK29">
        <f t="shared" si="24"/>
        <v>52683.808675912682</v>
      </c>
      <c r="AL29">
        <v>0</v>
      </c>
      <c r="AM29">
        <v>2.4</v>
      </c>
      <c r="AN29">
        <v>3.6</v>
      </c>
      <c r="AO29">
        <f t="shared" si="25"/>
        <v>1.2000000000000002</v>
      </c>
      <c r="AP29">
        <f t="shared" si="26"/>
        <v>0.33333333333333337</v>
      </c>
      <c r="AQ29">
        <v>-1</v>
      </c>
      <c r="AR29" t="s">
        <v>413</v>
      </c>
      <c r="AS29">
        <v>231.55552941176501</v>
      </c>
      <c r="AT29">
        <v>311.57100000000003</v>
      </c>
      <c r="AU29">
        <f t="shared" si="27"/>
        <v>0.2568129594481996</v>
      </c>
      <c r="AV29">
        <v>0.5</v>
      </c>
      <c r="AW29">
        <f t="shared" si="28"/>
        <v>1854.5736417635928</v>
      </c>
      <c r="AX29">
        <f t="shared" si="29"/>
        <v>45.518516950359732</v>
      </c>
      <c r="AY29">
        <f t="shared" si="30"/>
        <v>238.1392727279667</v>
      </c>
      <c r="AZ29">
        <f t="shared" si="31"/>
        <v>0.50444681950502457</v>
      </c>
      <c r="BA29">
        <f t="shared" si="32"/>
        <v>2.5083132803571662E-2</v>
      </c>
      <c r="BB29">
        <f t="shared" si="33"/>
        <v>-0.98844565123198236</v>
      </c>
      <c r="BC29" t="s">
        <v>414</v>
      </c>
      <c r="BD29">
        <v>154.4</v>
      </c>
      <c r="BE29">
        <f t="shared" si="34"/>
        <v>157.17100000000002</v>
      </c>
      <c r="BF29">
        <f t="shared" si="35"/>
        <v>0.50909818343228086</v>
      </c>
      <c r="BG29">
        <f t="shared" si="36"/>
        <v>2.0422480106100793</v>
      </c>
      <c r="BH29">
        <f t="shared" si="37"/>
        <v>0.25880651997837767</v>
      </c>
      <c r="BI29">
        <f t="shared" si="38"/>
        <v>-256.64249999999998</v>
      </c>
      <c r="BJ29">
        <v>7400</v>
      </c>
      <c r="BK29">
        <v>300</v>
      </c>
      <c r="BL29">
        <v>300</v>
      </c>
      <c r="BM29">
        <v>300</v>
      </c>
      <c r="BN29">
        <v>9033.1</v>
      </c>
      <c r="BO29">
        <v>287.56099999999998</v>
      </c>
      <c r="BP29">
        <v>-5.8583000000000003E-3</v>
      </c>
      <c r="BQ29">
        <v>1.2371799999999999</v>
      </c>
      <c r="BR29" t="s">
        <v>347</v>
      </c>
      <c r="BS29" t="s">
        <v>347</v>
      </c>
      <c r="BT29" t="s">
        <v>347</v>
      </c>
      <c r="BU29" t="s">
        <v>347</v>
      </c>
      <c r="BV29" t="s">
        <v>347</v>
      </c>
      <c r="BW29" t="s">
        <v>347</v>
      </c>
      <c r="BX29" t="s">
        <v>347</v>
      </c>
      <c r="BY29" t="s">
        <v>347</v>
      </c>
      <c r="BZ29" t="s">
        <v>347</v>
      </c>
      <c r="CA29" t="s">
        <v>347</v>
      </c>
      <c r="CB29">
        <f t="shared" si="39"/>
        <v>2199.98677419355</v>
      </c>
      <c r="CC29">
        <f t="shared" si="40"/>
        <v>1854.5736417635928</v>
      </c>
      <c r="CD29">
        <f t="shared" si="41"/>
        <v>0.8429930868304536</v>
      </c>
      <c r="CE29">
        <f t="shared" si="42"/>
        <v>0.19598617366090729</v>
      </c>
      <c r="CF29">
        <v>1564946581.0999999</v>
      </c>
      <c r="CG29">
        <v>1578.73677419355</v>
      </c>
      <c r="CH29">
        <v>1600.01</v>
      </c>
      <c r="CI29">
        <v>18.633758064516101</v>
      </c>
      <c r="CJ29">
        <v>16.727777419354801</v>
      </c>
      <c r="CK29">
        <v>500.00980645161297</v>
      </c>
      <c r="CL29">
        <v>99.317964516128995</v>
      </c>
      <c r="CM29">
        <v>0.100017587096774</v>
      </c>
      <c r="CN29">
        <v>25.913909677419401</v>
      </c>
      <c r="CO29">
        <v>27.849151612903199</v>
      </c>
      <c r="CP29">
        <v>999.9</v>
      </c>
      <c r="CQ29">
        <v>0</v>
      </c>
      <c r="CR29">
        <v>0</v>
      </c>
      <c r="CS29">
        <v>9995.3441935483897</v>
      </c>
      <c r="CT29">
        <v>0</v>
      </c>
      <c r="CU29">
        <v>1782.25</v>
      </c>
      <c r="CV29">
        <v>-21.272854838709701</v>
      </c>
      <c r="CW29">
        <v>1608.7138709677399</v>
      </c>
      <c r="CX29">
        <v>1627.2293548387099</v>
      </c>
      <c r="CY29">
        <v>1.9059793548387101</v>
      </c>
      <c r="CZ29">
        <v>1575.2583870967701</v>
      </c>
      <c r="DA29">
        <v>1600.01</v>
      </c>
      <c r="DB29">
        <v>18.1647580645161</v>
      </c>
      <c r="DC29">
        <v>16.727777419354801</v>
      </c>
      <c r="DD29">
        <v>1.8506664516129001</v>
      </c>
      <c r="DE29">
        <v>1.6613693548387101</v>
      </c>
      <c r="DF29">
        <v>16.2214225806452</v>
      </c>
      <c r="DG29">
        <v>14.540103225806501</v>
      </c>
      <c r="DH29">
        <v>2199.98677419355</v>
      </c>
      <c r="DI29">
        <v>0.90000209677419396</v>
      </c>
      <c r="DJ29">
        <v>9.9997774193548397E-2</v>
      </c>
      <c r="DK29">
        <v>0</v>
      </c>
      <c r="DL29">
        <v>231.67148387096799</v>
      </c>
      <c r="DM29">
        <v>5.0002700000000004</v>
      </c>
      <c r="DN29">
        <v>9593.4687096774196</v>
      </c>
      <c r="DO29">
        <v>20015.9806451613</v>
      </c>
      <c r="DP29">
        <v>48.436999999999998</v>
      </c>
      <c r="DQ29">
        <v>49.872967741935497</v>
      </c>
      <c r="DR29">
        <v>48.902999999999999</v>
      </c>
      <c r="DS29">
        <v>48.582322580645098</v>
      </c>
      <c r="DT29">
        <v>49.293999999999997</v>
      </c>
      <c r="DU29">
        <v>1975.4938709677399</v>
      </c>
      <c r="DV29">
        <v>219.49161290322601</v>
      </c>
      <c r="DW29">
        <v>0</v>
      </c>
      <c r="DX29">
        <v>99.399999856948895</v>
      </c>
      <c r="DY29">
        <v>231.55552941176501</v>
      </c>
      <c r="DZ29">
        <v>-1.84730392528595</v>
      </c>
      <c r="EA29">
        <v>-187.91176461456499</v>
      </c>
      <c r="EB29">
        <v>9586.0311764705893</v>
      </c>
      <c r="EC29">
        <v>10</v>
      </c>
      <c r="ED29">
        <v>1564946547.0999999</v>
      </c>
      <c r="EE29" t="s">
        <v>415</v>
      </c>
      <c r="EF29">
        <v>68</v>
      </c>
      <c r="EG29">
        <v>3.4790000000000001</v>
      </c>
      <c r="EH29">
        <v>0.46899999999999997</v>
      </c>
      <c r="EI29">
        <v>1600</v>
      </c>
      <c r="EJ29">
        <v>17</v>
      </c>
      <c r="EK29">
        <v>0.12</v>
      </c>
      <c r="EL29">
        <v>0.11</v>
      </c>
      <c r="EM29">
        <v>45.487781845557798</v>
      </c>
      <c r="EN29">
        <v>-0.20871274678076299</v>
      </c>
      <c r="EO29">
        <v>0.314884888142685</v>
      </c>
      <c r="EP29">
        <v>1</v>
      </c>
      <c r="EQ29">
        <v>0.25544095202410999</v>
      </c>
      <c r="ER29">
        <v>3.25527816630604E-3</v>
      </c>
      <c r="ES29">
        <v>1.9340350109916099E-3</v>
      </c>
      <c r="ET29">
        <v>1</v>
      </c>
      <c r="EU29">
        <v>2</v>
      </c>
      <c r="EV29">
        <v>2</v>
      </c>
      <c r="EW29" t="s">
        <v>349</v>
      </c>
      <c r="EX29">
        <v>2.9479700000000002</v>
      </c>
      <c r="EY29">
        <v>2.7773599999999998</v>
      </c>
      <c r="EZ29">
        <v>0.23430500000000001</v>
      </c>
      <c r="FA29">
        <v>0.23016900000000001</v>
      </c>
      <c r="FB29">
        <v>9.1982300000000003E-2</v>
      </c>
      <c r="FC29">
        <v>8.2517900000000005E-2</v>
      </c>
      <c r="FD29">
        <v>18333.3</v>
      </c>
      <c r="FE29">
        <v>18502.3</v>
      </c>
      <c r="FF29">
        <v>22533.4</v>
      </c>
      <c r="FG29">
        <v>26387.200000000001</v>
      </c>
      <c r="FH29">
        <v>29271.4</v>
      </c>
      <c r="FI29">
        <v>38012.5</v>
      </c>
      <c r="FJ29">
        <v>32209.200000000001</v>
      </c>
      <c r="FK29">
        <v>42049.7</v>
      </c>
      <c r="FL29">
        <v>1.92272</v>
      </c>
      <c r="FM29">
        <v>1.80345</v>
      </c>
      <c r="FN29">
        <v>2.14577E-2</v>
      </c>
      <c r="FO29">
        <v>0</v>
      </c>
      <c r="FP29">
        <v>27.5016</v>
      </c>
      <c r="FQ29">
        <v>999.9</v>
      </c>
      <c r="FR29">
        <v>27.591000000000001</v>
      </c>
      <c r="FS29">
        <v>44.655000000000001</v>
      </c>
      <c r="FT29">
        <v>26.303000000000001</v>
      </c>
      <c r="FU29">
        <v>61.747399999999999</v>
      </c>
      <c r="FV29">
        <v>45.536900000000003</v>
      </c>
      <c r="FW29">
        <v>1</v>
      </c>
      <c r="FX29">
        <v>0.70701999999999998</v>
      </c>
      <c r="FY29">
        <v>9.2810500000000005</v>
      </c>
      <c r="FZ29">
        <v>20.036000000000001</v>
      </c>
      <c r="GA29">
        <v>5.2250800000000002</v>
      </c>
      <c r="GB29">
        <v>11.962</v>
      </c>
      <c r="GC29">
        <v>4.9718</v>
      </c>
      <c r="GD29">
        <v>3.2949999999999999</v>
      </c>
      <c r="GE29">
        <v>9999</v>
      </c>
      <c r="GF29">
        <v>9999</v>
      </c>
      <c r="GG29">
        <v>461.5</v>
      </c>
      <c r="GH29">
        <v>9999</v>
      </c>
      <c r="GI29">
        <v>1.86554</v>
      </c>
      <c r="GJ29">
        <v>1.8650500000000001</v>
      </c>
      <c r="GK29">
        <v>1.8652200000000001</v>
      </c>
      <c r="GL29">
        <v>1.8681399999999999</v>
      </c>
      <c r="GM29">
        <v>1.86249</v>
      </c>
      <c r="GN29">
        <v>1.8606400000000001</v>
      </c>
      <c r="GO29">
        <v>1.85684</v>
      </c>
      <c r="GP29">
        <v>1.8629500000000001</v>
      </c>
      <c r="GQ29" t="s">
        <v>350</v>
      </c>
      <c r="GR29" t="s">
        <v>19</v>
      </c>
      <c r="GS29" t="s">
        <v>19</v>
      </c>
      <c r="GT29" t="s">
        <v>19</v>
      </c>
      <c r="GU29" t="s">
        <v>351</v>
      </c>
      <c r="GV29" t="s">
        <v>352</v>
      </c>
      <c r="GW29" t="s">
        <v>353</v>
      </c>
      <c r="GX29" t="s">
        <v>353</v>
      </c>
      <c r="GY29" t="s">
        <v>353</v>
      </c>
      <c r="GZ29" t="s">
        <v>353</v>
      </c>
      <c r="HA29">
        <v>0</v>
      </c>
      <c r="HB29">
        <v>100</v>
      </c>
      <c r="HC29">
        <v>100</v>
      </c>
      <c r="HD29">
        <v>3.4790000000000001</v>
      </c>
      <c r="HE29">
        <v>0.46899999999999997</v>
      </c>
      <c r="HF29">
        <v>2</v>
      </c>
      <c r="HG29">
        <v>502.09399999999999</v>
      </c>
      <c r="HH29">
        <v>462.39</v>
      </c>
      <c r="HI29">
        <v>18.878</v>
      </c>
      <c r="HJ29">
        <v>35.813200000000002</v>
      </c>
      <c r="HK29">
        <v>30.000800000000002</v>
      </c>
      <c r="HL29">
        <v>35.561100000000003</v>
      </c>
      <c r="HM29">
        <v>35.540399999999998</v>
      </c>
      <c r="HN29">
        <v>66.099800000000002</v>
      </c>
      <c r="HO29">
        <v>36.844200000000001</v>
      </c>
      <c r="HP29">
        <v>0</v>
      </c>
      <c r="HQ29">
        <v>16.755600000000001</v>
      </c>
      <c r="HR29">
        <v>1600</v>
      </c>
      <c r="HS29">
        <v>16.660900000000002</v>
      </c>
      <c r="HT29">
        <v>99.1203</v>
      </c>
      <c r="HU29">
        <v>102.51600000000001</v>
      </c>
    </row>
  </sheetData>
  <sortState xmlns:xlrd2="http://schemas.microsoft.com/office/spreadsheetml/2017/richdata2" ref="J33:L46">
    <sortCondition ref="J3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Wu, Genghong</cp:lastModifiedBy>
  <dcterms:created xsi:type="dcterms:W3CDTF">2019-08-03T14:21:04Z</dcterms:created>
  <dcterms:modified xsi:type="dcterms:W3CDTF">2019-08-28T03:07:09Z</dcterms:modified>
</cp:coreProperties>
</file>