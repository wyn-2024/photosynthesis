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22A082D3-E6A2-4945-8136-25CB39DADF0C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E28" i="1" l="1"/>
  <c r="CD28" i="1"/>
  <c r="CB28" i="1"/>
  <c r="CC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AJ28" i="1" s="1"/>
  <c r="X28" i="1"/>
  <c r="W28" i="1"/>
  <c r="V28" i="1" s="1"/>
  <c r="O28" i="1"/>
  <c r="CE27" i="1"/>
  <c r="CD27" i="1"/>
  <c r="CB27" i="1"/>
  <c r="CC27" i="1" s="1"/>
  <c r="AW27" i="1" s="1"/>
  <c r="AY27" i="1" s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/>
  <c r="X27" i="1"/>
  <c r="W27" i="1"/>
  <c r="V27" i="1" s="1"/>
  <c r="O27" i="1"/>
  <c r="J27" i="1"/>
  <c r="CE26" i="1"/>
  <c r="CD26" i="1"/>
  <c r="CB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 s="1"/>
  <c r="X26" i="1"/>
  <c r="W26" i="1"/>
  <c r="V26" i="1"/>
  <c r="O26" i="1"/>
  <c r="CE25" i="1"/>
  <c r="CD25" i="1"/>
  <c r="CB25" i="1"/>
  <c r="CC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 s="1"/>
  <c r="X25" i="1"/>
  <c r="W25" i="1"/>
  <c r="O25" i="1"/>
  <c r="H25" i="1"/>
  <c r="Z25" i="1" s="1"/>
  <c r="CE24" i="1"/>
  <c r="CD24" i="1"/>
  <c r="CB24" i="1"/>
  <c r="BI24" i="1"/>
  <c r="BH24" i="1"/>
  <c r="BG24" i="1"/>
  <c r="BF24" i="1"/>
  <c r="BE24" i="1"/>
  <c r="BB24" i="1"/>
  <c r="AZ24" i="1"/>
  <c r="AU24" i="1"/>
  <c r="AO24" i="1"/>
  <c r="AP24" i="1" s="1"/>
  <c r="AK24" i="1"/>
  <c r="AI24" i="1" s="1"/>
  <c r="X24" i="1"/>
  <c r="W24" i="1"/>
  <c r="O24" i="1"/>
  <c r="CE23" i="1"/>
  <c r="CD23" i="1"/>
  <c r="CB23" i="1"/>
  <c r="CC23" i="1" s="1"/>
  <c r="AW23" i="1" s="1"/>
  <c r="BI23" i="1"/>
  <c r="BH23" i="1"/>
  <c r="BG23" i="1"/>
  <c r="BF23" i="1"/>
  <c r="BE23" i="1"/>
  <c r="AZ23" i="1" s="1"/>
  <c r="BB23" i="1"/>
  <c r="AU23" i="1"/>
  <c r="AP23" i="1"/>
  <c r="AO23" i="1"/>
  <c r="AK23" i="1"/>
  <c r="AI23" i="1"/>
  <c r="X23" i="1"/>
  <c r="V23" i="1" s="1"/>
  <c r="W23" i="1"/>
  <c r="O23" i="1"/>
  <c r="J23" i="1"/>
  <c r="CE22" i="1"/>
  <c r="CD22" i="1"/>
  <c r="CB22" i="1"/>
  <c r="CC22" i="1" s="1"/>
  <c r="R22" i="1" s="1"/>
  <c r="BI22" i="1"/>
  <c r="BH22" i="1"/>
  <c r="BG22" i="1"/>
  <c r="BF22" i="1"/>
  <c r="BE22" i="1"/>
  <c r="AZ22" i="1" s="1"/>
  <c r="BB22" i="1"/>
  <c r="AU22" i="1"/>
  <c r="AP22" i="1"/>
  <c r="AO22" i="1"/>
  <c r="AK22" i="1"/>
  <c r="AI22" i="1" s="1"/>
  <c r="X22" i="1"/>
  <c r="W22" i="1"/>
  <c r="O22" i="1"/>
  <c r="H22" i="1"/>
  <c r="Z22" i="1" s="1"/>
  <c r="CE21" i="1"/>
  <c r="CD21" i="1"/>
  <c r="CB21" i="1"/>
  <c r="BI21" i="1"/>
  <c r="BH21" i="1"/>
  <c r="BG21" i="1"/>
  <c r="BF21" i="1"/>
  <c r="BE21" i="1"/>
  <c r="BB21" i="1"/>
  <c r="AZ21" i="1"/>
  <c r="AU21" i="1"/>
  <c r="AO21" i="1"/>
  <c r="AP21" i="1" s="1"/>
  <c r="AK21" i="1"/>
  <c r="AI21" i="1" s="1"/>
  <c r="AJ21" i="1"/>
  <c r="X21" i="1"/>
  <c r="W21" i="1"/>
  <c r="V21" i="1" s="1"/>
  <c r="O21" i="1"/>
  <c r="CE20" i="1"/>
  <c r="CD20" i="1"/>
  <c r="CB20" i="1"/>
  <c r="CC20" i="1" s="1"/>
  <c r="BI20" i="1"/>
  <c r="BH20" i="1"/>
  <c r="BG20" i="1"/>
  <c r="BF20" i="1"/>
  <c r="BE20" i="1"/>
  <c r="AZ20" i="1" s="1"/>
  <c r="BB20" i="1"/>
  <c r="AU20" i="1"/>
  <c r="AP20" i="1"/>
  <c r="AO20" i="1"/>
  <c r="AK20" i="1"/>
  <c r="AI20" i="1"/>
  <c r="J20" i="1" s="1"/>
  <c r="X20" i="1"/>
  <c r="W20" i="1"/>
  <c r="V20" i="1"/>
  <c r="O20" i="1"/>
  <c r="CE19" i="1"/>
  <c r="CD19" i="1"/>
  <c r="CB19" i="1"/>
  <c r="BI19" i="1"/>
  <c r="BH19" i="1"/>
  <c r="BG19" i="1"/>
  <c r="BF19" i="1"/>
  <c r="BE19" i="1"/>
  <c r="BB19" i="1"/>
  <c r="AZ19" i="1"/>
  <c r="AU19" i="1"/>
  <c r="AO19" i="1"/>
  <c r="AP19" i="1" s="1"/>
  <c r="AK19" i="1"/>
  <c r="AI19" i="1" s="1"/>
  <c r="X19" i="1"/>
  <c r="W19" i="1"/>
  <c r="V19" i="1" s="1"/>
  <c r="O19" i="1"/>
  <c r="CE18" i="1"/>
  <c r="CD18" i="1"/>
  <c r="CB18" i="1"/>
  <c r="CC18" i="1" s="1"/>
  <c r="BI18" i="1"/>
  <c r="BH18" i="1"/>
  <c r="BG18" i="1"/>
  <c r="BF18" i="1"/>
  <c r="BE18" i="1"/>
  <c r="AZ18" i="1" s="1"/>
  <c r="BB18" i="1"/>
  <c r="AU18" i="1"/>
  <c r="AP18" i="1"/>
  <c r="AO18" i="1"/>
  <c r="AK18" i="1"/>
  <c r="AI18" i="1"/>
  <c r="J18" i="1" s="1"/>
  <c r="X18" i="1"/>
  <c r="V18" i="1" s="1"/>
  <c r="W18" i="1"/>
  <c r="O18" i="1"/>
  <c r="CE17" i="1"/>
  <c r="CD17" i="1"/>
  <c r="CB17" i="1"/>
  <c r="CC17" i="1" s="1"/>
  <c r="AW17" i="1" s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/>
  <c r="M17" i="1" s="1"/>
  <c r="X17" i="1"/>
  <c r="W17" i="1"/>
  <c r="O17" i="1"/>
  <c r="H17" i="1"/>
  <c r="Z17" i="1" s="1"/>
  <c r="H26" i="1" l="1"/>
  <c r="J26" i="1"/>
  <c r="M26" i="1"/>
  <c r="I26" i="1"/>
  <c r="AX26" i="1" s="1"/>
  <c r="M19" i="1"/>
  <c r="AJ19" i="1"/>
  <c r="H19" i="1"/>
  <c r="J19" i="1"/>
  <c r="I19" i="1"/>
  <c r="AX19" i="1" s="1"/>
  <c r="R20" i="1"/>
  <c r="AW20" i="1"/>
  <c r="R25" i="1"/>
  <c r="AW25" i="1"/>
  <c r="AY25" i="1" s="1"/>
  <c r="AY20" i="1"/>
  <c r="AY23" i="1"/>
  <c r="R18" i="1"/>
  <c r="AW18" i="1"/>
  <c r="AY18" i="1" s="1"/>
  <c r="J17" i="1"/>
  <c r="V25" i="1"/>
  <c r="AJ17" i="1"/>
  <c r="R27" i="1"/>
  <c r="V22" i="1"/>
  <c r="R23" i="1"/>
  <c r="V17" i="1"/>
  <c r="CC21" i="1"/>
  <c r="V24" i="1"/>
  <c r="CC24" i="1"/>
  <c r="M23" i="1"/>
  <c r="I23" i="1"/>
  <c r="AX23" i="1" s="1"/>
  <c r="BA23" i="1" s="1"/>
  <c r="H23" i="1"/>
  <c r="AJ23" i="1"/>
  <c r="M20" i="1"/>
  <c r="I20" i="1"/>
  <c r="AX20" i="1" s="1"/>
  <c r="BA20" i="1" s="1"/>
  <c r="H20" i="1"/>
  <c r="AJ20" i="1"/>
  <c r="J21" i="1"/>
  <c r="M21" i="1"/>
  <c r="I21" i="1"/>
  <c r="AX21" i="1" s="1"/>
  <c r="H21" i="1"/>
  <c r="AJ25" i="1"/>
  <c r="J25" i="1"/>
  <c r="M25" i="1"/>
  <c r="I25" i="1"/>
  <c r="AX25" i="1" s="1"/>
  <c r="BA25" i="1" s="1"/>
  <c r="S25" i="1"/>
  <c r="T25" i="1" s="1"/>
  <c r="AA25" i="1" s="1"/>
  <c r="M27" i="1"/>
  <c r="I27" i="1"/>
  <c r="AX27" i="1" s="1"/>
  <c r="BA27" i="1" s="1"/>
  <c r="H27" i="1"/>
  <c r="AJ27" i="1"/>
  <c r="R28" i="1"/>
  <c r="AW28" i="1"/>
  <c r="AY28" i="1" s="1"/>
  <c r="S20" i="1"/>
  <c r="T20" i="1" s="1"/>
  <c r="S18" i="1"/>
  <c r="T18" i="1" s="1"/>
  <c r="AA18" i="1" s="1"/>
  <c r="I17" i="1"/>
  <c r="AX17" i="1" s="1"/>
  <c r="BA17" i="1" s="1"/>
  <c r="CC19" i="1"/>
  <c r="AJ22" i="1"/>
  <c r="J22" i="1"/>
  <c r="M22" i="1"/>
  <c r="I22" i="1"/>
  <c r="AX22" i="1" s="1"/>
  <c r="AW22" i="1"/>
  <c r="AY22" i="1" s="1"/>
  <c r="R24" i="1"/>
  <c r="AW24" i="1"/>
  <c r="AY24" i="1" s="1"/>
  <c r="CC26" i="1"/>
  <c r="AJ18" i="1"/>
  <c r="M18" i="1"/>
  <c r="I18" i="1"/>
  <c r="AX18" i="1" s="1"/>
  <c r="BA18" i="1" s="1"/>
  <c r="J24" i="1"/>
  <c r="M24" i="1"/>
  <c r="I24" i="1"/>
  <c r="AX24" i="1" s="1"/>
  <c r="BA24" i="1" s="1"/>
  <c r="H24" i="1"/>
  <c r="S27" i="1"/>
  <c r="T27" i="1" s="1"/>
  <c r="R17" i="1"/>
  <c r="AY17" i="1"/>
  <c r="H18" i="1"/>
  <c r="AA20" i="1"/>
  <c r="AY21" i="1"/>
  <c r="R21" i="1"/>
  <c r="AW21" i="1"/>
  <c r="S22" i="1"/>
  <c r="T22" i="1" s="1"/>
  <c r="AJ24" i="1"/>
  <c r="Z26" i="1"/>
  <c r="AA27" i="1"/>
  <c r="J28" i="1"/>
  <c r="M28" i="1"/>
  <c r="I28" i="1"/>
  <c r="AX28" i="1" s="1"/>
  <c r="H28" i="1"/>
  <c r="Z19" i="1"/>
  <c r="AJ26" i="1"/>
  <c r="BA22" i="1" l="1"/>
  <c r="S17" i="1"/>
  <c r="T17" i="1" s="1"/>
  <c r="S24" i="1"/>
  <c r="T24" i="1" s="1"/>
  <c r="AW19" i="1"/>
  <c r="R19" i="1"/>
  <c r="Z23" i="1"/>
  <c r="U27" i="1"/>
  <c r="Y27" i="1" s="1"/>
  <c r="AB27" i="1"/>
  <c r="U18" i="1"/>
  <c r="Y18" i="1" s="1"/>
  <c r="AB18" i="1"/>
  <c r="U20" i="1"/>
  <c r="Y20" i="1" s="1"/>
  <c r="AB20" i="1"/>
  <c r="Z21" i="1"/>
  <c r="U22" i="1"/>
  <c r="Y22" i="1" s="1"/>
  <c r="AB22" i="1"/>
  <c r="S28" i="1"/>
  <c r="T28" i="1" s="1"/>
  <c r="P28" i="1" s="1"/>
  <c r="N28" i="1" s="1"/>
  <c r="Q28" i="1" s="1"/>
  <c r="K28" i="1" s="1"/>
  <c r="L28" i="1" s="1"/>
  <c r="P22" i="1"/>
  <c r="N22" i="1" s="1"/>
  <c r="Q22" i="1" s="1"/>
  <c r="K22" i="1" s="1"/>
  <c r="L22" i="1" s="1"/>
  <c r="S23" i="1"/>
  <c r="T23" i="1" s="1"/>
  <c r="Z28" i="1"/>
  <c r="BA28" i="1"/>
  <c r="S21" i="1"/>
  <c r="T21" i="1" s="1"/>
  <c r="P21" i="1" s="1"/>
  <c r="N21" i="1" s="1"/>
  <c r="Q21" i="1" s="1"/>
  <c r="K21" i="1" s="1"/>
  <c r="L21" i="1" s="1"/>
  <c r="Z18" i="1"/>
  <c r="P18" i="1"/>
  <c r="N18" i="1" s="1"/>
  <c r="Q18" i="1" s="1"/>
  <c r="K18" i="1" s="1"/>
  <c r="L18" i="1" s="1"/>
  <c r="AW26" i="1"/>
  <c r="R26" i="1"/>
  <c r="BA21" i="1"/>
  <c r="P20" i="1"/>
  <c r="N20" i="1" s="1"/>
  <c r="Q20" i="1" s="1"/>
  <c r="K20" i="1" s="1"/>
  <c r="L20" i="1" s="1"/>
  <c r="Z20" i="1"/>
  <c r="Z24" i="1"/>
  <c r="P27" i="1"/>
  <c r="N27" i="1" s="1"/>
  <c r="Q27" i="1" s="1"/>
  <c r="K27" i="1" s="1"/>
  <c r="L27" i="1" s="1"/>
  <c r="Z27" i="1"/>
  <c r="U25" i="1"/>
  <c r="Y25" i="1" s="1"/>
  <c r="AB25" i="1"/>
  <c r="AC25" i="1" s="1"/>
  <c r="P25" i="1"/>
  <c r="N25" i="1" s="1"/>
  <c r="Q25" i="1" s="1"/>
  <c r="K25" i="1" s="1"/>
  <c r="L25" i="1" s="1"/>
  <c r="AA22" i="1"/>
  <c r="AY26" i="1" l="1"/>
  <c r="BA26" i="1"/>
  <c r="AC22" i="1"/>
  <c r="U24" i="1"/>
  <c r="Y24" i="1" s="1"/>
  <c r="AB24" i="1"/>
  <c r="AA24" i="1"/>
  <c r="U28" i="1"/>
  <c r="Y28" i="1" s="1"/>
  <c r="AB28" i="1"/>
  <c r="AC28" i="1" s="1"/>
  <c r="AA28" i="1"/>
  <c r="AC18" i="1"/>
  <c r="S19" i="1"/>
  <c r="T19" i="1" s="1"/>
  <c r="U23" i="1"/>
  <c r="Y23" i="1" s="1"/>
  <c r="AB23" i="1"/>
  <c r="AA23" i="1"/>
  <c r="AC20" i="1"/>
  <c r="AC27" i="1"/>
  <c r="P24" i="1"/>
  <c r="N24" i="1" s="1"/>
  <c r="Q24" i="1" s="1"/>
  <c r="K24" i="1" s="1"/>
  <c r="L24" i="1" s="1"/>
  <c r="S26" i="1"/>
  <c r="T26" i="1" s="1"/>
  <c r="U21" i="1"/>
  <c r="Y21" i="1" s="1"/>
  <c r="AB21" i="1"/>
  <c r="AA21" i="1"/>
  <c r="P23" i="1"/>
  <c r="N23" i="1" s="1"/>
  <c r="Q23" i="1" s="1"/>
  <c r="K23" i="1" s="1"/>
  <c r="L23" i="1" s="1"/>
  <c r="BA19" i="1"/>
  <c r="AY19" i="1"/>
  <c r="U17" i="1"/>
  <c r="Y17" i="1" s="1"/>
  <c r="AB17" i="1"/>
  <c r="AC17" i="1" s="1"/>
  <c r="AA17" i="1"/>
  <c r="P17" i="1"/>
  <c r="N17" i="1" s="1"/>
  <c r="Q17" i="1" s="1"/>
  <c r="K17" i="1" s="1"/>
  <c r="L17" i="1" s="1"/>
  <c r="AC24" i="1" l="1"/>
  <c r="AB26" i="1"/>
  <c r="U26" i="1"/>
  <c r="Y26" i="1" s="1"/>
  <c r="P26" i="1"/>
  <c r="N26" i="1" s="1"/>
  <c r="Q26" i="1" s="1"/>
  <c r="K26" i="1" s="1"/>
  <c r="L26" i="1" s="1"/>
  <c r="AA26" i="1"/>
  <c r="AB19" i="1"/>
  <c r="U19" i="1"/>
  <c r="Y19" i="1" s="1"/>
  <c r="P19" i="1"/>
  <c r="N19" i="1" s="1"/>
  <c r="Q19" i="1" s="1"/>
  <c r="K19" i="1" s="1"/>
  <c r="L19" i="1" s="1"/>
  <c r="AA19" i="1"/>
  <c r="AC23" i="1"/>
  <c r="AC21" i="1"/>
  <c r="AC19" i="1" l="1"/>
  <c r="AC26" i="1"/>
</calcChain>
</file>

<file path=xl/sharedStrings.xml><?xml version="1.0" encoding="utf-8"?>
<sst xmlns="http://schemas.openxmlformats.org/spreadsheetml/2006/main" count="1019" uniqueCount="410">
  <si>
    <t>File opened</t>
  </si>
  <si>
    <t>2019-08-10 14:33:28</t>
  </si>
  <si>
    <t>Console s/n</t>
  </si>
  <si>
    <t>68C-831448</t>
  </si>
  <si>
    <t>Console ver</t>
  </si>
  <si>
    <t>Bluestem v.1.3.17</t>
  </si>
  <si>
    <t>Scripts ver</t>
  </si>
  <si>
    <t>2018.12  1.3.16, Nov 2018</t>
  </si>
  <si>
    <t>Head s/n</t>
  </si>
  <si>
    <t>68H-581448</t>
  </si>
  <si>
    <t>Head ver</t>
  </si>
  <si>
    <t>1.3.1</t>
  </si>
  <si>
    <t>Head cal</t>
  </si>
  <si>
    <t>{"co2bspan2": "-0.029811", "co2bspanconc2": "296.4", "h2oaspan2b": "0.0689295", "co2bspan1": "1.00063", "h2oaspanconc2": "0", "flowmeterzero": "1.01484", "h2obspan2b": "0.0966582", "co2bspan2b": "0.290353", "h2oazero": "0.99813", "tazero": "-0.075655", "h2obspan2": "0", "h2obspanconc1": "20", "co2aspanconc2": "296.4", "co2bspan2a": "0.292725", "ssa_ref": "27614.2", "co2bspanconc1": "2500", "ssb_ref": "33378.8", "h2obspanconc2": "0", "co2aspanconc1": "2500", "oxygen": "21", "h2obzero": "1.01301", "h2obspan2a": "-0.0693626", "chamberpressurezero": "2.62898", "h2oaspan2a": "0.0687344", "tbzero": "-0.00914764", "co2azero": "0.936047", "h2oaspan1": "1.00284", "h2oaspan2": "0", "co2aspan2b": "0.298132", "flowazero": "0.30339", "h2obspan1": "1", "flowbzero": "0.2519", "co2aspan2": "-0.0275709", "h2oaspanconc1": "12.25", "co2aspan1": "1.00019", "co2aspan2a": "0.300565", "co2bzero": "1.08871"}</t>
  </si>
  <si>
    <t>Chamber type</t>
  </si>
  <si>
    <t>6800-01A</t>
  </si>
  <si>
    <t>Chamber s/n</t>
  </si>
  <si>
    <t>MPF-651357</t>
  </si>
  <si>
    <t>Chamber rev</t>
  </si>
  <si>
    <t>0</t>
  </si>
  <si>
    <t>Chamber cal</t>
  </si>
  <si>
    <t>Fluorometer</t>
  </si>
  <si>
    <t>Flr. Version</t>
  </si>
  <si>
    <t>14:33:28</t>
  </si>
  <si>
    <t>Stability Definition:	A (GasEx): Slp&lt;0.1 Std&lt;1 Per=15	gsw (GasEx): Slp&lt;0.1 Std&lt;1 Per=15</t>
  </si>
  <si>
    <t>SysConst</t>
  </si>
  <si>
    <t>AvgTime</t>
  </si>
  <si>
    <t>Oxygen</t>
  </si>
  <si>
    <t>Chamber</t>
  </si>
  <si>
    <t>6800-01A 6 cm²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</si>
  <si>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</si>
  <si>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</si>
  <si>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</si>
  <si>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</si>
  <si>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</si>
  <si>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</si>
  <si>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</si>
  <si>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</si>
  <si>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</si>
  <si>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</si>
  <si>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</si>
  <si>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</si>
  <si>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</si>
  <si>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</si>
  <si>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</si>
  <si>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</si>
  <si>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</si>
  <si>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</si>
  <si>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</si>
  <si>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</si>
  <si>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</si>
  <si>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</si>
  <si>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</si>
  <si>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</si>
  <si>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</si>
  <si>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</si>
  <si>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</si>
  <si>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</si>
  <si>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</si>
  <si>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</si>
  <si>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</si>
  <si>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</si>
  <si>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</si>
  <si>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</si>
  <si>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</si>
  <si>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</si>
  <si>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</si>
  <si>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</si>
  <si>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</si>
  <si>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</si>
  <si>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</si>
  <si>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</si>
  <si>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2.27505 85.6935 378.414 623.837 873.05 1080.45 1248.65 1433.3</t>
  </si>
  <si>
    <t>Fs_true</t>
  </si>
  <si>
    <t>0.0487186 103.87 402.965 601.332 802.409 1002.24 1200.35 1401.56</t>
  </si>
  <si>
    <t>leak_wt</t>
  </si>
  <si>
    <t>Sys</t>
  </si>
  <si>
    <t>UserDefVar</t>
  </si>
  <si>
    <t>GasEx</t>
  </si>
  <si>
    <t>Leak</t>
  </si>
  <si>
    <t>FLR</t>
  </si>
  <si>
    <t>MPF</t>
  </si>
  <si>
    <t>FastKntcs</t>
  </si>
  <si>
    <t>LeafQ</t>
  </si>
  <si>
    <t>Meas</t>
  </si>
  <si>
    <t>Meas2</t>
  </si>
  <si>
    <t>FlrLS</t>
  </si>
  <si>
    <t>FlrStats</t>
  </si>
  <si>
    <t>Match</t>
  </si>
  <si>
    <t>Stability</t>
  </si>
  <si>
    <t>Raw</t>
  </si>
  <si>
    <t>Status2</t>
  </si>
  <si>
    <t>Auxiliary</t>
  </si>
  <si>
    <t>Status</t>
  </si>
  <si>
    <t>obs</t>
  </si>
  <si>
    <t>time</t>
  </si>
  <si>
    <t>elapsed</t>
  </si>
  <si>
    <t>date</t>
  </si>
  <si>
    <t>hhmmss</t>
  </si>
  <si>
    <t>plant ID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</si>
  <si>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</si>
  <si>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</si>
  <si>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</si>
  <si>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</si>
  <si>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</si>
  <si>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</si>
  <si>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</si>
  <si>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</si>
  <si>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</si>
  <si>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</si>
  <si>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</si>
  <si>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</si>
  <si>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</si>
  <si>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</si>
  <si>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</si>
  <si>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</si>
  <si>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</si>
  <si>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</si>
  <si>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</si>
  <si>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</si>
  <si>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</si>
  <si>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</si>
  <si>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</si>
  <si>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</si>
  <si>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</si>
  <si>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</si>
  <si>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</si>
  <si>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</si>
  <si>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</si>
  <si>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</si>
  <si>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</si>
  <si>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</si>
  <si>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</si>
  <si>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</si>
  <si>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</si>
  <si>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</si>
  <si>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</si>
  <si>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</si>
  <si>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</si>
  <si>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</si>
  <si>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</si>
  <si>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</si>
  <si>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</si>
  <si>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</si>
  <si>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</si>
  <si>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</si>
  <si>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</si>
  <si>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</si>
  <si>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</si>
  <si>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</si>
  <si>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</si>
  <si>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</si>
  <si>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</si>
  <si>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</si>
  <si>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</si>
  <si>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</si>
  <si>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</si>
  <si>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</si>
  <si>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</si>
  <si>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</si>
  <si>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</si>
  <si>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</si>
  <si>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</si>
  <si>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</si>
  <si>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</si>
  <si>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</si>
  <si>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</si>
  <si>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</si>
  <si>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</si>
  <si>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</si>
  <si>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</si>
  <si>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</si>
  <si>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</si>
  <si>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</si>
  <si>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</si>
  <si>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</si>
  <si>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</si>
  <si>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</si>
  <si>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</si>
  <si>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</si>
  <si>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</si>
  <si>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</si>
  <si>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</si>
  <si>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</si>
  <si>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</si>
  <si>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</si>
  <si>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</si>
  <si>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</si>
  <si>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</si>
  <si>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</si>
  <si>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</si>
  <si>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</si>
  <si>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</si>
  <si>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CO2_a</t>
  </si>
  <si>
    <t>CO2_b</t>
  </si>
  <si>
    <t>H2O_a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</si>
  <si>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</si>
  <si>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</si>
  <si>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</si>
  <si>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</si>
  <si>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</si>
  <si>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</si>
  <si>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</si>
  <si>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</si>
  <si>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</si>
  <si>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</si>
  <si>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</si>
  <si>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</si>
  <si>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</si>
  <si>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</si>
  <si>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</si>
  <si>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</si>
  <si>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</si>
  <si>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</si>
  <si>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</si>
  <si>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</si>
  <si>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</si>
  <si>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</si>
  <si>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</si>
  <si>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</si>
  <si>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</si>
  <si>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</si>
  <si>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</si>
  <si>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</si>
  <si>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</si>
  <si>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</si>
  <si>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</si>
  <si>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</si>
  <si>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</si>
  <si>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</si>
  <si>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</si>
  <si>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</si>
  <si>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</si>
  <si>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</si>
  <si>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</si>
  <si>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</si>
  <si>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</si>
  <si>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</si>
  <si>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</si>
  <si>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</si>
  <si>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</si>
  <si>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</si>
  <si>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</si>
  <si>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</si>
  <si>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</si>
  <si>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</si>
  <si>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</si>
  <si>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</si>
  <si>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</si>
  <si>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</si>
  <si>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</si>
  <si>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</si>
  <si>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</si>
  <si>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</si>
  <si>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</si>
  <si>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</si>
  <si>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</si>
  <si>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</si>
  <si>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</si>
  <si>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</si>
  <si>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</si>
  <si>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</si>
  <si>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</si>
  <si>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</si>
  <si>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</si>
  <si>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</si>
  <si>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</si>
  <si>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</si>
  <si>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</si>
  <si>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</si>
  <si>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</si>
  <si>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</si>
  <si>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</si>
  <si>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</si>
  <si>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</si>
  <si>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</si>
  <si>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</si>
  <si>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</si>
  <si>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</si>
  <si>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</si>
  <si>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</si>
  <si>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</si>
  <si>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</si>
  <si>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</si>
  <si>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</si>
  <si>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</si>
  <si>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</si>
  <si>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</si>
  <si>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</si>
  <si>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</si>
  <si>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</si>
  <si>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</si>
  <si>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</si>
  <si>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</si>
  <si>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</si>
  <si>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</si>
  <si>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</si>
  <si>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</si>
  <si>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</si>
  <si>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</si>
  <si>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</si>
  <si>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</si>
  <si>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</si>
  <si>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</si>
  <si>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</si>
  <si>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</si>
  <si>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</si>
  <si>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</si>
  <si>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</si>
  <si>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</si>
  <si>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</si>
  <si>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</si>
  <si>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</si>
  <si>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</si>
  <si>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</si>
  <si>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</si>
  <si>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</si>
  <si>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</si>
  <si>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</si>
  <si>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</si>
  <si>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</si>
  <si>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</si>
  <si>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</si>
  <si>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</si>
  <si>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</si>
  <si>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</si>
  <si>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</si>
  <si>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</si>
  <si>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</si>
  <si>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</si>
  <si>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</si>
  <si>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</si>
  <si>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</si>
  <si>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</si>
  <si>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</si>
  <si>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</si>
  <si>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</si>
  <si>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</si>
  <si>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</si>
  <si>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</si>
  <si>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</si>
  <si>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</si>
  <si>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20190811 14:37:59</t>
  </si>
  <si>
    <t>14:37:59</t>
  </si>
  <si>
    <t>MPF-7966-20190811-05_11_28</t>
  </si>
  <si>
    <t>MPF-8077-20190811-14_38_39</t>
  </si>
  <si>
    <t>DARK-8078-20190811-14_38_41</t>
  </si>
  <si>
    <t>-</t>
  </si>
  <si>
    <t>14:38:27</t>
  </si>
  <si>
    <t>1/2</t>
  </si>
  <si>
    <t>5</t>
  </si>
  <si>
    <t>11111111</t>
  </si>
  <si>
    <t>oooooooo</t>
  </si>
  <si>
    <t>off</t>
  </si>
  <si>
    <t>20190811 14:39:30</t>
  </si>
  <si>
    <t>14:39:30</t>
  </si>
  <si>
    <t>MPF-8079-20190811-14_40_10</t>
  </si>
  <si>
    <t>DARK-8080-20190811-14_40_12</t>
  </si>
  <si>
    <t>14:39:56</t>
  </si>
  <si>
    <t>2/2</t>
  </si>
  <si>
    <t>20190811 14:41:17</t>
  </si>
  <si>
    <t>14:41:17</t>
  </si>
  <si>
    <t>MPF-8081-20190811-14_41_57</t>
  </si>
  <si>
    <t>DARK-8082-20190811-14_41_59</t>
  </si>
  <si>
    <t>14:41:43</t>
  </si>
  <si>
    <t>20190811 14:43:03</t>
  </si>
  <si>
    <t>14:43:03</t>
  </si>
  <si>
    <t>MPF-8083-20190811-14_43_43</t>
  </si>
  <si>
    <t>DARK-8084-20190811-14_43_45</t>
  </si>
  <si>
    <t>14:43:25</t>
  </si>
  <si>
    <t>20190811 14:44:41</t>
  </si>
  <si>
    <t>14:44:41</t>
  </si>
  <si>
    <t>MPF-8085-20190811-14_45_21</t>
  </si>
  <si>
    <t>DARK-8086-20190811-14_45_23</t>
  </si>
  <si>
    <t>14:45:08</t>
  </si>
  <si>
    <t>20190811 14:46:27</t>
  </si>
  <si>
    <t>14:46:27</t>
  </si>
  <si>
    <t>MPF-8087-20190811-14_47_08</t>
  </si>
  <si>
    <t>DARK-8088-20190811-14_47_09</t>
  </si>
  <si>
    <t>14:46:56</t>
  </si>
  <si>
    <t>20190811 14:49:37</t>
  </si>
  <si>
    <t>14:49:37</t>
  </si>
  <si>
    <t>MPF-8091-20190811-14_50_17</t>
  </si>
  <si>
    <t>DARK-8092-20190811-14_50_19</t>
  </si>
  <si>
    <t>14:50:04</t>
  </si>
  <si>
    <t>20190811 14:51:35</t>
  </si>
  <si>
    <t>14:51:35</t>
  </si>
  <si>
    <t>MPF-8093-20190811-14_52_15</t>
  </si>
  <si>
    <t>DARK-8094-20190811-14_52_17</t>
  </si>
  <si>
    <t>14:52:01</t>
  </si>
  <si>
    <t>20190811 14:53:32</t>
  </si>
  <si>
    <t>14:53:32</t>
  </si>
  <si>
    <t>MPF-8095-20190811-14_54_12</t>
  </si>
  <si>
    <t>DARK-8096-20190811-14_54_14</t>
  </si>
  <si>
    <t>14:53:56</t>
  </si>
  <si>
    <t>20190811 14:55:27</t>
  </si>
  <si>
    <t>14:55:27</t>
  </si>
  <si>
    <t>MPF-8097-20190811-14_56_07</t>
  </si>
  <si>
    <t>DARK-8098-20190811-14_56_09</t>
  </si>
  <si>
    <t>14:55:54</t>
  </si>
  <si>
    <t>20190811 14:57:25</t>
  </si>
  <si>
    <t>14:57:25</t>
  </si>
  <si>
    <t>MPF-8099-20190811-14_58_05</t>
  </si>
  <si>
    <t>DARK-8100-20190811-14_58_07</t>
  </si>
  <si>
    <t>14:57:53</t>
  </si>
  <si>
    <t>20190811 14:59:21</t>
  </si>
  <si>
    <t>14:59:21</t>
  </si>
  <si>
    <t>MPF-8101-20190811-15_00_01</t>
  </si>
  <si>
    <t>DARK-8102-20190811-15_00_03</t>
  </si>
  <si>
    <t>14:59:46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</si>
</sst>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U28"/>
  <sheetViews>
    <sheetView tabSelected="1" topLeftCell="A11" workbookViewId="0">
      <selection activeCell="A23" sqref="A23:XFD23"/>
    </sheetView>
  </sheetViews>
  <sheetFormatPr defaultRowHeight="14.5" x14ac:dyDescent="0.35"/>
  <sheetData>
    <row r="2" spans="1:229" x14ac:dyDescent="0.35">
      <c r="A2" t="s">
        <v>25</v>
      </c>
      <c r="B2" t="s">
        <v>26</v>
      </c>
      <c r="C2" t="s">
        <v>27</v>
      </c>
      <c r="D2" t="s">
        <v>28</v>
      </c>
    </row>
    <row r="3" spans="1:229" x14ac:dyDescent="0.35">
      <c r="B3">
        <v>4</v>
      </c>
      <c r="C3">
        <v>21</v>
      </c>
      <c r="D3" t="s">
        <v>29</v>
      </c>
    </row>
    <row r="4" spans="1:229" x14ac:dyDescent="0.35">
      <c r="A4" t="s">
        <v>30</v>
      </c>
      <c r="B4" t="s">
        <v>31</v>
      </c>
      <c r="C4" t="s">
        <v>32</v>
      </c>
      <c r="D4" t="s">
        <v>33</v>
      </c>
      <c r="E4" t="s">
        <v>35</v>
      </c>
    </row>
    <row r="5" spans="1:229" x14ac:dyDescent="0.35">
      <c r="B5">
        <v>6</v>
      </c>
      <c r="C5">
        <v>0.5</v>
      </c>
      <c r="D5" t="s">
        <v>34</v>
      </c>
      <c r="E5">
        <v>2</v>
      </c>
    </row>
    <row r="6" spans="1:229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</row>
    <row r="7" spans="1:229" x14ac:dyDescent="0.35">
      <c r="B7">
        <v>0</v>
      </c>
      <c r="C7">
        <v>1</v>
      </c>
      <c r="D7">
        <v>0</v>
      </c>
      <c r="E7">
        <v>0</v>
      </c>
    </row>
    <row r="8" spans="1:229" x14ac:dyDescent="0.35">
      <c r="A8" t="s">
        <v>41</v>
      </c>
      <c r="B8" t="s">
        <v>42</v>
      </c>
      <c r="C8" t="s">
        <v>44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</row>
    <row r="9" spans="1:229" x14ac:dyDescent="0.35">
      <c r="B9" t="s">
        <v>43</v>
      </c>
      <c r="C9" t="s">
        <v>45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29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</row>
    <row r="11" spans="1:22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229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73</v>
      </c>
      <c r="H12" t="s">
        <v>75</v>
      </c>
    </row>
    <row r="13" spans="1:229" x14ac:dyDescent="0.35">
      <c r="B13">
        <v>-6276</v>
      </c>
      <c r="C13">
        <v>6.6</v>
      </c>
      <c r="D13">
        <v>1.7090000000000001E-5</v>
      </c>
      <c r="E13">
        <v>3.11</v>
      </c>
      <c r="F13" t="s">
        <v>72</v>
      </c>
      <c r="G13" t="s">
        <v>74</v>
      </c>
      <c r="H13">
        <v>0</v>
      </c>
    </row>
    <row r="14" spans="1:229" x14ac:dyDescent="0.35">
      <c r="A14" t="s">
        <v>76</v>
      </c>
      <c r="B14" t="s">
        <v>76</v>
      </c>
      <c r="C14" t="s">
        <v>76</v>
      </c>
      <c r="D14" t="s">
        <v>76</v>
      </c>
      <c r="E14" t="s">
        <v>76</v>
      </c>
      <c r="F14" t="s">
        <v>77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80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80</v>
      </c>
      <c r="BG14" t="s">
        <v>80</v>
      </c>
      <c r="BH14" t="s">
        <v>80</v>
      </c>
      <c r="BI14" t="s">
        <v>80</v>
      </c>
      <c r="BJ14" t="s">
        <v>81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82</v>
      </c>
      <c r="BS14" t="s">
        <v>82</v>
      </c>
      <c r="BT14" t="s">
        <v>82</v>
      </c>
      <c r="BU14" t="s">
        <v>82</v>
      </c>
      <c r="BV14" t="s">
        <v>82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85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85</v>
      </c>
      <c r="DC14" t="s">
        <v>85</v>
      </c>
      <c r="DD14" t="s">
        <v>85</v>
      </c>
      <c r="DE14" t="s">
        <v>85</v>
      </c>
      <c r="DF14" t="s">
        <v>85</v>
      </c>
      <c r="DG14" t="s">
        <v>85</v>
      </c>
      <c r="DH14" t="s">
        <v>86</v>
      </c>
      <c r="DI14" t="s">
        <v>86</v>
      </c>
      <c r="DJ14" t="s">
        <v>86</v>
      </c>
      <c r="DK14" t="s">
        <v>86</v>
      </c>
      <c r="DL14" t="s">
        <v>86</v>
      </c>
      <c r="DM14" t="s">
        <v>86</v>
      </c>
      <c r="DN14" t="s">
        <v>86</v>
      </c>
      <c r="DO14" t="s">
        <v>86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87</v>
      </c>
      <c r="DZ14" t="s">
        <v>87</v>
      </c>
      <c r="EA14" t="s">
        <v>87</v>
      </c>
      <c r="EB14" t="s">
        <v>87</v>
      </c>
      <c r="EC14" t="s">
        <v>87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90</v>
      </c>
      <c r="EY14" t="s">
        <v>90</v>
      </c>
      <c r="EZ14" t="s">
        <v>90</v>
      </c>
      <c r="FA14" t="s">
        <v>90</v>
      </c>
      <c r="FB14" t="s">
        <v>90</v>
      </c>
      <c r="FC14" t="s">
        <v>90</v>
      </c>
      <c r="FD14" t="s">
        <v>90</v>
      </c>
      <c r="FE14" t="s">
        <v>90</v>
      </c>
      <c r="FF14" t="s">
        <v>90</v>
      </c>
      <c r="FG14" t="s">
        <v>90</v>
      </c>
      <c r="FH14" t="s">
        <v>90</v>
      </c>
      <c r="FI14" t="s">
        <v>90</v>
      </c>
      <c r="FJ14" t="s">
        <v>90</v>
      </c>
      <c r="FK14" t="s">
        <v>90</v>
      </c>
      <c r="FL14" t="s">
        <v>90</v>
      </c>
      <c r="FM14" t="s">
        <v>90</v>
      </c>
      <c r="FN14" t="s">
        <v>90</v>
      </c>
      <c r="FO14" t="s">
        <v>90</v>
      </c>
      <c r="FP14" t="s">
        <v>91</v>
      </c>
      <c r="FQ14" t="s">
        <v>91</v>
      </c>
      <c r="FR14" t="s">
        <v>91</v>
      </c>
      <c r="FS14" t="s">
        <v>91</v>
      </c>
      <c r="FT14" t="s">
        <v>91</v>
      </c>
      <c r="FU14" t="s">
        <v>91</v>
      </c>
      <c r="FV14" t="s">
        <v>91</v>
      </c>
      <c r="FW14" t="s">
        <v>91</v>
      </c>
      <c r="FX14" t="s">
        <v>91</v>
      </c>
      <c r="FY14" t="s">
        <v>91</v>
      </c>
      <c r="FZ14" t="s">
        <v>91</v>
      </c>
      <c r="GA14" t="s">
        <v>91</v>
      </c>
      <c r="GB14" t="s">
        <v>91</v>
      </c>
      <c r="GC14" t="s">
        <v>91</v>
      </c>
      <c r="GD14" t="s">
        <v>91</v>
      </c>
      <c r="GE14" t="s">
        <v>91</v>
      </c>
      <c r="GF14" t="s">
        <v>91</v>
      </c>
      <c r="GG14" t="s">
        <v>91</v>
      </c>
      <c r="GH14" t="s">
        <v>91</v>
      </c>
      <c r="GI14" t="s">
        <v>92</v>
      </c>
      <c r="GJ14" t="s">
        <v>92</v>
      </c>
      <c r="GK14" t="s">
        <v>92</v>
      </c>
      <c r="GL14" t="s">
        <v>92</v>
      </c>
      <c r="GM14" t="s">
        <v>92</v>
      </c>
      <c r="GN14" t="s">
        <v>92</v>
      </c>
      <c r="GO14" t="s">
        <v>92</v>
      </c>
      <c r="GP14" t="s">
        <v>92</v>
      </c>
      <c r="GQ14" t="s">
        <v>92</v>
      </c>
      <c r="GR14" t="s">
        <v>92</v>
      </c>
      <c r="GS14" t="s">
        <v>92</v>
      </c>
      <c r="GT14" t="s">
        <v>92</v>
      </c>
      <c r="GU14" t="s">
        <v>92</v>
      </c>
      <c r="GV14" t="s">
        <v>92</v>
      </c>
      <c r="GW14" t="s">
        <v>92</v>
      </c>
      <c r="GX14" t="s">
        <v>92</v>
      </c>
      <c r="GY14" t="s">
        <v>92</v>
      </c>
      <c r="GZ14" t="s">
        <v>92</v>
      </c>
      <c r="HA14" t="s">
        <v>92</v>
      </c>
      <c r="HB14" t="s">
        <v>93</v>
      </c>
      <c r="HC14" t="s">
        <v>93</v>
      </c>
      <c r="HD14" t="s">
        <v>93</v>
      </c>
      <c r="HE14" t="s">
        <v>93</v>
      </c>
      <c r="HF14" t="s">
        <v>93</v>
      </c>
      <c r="HG14" t="s">
        <v>93</v>
      </c>
      <c r="HH14" t="s">
        <v>93</v>
      </c>
      <c r="HI14" t="s">
        <v>93</v>
      </c>
      <c r="HJ14" t="s">
        <v>93</v>
      </c>
      <c r="HK14" t="s">
        <v>93</v>
      </c>
      <c r="HL14" t="s">
        <v>93</v>
      </c>
      <c r="HM14" t="s">
        <v>93</v>
      </c>
      <c r="HN14" t="s">
        <v>93</v>
      </c>
      <c r="HO14" t="s">
        <v>93</v>
      </c>
      <c r="HP14" t="s">
        <v>93</v>
      </c>
      <c r="HQ14" t="s">
        <v>93</v>
      </c>
      <c r="HR14" t="s">
        <v>93</v>
      </c>
      <c r="HS14" t="s">
        <v>93</v>
      </c>
      <c r="HT14" t="s">
        <v>93</v>
      </c>
      <c r="HU14" t="s">
        <v>93</v>
      </c>
    </row>
    <row r="15" spans="1:229" x14ac:dyDescent="0.3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106</v>
      </c>
      <c r="N15" t="s">
        <v>107</v>
      </c>
      <c r="O15" t="s">
        <v>108</v>
      </c>
      <c r="P15" t="s">
        <v>109</v>
      </c>
      <c r="Q15" t="s">
        <v>110</v>
      </c>
      <c r="R15" t="s">
        <v>111</v>
      </c>
      <c r="S15" t="s">
        <v>112</v>
      </c>
      <c r="T15" t="s">
        <v>113</v>
      </c>
      <c r="U15" t="s">
        <v>114</v>
      </c>
      <c r="V15" t="s">
        <v>115</v>
      </c>
      <c r="W15" t="s">
        <v>116</v>
      </c>
      <c r="X15" t="s">
        <v>117</v>
      </c>
      <c r="Y15" t="s">
        <v>118</v>
      </c>
      <c r="Z15" t="s">
        <v>119</v>
      </c>
      <c r="AA15" t="s">
        <v>120</v>
      </c>
      <c r="AB15" t="s">
        <v>121</v>
      </c>
      <c r="AC15" t="s">
        <v>122</v>
      </c>
      <c r="AD15" t="s">
        <v>123</v>
      </c>
      <c r="AE15" t="s">
        <v>124</v>
      </c>
      <c r="AF15" t="s">
        <v>125</v>
      </c>
      <c r="AG15" t="s">
        <v>79</v>
      </c>
      <c r="AH15" t="s">
        <v>126</v>
      </c>
      <c r="AI15" t="s">
        <v>127</v>
      </c>
      <c r="AJ15" t="s">
        <v>128</v>
      </c>
      <c r="AK15" t="s">
        <v>129</v>
      </c>
      <c r="AL15" t="s">
        <v>130</v>
      </c>
      <c r="AM15" t="s">
        <v>131</v>
      </c>
      <c r="AN15" t="s">
        <v>132</v>
      </c>
      <c r="AO15" t="s">
        <v>133</v>
      </c>
      <c r="AP15" t="s">
        <v>134</v>
      </c>
      <c r="AQ15" t="s">
        <v>135</v>
      </c>
      <c r="AR15" t="s">
        <v>136</v>
      </c>
      <c r="AS15" t="s">
        <v>137</v>
      </c>
      <c r="AT15" t="s">
        <v>138</v>
      </c>
      <c r="AU15" t="s">
        <v>139</v>
      </c>
      <c r="AV15" t="s">
        <v>140</v>
      </c>
      <c r="AW15" t="s">
        <v>141</v>
      </c>
      <c r="AX15" t="s">
        <v>142</v>
      </c>
      <c r="AY15" t="s">
        <v>143</v>
      </c>
      <c r="AZ15" t="s">
        <v>144</v>
      </c>
      <c r="BA15" t="s">
        <v>145</v>
      </c>
      <c r="BB15" t="s">
        <v>146</v>
      </c>
      <c r="BC15" t="s">
        <v>147</v>
      </c>
      <c r="BD15" t="s">
        <v>148</v>
      </c>
      <c r="BE15" t="s">
        <v>149</v>
      </c>
      <c r="BF15" t="s">
        <v>150</v>
      </c>
      <c r="BG15" t="s">
        <v>151</v>
      </c>
      <c r="BH15" t="s">
        <v>152</v>
      </c>
      <c r="BI15" t="s">
        <v>153</v>
      </c>
      <c r="BJ15" t="s">
        <v>154</v>
      </c>
      <c r="BK15" t="s">
        <v>155</v>
      </c>
      <c r="BL15" t="s">
        <v>156</v>
      </c>
      <c r="BM15" t="s">
        <v>157</v>
      </c>
      <c r="BN15" t="s">
        <v>158</v>
      </c>
      <c r="BO15" t="s">
        <v>159</v>
      </c>
      <c r="BP15" t="s">
        <v>160</v>
      </c>
      <c r="BQ15" t="s">
        <v>161</v>
      </c>
      <c r="BR15" t="s">
        <v>154</v>
      </c>
      <c r="BS15" t="s">
        <v>162</v>
      </c>
      <c r="BT15" t="s">
        <v>131</v>
      </c>
      <c r="BU15" t="s">
        <v>163</v>
      </c>
      <c r="BV15" t="s">
        <v>164</v>
      </c>
      <c r="BW15" t="s">
        <v>165</v>
      </c>
      <c r="BX15" t="s">
        <v>166</v>
      </c>
      <c r="BY15" t="s">
        <v>167</v>
      </c>
      <c r="BZ15" t="s">
        <v>168</v>
      </c>
      <c r="CA15" t="s">
        <v>169</v>
      </c>
      <c r="CB15" t="s">
        <v>170</v>
      </c>
      <c r="CC15" t="s">
        <v>171</v>
      </c>
      <c r="CD15" t="s">
        <v>172</v>
      </c>
      <c r="CE15" t="s">
        <v>173</v>
      </c>
      <c r="CF15" t="s">
        <v>100</v>
      </c>
      <c r="CG15" t="s">
        <v>174</v>
      </c>
      <c r="CH15" t="s">
        <v>175</v>
      </c>
      <c r="CI15" t="s">
        <v>176</v>
      </c>
      <c r="CJ15" t="s">
        <v>177</v>
      </c>
      <c r="CK15" t="s">
        <v>178</v>
      </c>
      <c r="CL15" t="s">
        <v>179</v>
      </c>
      <c r="CM15" t="s">
        <v>180</v>
      </c>
      <c r="CN15" t="s">
        <v>181</v>
      </c>
      <c r="CO15" t="s">
        <v>182</v>
      </c>
      <c r="CP15" t="s">
        <v>183</v>
      </c>
      <c r="CQ15" t="s">
        <v>184</v>
      </c>
      <c r="CR15" t="s">
        <v>185</v>
      </c>
      <c r="CS15" t="s">
        <v>186</v>
      </c>
      <c r="CT15" t="s">
        <v>187</v>
      </c>
      <c r="CU15" t="s">
        <v>188</v>
      </c>
      <c r="CV15" t="s">
        <v>189</v>
      </c>
      <c r="CW15" t="s">
        <v>190</v>
      </c>
      <c r="CX15" t="s">
        <v>191</v>
      </c>
      <c r="CY15" t="s">
        <v>192</v>
      </c>
      <c r="CZ15" t="s">
        <v>193</v>
      </c>
      <c r="DA15" t="s">
        <v>194</v>
      </c>
      <c r="DB15" t="s">
        <v>195</v>
      </c>
      <c r="DC15" t="s">
        <v>196</v>
      </c>
      <c r="DD15" t="s">
        <v>197</v>
      </c>
      <c r="DE15" t="s">
        <v>198</v>
      </c>
      <c r="DF15" t="s">
        <v>199</v>
      </c>
      <c r="DG15" t="s">
        <v>200</v>
      </c>
      <c r="DH15" t="s">
        <v>201</v>
      </c>
      <c r="DI15" t="s">
        <v>202</v>
      </c>
      <c r="DJ15" t="s">
        <v>203</v>
      </c>
      <c r="DK15" t="s">
        <v>204</v>
      </c>
      <c r="DL15" t="s">
        <v>205</v>
      </c>
      <c r="DM15" t="s">
        <v>206</v>
      </c>
      <c r="DN15" t="s">
        <v>207</v>
      </c>
      <c r="DO15" t="s">
        <v>208</v>
      </c>
      <c r="DP15" t="s">
        <v>209</v>
      </c>
      <c r="DQ15" t="s">
        <v>210</v>
      </c>
      <c r="DR15" t="s">
        <v>211</v>
      </c>
      <c r="DS15" t="s">
        <v>212</v>
      </c>
      <c r="DT15" t="s">
        <v>213</v>
      </c>
      <c r="DU15" t="s">
        <v>214</v>
      </c>
      <c r="DV15" t="s">
        <v>215</v>
      </c>
      <c r="DW15" t="s">
        <v>216</v>
      </c>
      <c r="DX15" t="s">
        <v>217</v>
      </c>
      <c r="DY15" t="s">
        <v>218</v>
      </c>
      <c r="DZ15" t="s">
        <v>219</v>
      </c>
      <c r="EA15" t="s">
        <v>220</v>
      </c>
      <c r="EB15" t="s">
        <v>221</v>
      </c>
      <c r="EC15" t="s">
        <v>222</v>
      </c>
      <c r="ED15" t="s">
        <v>95</v>
      </c>
      <c r="EE15" t="s">
        <v>98</v>
      </c>
      <c r="EF15" t="s">
        <v>223</v>
      </c>
      <c r="EG15" t="s">
        <v>224</v>
      </c>
      <c r="EH15" t="s">
        <v>225</v>
      </c>
      <c r="EI15" t="s">
        <v>226</v>
      </c>
      <c r="EJ15" t="s">
        <v>227</v>
      </c>
      <c r="EK15" t="s">
        <v>228</v>
      </c>
      <c r="EL15" t="s">
        <v>229</v>
      </c>
      <c r="EM15" t="s">
        <v>230</v>
      </c>
      <c r="EN15" t="s">
        <v>231</v>
      </c>
      <c r="EO15" t="s">
        <v>232</v>
      </c>
      <c r="EP15" t="s">
        <v>233</v>
      </c>
      <c r="EQ15" t="s">
        <v>234</v>
      </c>
      <c r="ER15" t="s">
        <v>235</v>
      </c>
      <c r="ES15" t="s">
        <v>236</v>
      </c>
      <c r="ET15" t="s">
        <v>237</v>
      </c>
      <c r="EU15" t="s">
        <v>238</v>
      </c>
      <c r="EV15" t="s">
        <v>239</v>
      </c>
      <c r="EW15" t="s">
        <v>240</v>
      </c>
      <c r="EX15" t="s">
        <v>241</v>
      </c>
      <c r="EY15" t="s">
        <v>242</v>
      </c>
      <c r="EZ15" t="s">
        <v>243</v>
      </c>
      <c r="FA15" t="s">
        <v>244</v>
      </c>
      <c r="FB15" t="s">
        <v>245</v>
      </c>
      <c r="FC15" t="s">
        <v>246</v>
      </c>
      <c r="FD15" t="s">
        <v>247</v>
      </c>
      <c r="FE15" t="s">
        <v>248</v>
      </c>
      <c r="FF15" t="s">
        <v>249</v>
      </c>
      <c r="FG15" t="s">
        <v>250</v>
      </c>
      <c r="FH15" t="s">
        <v>251</v>
      </c>
      <c r="FI15" t="s">
        <v>252</v>
      </c>
      <c r="FJ15" t="s">
        <v>253</v>
      </c>
      <c r="FK15" t="s">
        <v>254</v>
      </c>
      <c r="FL15" t="s">
        <v>255</v>
      </c>
      <c r="FM15" t="s">
        <v>256</v>
      </c>
      <c r="FN15" t="s">
        <v>257</v>
      </c>
      <c r="FO15" t="s">
        <v>258</v>
      </c>
      <c r="FP15" t="s">
        <v>259</v>
      </c>
      <c r="FQ15" t="s">
        <v>260</v>
      </c>
      <c r="FR15" t="s">
        <v>261</v>
      </c>
      <c r="FS15" t="s">
        <v>262</v>
      </c>
      <c r="FT15" t="s">
        <v>263</v>
      </c>
      <c r="FU15" t="s">
        <v>264</v>
      </c>
      <c r="FV15" t="s">
        <v>265</v>
      </c>
      <c r="FW15" t="s">
        <v>266</v>
      </c>
      <c r="FX15" t="s">
        <v>267</v>
      </c>
      <c r="FY15" t="s">
        <v>268</v>
      </c>
      <c r="FZ15" t="s">
        <v>269</v>
      </c>
      <c r="GA15" t="s">
        <v>270</v>
      </c>
      <c r="GB15" t="s">
        <v>271</v>
      </c>
      <c r="GC15" t="s">
        <v>272</v>
      </c>
      <c r="GD15" t="s">
        <v>273</v>
      </c>
      <c r="GE15" t="s">
        <v>274</v>
      </c>
      <c r="GF15" t="s">
        <v>275</v>
      </c>
      <c r="GG15" t="s">
        <v>276</v>
      </c>
      <c r="GH15" t="s">
        <v>277</v>
      </c>
      <c r="GI15" t="s">
        <v>278</v>
      </c>
      <c r="GJ15" t="s">
        <v>279</v>
      </c>
      <c r="GK15" t="s">
        <v>280</v>
      </c>
      <c r="GL15" t="s">
        <v>281</v>
      </c>
      <c r="GM15" t="s">
        <v>282</v>
      </c>
      <c r="GN15" t="s">
        <v>283</v>
      </c>
      <c r="GO15" t="s">
        <v>284</v>
      </c>
      <c r="GP15" t="s">
        <v>285</v>
      </c>
      <c r="GQ15" t="s">
        <v>286</v>
      </c>
      <c r="GR15" t="s">
        <v>287</v>
      </c>
      <c r="GS15" t="s">
        <v>288</v>
      </c>
      <c r="GT15" t="s">
        <v>289</v>
      </c>
      <c r="GU15" t="s">
        <v>290</v>
      </c>
      <c r="GV15" t="s">
        <v>291</v>
      </c>
      <c r="GW15" t="s">
        <v>292</v>
      </c>
      <c r="GX15" t="s">
        <v>293</v>
      </c>
      <c r="GY15" t="s">
        <v>294</v>
      </c>
      <c r="GZ15" t="s">
        <v>295</v>
      </c>
      <c r="HA15" t="s">
        <v>296</v>
      </c>
      <c r="HB15" t="s">
        <v>297</v>
      </c>
      <c r="HC15" t="s">
        <v>298</v>
      </c>
      <c r="HD15" t="s">
        <v>299</v>
      </c>
      <c r="HE15" t="s">
        <v>300</v>
      </c>
      <c r="HF15" t="s">
        <v>301</v>
      </c>
      <c r="HG15" t="s">
        <v>302</v>
      </c>
      <c r="HH15" t="s">
        <v>303</v>
      </c>
      <c r="HI15" t="s">
        <v>304</v>
      </c>
      <c r="HJ15" t="s">
        <v>305</v>
      </c>
      <c r="HK15" t="s">
        <v>306</v>
      </c>
      <c r="HL15" t="s">
        <v>307</v>
      </c>
      <c r="HM15" t="s">
        <v>308</v>
      </c>
      <c r="HN15" t="s">
        <v>309</v>
      </c>
      <c r="HO15" t="s">
        <v>310</v>
      </c>
      <c r="HP15" t="s">
        <v>311</v>
      </c>
      <c r="HQ15" t="s">
        <v>312</v>
      </c>
      <c r="HR15" t="s">
        <v>313</v>
      </c>
      <c r="HS15" t="s">
        <v>314</v>
      </c>
      <c r="HT15" t="s">
        <v>315</v>
      </c>
      <c r="HU15" t="s">
        <v>316</v>
      </c>
    </row>
    <row r="16" spans="1:229" x14ac:dyDescent="0.35">
      <c r="B16" t="s">
        <v>317</v>
      </c>
      <c r="C16" t="s">
        <v>317</v>
      </c>
      <c r="G16" t="s">
        <v>317</v>
      </c>
      <c r="H16" t="s">
        <v>318</v>
      </c>
      <c r="I16" t="s">
        <v>319</v>
      </c>
      <c r="J16" t="s">
        <v>320</v>
      </c>
      <c r="K16" t="s">
        <v>320</v>
      </c>
      <c r="L16" t="s">
        <v>179</v>
      </c>
      <c r="M16" t="s">
        <v>179</v>
      </c>
      <c r="N16" t="s">
        <v>318</v>
      </c>
      <c r="O16" t="s">
        <v>318</v>
      </c>
      <c r="P16" t="s">
        <v>318</v>
      </c>
      <c r="Q16" t="s">
        <v>318</v>
      </c>
      <c r="R16" t="s">
        <v>321</v>
      </c>
      <c r="S16" t="s">
        <v>322</v>
      </c>
      <c r="T16" t="s">
        <v>322</v>
      </c>
      <c r="U16" t="s">
        <v>323</v>
      </c>
      <c r="V16" t="s">
        <v>324</v>
      </c>
      <c r="W16" t="s">
        <v>323</v>
      </c>
      <c r="X16" t="s">
        <v>323</v>
      </c>
      <c r="Y16" t="s">
        <v>323</v>
      </c>
      <c r="Z16" t="s">
        <v>321</v>
      </c>
      <c r="AA16" t="s">
        <v>321</v>
      </c>
      <c r="AB16" t="s">
        <v>321</v>
      </c>
      <c r="AC16" t="s">
        <v>321</v>
      </c>
      <c r="AG16" t="s">
        <v>325</v>
      </c>
      <c r="AH16" t="s">
        <v>324</v>
      </c>
      <c r="AJ16" t="s">
        <v>324</v>
      </c>
      <c r="AK16" t="s">
        <v>325</v>
      </c>
      <c r="AQ16" t="s">
        <v>319</v>
      </c>
      <c r="AW16" t="s">
        <v>319</v>
      </c>
      <c r="AX16" t="s">
        <v>319</v>
      </c>
      <c r="AY16" t="s">
        <v>319</v>
      </c>
      <c r="BA16" t="s">
        <v>326</v>
      </c>
      <c r="BK16" t="s">
        <v>327</v>
      </c>
      <c r="BL16" t="s">
        <v>327</v>
      </c>
      <c r="BM16" t="s">
        <v>327</v>
      </c>
      <c r="BN16" t="s">
        <v>319</v>
      </c>
      <c r="BP16" t="s">
        <v>328</v>
      </c>
      <c r="BS16" t="s">
        <v>327</v>
      </c>
      <c r="BX16" t="s">
        <v>317</v>
      </c>
      <c r="BY16" t="s">
        <v>317</v>
      </c>
      <c r="BZ16" t="s">
        <v>317</v>
      </c>
      <c r="CA16" t="s">
        <v>317</v>
      </c>
      <c r="CB16" t="s">
        <v>319</v>
      </c>
      <c r="CC16" t="s">
        <v>319</v>
      </c>
      <c r="CE16" t="s">
        <v>329</v>
      </c>
      <c r="CF16" t="s">
        <v>317</v>
      </c>
      <c r="CG16" t="s">
        <v>320</v>
      </c>
      <c r="CH16" t="s">
        <v>320</v>
      </c>
      <c r="CI16" t="s">
        <v>330</v>
      </c>
      <c r="CJ16" t="s">
        <v>330</v>
      </c>
      <c r="CK16" t="s">
        <v>325</v>
      </c>
      <c r="CL16" t="s">
        <v>323</v>
      </c>
      <c r="CM16" t="s">
        <v>323</v>
      </c>
      <c r="CN16" t="s">
        <v>322</v>
      </c>
      <c r="CO16" t="s">
        <v>322</v>
      </c>
      <c r="CP16" t="s">
        <v>322</v>
      </c>
      <c r="CQ16" t="s">
        <v>322</v>
      </c>
      <c r="CR16" t="s">
        <v>322</v>
      </c>
      <c r="CS16" t="s">
        <v>331</v>
      </c>
      <c r="CT16" t="s">
        <v>319</v>
      </c>
      <c r="CU16" t="s">
        <v>319</v>
      </c>
      <c r="CV16" t="s">
        <v>320</v>
      </c>
      <c r="CW16" t="s">
        <v>320</v>
      </c>
      <c r="CX16" t="s">
        <v>320</v>
      </c>
      <c r="CY16" t="s">
        <v>330</v>
      </c>
      <c r="CZ16" t="s">
        <v>320</v>
      </c>
      <c r="DA16" t="s">
        <v>320</v>
      </c>
      <c r="DB16" t="s">
        <v>330</v>
      </c>
      <c r="DC16" t="s">
        <v>330</v>
      </c>
      <c r="DD16" t="s">
        <v>323</v>
      </c>
      <c r="DE16" t="s">
        <v>323</v>
      </c>
      <c r="DF16" t="s">
        <v>322</v>
      </c>
      <c r="DG16" t="s">
        <v>322</v>
      </c>
      <c r="DH16" t="s">
        <v>319</v>
      </c>
      <c r="DM16" t="s">
        <v>319</v>
      </c>
      <c r="DP16" t="s">
        <v>322</v>
      </c>
      <c r="DQ16" t="s">
        <v>322</v>
      </c>
      <c r="DR16" t="s">
        <v>322</v>
      </c>
      <c r="DS16" t="s">
        <v>322</v>
      </c>
      <c r="DT16" t="s">
        <v>322</v>
      </c>
      <c r="DU16" t="s">
        <v>319</v>
      </c>
      <c r="DV16" t="s">
        <v>319</v>
      </c>
      <c r="DW16" t="s">
        <v>319</v>
      </c>
      <c r="DX16" t="s">
        <v>317</v>
      </c>
      <c r="DZ16" t="s">
        <v>332</v>
      </c>
      <c r="EA16" t="s">
        <v>332</v>
      </c>
      <c r="EC16" t="s">
        <v>317</v>
      </c>
      <c r="ED16" t="s">
        <v>333</v>
      </c>
      <c r="EG16" t="s">
        <v>334</v>
      </c>
      <c r="EH16" t="s">
        <v>335</v>
      </c>
      <c r="EI16" t="s">
        <v>334</v>
      </c>
      <c r="EJ16" t="s">
        <v>335</v>
      </c>
      <c r="EK16" t="s">
        <v>324</v>
      </c>
      <c r="EL16" t="s">
        <v>324</v>
      </c>
      <c r="EM16" t="s">
        <v>319</v>
      </c>
      <c r="EN16" t="s">
        <v>336</v>
      </c>
      <c r="EO16" t="s">
        <v>319</v>
      </c>
      <c r="EQ16" t="s">
        <v>318</v>
      </c>
      <c r="ER16" t="s">
        <v>337</v>
      </c>
      <c r="ES16" t="s">
        <v>318</v>
      </c>
      <c r="EX16" t="s">
        <v>338</v>
      </c>
      <c r="EY16" t="s">
        <v>338</v>
      </c>
      <c r="FL16" t="s">
        <v>338</v>
      </c>
      <c r="FM16" t="s">
        <v>338</v>
      </c>
      <c r="FN16" t="s">
        <v>339</v>
      </c>
      <c r="FO16" t="s">
        <v>339</v>
      </c>
      <c r="FP16" t="s">
        <v>322</v>
      </c>
      <c r="FQ16" t="s">
        <v>322</v>
      </c>
      <c r="FR16" t="s">
        <v>324</v>
      </c>
      <c r="FS16" t="s">
        <v>322</v>
      </c>
      <c r="FT16" t="s">
        <v>330</v>
      </c>
      <c r="FU16" t="s">
        <v>324</v>
      </c>
      <c r="FV16" t="s">
        <v>324</v>
      </c>
      <c r="FX16" t="s">
        <v>338</v>
      </c>
      <c r="FY16" t="s">
        <v>338</v>
      </c>
      <c r="FZ16" t="s">
        <v>338</v>
      </c>
      <c r="GA16" t="s">
        <v>338</v>
      </c>
      <c r="GB16" t="s">
        <v>338</v>
      </c>
      <c r="GC16" t="s">
        <v>338</v>
      </c>
      <c r="GD16" t="s">
        <v>338</v>
      </c>
      <c r="GE16" t="s">
        <v>340</v>
      </c>
      <c r="GF16" t="s">
        <v>340</v>
      </c>
      <c r="GG16" t="s">
        <v>341</v>
      </c>
      <c r="GH16" t="s">
        <v>340</v>
      </c>
      <c r="GI16" t="s">
        <v>338</v>
      </c>
      <c r="GJ16" t="s">
        <v>338</v>
      </c>
      <c r="GK16" t="s">
        <v>338</v>
      </c>
      <c r="GL16" t="s">
        <v>338</v>
      </c>
      <c r="GM16" t="s">
        <v>338</v>
      </c>
      <c r="GN16" t="s">
        <v>338</v>
      </c>
      <c r="GO16" t="s">
        <v>338</v>
      </c>
      <c r="GP16" t="s">
        <v>338</v>
      </c>
      <c r="GQ16" t="s">
        <v>338</v>
      </c>
      <c r="GR16" t="s">
        <v>338</v>
      </c>
      <c r="GS16" t="s">
        <v>338</v>
      </c>
      <c r="GT16" t="s">
        <v>338</v>
      </c>
      <c r="HA16" t="s">
        <v>338</v>
      </c>
      <c r="HB16" t="s">
        <v>324</v>
      </c>
      <c r="HC16" t="s">
        <v>324</v>
      </c>
      <c r="HD16" t="s">
        <v>334</v>
      </c>
      <c r="HE16" t="s">
        <v>335</v>
      </c>
      <c r="HG16" t="s">
        <v>325</v>
      </c>
      <c r="HH16" t="s">
        <v>325</v>
      </c>
      <c r="HI16" t="s">
        <v>322</v>
      </c>
      <c r="HJ16" t="s">
        <v>322</v>
      </c>
      <c r="HK16" t="s">
        <v>322</v>
      </c>
      <c r="HL16" t="s">
        <v>322</v>
      </c>
      <c r="HM16" t="s">
        <v>322</v>
      </c>
      <c r="HN16" t="s">
        <v>324</v>
      </c>
      <c r="HO16" t="s">
        <v>324</v>
      </c>
      <c r="HP16" t="s">
        <v>324</v>
      </c>
      <c r="HQ16" t="s">
        <v>322</v>
      </c>
      <c r="HR16" t="s">
        <v>320</v>
      </c>
      <c r="HS16" t="s">
        <v>330</v>
      </c>
      <c r="HT16" t="s">
        <v>324</v>
      </c>
      <c r="HU16" t="s">
        <v>324</v>
      </c>
    </row>
    <row r="17" spans="1:229" x14ac:dyDescent="0.35">
      <c r="A17">
        <v>1</v>
      </c>
      <c r="B17">
        <v>1565552279.0999999</v>
      </c>
      <c r="C17">
        <v>0</v>
      </c>
      <c r="D17" t="s">
        <v>342</v>
      </c>
      <c r="E17" t="s">
        <v>343</v>
      </c>
      <c r="G17">
        <v>1565552279.0999999</v>
      </c>
      <c r="H17">
        <f t="shared" ref="H17:H28" si="0">CK17*AI17*(CI17-CJ17)/(100*$B$5*(1000-AI17*CI17))</f>
        <v>3.2264024793378903E-3</v>
      </c>
      <c r="I17">
        <f t="shared" ref="I17:I28" si="1">CK17*AI17*(CH17-CG17*(1000-AI17*CJ17)/(1000-AI17*CI17))/(100*$B$5)</f>
        <v>20.388252299961767</v>
      </c>
      <c r="J17">
        <f t="shared" ref="J17:J28" si="2">CG17 - IF(AI17&gt;1, I17*$B$5*100/(AK17*CS17), 0)</f>
        <v>374.04</v>
      </c>
      <c r="K17">
        <f t="shared" ref="K17:K28" si="3">((Q17-H17/2)*J17-I17)/(Q17+H17/2)</f>
        <v>174.28854751067479</v>
      </c>
      <c r="L17">
        <f t="shared" ref="L17:L28" si="4">K17*(CL17+CM17)/1000</f>
        <v>17.292178194975246</v>
      </c>
      <c r="M17">
        <f t="shared" ref="M17:M28" si="5">(CG17 - IF(AI17&gt;1, I17*$B$5*100/(AK17*CS17), 0))*(CL17+CM17)/1000</f>
        <v>37.110678954119997</v>
      </c>
      <c r="N17">
        <f t="shared" ref="N17:N28" si="6">2/((1/P17-1/O17)+SIGN(P17)*SQRT((1/P17-1/O17)*(1/P17-1/O17) + 4*$C$5/(($C$5+1)*($C$5+1))*(2*1/P17*1/O17-1/O17*1/O17)))</f>
        <v>0.17676150541235416</v>
      </c>
      <c r="O17">
        <f t="shared" ref="O17:O28" si="7">AF17+AE17*$B$5+AD17*$B$5*$B$5</f>
        <v>2.2436500453956278</v>
      </c>
      <c r="P17">
        <f t="shared" ref="P17:P28" si="8">H17*(1000-(1000*0.61365*EXP(17.502*T17/(240.97+T17))/(CL17+CM17)+CI17)/2)/(1000*0.61365*EXP(17.502*T17/(240.97+T17))/(CL17+CM17)-CI17)</f>
        <v>0.16937339223967943</v>
      </c>
      <c r="Q17">
        <f t="shared" ref="Q17:Q28" si="9">1/(($C$5+1)/(N17/1.6)+1/(O17/1.37)) + $C$5/(($C$5+1)/(N17/1.6) + $C$5/(O17/1.37))</f>
        <v>0.10649643007571463</v>
      </c>
      <c r="R17">
        <f t="shared" ref="R17:R28" si="10">(CC17*CE17)</f>
        <v>281.55877121778275</v>
      </c>
      <c r="S17">
        <f t="shared" ref="S17:S28" si="11">(CN17+(R17+2*0.95*0.0000000567*(((CN17+$B$7)+273)^4-(CN17+273)^4)-44100*H17)/(1.84*29.3*O17+8*0.95*0.0000000567*(CN17+273)^3))</f>
        <v>26.733489497051451</v>
      </c>
      <c r="T17">
        <f t="shared" ref="T17:T28" si="12">($C$7*CO17+$D$7*CP17+$E$7*S17)</f>
        <v>27.288</v>
      </c>
      <c r="U17">
        <f t="shared" ref="U17:U28" si="13">0.61365*EXP(17.502*T17/(240.97+T17))</f>
        <v>3.6401498314080629</v>
      </c>
      <c r="V17">
        <f t="shared" ref="V17:V28" si="14">(W17/X17*100)</f>
        <v>54.420811688579448</v>
      </c>
      <c r="W17">
        <f t="shared" ref="W17:W28" si="15">CI17*(CL17+CM17)/1000</f>
        <v>1.8020169435678</v>
      </c>
      <c r="X17">
        <f t="shared" ref="X17:X28" si="16">0.61365*EXP(17.502*CN17/(240.97+CN17))</f>
        <v>3.3112643631259262</v>
      </c>
      <c r="Y17">
        <f t="shared" ref="Y17:Y28" si="17">(U17-CI17*(CL17+CM17)/1000)</f>
        <v>1.838132887840263</v>
      </c>
      <c r="Z17">
        <f t="shared" ref="Z17:Z28" si="18">(-H17*44100)</f>
        <v>-142.28434933880095</v>
      </c>
      <c r="AA17">
        <f t="shared" ref="AA17:AA28" si="19">2*29.3*O17*0.92*(CN17-T17)</f>
        <v>-194.27331192939965</v>
      </c>
      <c r="AB17">
        <f t="shared" ref="AB17:AB28" si="20">2*0.95*0.0000000567*(((CN17+$B$7)+273)^4-(T17+273)^4)</f>
        <v>-18.590769402811059</v>
      </c>
      <c r="AC17">
        <f t="shared" ref="AC17:AC28" si="21">R17+AB17+Z17+AA17</f>
        <v>-73.589659453228933</v>
      </c>
      <c r="AD17">
        <v>-4.1013014951892898E-2</v>
      </c>
      <c r="AE17">
        <v>4.6040702220943697E-2</v>
      </c>
      <c r="AF17">
        <v>3.4438743703381101</v>
      </c>
      <c r="AG17">
        <v>0</v>
      </c>
      <c r="AH17">
        <v>0</v>
      </c>
      <c r="AI17">
        <f t="shared" ref="AI17:AI28" si="22">IF(AG17*$H$13&gt;=AK17,1,(AK17/(AK17-AG17*$H$13)))</f>
        <v>1</v>
      </c>
      <c r="AJ17">
        <f t="shared" ref="AJ17:AJ28" si="23">(AI17-1)*100</f>
        <v>0</v>
      </c>
      <c r="AK17">
        <f t="shared" ref="AK17:AK28" si="24">MAX(0,($B$13+$C$13*CS17)/(1+$D$13*CS17)*CL17/(CN17+273)*$E$13)</f>
        <v>52533.435961566742</v>
      </c>
      <c r="AL17" t="s">
        <v>344</v>
      </c>
      <c r="AM17">
        <v>589.29941176470595</v>
      </c>
      <c r="AN17">
        <v>3530.99</v>
      </c>
      <c r="AO17">
        <f t="shared" ref="AO17:AO28" si="25">AN17-AM17</f>
        <v>2941.6905882352939</v>
      </c>
      <c r="AP17">
        <f t="shared" ref="AP17:AP28" si="26">AO17/AN17</f>
        <v>0.83310646256015852</v>
      </c>
      <c r="AQ17">
        <v>1.42453575549529</v>
      </c>
      <c r="AR17" t="s">
        <v>345</v>
      </c>
      <c r="AS17">
        <v>941.42882352941206</v>
      </c>
      <c r="AT17">
        <v>1334.35</v>
      </c>
      <c r="AU17">
        <f t="shared" ref="AU17:AU28" si="27">1-AS17/AT17</f>
        <v>0.29446635175972413</v>
      </c>
      <c r="AV17">
        <v>0.5</v>
      </c>
      <c r="AW17">
        <f t="shared" ref="AW17:AW28" si="28">CC17</f>
        <v>1471.237199814306</v>
      </c>
      <c r="AX17">
        <f t="shared" ref="AX17:AX28" si="29">I17</f>
        <v>20.388252299961767</v>
      </c>
      <c r="AY17">
        <f t="shared" ref="AY17:AY28" si="30">AU17*AV17*AW17</f>
        <v>216.61492540125548</v>
      </c>
      <c r="AZ17">
        <f t="shared" ref="AZ17:AZ28" si="31">BE17/AT17</f>
        <v>0.55131712069546968</v>
      </c>
      <c r="BA17">
        <f t="shared" ref="BA17:BA28" si="32">(AX17-AQ17)/AW17</f>
        <v>1.2889639105686022E-2</v>
      </c>
      <c r="BB17">
        <f t="shared" ref="BB17:BB28" si="33">(AN17-AT17)/AT17</f>
        <v>1.6462247536253607</v>
      </c>
      <c r="BC17" t="s">
        <v>346</v>
      </c>
      <c r="BD17">
        <v>598.70000000000005</v>
      </c>
      <c r="BE17">
        <f t="shared" ref="BE17:BE28" si="34">AT17-BD17</f>
        <v>735.64999999999986</v>
      </c>
      <c r="BF17">
        <f t="shared" ref="BF17:BF28" si="35">(AT17-AS17)/(AT17-BD17)</f>
        <v>0.53411428868427635</v>
      </c>
      <c r="BG17">
        <f t="shared" ref="BG17:BG28" si="36">(AN17-AT17)/(AN17-BD17)</f>
        <v>0.74912099417179057</v>
      </c>
      <c r="BH17">
        <f t="shared" ref="BH17:BH28" si="37">(AT17-AS17)/(AT17-AM17)</f>
        <v>0.52737516441836518</v>
      </c>
      <c r="BI17">
        <f t="shared" ref="BI17:BI28" si="38">(AN17-AT17)/(AN17-AM17)</f>
        <v>0.74672707210779554</v>
      </c>
      <c r="BJ17">
        <v>8077</v>
      </c>
      <c r="BK17">
        <v>300</v>
      </c>
      <c r="BL17">
        <v>300</v>
      </c>
      <c r="BM17">
        <v>300</v>
      </c>
      <c r="BN17">
        <v>10289.1</v>
      </c>
      <c r="BO17">
        <v>1247.0999999999999</v>
      </c>
      <c r="BP17">
        <v>-7.0407000000000004E-3</v>
      </c>
      <c r="BQ17">
        <v>7.0798300000000003</v>
      </c>
      <c r="BR17" t="s">
        <v>347</v>
      </c>
      <c r="BS17" t="s">
        <v>347</v>
      </c>
      <c r="BT17" t="s">
        <v>347</v>
      </c>
      <c r="BU17" t="s">
        <v>347</v>
      </c>
      <c r="BV17" t="s">
        <v>347</v>
      </c>
      <c r="BW17" t="s">
        <v>347</v>
      </c>
      <c r="BX17" t="s">
        <v>347</v>
      </c>
      <c r="BY17" t="s">
        <v>347</v>
      </c>
      <c r="BZ17" t="s">
        <v>347</v>
      </c>
      <c r="CA17" t="s">
        <v>347</v>
      </c>
      <c r="CB17">
        <f t="shared" ref="CB17:CB28" si="39">$B$11*CT17+$C$11*CU17+$F$11*DH17</f>
        <v>1750.04</v>
      </c>
      <c r="CC17">
        <f t="shared" ref="CC17:CC28" si="40">CB17*CD17</f>
        <v>1471.237199814306</v>
      </c>
      <c r="CD17">
        <f t="shared" ref="CD17:CD28" si="41">($B$11*$D$9+$C$11*$D$9+$F$11*((DU17+DM17)/MAX(DU17+DM17+DV17, 0.1)*$I$9+DV17/MAX(DU17+DM17+DV17, 0.1)*$J$9))/($B$11+$C$11+$F$11)</f>
        <v>0.84068775560233255</v>
      </c>
      <c r="CE17">
        <f t="shared" ref="CE17:CE28" si="42">($B$11*$K$9+$C$11*$K$9+$F$11*((DU17+DM17)/MAX(DU17+DM17+DV17, 0.1)*$P$9+DV17/MAX(DU17+DM17+DV17, 0.1)*$Q$9))/($B$11+$C$11+$F$11)</f>
        <v>0.19137551120466503</v>
      </c>
      <c r="CF17">
        <v>1565552279.0999999</v>
      </c>
      <c r="CG17">
        <v>374.04</v>
      </c>
      <c r="CH17">
        <v>399.95499999999998</v>
      </c>
      <c r="CI17">
        <v>18.162600000000001</v>
      </c>
      <c r="CJ17">
        <v>14.3611</v>
      </c>
      <c r="CK17">
        <v>499.98200000000003</v>
      </c>
      <c r="CL17">
        <v>99.115499999999997</v>
      </c>
      <c r="CM17">
        <v>0.100303</v>
      </c>
      <c r="CN17">
        <v>25.681899999999999</v>
      </c>
      <c r="CO17">
        <v>27.288</v>
      </c>
      <c r="CP17">
        <v>999.9</v>
      </c>
      <c r="CQ17">
        <v>0</v>
      </c>
      <c r="CR17">
        <v>0</v>
      </c>
      <c r="CS17">
        <v>9978.75</v>
      </c>
      <c r="CT17">
        <v>0</v>
      </c>
      <c r="CU17">
        <v>1735.73</v>
      </c>
      <c r="CV17">
        <v>-26.653199999999998</v>
      </c>
      <c r="CW17">
        <v>380.21600000000001</v>
      </c>
      <c r="CX17">
        <v>405.78199999999998</v>
      </c>
      <c r="CY17">
        <v>3.8235600000000001</v>
      </c>
      <c r="CZ17">
        <v>369.56900000000002</v>
      </c>
      <c r="DA17">
        <v>399.95499999999998</v>
      </c>
      <c r="DB17">
        <v>17.710599999999999</v>
      </c>
      <c r="DC17">
        <v>14.3611</v>
      </c>
      <c r="DD17">
        <v>1.8023800000000001</v>
      </c>
      <c r="DE17">
        <v>1.4234</v>
      </c>
      <c r="DF17">
        <v>15.807399999999999</v>
      </c>
      <c r="DG17">
        <v>12.1693</v>
      </c>
      <c r="DH17">
        <v>1750.04</v>
      </c>
      <c r="DI17">
        <v>0.97700699999999996</v>
      </c>
      <c r="DJ17">
        <v>2.2992800000000001E-2</v>
      </c>
      <c r="DK17">
        <v>0</v>
      </c>
      <c r="DL17">
        <v>935.51199999999994</v>
      </c>
      <c r="DM17">
        <v>5.0002700000000004</v>
      </c>
      <c r="DN17">
        <v>21341.9</v>
      </c>
      <c r="DO17">
        <v>14146</v>
      </c>
      <c r="DP17">
        <v>49.436999999999998</v>
      </c>
      <c r="DQ17">
        <v>51.686999999999998</v>
      </c>
      <c r="DR17">
        <v>50.436999999999998</v>
      </c>
      <c r="DS17">
        <v>51.311999999999998</v>
      </c>
      <c r="DT17">
        <v>50.75</v>
      </c>
      <c r="DU17">
        <v>1704.92</v>
      </c>
      <c r="DV17">
        <v>40.119999999999997</v>
      </c>
      <c r="DW17">
        <v>0</v>
      </c>
      <c r="DX17">
        <v>1604</v>
      </c>
      <c r="DY17">
        <v>941.42882352941206</v>
      </c>
      <c r="DZ17">
        <v>-74.549264933670599</v>
      </c>
      <c r="EA17">
        <v>-1577.1078484234899</v>
      </c>
      <c r="EB17">
        <v>21428.788235294101</v>
      </c>
      <c r="EC17">
        <v>10</v>
      </c>
      <c r="ED17">
        <v>1565552307.5999999</v>
      </c>
      <c r="EE17" t="s">
        <v>348</v>
      </c>
      <c r="EF17">
        <v>56</v>
      </c>
      <c r="EG17">
        <v>4.4710000000000001</v>
      </c>
      <c r="EH17">
        <v>0.45200000000000001</v>
      </c>
      <c r="EI17">
        <v>400</v>
      </c>
      <c r="EJ17">
        <v>14</v>
      </c>
      <c r="EK17">
        <v>0.08</v>
      </c>
      <c r="EL17">
        <v>7.0000000000000007E-2</v>
      </c>
      <c r="EM17">
        <v>21.335161811976299</v>
      </c>
      <c r="EN17">
        <v>-1.7405872471192001</v>
      </c>
      <c r="EO17">
        <v>0.17993959784807001</v>
      </c>
      <c r="EP17">
        <v>0</v>
      </c>
      <c r="EQ17">
        <v>0.179929975705266</v>
      </c>
      <c r="ER17">
        <v>-5.7193187914382701E-3</v>
      </c>
      <c r="ES17">
        <v>8.5242315760612601E-4</v>
      </c>
      <c r="ET17">
        <v>1</v>
      </c>
      <c r="EU17">
        <v>1</v>
      </c>
      <c r="EV17">
        <v>2</v>
      </c>
      <c r="EW17" t="s">
        <v>349</v>
      </c>
      <c r="EX17">
        <v>2.94794</v>
      </c>
      <c r="EY17">
        <v>2.7775300000000001</v>
      </c>
      <c r="EZ17">
        <v>8.7866799999999995E-2</v>
      </c>
      <c r="FA17">
        <v>9.0968499999999994E-2</v>
      </c>
      <c r="FB17">
        <v>9.0243400000000001E-2</v>
      </c>
      <c r="FC17">
        <v>7.3671299999999995E-2</v>
      </c>
      <c r="FD17">
        <v>21804.2</v>
      </c>
      <c r="FE17">
        <v>21914.6</v>
      </c>
      <c r="FF17">
        <v>22486.1</v>
      </c>
      <c r="FG17">
        <v>26452.400000000001</v>
      </c>
      <c r="FH17">
        <v>29245.8</v>
      </c>
      <c r="FI17">
        <v>38469.1</v>
      </c>
      <c r="FJ17">
        <v>32121.200000000001</v>
      </c>
      <c r="FK17">
        <v>42150.1</v>
      </c>
      <c r="FL17">
        <v>1.92482</v>
      </c>
      <c r="FM17">
        <v>1.8068299999999999</v>
      </c>
      <c r="FN17">
        <v>-3.8966500000000002E-3</v>
      </c>
      <c r="FO17">
        <v>0</v>
      </c>
      <c r="FP17">
        <v>27.351700000000001</v>
      </c>
      <c r="FQ17">
        <v>999.9</v>
      </c>
      <c r="FR17">
        <v>36.716999999999999</v>
      </c>
      <c r="FS17">
        <v>42.329000000000001</v>
      </c>
      <c r="FT17">
        <v>31.072299999999998</v>
      </c>
      <c r="FU17">
        <v>61.535699999999999</v>
      </c>
      <c r="FV17">
        <v>46.7348</v>
      </c>
      <c r="FW17">
        <v>1</v>
      </c>
      <c r="FX17">
        <v>0.69024399999999997</v>
      </c>
      <c r="FY17">
        <v>9.2810500000000005</v>
      </c>
      <c r="FZ17">
        <v>20.021799999999999</v>
      </c>
      <c r="GA17">
        <v>5.2261300000000004</v>
      </c>
      <c r="GB17">
        <v>11.962</v>
      </c>
      <c r="GC17">
        <v>4.9717500000000001</v>
      </c>
      <c r="GD17">
        <v>3.2949999999999999</v>
      </c>
      <c r="GE17">
        <v>9999</v>
      </c>
      <c r="GF17">
        <v>9999</v>
      </c>
      <c r="GG17">
        <v>505.5</v>
      </c>
      <c r="GH17">
        <v>9999</v>
      </c>
      <c r="GI17">
        <v>1.8660000000000001</v>
      </c>
      <c r="GJ17">
        <v>1.8654599999999999</v>
      </c>
      <c r="GK17">
        <v>1.8656699999999999</v>
      </c>
      <c r="GL17">
        <v>1.8686199999999999</v>
      </c>
      <c r="GM17">
        <v>1.8629199999999999</v>
      </c>
      <c r="GN17">
        <v>1.8610800000000001</v>
      </c>
      <c r="GO17">
        <v>1.8572599999999999</v>
      </c>
      <c r="GP17">
        <v>1.8633999999999999</v>
      </c>
      <c r="GQ17" t="s">
        <v>350</v>
      </c>
      <c r="GR17" t="s">
        <v>19</v>
      </c>
      <c r="GS17" t="s">
        <v>19</v>
      </c>
      <c r="GT17" t="s">
        <v>19</v>
      </c>
      <c r="GU17" t="s">
        <v>351</v>
      </c>
      <c r="GV17" t="s">
        <v>352</v>
      </c>
      <c r="GW17" t="s">
        <v>353</v>
      </c>
      <c r="GX17" t="s">
        <v>353</v>
      </c>
      <c r="GY17" t="s">
        <v>353</v>
      </c>
      <c r="GZ17" t="s">
        <v>353</v>
      </c>
      <c r="HA17">
        <v>0</v>
      </c>
      <c r="HB17">
        <v>100</v>
      </c>
      <c r="HC17">
        <v>100</v>
      </c>
      <c r="HD17">
        <v>4.4710000000000001</v>
      </c>
      <c r="HE17">
        <v>0.45200000000000001</v>
      </c>
      <c r="HF17">
        <v>2</v>
      </c>
      <c r="HG17">
        <v>503.49700000000001</v>
      </c>
      <c r="HH17">
        <v>464.61599999999999</v>
      </c>
      <c r="HI17">
        <v>18.905999999999999</v>
      </c>
      <c r="HJ17">
        <v>35.694299999999998</v>
      </c>
      <c r="HK17">
        <v>29.9999</v>
      </c>
      <c r="HL17">
        <v>35.556899999999999</v>
      </c>
      <c r="HM17">
        <v>35.5383</v>
      </c>
      <c r="HN17">
        <v>21.056000000000001</v>
      </c>
      <c r="HO17">
        <v>55.668500000000002</v>
      </c>
      <c r="HP17">
        <v>0</v>
      </c>
      <c r="HQ17">
        <v>16.800599999999999</v>
      </c>
      <c r="HR17">
        <v>400</v>
      </c>
      <c r="HS17">
        <v>14.431699999999999</v>
      </c>
      <c r="HT17">
        <v>98.875500000000002</v>
      </c>
      <c r="HU17">
        <v>102.764</v>
      </c>
    </row>
    <row r="18" spans="1:229" x14ac:dyDescent="0.35">
      <c r="A18">
        <v>2</v>
      </c>
      <c r="B18">
        <v>1565552370.0999999</v>
      </c>
      <c r="C18">
        <v>91</v>
      </c>
      <c r="D18" t="s">
        <v>354</v>
      </c>
      <c r="E18" t="s">
        <v>355</v>
      </c>
      <c r="G18">
        <v>1565552370.0999999</v>
      </c>
      <c r="H18">
        <f t="shared" si="0"/>
        <v>2.5056659661310699E-3</v>
      </c>
      <c r="I18">
        <f t="shared" si="1"/>
        <v>12.33456878481425</v>
      </c>
      <c r="J18">
        <f t="shared" si="2"/>
        <v>284.279</v>
      </c>
      <c r="K18">
        <f t="shared" si="3"/>
        <v>126.89638968581247</v>
      </c>
      <c r="L18">
        <f t="shared" si="4"/>
        <v>12.590049159199145</v>
      </c>
      <c r="M18">
        <f t="shared" si="5"/>
        <v>28.204794429451997</v>
      </c>
      <c r="N18">
        <f t="shared" si="6"/>
        <v>0.13434266580267495</v>
      </c>
      <c r="O18">
        <f t="shared" si="7"/>
        <v>2.246035011734115</v>
      </c>
      <c r="P18">
        <f t="shared" si="8"/>
        <v>0.1300329150205598</v>
      </c>
      <c r="Q18">
        <f t="shared" si="9"/>
        <v>8.1646268600992347E-2</v>
      </c>
      <c r="R18">
        <f t="shared" si="10"/>
        <v>281.54121532182921</v>
      </c>
      <c r="S18">
        <f t="shared" si="11"/>
        <v>26.908564014092423</v>
      </c>
      <c r="T18">
        <f t="shared" si="12"/>
        <v>27.394200000000001</v>
      </c>
      <c r="U18">
        <f t="shared" si="13"/>
        <v>3.6628677669011345</v>
      </c>
      <c r="V18">
        <f t="shared" si="14"/>
        <v>54.677938422193961</v>
      </c>
      <c r="W18">
        <f t="shared" si="15"/>
        <v>1.8037122748024002</v>
      </c>
      <c r="X18">
        <f t="shared" si="16"/>
        <v>3.2987934930448426</v>
      </c>
      <c r="Y18">
        <f t="shared" si="17"/>
        <v>1.8591554920987343</v>
      </c>
      <c r="Z18">
        <f t="shared" si="18"/>
        <v>-110.49986910638019</v>
      </c>
      <c r="AA18">
        <f t="shared" si="19"/>
        <v>-215.04060462147942</v>
      </c>
      <c r="AB18">
        <f t="shared" si="20"/>
        <v>-20.560640721428395</v>
      </c>
      <c r="AC18">
        <f t="shared" si="21"/>
        <v>-64.559899127458777</v>
      </c>
      <c r="AD18">
        <v>-4.1077089028646603E-2</v>
      </c>
      <c r="AE18">
        <v>4.6112630985297103E-2</v>
      </c>
      <c r="AF18">
        <v>3.4481344308536102</v>
      </c>
      <c r="AG18">
        <v>0</v>
      </c>
      <c r="AH18">
        <v>0</v>
      </c>
      <c r="AI18">
        <f t="shared" si="22"/>
        <v>1</v>
      </c>
      <c r="AJ18">
        <f t="shared" si="23"/>
        <v>0</v>
      </c>
      <c r="AK18">
        <f t="shared" si="24"/>
        <v>52623.374581950826</v>
      </c>
      <c r="AL18" t="s">
        <v>344</v>
      </c>
      <c r="AM18">
        <v>589.29941176470595</v>
      </c>
      <c r="AN18">
        <v>3530.99</v>
      </c>
      <c r="AO18">
        <f t="shared" si="25"/>
        <v>2941.6905882352939</v>
      </c>
      <c r="AP18">
        <f t="shared" si="26"/>
        <v>0.83310646256015852</v>
      </c>
      <c r="AQ18">
        <v>1.42453575549529</v>
      </c>
      <c r="AR18" t="s">
        <v>356</v>
      </c>
      <c r="AS18">
        <v>856.39447058823498</v>
      </c>
      <c r="AT18">
        <v>1191.08</v>
      </c>
      <c r="AU18">
        <f t="shared" si="27"/>
        <v>0.28099332489149764</v>
      </c>
      <c r="AV18">
        <v>0.5</v>
      </c>
      <c r="AW18">
        <f t="shared" si="28"/>
        <v>1471.1447998142946</v>
      </c>
      <c r="AX18">
        <f t="shared" si="29"/>
        <v>12.33456878481425</v>
      </c>
      <c r="AY18">
        <f t="shared" si="30"/>
        <v>206.69093434832769</v>
      </c>
      <c r="AZ18">
        <f t="shared" si="31"/>
        <v>0.50149444201900795</v>
      </c>
      <c r="BA18">
        <f t="shared" si="32"/>
        <v>7.4160157658825655E-3</v>
      </c>
      <c r="BB18">
        <f t="shared" si="33"/>
        <v>1.9645279914027605</v>
      </c>
      <c r="BC18" t="s">
        <v>357</v>
      </c>
      <c r="BD18">
        <v>593.76</v>
      </c>
      <c r="BE18">
        <f t="shared" si="34"/>
        <v>597.31999999999994</v>
      </c>
      <c r="BF18">
        <f t="shared" si="35"/>
        <v>0.56031194236215931</v>
      </c>
      <c r="BG18">
        <f t="shared" si="36"/>
        <v>0.79663832931026857</v>
      </c>
      <c r="BH18">
        <f t="shared" si="37"/>
        <v>0.55615873285846862</v>
      </c>
      <c r="BI18">
        <f t="shared" si="38"/>
        <v>0.79543035877328638</v>
      </c>
      <c r="BJ18">
        <v>8079</v>
      </c>
      <c r="BK18">
        <v>300</v>
      </c>
      <c r="BL18">
        <v>300</v>
      </c>
      <c r="BM18">
        <v>300</v>
      </c>
      <c r="BN18">
        <v>10288</v>
      </c>
      <c r="BO18">
        <v>1114.01</v>
      </c>
      <c r="BP18">
        <v>-7.0396599999999997E-3</v>
      </c>
      <c r="BQ18">
        <v>7.5548099999999998</v>
      </c>
      <c r="BR18" t="s">
        <v>347</v>
      </c>
      <c r="BS18" t="s">
        <v>347</v>
      </c>
      <c r="BT18" t="s">
        <v>347</v>
      </c>
      <c r="BU18" t="s">
        <v>347</v>
      </c>
      <c r="BV18" t="s">
        <v>347</v>
      </c>
      <c r="BW18" t="s">
        <v>347</v>
      </c>
      <c r="BX18" t="s">
        <v>347</v>
      </c>
      <c r="BY18" t="s">
        <v>347</v>
      </c>
      <c r="BZ18" t="s">
        <v>347</v>
      </c>
      <c r="CA18" t="s">
        <v>347</v>
      </c>
      <c r="CB18">
        <f t="shared" si="39"/>
        <v>1749.93</v>
      </c>
      <c r="CC18">
        <f t="shared" si="40"/>
        <v>1471.1447998142946</v>
      </c>
      <c r="CD18">
        <f t="shared" si="41"/>
        <v>0.84068779883440736</v>
      </c>
      <c r="CE18">
        <f t="shared" si="42"/>
        <v>0.19137559766881457</v>
      </c>
      <c r="CF18">
        <v>1565552370.0999999</v>
      </c>
      <c r="CG18">
        <v>284.279</v>
      </c>
      <c r="CH18">
        <v>299.93400000000003</v>
      </c>
      <c r="CI18">
        <v>18.1798</v>
      </c>
      <c r="CJ18">
        <v>15.2279</v>
      </c>
      <c r="CK18">
        <v>500.04</v>
      </c>
      <c r="CL18">
        <v>99.115099999999998</v>
      </c>
      <c r="CM18">
        <v>0.100088</v>
      </c>
      <c r="CN18">
        <v>25.618300000000001</v>
      </c>
      <c r="CO18">
        <v>27.394200000000001</v>
      </c>
      <c r="CP18">
        <v>999.9</v>
      </c>
      <c r="CQ18">
        <v>0</v>
      </c>
      <c r="CR18">
        <v>0</v>
      </c>
      <c r="CS18">
        <v>9994.3799999999992</v>
      </c>
      <c r="CT18">
        <v>0</v>
      </c>
      <c r="CU18">
        <v>1717.26</v>
      </c>
      <c r="CV18">
        <v>-15.541499999999999</v>
      </c>
      <c r="CW18">
        <v>289.654</v>
      </c>
      <c r="CX18">
        <v>304.572</v>
      </c>
      <c r="CY18">
        <v>2.9338899999999999</v>
      </c>
      <c r="CZ18">
        <v>279.92200000000003</v>
      </c>
      <c r="DA18">
        <v>299.93400000000003</v>
      </c>
      <c r="DB18">
        <v>17.709800000000001</v>
      </c>
      <c r="DC18">
        <v>15.2279</v>
      </c>
      <c r="DD18">
        <v>1.8001100000000001</v>
      </c>
      <c r="DE18">
        <v>1.50932</v>
      </c>
      <c r="DF18">
        <v>15.787699999999999</v>
      </c>
      <c r="DG18">
        <v>13.062900000000001</v>
      </c>
      <c r="DH18">
        <v>1749.93</v>
      </c>
      <c r="DI18">
        <v>0.97700699999999996</v>
      </c>
      <c r="DJ18">
        <v>2.2992800000000001E-2</v>
      </c>
      <c r="DK18">
        <v>0</v>
      </c>
      <c r="DL18">
        <v>854.38300000000004</v>
      </c>
      <c r="DM18">
        <v>5.0002700000000004</v>
      </c>
      <c r="DN18">
        <v>19815.7</v>
      </c>
      <c r="DO18">
        <v>14145.1</v>
      </c>
      <c r="DP18">
        <v>49.375</v>
      </c>
      <c r="DQ18">
        <v>51.686999999999998</v>
      </c>
      <c r="DR18">
        <v>50.375</v>
      </c>
      <c r="DS18">
        <v>51.25</v>
      </c>
      <c r="DT18">
        <v>50.75</v>
      </c>
      <c r="DU18">
        <v>1704.81</v>
      </c>
      <c r="DV18">
        <v>40.119999999999997</v>
      </c>
      <c r="DW18">
        <v>0</v>
      </c>
      <c r="DX18">
        <v>90.799999952316298</v>
      </c>
      <c r="DY18">
        <v>856.39447058823498</v>
      </c>
      <c r="DZ18">
        <v>-27.2953432073963</v>
      </c>
      <c r="EA18">
        <v>-535.14706073195202</v>
      </c>
      <c r="EB18">
        <v>19848.8470588235</v>
      </c>
      <c r="EC18">
        <v>10</v>
      </c>
      <c r="ED18">
        <v>1565552396.5999999</v>
      </c>
      <c r="EE18" t="s">
        <v>358</v>
      </c>
      <c r="EF18">
        <v>57</v>
      </c>
      <c r="EG18">
        <v>4.3570000000000002</v>
      </c>
      <c r="EH18">
        <v>0.47</v>
      </c>
      <c r="EI18">
        <v>300</v>
      </c>
      <c r="EJ18">
        <v>15</v>
      </c>
      <c r="EK18">
        <v>0.08</v>
      </c>
      <c r="EL18">
        <v>0.09</v>
      </c>
      <c r="EM18">
        <v>12.363253136767</v>
      </c>
      <c r="EN18">
        <v>-6.03438770426999E-3</v>
      </c>
      <c r="EO18">
        <v>8.9390442526120703E-2</v>
      </c>
      <c r="EP18">
        <v>1</v>
      </c>
      <c r="EQ18">
        <v>0.13586442339337501</v>
      </c>
      <c r="ER18">
        <v>-1.21514993149243E-2</v>
      </c>
      <c r="ES18">
        <v>1.40339515456598E-3</v>
      </c>
      <c r="ET18">
        <v>1</v>
      </c>
      <c r="EU18">
        <v>2</v>
      </c>
      <c r="EV18">
        <v>2</v>
      </c>
      <c r="EW18" t="s">
        <v>359</v>
      </c>
      <c r="EX18">
        <v>2.9481000000000002</v>
      </c>
      <c r="EY18">
        <v>2.77745</v>
      </c>
      <c r="EZ18">
        <v>7.0229299999999995E-2</v>
      </c>
      <c r="FA18">
        <v>7.2433700000000004E-2</v>
      </c>
      <c r="FB18">
        <v>9.02448E-2</v>
      </c>
      <c r="FC18">
        <v>7.6926700000000001E-2</v>
      </c>
      <c r="FD18">
        <v>22228.6</v>
      </c>
      <c r="FE18">
        <v>22365.200000000001</v>
      </c>
      <c r="FF18">
        <v>22489</v>
      </c>
      <c r="FG18">
        <v>26456.6</v>
      </c>
      <c r="FH18">
        <v>29248.5</v>
      </c>
      <c r="FI18">
        <v>38339.300000000003</v>
      </c>
      <c r="FJ18">
        <v>32124.400000000001</v>
      </c>
      <c r="FK18">
        <v>42156.2</v>
      </c>
      <c r="FL18">
        <v>1.92465</v>
      </c>
      <c r="FM18">
        <v>1.8076000000000001</v>
      </c>
      <c r="FN18">
        <v>-3.8482199999999999E-3</v>
      </c>
      <c r="FO18">
        <v>0</v>
      </c>
      <c r="FP18">
        <v>27.457100000000001</v>
      </c>
      <c r="FQ18">
        <v>999.9</v>
      </c>
      <c r="FR18">
        <v>36.643999999999998</v>
      </c>
      <c r="FS18">
        <v>42.359000000000002</v>
      </c>
      <c r="FT18">
        <v>31.060700000000001</v>
      </c>
      <c r="FU18">
        <v>61.585799999999999</v>
      </c>
      <c r="FV18">
        <v>46.602600000000002</v>
      </c>
      <c r="FW18">
        <v>1</v>
      </c>
      <c r="FX18">
        <v>0.68786599999999998</v>
      </c>
      <c r="FY18">
        <v>9.2810500000000005</v>
      </c>
      <c r="FZ18">
        <v>20.022500000000001</v>
      </c>
      <c r="GA18">
        <v>5.2285199999999996</v>
      </c>
      <c r="GB18">
        <v>11.962</v>
      </c>
      <c r="GC18">
        <v>4.9714999999999998</v>
      </c>
      <c r="GD18">
        <v>3.2949999999999999</v>
      </c>
      <c r="GE18">
        <v>9999</v>
      </c>
      <c r="GF18">
        <v>9999</v>
      </c>
      <c r="GG18">
        <v>505.5</v>
      </c>
      <c r="GH18">
        <v>9999</v>
      </c>
      <c r="GI18">
        <v>1.8660099999999999</v>
      </c>
      <c r="GJ18">
        <v>1.8654500000000001</v>
      </c>
      <c r="GK18">
        <v>1.8656900000000001</v>
      </c>
      <c r="GL18">
        <v>1.8686100000000001</v>
      </c>
      <c r="GM18">
        <v>1.8629199999999999</v>
      </c>
      <c r="GN18">
        <v>1.8610800000000001</v>
      </c>
      <c r="GO18">
        <v>1.85727</v>
      </c>
      <c r="GP18">
        <v>1.8633999999999999</v>
      </c>
      <c r="GQ18" t="s">
        <v>350</v>
      </c>
      <c r="GR18" t="s">
        <v>19</v>
      </c>
      <c r="GS18" t="s">
        <v>19</v>
      </c>
      <c r="GT18" t="s">
        <v>19</v>
      </c>
      <c r="GU18" t="s">
        <v>351</v>
      </c>
      <c r="GV18" t="s">
        <v>352</v>
      </c>
      <c r="GW18" t="s">
        <v>353</v>
      </c>
      <c r="GX18" t="s">
        <v>353</v>
      </c>
      <c r="GY18" t="s">
        <v>353</v>
      </c>
      <c r="GZ18" t="s">
        <v>353</v>
      </c>
      <c r="HA18">
        <v>0</v>
      </c>
      <c r="HB18">
        <v>100</v>
      </c>
      <c r="HC18">
        <v>100</v>
      </c>
      <c r="HD18">
        <v>4.3570000000000002</v>
      </c>
      <c r="HE18">
        <v>0.47</v>
      </c>
      <c r="HF18">
        <v>2</v>
      </c>
      <c r="HG18">
        <v>503.20100000000002</v>
      </c>
      <c r="HH18">
        <v>464.96</v>
      </c>
      <c r="HI18">
        <v>18.854399999999998</v>
      </c>
      <c r="HJ18">
        <v>35.6753</v>
      </c>
      <c r="HK18">
        <v>30</v>
      </c>
      <c r="HL18">
        <v>35.533900000000003</v>
      </c>
      <c r="HM18">
        <v>35.514499999999998</v>
      </c>
      <c r="HN18">
        <v>16.6873</v>
      </c>
      <c r="HO18">
        <v>52.9679</v>
      </c>
      <c r="HP18">
        <v>0</v>
      </c>
      <c r="HQ18">
        <v>16.293800000000001</v>
      </c>
      <c r="HR18">
        <v>300</v>
      </c>
      <c r="HS18">
        <v>15.367000000000001</v>
      </c>
      <c r="HT18">
        <v>98.886499999999998</v>
      </c>
      <c r="HU18">
        <v>102.779</v>
      </c>
    </row>
    <row r="19" spans="1:229" x14ac:dyDescent="0.35">
      <c r="A19">
        <v>3</v>
      </c>
      <c r="B19">
        <v>1565552477.5</v>
      </c>
      <c r="C19">
        <v>198.40000009536701</v>
      </c>
      <c r="D19" t="s">
        <v>360</v>
      </c>
      <c r="E19" t="s">
        <v>361</v>
      </c>
      <c r="G19">
        <v>1565552477.5</v>
      </c>
      <c r="H19">
        <f t="shared" si="0"/>
        <v>2.2946449087861234E-3</v>
      </c>
      <c r="I19">
        <f t="shared" si="1"/>
        <v>6.7897934290066715</v>
      </c>
      <c r="J19">
        <f t="shared" si="2"/>
        <v>191.27199999999999</v>
      </c>
      <c r="K19">
        <f t="shared" si="3"/>
        <v>96.338434215433821</v>
      </c>
      <c r="L19">
        <f t="shared" si="4"/>
        <v>9.5586025263905228</v>
      </c>
      <c r="M19">
        <f t="shared" si="5"/>
        <v>18.977815420368</v>
      </c>
      <c r="N19">
        <f t="shared" si="6"/>
        <v>0.12311746132395172</v>
      </c>
      <c r="O19">
        <f t="shared" si="7"/>
        <v>2.2467617406945122</v>
      </c>
      <c r="P19">
        <f t="shared" si="8"/>
        <v>0.11948849910971937</v>
      </c>
      <c r="Q19">
        <f t="shared" si="9"/>
        <v>7.4997449842522129E-2</v>
      </c>
      <c r="R19">
        <f t="shared" si="10"/>
        <v>281.52525541642814</v>
      </c>
      <c r="S19">
        <f t="shared" si="11"/>
        <v>26.889247770021651</v>
      </c>
      <c r="T19">
        <f t="shared" si="12"/>
        <v>27.378699999999998</v>
      </c>
      <c r="U19">
        <f t="shared" si="13"/>
        <v>3.6595443683736342</v>
      </c>
      <c r="V19">
        <f t="shared" si="14"/>
        <v>55.057098871160171</v>
      </c>
      <c r="W19">
        <f t="shared" si="15"/>
        <v>1.8066389741483999</v>
      </c>
      <c r="X19">
        <f t="shared" si="16"/>
        <v>3.2813915211481435</v>
      </c>
      <c r="Y19">
        <f t="shared" si="17"/>
        <v>1.8529053942252343</v>
      </c>
      <c r="Z19">
        <f t="shared" si="18"/>
        <v>-101.19384047746804</v>
      </c>
      <c r="AA19">
        <f t="shared" si="19"/>
        <v>-224.02516137451443</v>
      </c>
      <c r="AB19">
        <f t="shared" si="20"/>
        <v>-21.401551903107311</v>
      </c>
      <c r="AC19">
        <f t="shared" si="21"/>
        <v>-65.095298338661621</v>
      </c>
      <c r="AD19">
        <v>-4.1096625364481401E-2</v>
      </c>
      <c r="AE19">
        <v>4.6134562233748698E-2</v>
      </c>
      <c r="AF19">
        <v>3.4494328804133501</v>
      </c>
      <c r="AG19">
        <v>0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52663.176901717816</v>
      </c>
      <c r="AL19" t="s">
        <v>344</v>
      </c>
      <c r="AM19">
        <v>589.29941176470595</v>
      </c>
      <c r="AN19">
        <v>3530.99</v>
      </c>
      <c r="AO19">
        <f t="shared" si="25"/>
        <v>2941.6905882352939</v>
      </c>
      <c r="AP19">
        <f t="shared" si="26"/>
        <v>0.83310646256015852</v>
      </c>
      <c r="AQ19">
        <v>1.42453575549529</v>
      </c>
      <c r="AR19" t="s">
        <v>362</v>
      </c>
      <c r="AS19">
        <v>823.69164705882304</v>
      </c>
      <c r="AT19">
        <v>1108.07</v>
      </c>
      <c r="AU19">
        <f t="shared" si="27"/>
        <v>0.25664294939956589</v>
      </c>
      <c r="AV19">
        <v>0.5</v>
      </c>
      <c r="AW19">
        <f t="shared" si="28"/>
        <v>1471.0607998142837</v>
      </c>
      <c r="AX19">
        <f t="shared" si="29"/>
        <v>6.7897934290066715</v>
      </c>
      <c r="AY19">
        <f t="shared" si="30"/>
        <v>188.76869120521107</v>
      </c>
      <c r="AZ19">
        <f t="shared" si="31"/>
        <v>0.46691093522972366</v>
      </c>
      <c r="BA19">
        <f t="shared" si="32"/>
        <v>3.6472032115795125E-3</v>
      </c>
      <c r="BB19">
        <f t="shared" si="33"/>
        <v>2.1866127591217164</v>
      </c>
      <c r="BC19" t="s">
        <v>363</v>
      </c>
      <c r="BD19">
        <v>590.70000000000005</v>
      </c>
      <c r="BE19">
        <f t="shared" si="34"/>
        <v>517.36999999999989</v>
      </c>
      <c r="BF19">
        <f t="shared" si="35"/>
        <v>0.54966146653493042</v>
      </c>
      <c r="BG19">
        <f t="shared" si="36"/>
        <v>0.82404116600743471</v>
      </c>
      <c r="BH19">
        <f t="shared" si="37"/>
        <v>0.54817747842750486</v>
      </c>
      <c r="BI19">
        <f t="shared" si="38"/>
        <v>0.82364882618518287</v>
      </c>
      <c r="BJ19">
        <v>8081</v>
      </c>
      <c r="BK19">
        <v>300</v>
      </c>
      <c r="BL19">
        <v>300</v>
      </c>
      <c r="BM19">
        <v>300</v>
      </c>
      <c r="BN19">
        <v>10287.700000000001</v>
      </c>
      <c r="BO19">
        <v>1048.17</v>
      </c>
      <c r="BP19">
        <v>-7.0393900000000004E-3</v>
      </c>
      <c r="BQ19">
        <v>6.5907</v>
      </c>
      <c r="BR19" t="s">
        <v>347</v>
      </c>
      <c r="BS19" t="s">
        <v>347</v>
      </c>
      <c r="BT19" t="s">
        <v>347</v>
      </c>
      <c r="BU19" t="s">
        <v>347</v>
      </c>
      <c r="BV19" t="s">
        <v>347</v>
      </c>
      <c r="BW19" t="s">
        <v>347</v>
      </c>
      <c r="BX19" t="s">
        <v>347</v>
      </c>
      <c r="BY19" t="s">
        <v>347</v>
      </c>
      <c r="BZ19" t="s">
        <v>347</v>
      </c>
      <c r="CA19" t="s">
        <v>347</v>
      </c>
      <c r="CB19">
        <f t="shared" si="39"/>
        <v>1749.83</v>
      </c>
      <c r="CC19">
        <f t="shared" si="40"/>
        <v>1471.0607998142837</v>
      </c>
      <c r="CD19">
        <f t="shared" si="41"/>
        <v>0.84068783814101011</v>
      </c>
      <c r="CE19">
        <f t="shared" si="42"/>
        <v>0.19137567628202024</v>
      </c>
      <c r="CF19">
        <v>1565552477.5</v>
      </c>
      <c r="CG19">
        <v>191.27199999999999</v>
      </c>
      <c r="CH19">
        <v>199.946</v>
      </c>
      <c r="CI19">
        <v>18.208600000000001</v>
      </c>
      <c r="CJ19">
        <v>15.5053</v>
      </c>
      <c r="CK19">
        <v>500.02499999999998</v>
      </c>
      <c r="CL19">
        <v>99.118899999999996</v>
      </c>
      <c r="CM19">
        <v>0.100094</v>
      </c>
      <c r="CN19">
        <v>25.529199999999999</v>
      </c>
      <c r="CO19">
        <v>27.378699999999998</v>
      </c>
      <c r="CP19">
        <v>999.9</v>
      </c>
      <c r="CQ19">
        <v>0</v>
      </c>
      <c r="CR19">
        <v>0</v>
      </c>
      <c r="CS19">
        <v>9998.75</v>
      </c>
      <c r="CT19">
        <v>0</v>
      </c>
      <c r="CU19">
        <v>1489.52</v>
      </c>
      <c r="CV19">
        <v>-8.5816999999999997</v>
      </c>
      <c r="CW19">
        <v>194.91200000000001</v>
      </c>
      <c r="CX19">
        <v>203.095</v>
      </c>
      <c r="CY19">
        <v>2.69625</v>
      </c>
      <c r="CZ19">
        <v>187.00700000000001</v>
      </c>
      <c r="DA19">
        <v>199.946</v>
      </c>
      <c r="DB19">
        <v>17.7316</v>
      </c>
      <c r="DC19">
        <v>15.5053</v>
      </c>
      <c r="DD19">
        <v>1.8041199999999999</v>
      </c>
      <c r="DE19">
        <v>1.53687</v>
      </c>
      <c r="DF19">
        <v>15.8226</v>
      </c>
      <c r="DG19">
        <v>13.34</v>
      </c>
      <c r="DH19">
        <v>1749.83</v>
      </c>
      <c r="DI19">
        <v>0.97700699999999996</v>
      </c>
      <c r="DJ19">
        <v>2.2992800000000001E-2</v>
      </c>
      <c r="DK19">
        <v>0</v>
      </c>
      <c r="DL19">
        <v>822.91600000000005</v>
      </c>
      <c r="DM19">
        <v>5.0002700000000004</v>
      </c>
      <c r="DN19">
        <v>18793.5</v>
      </c>
      <c r="DO19">
        <v>14144.3</v>
      </c>
      <c r="DP19">
        <v>49.375</v>
      </c>
      <c r="DQ19">
        <v>51.561999999999998</v>
      </c>
      <c r="DR19">
        <v>50.375</v>
      </c>
      <c r="DS19">
        <v>51.125</v>
      </c>
      <c r="DT19">
        <v>50.625</v>
      </c>
      <c r="DU19">
        <v>1704.71</v>
      </c>
      <c r="DV19">
        <v>40.119999999999997</v>
      </c>
      <c r="DW19">
        <v>0</v>
      </c>
      <c r="DX19">
        <v>107</v>
      </c>
      <c r="DY19">
        <v>823.69164705882304</v>
      </c>
      <c r="DZ19">
        <v>-12.3840685746507</v>
      </c>
      <c r="EA19">
        <v>-510.24509655336402</v>
      </c>
      <c r="EB19">
        <v>18852.076470588199</v>
      </c>
      <c r="EC19">
        <v>10</v>
      </c>
      <c r="ED19">
        <v>1565552503</v>
      </c>
      <c r="EE19" t="s">
        <v>364</v>
      </c>
      <c r="EF19">
        <v>58</v>
      </c>
      <c r="EG19">
        <v>4.2649999999999997</v>
      </c>
      <c r="EH19">
        <v>0.47699999999999998</v>
      </c>
      <c r="EI19">
        <v>200</v>
      </c>
      <c r="EJ19">
        <v>16</v>
      </c>
      <c r="EK19">
        <v>0.17</v>
      </c>
      <c r="EL19">
        <v>0.09</v>
      </c>
      <c r="EM19">
        <v>6.7488821584436796</v>
      </c>
      <c r="EN19">
        <v>8.9888248667905193E-2</v>
      </c>
      <c r="EO19">
        <v>3.5387690030088598E-2</v>
      </c>
      <c r="EP19">
        <v>1</v>
      </c>
      <c r="EQ19">
        <v>0.123110888850456</v>
      </c>
      <c r="ER19">
        <v>-1.9971453103035E-3</v>
      </c>
      <c r="ES19">
        <v>2.7369906172235701E-4</v>
      </c>
      <c r="ET19">
        <v>1</v>
      </c>
      <c r="EU19">
        <v>2</v>
      </c>
      <c r="EV19">
        <v>2</v>
      </c>
      <c r="EW19" t="s">
        <v>359</v>
      </c>
      <c r="EX19">
        <v>2.9480900000000001</v>
      </c>
      <c r="EY19">
        <v>2.7774999999999999</v>
      </c>
      <c r="EZ19">
        <v>4.95863E-2</v>
      </c>
      <c r="FA19">
        <v>5.1298200000000002E-2</v>
      </c>
      <c r="FB19">
        <v>9.0336200000000005E-2</v>
      </c>
      <c r="FC19">
        <v>7.7961699999999995E-2</v>
      </c>
      <c r="FD19">
        <v>22724.1</v>
      </c>
      <c r="FE19">
        <v>22876.5</v>
      </c>
      <c r="FF19">
        <v>22491.200000000001</v>
      </c>
      <c r="FG19">
        <v>26458.7</v>
      </c>
      <c r="FH19">
        <v>29248.3</v>
      </c>
      <c r="FI19">
        <v>38298.699999999997</v>
      </c>
      <c r="FJ19">
        <v>32127.7</v>
      </c>
      <c r="FK19">
        <v>42159.1</v>
      </c>
      <c r="FL19">
        <v>1.92482</v>
      </c>
      <c r="FM19">
        <v>1.8079000000000001</v>
      </c>
      <c r="FN19">
        <v>1.43424E-3</v>
      </c>
      <c r="FO19">
        <v>0</v>
      </c>
      <c r="FP19">
        <v>27.3552</v>
      </c>
      <c r="FQ19">
        <v>999.9</v>
      </c>
      <c r="FR19">
        <v>36.594999999999999</v>
      </c>
      <c r="FS19">
        <v>42.369</v>
      </c>
      <c r="FT19">
        <v>31.03</v>
      </c>
      <c r="FU19">
        <v>61.805799999999998</v>
      </c>
      <c r="FV19">
        <v>46.666699999999999</v>
      </c>
      <c r="FW19">
        <v>1</v>
      </c>
      <c r="FX19">
        <v>0.68541700000000005</v>
      </c>
      <c r="FY19">
        <v>9.2810500000000005</v>
      </c>
      <c r="FZ19">
        <v>20.022200000000002</v>
      </c>
      <c r="GA19">
        <v>5.2276199999999999</v>
      </c>
      <c r="GB19">
        <v>11.962</v>
      </c>
      <c r="GC19">
        <v>4.9717500000000001</v>
      </c>
      <c r="GD19">
        <v>3.2949999999999999</v>
      </c>
      <c r="GE19">
        <v>9999</v>
      </c>
      <c r="GF19">
        <v>9999</v>
      </c>
      <c r="GG19">
        <v>505.5</v>
      </c>
      <c r="GH19">
        <v>9999</v>
      </c>
      <c r="GI19">
        <v>1.8660099999999999</v>
      </c>
      <c r="GJ19">
        <v>1.8654599999999999</v>
      </c>
      <c r="GK19">
        <v>1.8656900000000001</v>
      </c>
      <c r="GL19">
        <v>1.8686100000000001</v>
      </c>
      <c r="GM19">
        <v>1.86293</v>
      </c>
      <c r="GN19">
        <v>1.8610599999999999</v>
      </c>
      <c r="GO19">
        <v>1.85724</v>
      </c>
      <c r="GP19">
        <v>1.8633999999999999</v>
      </c>
      <c r="GQ19" t="s">
        <v>350</v>
      </c>
      <c r="GR19" t="s">
        <v>19</v>
      </c>
      <c r="GS19" t="s">
        <v>19</v>
      </c>
      <c r="GT19" t="s">
        <v>19</v>
      </c>
      <c r="GU19" t="s">
        <v>351</v>
      </c>
      <c r="GV19" t="s">
        <v>352</v>
      </c>
      <c r="GW19" t="s">
        <v>353</v>
      </c>
      <c r="GX19" t="s">
        <v>353</v>
      </c>
      <c r="GY19" t="s">
        <v>353</v>
      </c>
      <c r="GZ19" t="s">
        <v>353</v>
      </c>
      <c r="HA19">
        <v>0</v>
      </c>
      <c r="HB19">
        <v>100</v>
      </c>
      <c r="HC19">
        <v>100</v>
      </c>
      <c r="HD19">
        <v>4.2649999999999997</v>
      </c>
      <c r="HE19">
        <v>0.47699999999999998</v>
      </c>
      <c r="HF19">
        <v>2</v>
      </c>
      <c r="HG19">
        <v>503.06</v>
      </c>
      <c r="HH19">
        <v>464.92500000000001</v>
      </c>
      <c r="HI19">
        <v>18.763200000000001</v>
      </c>
      <c r="HJ19">
        <v>35.6417</v>
      </c>
      <c r="HK19">
        <v>30</v>
      </c>
      <c r="HL19">
        <v>35.500399999999999</v>
      </c>
      <c r="HM19">
        <v>35.4818</v>
      </c>
      <c r="HN19">
        <v>12.113099999999999</v>
      </c>
      <c r="HO19">
        <v>52.770800000000001</v>
      </c>
      <c r="HP19">
        <v>0</v>
      </c>
      <c r="HQ19">
        <v>16.3369</v>
      </c>
      <c r="HR19">
        <v>200</v>
      </c>
      <c r="HS19">
        <v>15.592000000000001</v>
      </c>
      <c r="HT19">
        <v>98.896500000000003</v>
      </c>
      <c r="HU19">
        <v>102.786</v>
      </c>
    </row>
    <row r="20" spans="1:229" x14ac:dyDescent="0.35">
      <c r="A20">
        <v>4</v>
      </c>
      <c r="B20">
        <v>1565552583.5</v>
      </c>
      <c r="C20">
        <v>304.40000009536698</v>
      </c>
      <c r="D20" t="s">
        <v>365</v>
      </c>
      <c r="E20" t="s">
        <v>366</v>
      </c>
      <c r="G20">
        <v>1565552583.5</v>
      </c>
      <c r="H20">
        <f t="shared" si="0"/>
        <v>2.329955134720943E-3</v>
      </c>
      <c r="I20">
        <f t="shared" si="1"/>
        <v>2.2476582465094994</v>
      </c>
      <c r="J20">
        <f t="shared" si="2"/>
        <v>97.020300000000006</v>
      </c>
      <c r="K20">
        <f t="shared" si="3"/>
        <v>65.558933486701974</v>
      </c>
      <c r="L20">
        <f t="shared" si="4"/>
        <v>6.5048646415216469</v>
      </c>
      <c r="M20">
        <f t="shared" si="5"/>
        <v>9.6265129009128305</v>
      </c>
      <c r="N20">
        <f t="shared" si="6"/>
        <v>0.12727059655263884</v>
      </c>
      <c r="O20">
        <f t="shared" si="7"/>
        <v>2.2475783519768218</v>
      </c>
      <c r="P20">
        <f t="shared" si="8"/>
        <v>0.12339818039162137</v>
      </c>
      <c r="Q20">
        <f t="shared" si="9"/>
        <v>7.7461969282550933E-2</v>
      </c>
      <c r="R20">
        <f t="shared" si="10"/>
        <v>281.58758853335473</v>
      </c>
      <c r="S20">
        <f t="shared" si="11"/>
        <v>26.739188187115367</v>
      </c>
      <c r="T20">
        <f t="shared" si="12"/>
        <v>27.2163</v>
      </c>
      <c r="U20">
        <f t="shared" si="13"/>
        <v>3.6248816466329612</v>
      </c>
      <c r="V20">
        <f t="shared" si="14"/>
        <v>55.389718564727133</v>
      </c>
      <c r="W20">
        <f t="shared" si="15"/>
        <v>1.8026586846647998</v>
      </c>
      <c r="X20">
        <f t="shared" si="16"/>
        <v>3.2545005307406556</v>
      </c>
      <c r="Y20">
        <f t="shared" si="17"/>
        <v>1.8222229619681614</v>
      </c>
      <c r="Z20">
        <f t="shared" si="18"/>
        <v>-102.75102144119359</v>
      </c>
      <c r="AA20">
        <f t="shared" si="19"/>
        <v>-221.21058837045555</v>
      </c>
      <c r="AB20">
        <f t="shared" si="20"/>
        <v>-21.093162763984719</v>
      </c>
      <c r="AC20">
        <f t="shared" si="21"/>
        <v>-63.467184042279115</v>
      </c>
      <c r="AD20">
        <v>-4.1118584758576097E-2</v>
      </c>
      <c r="AE20">
        <v>4.6159213577368498E-2</v>
      </c>
      <c r="AF20">
        <v>3.45089212182135</v>
      </c>
      <c r="AG20">
        <v>0</v>
      </c>
      <c r="AH20">
        <v>0</v>
      </c>
      <c r="AI20">
        <f t="shared" si="22"/>
        <v>1</v>
      </c>
      <c r="AJ20">
        <f t="shared" si="23"/>
        <v>0</v>
      </c>
      <c r="AK20">
        <f t="shared" si="24"/>
        <v>52714.684978771242</v>
      </c>
      <c r="AL20" t="s">
        <v>344</v>
      </c>
      <c r="AM20">
        <v>589.29941176470595</v>
      </c>
      <c r="AN20">
        <v>3530.99</v>
      </c>
      <c r="AO20">
        <f t="shared" si="25"/>
        <v>2941.6905882352939</v>
      </c>
      <c r="AP20">
        <f t="shared" si="26"/>
        <v>0.83310646256015852</v>
      </c>
      <c r="AQ20">
        <v>1.42453575549529</v>
      </c>
      <c r="AR20" t="s">
        <v>367</v>
      </c>
      <c r="AS20">
        <v>811.08670588235304</v>
      </c>
      <c r="AT20">
        <v>1054.57</v>
      </c>
      <c r="AU20">
        <f t="shared" si="27"/>
        <v>0.23088395660567518</v>
      </c>
      <c r="AV20">
        <v>0.5</v>
      </c>
      <c r="AW20">
        <f t="shared" si="28"/>
        <v>1471.3808998141851</v>
      </c>
      <c r="AX20">
        <f t="shared" si="29"/>
        <v>2.2476582465094994</v>
      </c>
      <c r="AY20">
        <f t="shared" si="30"/>
        <v>169.85912191155882</v>
      </c>
      <c r="AZ20">
        <f t="shared" si="31"/>
        <v>0.43654759759902134</v>
      </c>
      <c r="BA20">
        <f t="shared" si="32"/>
        <v>5.5942175891922905E-4</v>
      </c>
      <c r="BB20">
        <f t="shared" si="33"/>
        <v>2.3482746522279223</v>
      </c>
      <c r="BC20" t="s">
        <v>368</v>
      </c>
      <c r="BD20">
        <v>594.20000000000005</v>
      </c>
      <c r="BE20">
        <f t="shared" si="34"/>
        <v>460.36999999999989</v>
      </c>
      <c r="BF20">
        <f t="shared" si="35"/>
        <v>0.52888610056616836</v>
      </c>
      <c r="BG20">
        <f t="shared" si="36"/>
        <v>0.84324040874560324</v>
      </c>
      <c r="BH20">
        <f t="shared" si="37"/>
        <v>0.52331546475169388</v>
      </c>
      <c r="BI20">
        <f t="shared" si="38"/>
        <v>0.84183564712888193</v>
      </c>
      <c r="BJ20">
        <v>8083</v>
      </c>
      <c r="BK20">
        <v>300</v>
      </c>
      <c r="BL20">
        <v>300</v>
      </c>
      <c r="BM20">
        <v>300</v>
      </c>
      <c r="BN20">
        <v>10287.700000000001</v>
      </c>
      <c r="BO20">
        <v>1004.38</v>
      </c>
      <c r="BP20">
        <v>-7.03917E-3</v>
      </c>
      <c r="BQ20">
        <v>5.7319300000000002</v>
      </c>
      <c r="BR20" t="s">
        <v>347</v>
      </c>
      <c r="BS20" t="s">
        <v>347</v>
      </c>
      <c r="BT20" t="s">
        <v>347</v>
      </c>
      <c r="BU20" t="s">
        <v>347</v>
      </c>
      <c r="BV20" t="s">
        <v>347</v>
      </c>
      <c r="BW20" t="s">
        <v>347</v>
      </c>
      <c r="BX20" t="s">
        <v>347</v>
      </c>
      <c r="BY20" t="s">
        <v>347</v>
      </c>
      <c r="BZ20" t="s">
        <v>347</v>
      </c>
      <c r="CA20" t="s">
        <v>347</v>
      </c>
      <c r="CB20">
        <f t="shared" si="39"/>
        <v>1750.21</v>
      </c>
      <c r="CC20">
        <f t="shared" si="40"/>
        <v>1471.3808998141851</v>
      </c>
      <c r="CD20">
        <f t="shared" si="41"/>
        <v>0.84068820302374292</v>
      </c>
      <c r="CE20">
        <f t="shared" si="42"/>
        <v>0.19137640604748596</v>
      </c>
      <c r="CF20">
        <v>1565552583.5</v>
      </c>
      <c r="CG20">
        <v>97.020300000000006</v>
      </c>
      <c r="CH20">
        <v>99.988699999999994</v>
      </c>
      <c r="CI20">
        <v>18.167999999999999</v>
      </c>
      <c r="CJ20">
        <v>15.4229</v>
      </c>
      <c r="CK20">
        <v>500.00900000000001</v>
      </c>
      <c r="CL20">
        <v>99.121799999999993</v>
      </c>
      <c r="CM20">
        <v>9.9836099999999997E-2</v>
      </c>
      <c r="CN20">
        <v>25.390699999999999</v>
      </c>
      <c r="CO20">
        <v>27.2163</v>
      </c>
      <c r="CP20">
        <v>999.9</v>
      </c>
      <c r="CQ20">
        <v>0</v>
      </c>
      <c r="CR20">
        <v>0</v>
      </c>
      <c r="CS20">
        <v>10003.799999999999</v>
      </c>
      <c r="CT20">
        <v>0</v>
      </c>
      <c r="CU20">
        <v>1503</v>
      </c>
      <c r="CV20">
        <v>-2.83541</v>
      </c>
      <c r="CW20">
        <v>98.951099999999997</v>
      </c>
      <c r="CX20">
        <v>101.55500000000001</v>
      </c>
      <c r="CY20">
        <v>2.7460399999999998</v>
      </c>
      <c r="CZ20">
        <v>92.888300000000001</v>
      </c>
      <c r="DA20">
        <v>99.988699999999994</v>
      </c>
      <c r="DB20">
        <v>17.692</v>
      </c>
      <c r="DC20">
        <v>15.4229</v>
      </c>
      <c r="DD20">
        <v>1.80094</v>
      </c>
      <c r="DE20">
        <v>1.5287500000000001</v>
      </c>
      <c r="DF20">
        <v>15.795</v>
      </c>
      <c r="DG20">
        <v>13.258800000000001</v>
      </c>
      <c r="DH20">
        <v>1750.21</v>
      </c>
      <c r="DI20">
        <v>0.97699199999999997</v>
      </c>
      <c r="DJ20">
        <v>2.3008000000000001E-2</v>
      </c>
      <c r="DK20">
        <v>0</v>
      </c>
      <c r="DL20">
        <v>810.33699999999999</v>
      </c>
      <c r="DM20">
        <v>5.0002700000000004</v>
      </c>
      <c r="DN20">
        <v>18697.2</v>
      </c>
      <c r="DO20">
        <v>14147.3</v>
      </c>
      <c r="DP20">
        <v>49.311999999999998</v>
      </c>
      <c r="DQ20">
        <v>51.436999999999998</v>
      </c>
      <c r="DR20">
        <v>50.311999999999998</v>
      </c>
      <c r="DS20">
        <v>51</v>
      </c>
      <c r="DT20">
        <v>50.561999999999998</v>
      </c>
      <c r="DU20">
        <v>1705.06</v>
      </c>
      <c r="DV20">
        <v>40.15</v>
      </c>
      <c r="DW20">
        <v>0</v>
      </c>
      <c r="DX20">
        <v>105.69999980926499</v>
      </c>
      <c r="DY20">
        <v>811.08670588235304</v>
      </c>
      <c r="DZ20">
        <v>-7.3514705824887701</v>
      </c>
      <c r="EA20">
        <v>-92.475491269602202</v>
      </c>
      <c r="EB20">
        <v>18675.823529411799</v>
      </c>
      <c r="EC20">
        <v>10</v>
      </c>
      <c r="ED20">
        <v>1565552605</v>
      </c>
      <c r="EE20" t="s">
        <v>369</v>
      </c>
      <c r="EF20">
        <v>59</v>
      </c>
      <c r="EG20">
        <v>4.1319999999999997</v>
      </c>
      <c r="EH20">
        <v>0.47599999999999998</v>
      </c>
      <c r="EI20">
        <v>100</v>
      </c>
      <c r="EJ20">
        <v>15</v>
      </c>
      <c r="EK20">
        <v>0.3</v>
      </c>
      <c r="EL20">
        <v>0.09</v>
      </c>
      <c r="EM20">
        <v>2.13149863416406</v>
      </c>
      <c r="EN20">
        <v>8.6256820724889896E-2</v>
      </c>
      <c r="EO20">
        <v>2.5272004397377999E-2</v>
      </c>
      <c r="EP20">
        <v>1</v>
      </c>
      <c r="EQ20">
        <v>0.12645536314512101</v>
      </c>
      <c r="ER20">
        <v>2.84581047439128E-3</v>
      </c>
      <c r="ES20">
        <v>3.6353453224002602E-4</v>
      </c>
      <c r="ET20">
        <v>1</v>
      </c>
      <c r="EU20">
        <v>2</v>
      </c>
      <c r="EV20">
        <v>2</v>
      </c>
      <c r="EW20" t="s">
        <v>359</v>
      </c>
      <c r="EX20">
        <v>2.94808</v>
      </c>
      <c r="EY20">
        <v>2.7772800000000002</v>
      </c>
      <c r="EZ20">
        <v>2.5821500000000001E-2</v>
      </c>
      <c r="FA20">
        <v>2.7020800000000001E-2</v>
      </c>
      <c r="FB20">
        <v>9.0201000000000003E-2</v>
      </c>
      <c r="FC20">
        <v>7.7667799999999995E-2</v>
      </c>
      <c r="FD20">
        <v>23293.599999999999</v>
      </c>
      <c r="FE20">
        <v>23464</v>
      </c>
      <c r="FF20">
        <v>22493.3</v>
      </c>
      <c r="FG20">
        <v>26461.5</v>
      </c>
      <c r="FH20">
        <v>29254.5</v>
      </c>
      <c r="FI20">
        <v>38314.400000000001</v>
      </c>
      <c r="FJ20">
        <v>32130.1</v>
      </c>
      <c r="FK20">
        <v>42163.199999999997</v>
      </c>
      <c r="FL20">
        <v>1.9254199999999999</v>
      </c>
      <c r="FM20">
        <v>1.80792</v>
      </c>
      <c r="FN20">
        <v>3.20375E-3</v>
      </c>
      <c r="FO20">
        <v>0</v>
      </c>
      <c r="FP20">
        <v>27.163900000000002</v>
      </c>
      <c r="FQ20">
        <v>999.9</v>
      </c>
      <c r="FR20">
        <v>36.545999999999999</v>
      </c>
      <c r="FS20">
        <v>42.399000000000001</v>
      </c>
      <c r="FT20">
        <v>31.036999999999999</v>
      </c>
      <c r="FU20">
        <v>61.585799999999999</v>
      </c>
      <c r="FV20">
        <v>46.586500000000001</v>
      </c>
      <c r="FW20">
        <v>1</v>
      </c>
      <c r="FX20">
        <v>0.68190799999999996</v>
      </c>
      <c r="FY20">
        <v>9.2810500000000005</v>
      </c>
      <c r="FZ20">
        <v>20.022200000000002</v>
      </c>
      <c r="GA20">
        <v>5.2234299999999996</v>
      </c>
      <c r="GB20">
        <v>11.962</v>
      </c>
      <c r="GC20">
        <v>4.9710000000000001</v>
      </c>
      <c r="GD20">
        <v>3.2942499999999999</v>
      </c>
      <c r="GE20">
        <v>9999</v>
      </c>
      <c r="GF20">
        <v>9999</v>
      </c>
      <c r="GG20">
        <v>505.6</v>
      </c>
      <c r="GH20">
        <v>9999</v>
      </c>
      <c r="GI20">
        <v>1.8660099999999999</v>
      </c>
      <c r="GJ20">
        <v>1.8654599999999999</v>
      </c>
      <c r="GK20">
        <v>1.8656699999999999</v>
      </c>
      <c r="GL20">
        <v>1.8686</v>
      </c>
      <c r="GM20">
        <v>1.8629</v>
      </c>
      <c r="GN20">
        <v>1.8610599999999999</v>
      </c>
      <c r="GO20">
        <v>1.8572500000000001</v>
      </c>
      <c r="GP20">
        <v>1.8633999999999999</v>
      </c>
      <c r="GQ20" t="s">
        <v>350</v>
      </c>
      <c r="GR20" t="s">
        <v>19</v>
      </c>
      <c r="GS20" t="s">
        <v>19</v>
      </c>
      <c r="GT20" t="s">
        <v>19</v>
      </c>
      <c r="GU20" t="s">
        <v>351</v>
      </c>
      <c r="GV20" t="s">
        <v>352</v>
      </c>
      <c r="GW20" t="s">
        <v>353</v>
      </c>
      <c r="GX20" t="s">
        <v>353</v>
      </c>
      <c r="GY20" t="s">
        <v>353</v>
      </c>
      <c r="GZ20" t="s">
        <v>353</v>
      </c>
      <c r="HA20">
        <v>0</v>
      </c>
      <c r="HB20">
        <v>100</v>
      </c>
      <c r="HC20">
        <v>100</v>
      </c>
      <c r="HD20">
        <v>4.1319999999999997</v>
      </c>
      <c r="HE20">
        <v>0.47599999999999998</v>
      </c>
      <c r="HF20">
        <v>2</v>
      </c>
      <c r="HG20">
        <v>503.142</v>
      </c>
      <c r="HH20">
        <v>464.63</v>
      </c>
      <c r="HI20">
        <v>18.677800000000001</v>
      </c>
      <c r="HJ20">
        <v>35.603499999999997</v>
      </c>
      <c r="HK20">
        <v>30.0001</v>
      </c>
      <c r="HL20">
        <v>35.457799999999999</v>
      </c>
      <c r="HM20">
        <v>35.438400000000001</v>
      </c>
      <c r="HN20">
        <v>7.3894799999999998</v>
      </c>
      <c r="HO20">
        <v>52.996299999999998</v>
      </c>
      <c r="HP20">
        <v>0</v>
      </c>
      <c r="HQ20">
        <v>16.2928</v>
      </c>
      <c r="HR20">
        <v>100</v>
      </c>
      <c r="HS20">
        <v>15.336600000000001</v>
      </c>
      <c r="HT20">
        <v>98.904499999999999</v>
      </c>
      <c r="HU20">
        <v>102.797</v>
      </c>
    </row>
    <row r="21" spans="1:229" x14ac:dyDescent="0.35">
      <c r="A21">
        <v>5</v>
      </c>
      <c r="B21">
        <v>1565552681.5</v>
      </c>
      <c r="C21">
        <v>402.40000009536698</v>
      </c>
      <c r="D21" t="s">
        <v>370</v>
      </c>
      <c r="E21" t="s">
        <v>371</v>
      </c>
      <c r="G21">
        <v>1565552681.5</v>
      </c>
      <c r="H21">
        <f t="shared" si="0"/>
        <v>2.4979688155221942E-3</v>
      </c>
      <c r="I21">
        <f t="shared" si="1"/>
        <v>2.8929632145014126E-2</v>
      </c>
      <c r="J21">
        <f t="shared" si="2"/>
        <v>49.773000000000003</v>
      </c>
      <c r="K21">
        <f t="shared" si="3"/>
        <v>47.970451182846404</v>
      </c>
      <c r="L21">
        <f t="shared" si="4"/>
        <v>4.7598437455696354</v>
      </c>
      <c r="M21">
        <f t="shared" si="5"/>
        <v>4.938700739862</v>
      </c>
      <c r="N21">
        <f t="shared" si="6"/>
        <v>0.13794700715604777</v>
      </c>
      <c r="O21">
        <f t="shared" si="7"/>
        <v>2.2467502424078574</v>
      </c>
      <c r="P21">
        <f t="shared" si="8"/>
        <v>0.13340849706097721</v>
      </c>
      <c r="Q21">
        <f t="shared" si="9"/>
        <v>8.3775638804394204E-2</v>
      </c>
      <c r="R21">
        <f t="shared" si="10"/>
        <v>281.56676405014645</v>
      </c>
      <c r="S21">
        <f t="shared" si="11"/>
        <v>26.591200804351235</v>
      </c>
      <c r="T21">
        <f t="shared" si="12"/>
        <v>27.098400000000002</v>
      </c>
      <c r="U21">
        <f t="shared" si="13"/>
        <v>3.5998968934372648</v>
      </c>
      <c r="V21">
        <f t="shared" si="14"/>
        <v>55.380764807004425</v>
      </c>
      <c r="W21">
        <f t="shared" si="15"/>
        <v>1.7924805616605999</v>
      </c>
      <c r="X21">
        <f t="shared" si="16"/>
        <v>3.236648262094588</v>
      </c>
      <c r="Y21">
        <f t="shared" si="17"/>
        <v>1.8074163317766649</v>
      </c>
      <c r="Z21">
        <f t="shared" si="18"/>
        <v>-110.16042476452877</v>
      </c>
      <c r="AA21">
        <f t="shared" si="19"/>
        <v>-218.05246368346013</v>
      </c>
      <c r="AB21">
        <f t="shared" si="20"/>
        <v>-20.777758962790934</v>
      </c>
      <c r="AC21">
        <f t="shared" si="21"/>
        <v>-67.423883360633397</v>
      </c>
      <c r="AD21">
        <v>-4.1096316216785098E-2</v>
      </c>
      <c r="AE21">
        <v>4.61342151883768E-2</v>
      </c>
      <c r="AF21">
        <v>3.4494123350818602</v>
      </c>
      <c r="AG21">
        <v>0</v>
      </c>
      <c r="AH21">
        <v>0</v>
      </c>
      <c r="AI21">
        <f t="shared" si="22"/>
        <v>1</v>
      </c>
      <c r="AJ21">
        <f t="shared" si="23"/>
        <v>0</v>
      </c>
      <c r="AK21">
        <f t="shared" si="24"/>
        <v>52703.698034123903</v>
      </c>
      <c r="AL21" t="s">
        <v>344</v>
      </c>
      <c r="AM21">
        <v>589.29941176470595</v>
      </c>
      <c r="AN21">
        <v>3530.99</v>
      </c>
      <c r="AO21">
        <f t="shared" si="25"/>
        <v>2941.6905882352939</v>
      </c>
      <c r="AP21">
        <f t="shared" si="26"/>
        <v>0.83310646256015852</v>
      </c>
      <c r="AQ21">
        <v>1.42453575549529</v>
      </c>
      <c r="AR21" t="s">
        <v>372</v>
      </c>
      <c r="AS21">
        <v>804.46688235294096</v>
      </c>
      <c r="AT21">
        <v>1018.67</v>
      </c>
      <c r="AU21">
        <f t="shared" si="27"/>
        <v>0.2102772415473696</v>
      </c>
      <c r="AV21">
        <v>0.5</v>
      </c>
      <c r="AW21">
        <f t="shared" si="28"/>
        <v>1471.2792066917091</v>
      </c>
      <c r="AX21">
        <f t="shared" si="29"/>
        <v>2.8929632145014126E-2</v>
      </c>
      <c r="AY21">
        <f t="shared" si="30"/>
        <v>154.68826656456741</v>
      </c>
      <c r="AZ21">
        <f t="shared" si="31"/>
        <v>0.41704379239596723</v>
      </c>
      <c r="BA21">
        <f t="shared" si="32"/>
        <v>-9.4856646991457847E-4</v>
      </c>
      <c r="BB21">
        <f t="shared" si="33"/>
        <v>2.46627465224263</v>
      </c>
      <c r="BC21" t="s">
        <v>373</v>
      </c>
      <c r="BD21">
        <v>593.84</v>
      </c>
      <c r="BE21">
        <f t="shared" si="34"/>
        <v>424.82999999999993</v>
      </c>
      <c r="BF21">
        <f t="shared" si="35"/>
        <v>0.50420901924783801</v>
      </c>
      <c r="BG21">
        <f t="shared" si="36"/>
        <v>0.85535978754915476</v>
      </c>
      <c r="BH21">
        <f t="shared" si="37"/>
        <v>0.49887701560423658</v>
      </c>
      <c r="BI21">
        <f t="shared" si="38"/>
        <v>0.8540395138929715</v>
      </c>
      <c r="BJ21">
        <v>8085</v>
      </c>
      <c r="BK21">
        <v>300</v>
      </c>
      <c r="BL21">
        <v>300</v>
      </c>
      <c r="BM21">
        <v>300</v>
      </c>
      <c r="BN21">
        <v>10288.9</v>
      </c>
      <c r="BO21">
        <v>974.71199999999999</v>
      </c>
      <c r="BP21">
        <v>-7.04005E-3</v>
      </c>
      <c r="BQ21">
        <v>5.4078999999999997</v>
      </c>
      <c r="BR21" t="s">
        <v>347</v>
      </c>
      <c r="BS21" t="s">
        <v>347</v>
      </c>
      <c r="BT21" t="s">
        <v>347</v>
      </c>
      <c r="BU21" t="s">
        <v>347</v>
      </c>
      <c r="BV21" t="s">
        <v>347</v>
      </c>
      <c r="BW21" t="s">
        <v>347</v>
      </c>
      <c r="BX21" t="s">
        <v>347</v>
      </c>
      <c r="BY21" t="s">
        <v>347</v>
      </c>
      <c r="BZ21" t="s">
        <v>347</v>
      </c>
      <c r="CA21" t="s">
        <v>347</v>
      </c>
      <c r="CB21">
        <f t="shared" si="39"/>
        <v>1750.09</v>
      </c>
      <c r="CC21">
        <f t="shared" si="40"/>
        <v>1471.2792066917091</v>
      </c>
      <c r="CD21">
        <f t="shared" si="41"/>
        <v>0.84068773988292556</v>
      </c>
      <c r="CE21">
        <f t="shared" si="42"/>
        <v>0.19137547976585098</v>
      </c>
      <c r="CF21">
        <v>1565552681.5</v>
      </c>
      <c r="CG21">
        <v>49.773000000000003</v>
      </c>
      <c r="CH21">
        <v>49.956899999999997</v>
      </c>
      <c r="CI21">
        <v>18.064900000000002</v>
      </c>
      <c r="CJ21">
        <v>15.121700000000001</v>
      </c>
      <c r="CK21">
        <v>500.036</v>
      </c>
      <c r="CL21">
        <v>99.124399999999994</v>
      </c>
      <c r="CM21">
        <v>0.100094</v>
      </c>
      <c r="CN21">
        <v>25.298200000000001</v>
      </c>
      <c r="CO21">
        <v>27.098400000000002</v>
      </c>
      <c r="CP21">
        <v>999.9</v>
      </c>
      <c r="CQ21">
        <v>0</v>
      </c>
      <c r="CR21">
        <v>0</v>
      </c>
      <c r="CS21">
        <v>9998.1200000000008</v>
      </c>
      <c r="CT21">
        <v>0</v>
      </c>
      <c r="CU21">
        <v>1463.56</v>
      </c>
      <c r="CV21">
        <v>-0.14793000000000001</v>
      </c>
      <c r="CW21">
        <v>50.725499999999997</v>
      </c>
      <c r="CX21">
        <v>50.723999999999997</v>
      </c>
      <c r="CY21">
        <v>2.9462700000000002</v>
      </c>
      <c r="CZ21">
        <v>45.677</v>
      </c>
      <c r="DA21">
        <v>49.956899999999997</v>
      </c>
      <c r="DB21">
        <v>17.591899999999999</v>
      </c>
      <c r="DC21">
        <v>15.121700000000001</v>
      </c>
      <c r="DD21">
        <v>1.79097</v>
      </c>
      <c r="DE21">
        <v>1.4989300000000001</v>
      </c>
      <c r="DF21">
        <v>15.7082</v>
      </c>
      <c r="DG21">
        <v>12.9572</v>
      </c>
      <c r="DH21">
        <v>1750.09</v>
      </c>
      <c r="DI21">
        <v>0.97700699999999996</v>
      </c>
      <c r="DJ21">
        <v>2.2992800000000001E-2</v>
      </c>
      <c r="DK21">
        <v>0</v>
      </c>
      <c r="DL21">
        <v>803.77700000000004</v>
      </c>
      <c r="DM21">
        <v>5.0002700000000004</v>
      </c>
      <c r="DN21">
        <v>18429.099999999999</v>
      </c>
      <c r="DO21">
        <v>14146.4</v>
      </c>
      <c r="DP21">
        <v>49.25</v>
      </c>
      <c r="DQ21">
        <v>51.436999999999998</v>
      </c>
      <c r="DR21">
        <v>50.311999999999998</v>
      </c>
      <c r="DS21">
        <v>50.936999999999998</v>
      </c>
      <c r="DT21">
        <v>50.561999999999998</v>
      </c>
      <c r="DU21">
        <v>1704.96</v>
      </c>
      <c r="DV21">
        <v>40.119999999999997</v>
      </c>
      <c r="DW21">
        <v>0</v>
      </c>
      <c r="DX21">
        <v>97.799999952316298</v>
      </c>
      <c r="DY21">
        <v>804.46688235294096</v>
      </c>
      <c r="DZ21">
        <v>-7.0046568510799103</v>
      </c>
      <c r="EA21">
        <v>-1042.1568599541799</v>
      </c>
      <c r="EB21">
        <v>18490.7647058824</v>
      </c>
      <c r="EC21">
        <v>10</v>
      </c>
      <c r="ED21">
        <v>1565552708.5</v>
      </c>
      <c r="EE21" t="s">
        <v>374</v>
      </c>
      <c r="EF21">
        <v>60</v>
      </c>
      <c r="EG21">
        <v>4.0960000000000001</v>
      </c>
      <c r="EH21">
        <v>0.47299999999999998</v>
      </c>
      <c r="EI21">
        <v>50</v>
      </c>
      <c r="EJ21">
        <v>15</v>
      </c>
      <c r="EK21">
        <v>0.28000000000000003</v>
      </c>
      <c r="EL21">
        <v>0.09</v>
      </c>
      <c r="EM21">
        <v>4.4467742266908701E-2</v>
      </c>
      <c r="EN21">
        <v>8.9700303227638598E-2</v>
      </c>
      <c r="EO21">
        <v>1.5884794931441099E-2</v>
      </c>
      <c r="EP21">
        <v>1</v>
      </c>
      <c r="EQ21">
        <v>0.136681707671054</v>
      </c>
      <c r="ER21">
        <v>3.8425926033454202E-3</v>
      </c>
      <c r="ES21">
        <v>4.40886672089163E-4</v>
      </c>
      <c r="ET21">
        <v>1</v>
      </c>
      <c r="EU21">
        <v>2</v>
      </c>
      <c r="EV21">
        <v>2</v>
      </c>
      <c r="EW21" t="s">
        <v>359</v>
      </c>
      <c r="EX21">
        <v>2.9481700000000002</v>
      </c>
      <c r="EY21">
        <v>2.7774899999999998</v>
      </c>
      <c r="EZ21">
        <v>1.28948E-2</v>
      </c>
      <c r="FA21">
        <v>1.37316E-2</v>
      </c>
      <c r="FB21">
        <v>8.9839199999999994E-2</v>
      </c>
      <c r="FC21">
        <v>7.6559500000000003E-2</v>
      </c>
      <c r="FD21">
        <v>23603.7</v>
      </c>
      <c r="FE21">
        <v>23786.6</v>
      </c>
      <c r="FF21">
        <v>22494.799999999999</v>
      </c>
      <c r="FG21">
        <v>26464.2</v>
      </c>
      <c r="FH21">
        <v>29267.9</v>
      </c>
      <c r="FI21">
        <v>38363.699999999997</v>
      </c>
      <c r="FJ21">
        <v>32132.2</v>
      </c>
      <c r="FK21">
        <v>42166.9</v>
      </c>
      <c r="FL21">
        <v>1.9257</v>
      </c>
      <c r="FM21">
        <v>1.8075000000000001</v>
      </c>
      <c r="FN21">
        <v>-2.7939699999999998E-3</v>
      </c>
      <c r="FO21">
        <v>0</v>
      </c>
      <c r="FP21">
        <v>27.143999999999998</v>
      </c>
      <c r="FQ21">
        <v>999.9</v>
      </c>
      <c r="FR21">
        <v>36.442</v>
      </c>
      <c r="FS21">
        <v>42.429000000000002</v>
      </c>
      <c r="FT21">
        <v>30.9986</v>
      </c>
      <c r="FU21">
        <v>61.655799999999999</v>
      </c>
      <c r="FV21">
        <v>46.630600000000001</v>
      </c>
      <c r="FW21">
        <v>1</v>
      </c>
      <c r="FX21">
        <v>0.67890499999999998</v>
      </c>
      <c r="FY21">
        <v>9.2810500000000005</v>
      </c>
      <c r="FZ21">
        <v>20.023099999999999</v>
      </c>
      <c r="GA21">
        <v>5.2270200000000004</v>
      </c>
      <c r="GB21">
        <v>11.962</v>
      </c>
      <c r="GC21">
        <v>4.9716500000000003</v>
      </c>
      <c r="GD21">
        <v>3.2949999999999999</v>
      </c>
      <c r="GE21">
        <v>9999</v>
      </c>
      <c r="GF21">
        <v>9999</v>
      </c>
      <c r="GG21">
        <v>505.6</v>
      </c>
      <c r="GH21">
        <v>9999</v>
      </c>
      <c r="GI21">
        <v>1.8660099999999999</v>
      </c>
      <c r="GJ21">
        <v>1.86548</v>
      </c>
      <c r="GK21">
        <v>1.8656699999999999</v>
      </c>
      <c r="GL21">
        <v>1.8686100000000001</v>
      </c>
      <c r="GM21">
        <v>1.8629100000000001</v>
      </c>
      <c r="GN21">
        <v>1.86107</v>
      </c>
      <c r="GO21">
        <v>1.8572900000000001</v>
      </c>
      <c r="GP21">
        <v>1.8633999999999999</v>
      </c>
      <c r="GQ21" t="s">
        <v>350</v>
      </c>
      <c r="GR21" t="s">
        <v>19</v>
      </c>
      <c r="GS21" t="s">
        <v>19</v>
      </c>
      <c r="GT21" t="s">
        <v>19</v>
      </c>
      <c r="GU21" t="s">
        <v>351</v>
      </c>
      <c r="GV21" t="s">
        <v>352</v>
      </c>
      <c r="GW21" t="s">
        <v>353</v>
      </c>
      <c r="GX21" t="s">
        <v>353</v>
      </c>
      <c r="GY21" t="s">
        <v>353</v>
      </c>
      <c r="GZ21" t="s">
        <v>353</v>
      </c>
      <c r="HA21">
        <v>0</v>
      </c>
      <c r="HB21">
        <v>100</v>
      </c>
      <c r="HC21">
        <v>100</v>
      </c>
      <c r="HD21">
        <v>4.0960000000000001</v>
      </c>
      <c r="HE21">
        <v>0.47299999999999998</v>
      </c>
      <c r="HF21">
        <v>2</v>
      </c>
      <c r="HG21">
        <v>503.077</v>
      </c>
      <c r="HH21">
        <v>464.09699999999998</v>
      </c>
      <c r="HI21">
        <v>18.609500000000001</v>
      </c>
      <c r="HJ21">
        <v>35.569499999999998</v>
      </c>
      <c r="HK21">
        <v>30.0001</v>
      </c>
      <c r="HL21">
        <v>35.4251</v>
      </c>
      <c r="HM21">
        <v>35.403599999999997</v>
      </c>
      <c r="HN21">
        <v>5.0358499999999999</v>
      </c>
      <c r="HO21">
        <v>53.673499999999997</v>
      </c>
      <c r="HP21">
        <v>0</v>
      </c>
      <c r="HQ21">
        <v>16.6281</v>
      </c>
      <c r="HR21">
        <v>50</v>
      </c>
      <c r="HS21">
        <v>15.1189</v>
      </c>
      <c r="HT21">
        <v>98.911000000000001</v>
      </c>
      <c r="HU21">
        <v>102.807</v>
      </c>
    </row>
    <row r="22" spans="1:229" x14ac:dyDescent="0.35">
      <c r="A22">
        <v>6</v>
      </c>
      <c r="B22">
        <v>1565552787.5</v>
      </c>
      <c r="C22">
        <v>508.40000009536698</v>
      </c>
      <c r="D22" t="s">
        <v>375</v>
      </c>
      <c r="E22" t="s">
        <v>376</v>
      </c>
      <c r="G22">
        <v>1565552787.5</v>
      </c>
      <c r="H22">
        <f t="shared" si="0"/>
        <v>2.890232401942242E-3</v>
      </c>
      <c r="I22">
        <f t="shared" si="1"/>
        <v>-1.9684162838873625</v>
      </c>
      <c r="J22">
        <f t="shared" si="2"/>
        <v>14.815799999999999</v>
      </c>
      <c r="K22">
        <f t="shared" si="3"/>
        <v>34.254684097833007</v>
      </c>
      <c r="L22">
        <f t="shared" si="4"/>
        <v>3.3989722129564588</v>
      </c>
      <c r="M22">
        <f t="shared" si="5"/>
        <v>1.4701198927683596</v>
      </c>
      <c r="N22">
        <f t="shared" si="6"/>
        <v>0.16150783078109393</v>
      </c>
      <c r="O22">
        <f t="shared" si="7"/>
        <v>2.2470715682848432</v>
      </c>
      <c r="P22">
        <f t="shared" si="8"/>
        <v>0.15532483966182731</v>
      </c>
      <c r="Q22">
        <f t="shared" si="9"/>
        <v>9.7613819948626418E-2</v>
      </c>
      <c r="R22">
        <f t="shared" si="10"/>
        <v>281.56515517995092</v>
      </c>
      <c r="S22">
        <f t="shared" si="11"/>
        <v>26.355049857101008</v>
      </c>
      <c r="T22">
        <f t="shared" si="12"/>
        <v>26.987400000000001</v>
      </c>
      <c r="U22">
        <f t="shared" si="13"/>
        <v>3.5765118654874737</v>
      </c>
      <c r="V22">
        <f t="shared" si="14"/>
        <v>55.341056907383035</v>
      </c>
      <c r="W22">
        <f t="shared" si="15"/>
        <v>1.7799744662066999</v>
      </c>
      <c r="X22">
        <f t="shared" si="16"/>
        <v>3.2163723746469213</v>
      </c>
      <c r="Y22">
        <f t="shared" si="17"/>
        <v>1.7965373992807738</v>
      </c>
      <c r="Z22">
        <f t="shared" si="18"/>
        <v>-127.45924892565287</v>
      </c>
      <c r="AA22">
        <f t="shared" si="19"/>
        <v>-217.42947086444596</v>
      </c>
      <c r="AB22">
        <f t="shared" si="20"/>
        <v>-20.692944838027721</v>
      </c>
      <c r="AC22">
        <f t="shared" si="21"/>
        <v>-84.016509448175611</v>
      </c>
      <c r="AD22">
        <v>-4.11049560538745E-2</v>
      </c>
      <c r="AE22">
        <v>4.6143914162400899E-2</v>
      </c>
      <c r="AF22">
        <v>3.4499865012499198</v>
      </c>
      <c r="AG22">
        <v>0</v>
      </c>
      <c r="AH22">
        <v>0</v>
      </c>
      <c r="AI22">
        <f t="shared" si="22"/>
        <v>1</v>
      </c>
      <c r="AJ22">
        <f t="shared" si="23"/>
        <v>0</v>
      </c>
      <c r="AK22">
        <f t="shared" si="24"/>
        <v>52733.041187016352</v>
      </c>
      <c r="AL22" t="s">
        <v>344</v>
      </c>
      <c r="AM22">
        <v>589.29941176470595</v>
      </c>
      <c r="AN22">
        <v>3530.99</v>
      </c>
      <c r="AO22">
        <f t="shared" si="25"/>
        <v>2941.6905882352939</v>
      </c>
      <c r="AP22">
        <f t="shared" si="26"/>
        <v>0.83310646256015852</v>
      </c>
      <c r="AQ22">
        <v>1.42453575549529</v>
      </c>
      <c r="AR22" t="s">
        <v>377</v>
      </c>
      <c r="AS22">
        <v>801.60523529411796</v>
      </c>
      <c r="AT22">
        <v>989.28700000000003</v>
      </c>
      <c r="AU22">
        <f t="shared" si="27"/>
        <v>0.18971417263734591</v>
      </c>
      <c r="AV22">
        <v>0.5</v>
      </c>
      <c r="AW22">
        <f t="shared" si="28"/>
        <v>1471.2707998143103</v>
      </c>
      <c r="AX22">
        <f t="shared" si="29"/>
        <v>-1.9684162838873625</v>
      </c>
      <c r="AY22">
        <f t="shared" si="30"/>
        <v>139.56046125612903</v>
      </c>
      <c r="AZ22">
        <f t="shared" si="31"/>
        <v>0.40217550619789816</v>
      </c>
      <c r="BA22">
        <f t="shared" si="32"/>
        <v>-2.3061370074162271E-3</v>
      </c>
      <c r="BB22">
        <f t="shared" si="33"/>
        <v>2.5692271302463285</v>
      </c>
      <c r="BC22" t="s">
        <v>378</v>
      </c>
      <c r="BD22">
        <v>591.41999999999996</v>
      </c>
      <c r="BE22">
        <f t="shared" si="34"/>
        <v>397.86700000000008</v>
      </c>
      <c r="BF22">
        <f t="shared" si="35"/>
        <v>0.47171985790699417</v>
      </c>
      <c r="BG22">
        <f t="shared" si="36"/>
        <v>0.86465129253598305</v>
      </c>
      <c r="BH22">
        <f t="shared" si="37"/>
        <v>0.46921897135337515</v>
      </c>
      <c r="BI22">
        <f t="shared" si="38"/>
        <v>0.86402798790771362</v>
      </c>
      <c r="BJ22">
        <v>8087</v>
      </c>
      <c r="BK22">
        <v>300</v>
      </c>
      <c r="BL22">
        <v>300</v>
      </c>
      <c r="BM22">
        <v>300</v>
      </c>
      <c r="BN22">
        <v>10288.700000000001</v>
      </c>
      <c r="BO22">
        <v>952.35199999999998</v>
      </c>
      <c r="BP22">
        <v>-7.0397899999999998E-3</v>
      </c>
      <c r="BQ22">
        <v>5.1039399999999997</v>
      </c>
      <c r="BR22" t="s">
        <v>347</v>
      </c>
      <c r="BS22" t="s">
        <v>347</v>
      </c>
      <c r="BT22" t="s">
        <v>347</v>
      </c>
      <c r="BU22" t="s">
        <v>347</v>
      </c>
      <c r="BV22" t="s">
        <v>347</v>
      </c>
      <c r="BW22" t="s">
        <v>347</v>
      </c>
      <c r="BX22" t="s">
        <v>347</v>
      </c>
      <c r="BY22" t="s">
        <v>347</v>
      </c>
      <c r="BZ22" t="s">
        <v>347</v>
      </c>
      <c r="CA22" t="s">
        <v>347</v>
      </c>
      <c r="CB22">
        <f t="shared" si="39"/>
        <v>1750.08</v>
      </c>
      <c r="CC22">
        <f t="shared" si="40"/>
        <v>1471.2707998143103</v>
      </c>
      <c r="CD22">
        <f t="shared" si="41"/>
        <v>0.84068773988292556</v>
      </c>
      <c r="CE22">
        <f t="shared" si="42"/>
        <v>0.19137547976585098</v>
      </c>
      <c r="CF22">
        <v>1565552787.5</v>
      </c>
      <c r="CG22">
        <v>14.815799999999999</v>
      </c>
      <c r="CH22">
        <v>12.5054</v>
      </c>
      <c r="CI22">
        <v>17.938500000000001</v>
      </c>
      <c r="CJ22">
        <v>14.5329</v>
      </c>
      <c r="CK22">
        <v>500.06799999999998</v>
      </c>
      <c r="CL22">
        <v>99.126599999999996</v>
      </c>
      <c r="CM22">
        <v>9.9894200000000002E-2</v>
      </c>
      <c r="CN22">
        <v>25.192599999999999</v>
      </c>
      <c r="CO22">
        <v>26.987400000000001</v>
      </c>
      <c r="CP22">
        <v>999.9</v>
      </c>
      <c r="CQ22">
        <v>0</v>
      </c>
      <c r="CR22">
        <v>0</v>
      </c>
      <c r="CS22">
        <v>10000</v>
      </c>
      <c r="CT22">
        <v>0</v>
      </c>
      <c r="CU22">
        <v>1403.75</v>
      </c>
      <c r="CV22">
        <v>2.2513800000000002</v>
      </c>
      <c r="CW22">
        <v>15.0265</v>
      </c>
      <c r="CX22">
        <v>12.6899</v>
      </c>
      <c r="CY22">
        <v>3.4116</v>
      </c>
      <c r="CZ22">
        <v>10.6608</v>
      </c>
      <c r="DA22">
        <v>12.5054</v>
      </c>
      <c r="DB22">
        <v>17.471499999999999</v>
      </c>
      <c r="DC22">
        <v>14.5329</v>
      </c>
      <c r="DD22">
        <v>1.77878</v>
      </c>
      <c r="DE22">
        <v>1.4406000000000001</v>
      </c>
      <c r="DF22">
        <v>15.601599999999999</v>
      </c>
      <c r="DG22">
        <v>12.351900000000001</v>
      </c>
      <c r="DH22">
        <v>1750.08</v>
      </c>
      <c r="DI22">
        <v>0.97700699999999996</v>
      </c>
      <c r="DJ22">
        <v>2.2992800000000001E-2</v>
      </c>
      <c r="DK22">
        <v>0</v>
      </c>
      <c r="DL22">
        <v>801.899</v>
      </c>
      <c r="DM22">
        <v>5.0002700000000004</v>
      </c>
      <c r="DN22">
        <v>18284</v>
      </c>
      <c r="DO22">
        <v>14146.3</v>
      </c>
      <c r="DP22">
        <v>49.25</v>
      </c>
      <c r="DQ22">
        <v>51.5</v>
      </c>
      <c r="DR22">
        <v>50.311999999999998</v>
      </c>
      <c r="DS22">
        <v>51</v>
      </c>
      <c r="DT22">
        <v>50.561999999999998</v>
      </c>
      <c r="DU22">
        <v>1704.96</v>
      </c>
      <c r="DV22">
        <v>40.119999999999997</v>
      </c>
      <c r="DW22">
        <v>0</v>
      </c>
      <c r="DX22">
        <v>105.69999980926499</v>
      </c>
      <c r="DY22">
        <v>801.60523529411796</v>
      </c>
      <c r="DZ22">
        <v>-1.42745097842254</v>
      </c>
      <c r="EA22">
        <v>292.81862720258403</v>
      </c>
      <c r="EB22">
        <v>18264.747058823501</v>
      </c>
      <c r="EC22">
        <v>10</v>
      </c>
      <c r="ED22">
        <v>1565552816.5</v>
      </c>
      <c r="EE22" t="s">
        <v>379</v>
      </c>
      <c r="EF22">
        <v>61</v>
      </c>
      <c r="EG22">
        <v>4.1550000000000002</v>
      </c>
      <c r="EH22">
        <v>0.46700000000000003</v>
      </c>
      <c r="EI22">
        <v>12</v>
      </c>
      <c r="EJ22">
        <v>15</v>
      </c>
      <c r="EK22">
        <v>0.26</v>
      </c>
      <c r="EL22">
        <v>7.0000000000000007E-2</v>
      </c>
      <c r="EM22">
        <v>-1.9101388604097</v>
      </c>
      <c r="EN22">
        <v>6.5834296566887093E-2</v>
      </c>
      <c r="EO22">
        <v>1.7291778491398901E-2</v>
      </c>
      <c r="EP22">
        <v>1</v>
      </c>
      <c r="EQ22">
        <v>0.154818037962376</v>
      </c>
      <c r="ER22">
        <v>1.98869704522486E-2</v>
      </c>
      <c r="ES22">
        <v>2.57830936569751E-3</v>
      </c>
      <c r="ET22">
        <v>1</v>
      </c>
      <c r="EU22">
        <v>2</v>
      </c>
      <c r="EV22">
        <v>2</v>
      </c>
      <c r="EW22" t="s">
        <v>359</v>
      </c>
      <c r="EX22">
        <v>2.94828</v>
      </c>
      <c r="EY22">
        <v>2.7773099999999999</v>
      </c>
      <c r="EZ22">
        <v>3.0268399999999998E-3</v>
      </c>
      <c r="FA22">
        <v>3.4583499999999998E-3</v>
      </c>
      <c r="FB22">
        <v>8.9399199999999998E-2</v>
      </c>
      <c r="FC22">
        <v>7.4358800000000003E-2</v>
      </c>
      <c r="FD22">
        <v>23839.8</v>
      </c>
      <c r="FE22">
        <v>24035.1</v>
      </c>
      <c r="FF22">
        <v>22495.3</v>
      </c>
      <c r="FG22">
        <v>26465.4</v>
      </c>
      <c r="FH22">
        <v>29282.9</v>
      </c>
      <c r="FI22">
        <v>38456.800000000003</v>
      </c>
      <c r="FJ22">
        <v>32133.3</v>
      </c>
      <c r="FK22">
        <v>42168.9</v>
      </c>
      <c r="FL22">
        <v>1.9268700000000001</v>
      </c>
      <c r="FM22">
        <v>1.80783</v>
      </c>
      <c r="FN22">
        <v>-2.0302800000000002E-3</v>
      </c>
      <c r="FO22">
        <v>0</v>
      </c>
      <c r="FP22">
        <v>27.020600000000002</v>
      </c>
      <c r="FQ22">
        <v>999.9</v>
      </c>
      <c r="FR22">
        <v>36.32</v>
      </c>
      <c r="FS22">
        <v>42.44</v>
      </c>
      <c r="FT22">
        <v>30.9116</v>
      </c>
      <c r="FU22">
        <v>61.735799999999998</v>
      </c>
      <c r="FV22">
        <v>46.674700000000001</v>
      </c>
      <c r="FW22">
        <v>1</v>
      </c>
      <c r="FX22">
        <v>0.67689500000000002</v>
      </c>
      <c r="FY22">
        <v>9.2810500000000005</v>
      </c>
      <c r="FZ22">
        <v>20.023299999999999</v>
      </c>
      <c r="GA22">
        <v>5.2234299999999996</v>
      </c>
      <c r="GB22">
        <v>11.962</v>
      </c>
      <c r="GC22">
        <v>4.9720000000000004</v>
      </c>
      <c r="GD22">
        <v>3.2949999999999999</v>
      </c>
      <c r="GE22">
        <v>9999</v>
      </c>
      <c r="GF22">
        <v>9999</v>
      </c>
      <c r="GG22">
        <v>505.6</v>
      </c>
      <c r="GH22">
        <v>9999</v>
      </c>
      <c r="GI22">
        <v>1.86602</v>
      </c>
      <c r="GJ22">
        <v>1.86548</v>
      </c>
      <c r="GK22">
        <v>1.86568</v>
      </c>
      <c r="GL22">
        <v>1.8686199999999999</v>
      </c>
      <c r="GM22">
        <v>1.8629199999999999</v>
      </c>
      <c r="GN22">
        <v>1.8610800000000001</v>
      </c>
      <c r="GO22">
        <v>1.8572500000000001</v>
      </c>
      <c r="GP22">
        <v>1.8633999999999999</v>
      </c>
      <c r="GQ22" t="s">
        <v>350</v>
      </c>
      <c r="GR22" t="s">
        <v>19</v>
      </c>
      <c r="GS22" t="s">
        <v>19</v>
      </c>
      <c r="GT22" t="s">
        <v>19</v>
      </c>
      <c r="GU22" t="s">
        <v>351</v>
      </c>
      <c r="GV22" t="s">
        <v>352</v>
      </c>
      <c r="GW22" t="s">
        <v>353</v>
      </c>
      <c r="GX22" t="s">
        <v>353</v>
      </c>
      <c r="GY22" t="s">
        <v>353</v>
      </c>
      <c r="GZ22" t="s">
        <v>353</v>
      </c>
      <c r="HA22">
        <v>0</v>
      </c>
      <c r="HB22">
        <v>100</v>
      </c>
      <c r="HC22">
        <v>100</v>
      </c>
      <c r="HD22">
        <v>4.1550000000000002</v>
      </c>
      <c r="HE22">
        <v>0.46700000000000003</v>
      </c>
      <c r="HF22">
        <v>2</v>
      </c>
      <c r="HG22">
        <v>503.66899999999998</v>
      </c>
      <c r="HH22">
        <v>464.11900000000003</v>
      </c>
      <c r="HI22">
        <v>18.530100000000001</v>
      </c>
      <c r="HJ22">
        <v>35.54</v>
      </c>
      <c r="HK22">
        <v>30</v>
      </c>
      <c r="HL22">
        <v>35.397799999999997</v>
      </c>
      <c r="HM22">
        <v>35.3765</v>
      </c>
      <c r="HN22">
        <v>3.30619</v>
      </c>
      <c r="HO22">
        <v>54.736600000000003</v>
      </c>
      <c r="HP22">
        <v>0</v>
      </c>
      <c r="HQ22">
        <v>18.543900000000001</v>
      </c>
      <c r="HR22">
        <v>12.5</v>
      </c>
      <c r="HS22">
        <v>14.6616</v>
      </c>
      <c r="HT22">
        <v>98.914000000000001</v>
      </c>
      <c r="HU22">
        <v>102.81100000000001</v>
      </c>
    </row>
    <row r="23" spans="1:229" x14ac:dyDescent="0.35">
      <c r="A23">
        <v>8</v>
      </c>
      <c r="B23">
        <v>1565552977</v>
      </c>
      <c r="C23">
        <v>697.90000009536698</v>
      </c>
      <c r="D23" t="s">
        <v>380</v>
      </c>
      <c r="E23" t="s">
        <v>381</v>
      </c>
      <c r="G23">
        <v>1565552977</v>
      </c>
      <c r="H23">
        <f t="shared" si="0"/>
        <v>3.229701659837359E-3</v>
      </c>
      <c r="I23">
        <f t="shared" si="1"/>
        <v>20.754241823906742</v>
      </c>
      <c r="J23">
        <f t="shared" si="2"/>
        <v>373.64699999999999</v>
      </c>
      <c r="K23">
        <f t="shared" si="3"/>
        <v>176.48922982745151</v>
      </c>
      <c r="L23">
        <f t="shared" si="4"/>
        <v>17.512115308969335</v>
      </c>
      <c r="M23">
        <f t="shared" si="5"/>
        <v>37.075063193644795</v>
      </c>
      <c r="N23">
        <f t="shared" si="6"/>
        <v>0.18239243060572666</v>
      </c>
      <c r="O23">
        <f t="shared" si="7"/>
        <v>2.2490470587714086</v>
      </c>
      <c r="P23">
        <f t="shared" si="8"/>
        <v>0.17455533114066579</v>
      </c>
      <c r="Q23">
        <f t="shared" si="9"/>
        <v>0.10977315148305208</v>
      </c>
      <c r="R23">
        <f t="shared" si="10"/>
        <v>281.54121532182921</v>
      </c>
      <c r="S23">
        <f t="shared" si="11"/>
        <v>26.511155219239942</v>
      </c>
      <c r="T23">
        <f t="shared" si="12"/>
        <v>27.016200000000001</v>
      </c>
      <c r="U23">
        <f t="shared" si="13"/>
        <v>3.582566556430284</v>
      </c>
      <c r="V23">
        <f t="shared" si="14"/>
        <v>54.961876630965925</v>
      </c>
      <c r="W23">
        <f t="shared" si="15"/>
        <v>1.7964260092966402</v>
      </c>
      <c r="X23">
        <f t="shared" si="16"/>
        <v>3.2684946719678067</v>
      </c>
      <c r="Y23">
        <f t="shared" si="17"/>
        <v>1.7861405471336438</v>
      </c>
      <c r="Z23">
        <f t="shared" si="18"/>
        <v>-142.42984319882754</v>
      </c>
      <c r="AA23">
        <f t="shared" si="19"/>
        <v>-188.3385958629577</v>
      </c>
      <c r="AB23">
        <f t="shared" si="20"/>
        <v>-17.935434316160901</v>
      </c>
      <c r="AC23">
        <f t="shared" si="21"/>
        <v>-67.162658056116953</v>
      </c>
      <c r="AD23">
        <v>-4.1158097681622603E-2</v>
      </c>
      <c r="AE23">
        <v>4.6203570295010397E-2</v>
      </c>
      <c r="AF23">
        <v>3.4535171535397602</v>
      </c>
      <c r="AG23">
        <v>0</v>
      </c>
      <c r="AH23">
        <v>0</v>
      </c>
      <c r="AI23">
        <f t="shared" si="22"/>
        <v>1</v>
      </c>
      <c r="AJ23">
        <f t="shared" si="23"/>
        <v>0</v>
      </c>
      <c r="AK23">
        <f t="shared" si="24"/>
        <v>52750.563474297909</v>
      </c>
      <c r="AL23" t="s">
        <v>344</v>
      </c>
      <c r="AM23">
        <v>589.29941176470595</v>
      </c>
      <c r="AN23">
        <v>3530.99</v>
      </c>
      <c r="AO23">
        <f t="shared" si="25"/>
        <v>2941.6905882352939</v>
      </c>
      <c r="AP23">
        <f t="shared" si="26"/>
        <v>0.83310646256015852</v>
      </c>
      <c r="AQ23">
        <v>1.42453575549529</v>
      </c>
      <c r="AR23" t="s">
        <v>382</v>
      </c>
      <c r="AS23">
        <v>769.36188235294105</v>
      </c>
      <c r="AT23">
        <v>1109.46</v>
      </c>
      <c r="AU23">
        <f t="shared" si="27"/>
        <v>0.30654383001375352</v>
      </c>
      <c r="AV23">
        <v>0.5</v>
      </c>
      <c r="AW23">
        <f t="shared" si="28"/>
        <v>1471.1447998142946</v>
      </c>
      <c r="AX23">
        <f t="shared" si="29"/>
        <v>20.754241823906742</v>
      </c>
      <c r="AY23">
        <f t="shared" si="30"/>
        <v>225.48518071994528</v>
      </c>
      <c r="AZ23">
        <f t="shared" si="31"/>
        <v>0.51736881005173685</v>
      </c>
      <c r="BA23">
        <f t="shared" si="32"/>
        <v>1.3139227403618923E-2</v>
      </c>
      <c r="BB23">
        <f t="shared" si="33"/>
        <v>2.1826203738755789</v>
      </c>
      <c r="BC23" t="s">
        <v>383</v>
      </c>
      <c r="BD23">
        <v>535.46</v>
      </c>
      <c r="BE23">
        <f t="shared" si="34"/>
        <v>574</v>
      </c>
      <c r="BF23">
        <f t="shared" si="35"/>
        <v>0.59250543144086931</v>
      </c>
      <c r="BG23">
        <f t="shared" si="36"/>
        <v>0.80838115458700133</v>
      </c>
      <c r="BH23">
        <f t="shared" si="37"/>
        <v>0.65383292263814485</v>
      </c>
      <c r="BI23">
        <f t="shared" si="38"/>
        <v>0.82317630878122505</v>
      </c>
      <c r="BJ23">
        <v>8091</v>
      </c>
      <c r="BK23">
        <v>300</v>
      </c>
      <c r="BL23">
        <v>300</v>
      </c>
      <c r="BM23">
        <v>300</v>
      </c>
      <c r="BN23">
        <v>10288.4</v>
      </c>
      <c r="BO23">
        <v>1024.9000000000001</v>
      </c>
      <c r="BP23">
        <v>-7.0400599999999999E-3</v>
      </c>
      <c r="BQ23">
        <v>5.0660400000000001</v>
      </c>
      <c r="BR23" t="s">
        <v>347</v>
      </c>
      <c r="BS23" t="s">
        <v>347</v>
      </c>
      <c r="BT23" t="s">
        <v>347</v>
      </c>
      <c r="BU23" t="s">
        <v>347</v>
      </c>
      <c r="BV23" t="s">
        <v>347</v>
      </c>
      <c r="BW23" t="s">
        <v>347</v>
      </c>
      <c r="BX23" t="s">
        <v>347</v>
      </c>
      <c r="BY23" t="s">
        <v>347</v>
      </c>
      <c r="BZ23" t="s">
        <v>347</v>
      </c>
      <c r="CA23" t="s">
        <v>347</v>
      </c>
      <c r="CB23">
        <f t="shared" si="39"/>
        <v>1749.93</v>
      </c>
      <c r="CC23">
        <f t="shared" si="40"/>
        <v>1471.1447998142946</v>
      </c>
      <c r="CD23">
        <f t="shared" si="41"/>
        <v>0.84068779883440736</v>
      </c>
      <c r="CE23">
        <f t="shared" si="42"/>
        <v>0.19137559766881457</v>
      </c>
      <c r="CF23">
        <v>1565552977</v>
      </c>
      <c r="CG23">
        <v>373.64699999999999</v>
      </c>
      <c r="CH23">
        <v>399.99900000000002</v>
      </c>
      <c r="CI23">
        <v>18.104600000000001</v>
      </c>
      <c r="CJ23">
        <v>14.299300000000001</v>
      </c>
      <c r="CK23">
        <v>500.02300000000002</v>
      </c>
      <c r="CL23">
        <v>99.124899999999997</v>
      </c>
      <c r="CM23">
        <v>9.9938399999999997E-2</v>
      </c>
      <c r="CN23">
        <v>25.462900000000001</v>
      </c>
      <c r="CO23">
        <v>27.016200000000001</v>
      </c>
      <c r="CP23">
        <v>999.9</v>
      </c>
      <c r="CQ23">
        <v>0</v>
      </c>
      <c r="CR23">
        <v>0</v>
      </c>
      <c r="CS23">
        <v>10013.1</v>
      </c>
      <c r="CT23">
        <v>0</v>
      </c>
      <c r="CU23">
        <v>1438.88</v>
      </c>
      <c r="CV23">
        <v>-26.340800000000002</v>
      </c>
      <c r="CW23">
        <v>380.54700000000003</v>
      </c>
      <c r="CX23">
        <v>405.80099999999999</v>
      </c>
      <c r="CY23">
        <v>3.8032900000000001</v>
      </c>
      <c r="CZ23">
        <v>369.17399999999998</v>
      </c>
      <c r="DA23">
        <v>399.99900000000002</v>
      </c>
      <c r="DB23">
        <v>17.650600000000001</v>
      </c>
      <c r="DC23">
        <v>14.299300000000001</v>
      </c>
      <c r="DD23">
        <v>1.7944199999999999</v>
      </c>
      <c r="DE23">
        <v>1.4174199999999999</v>
      </c>
      <c r="DF23">
        <v>15.738300000000001</v>
      </c>
      <c r="DG23">
        <v>12.1053</v>
      </c>
      <c r="DH23">
        <v>1749.93</v>
      </c>
      <c r="DI23">
        <v>0.97700699999999996</v>
      </c>
      <c r="DJ23">
        <v>2.2992800000000001E-2</v>
      </c>
      <c r="DK23">
        <v>0</v>
      </c>
      <c r="DL23">
        <v>769.74199999999996</v>
      </c>
      <c r="DM23">
        <v>5.0002700000000004</v>
      </c>
      <c r="DN23">
        <v>17792.3</v>
      </c>
      <c r="DO23">
        <v>14145.1</v>
      </c>
      <c r="DP23">
        <v>49.311999999999998</v>
      </c>
      <c r="DQ23">
        <v>51.375</v>
      </c>
      <c r="DR23">
        <v>50.311999999999998</v>
      </c>
      <c r="DS23">
        <v>50.936999999999998</v>
      </c>
      <c r="DT23">
        <v>50.561999999999998</v>
      </c>
      <c r="DU23">
        <v>1704.81</v>
      </c>
      <c r="DV23">
        <v>40.119999999999997</v>
      </c>
      <c r="DW23">
        <v>0</v>
      </c>
      <c r="DX23">
        <v>87.099999904632597</v>
      </c>
      <c r="DY23">
        <v>769.36188235294105</v>
      </c>
      <c r="DZ23">
        <v>3.5036765022732199</v>
      </c>
      <c r="EA23">
        <v>-405.80882322818201</v>
      </c>
      <c r="EB23">
        <v>17819.588235294101</v>
      </c>
      <c r="EC23">
        <v>10</v>
      </c>
      <c r="ED23">
        <v>1565553004</v>
      </c>
      <c r="EE23" t="s">
        <v>384</v>
      </c>
      <c r="EF23">
        <v>63</v>
      </c>
      <c r="EG23">
        <v>4.4729999999999999</v>
      </c>
      <c r="EH23">
        <v>0.45400000000000001</v>
      </c>
      <c r="EI23">
        <v>400</v>
      </c>
      <c r="EJ23">
        <v>14</v>
      </c>
      <c r="EK23">
        <v>0.05</v>
      </c>
      <c r="EL23">
        <v>0.05</v>
      </c>
      <c r="EM23">
        <v>20.779945783254998</v>
      </c>
      <c r="EN23">
        <v>5.7415266694602202E-2</v>
      </c>
      <c r="EO23">
        <v>1.7300412788025198E-2</v>
      </c>
      <c r="EP23">
        <v>1</v>
      </c>
      <c r="EQ23">
        <v>0.18320909846719799</v>
      </c>
      <c r="ER23">
        <v>-5.4074824727536001E-3</v>
      </c>
      <c r="ES23">
        <v>5.6857141848927603E-4</v>
      </c>
      <c r="ET23">
        <v>1</v>
      </c>
      <c r="EU23">
        <v>2</v>
      </c>
      <c r="EV23">
        <v>2</v>
      </c>
      <c r="EW23" t="s">
        <v>359</v>
      </c>
      <c r="EX23">
        <v>2.9482400000000002</v>
      </c>
      <c r="EY23">
        <v>2.7774700000000001</v>
      </c>
      <c r="EZ23">
        <v>8.7852299999999994E-2</v>
      </c>
      <c r="FA23">
        <v>9.1036599999999995E-2</v>
      </c>
      <c r="FB23">
        <v>9.0078199999999997E-2</v>
      </c>
      <c r="FC23">
        <v>7.3484599999999997E-2</v>
      </c>
      <c r="FD23">
        <v>21816.9</v>
      </c>
      <c r="FE23">
        <v>21928.400000000001</v>
      </c>
      <c r="FF23">
        <v>22498.2</v>
      </c>
      <c r="FG23">
        <v>26469.7</v>
      </c>
      <c r="FH23">
        <v>29265.599999999999</v>
      </c>
      <c r="FI23">
        <v>38500</v>
      </c>
      <c r="FJ23">
        <v>32137.3</v>
      </c>
      <c r="FK23">
        <v>42175.199999999997</v>
      </c>
      <c r="FL23">
        <v>1.92778</v>
      </c>
      <c r="FM23">
        <v>1.80952</v>
      </c>
      <c r="FN23">
        <v>2.4959399999999999E-3</v>
      </c>
      <c r="FO23">
        <v>0</v>
      </c>
      <c r="FP23">
        <v>26.9754</v>
      </c>
      <c r="FQ23">
        <v>999.9</v>
      </c>
      <c r="FR23">
        <v>36.125</v>
      </c>
      <c r="FS23">
        <v>42.44</v>
      </c>
      <c r="FT23">
        <v>30.742699999999999</v>
      </c>
      <c r="FU23">
        <v>61.575800000000001</v>
      </c>
      <c r="FV23">
        <v>46.662700000000001</v>
      </c>
      <c r="FW23">
        <v>1</v>
      </c>
      <c r="FX23">
        <v>0.667022</v>
      </c>
      <c r="FY23">
        <v>8.6718299999999999</v>
      </c>
      <c r="FZ23">
        <v>20.050999999999998</v>
      </c>
      <c r="GA23">
        <v>5.2271700000000001</v>
      </c>
      <c r="GB23">
        <v>11.962</v>
      </c>
      <c r="GC23">
        <v>4.9715999999999996</v>
      </c>
      <c r="GD23">
        <v>3.2949999999999999</v>
      </c>
      <c r="GE23">
        <v>9999</v>
      </c>
      <c r="GF23">
        <v>9999</v>
      </c>
      <c r="GG23">
        <v>505.7</v>
      </c>
      <c r="GH23">
        <v>9999</v>
      </c>
      <c r="GI23">
        <v>1.8660399999999999</v>
      </c>
      <c r="GJ23">
        <v>1.8654500000000001</v>
      </c>
      <c r="GK23">
        <v>1.86568</v>
      </c>
      <c r="GL23">
        <v>1.86863</v>
      </c>
      <c r="GM23">
        <v>1.8629</v>
      </c>
      <c r="GN23">
        <v>1.86111</v>
      </c>
      <c r="GO23">
        <v>1.85728</v>
      </c>
      <c r="GP23">
        <v>1.8633999999999999</v>
      </c>
      <c r="GQ23" t="s">
        <v>350</v>
      </c>
      <c r="GR23" t="s">
        <v>19</v>
      </c>
      <c r="GS23" t="s">
        <v>19</v>
      </c>
      <c r="GT23" t="s">
        <v>19</v>
      </c>
      <c r="GU23" t="s">
        <v>351</v>
      </c>
      <c r="GV23" t="s">
        <v>352</v>
      </c>
      <c r="GW23" t="s">
        <v>353</v>
      </c>
      <c r="GX23" t="s">
        <v>353</v>
      </c>
      <c r="GY23" t="s">
        <v>353</v>
      </c>
      <c r="GZ23" t="s">
        <v>353</v>
      </c>
      <c r="HA23">
        <v>0</v>
      </c>
      <c r="HB23">
        <v>100</v>
      </c>
      <c r="HC23">
        <v>100</v>
      </c>
      <c r="HD23">
        <v>4.4729999999999999</v>
      </c>
      <c r="HE23">
        <v>0.45400000000000001</v>
      </c>
      <c r="HF23">
        <v>2</v>
      </c>
      <c r="HG23">
        <v>503.738</v>
      </c>
      <c r="HH23">
        <v>464.74900000000002</v>
      </c>
      <c r="HI23">
        <v>19.069800000000001</v>
      </c>
      <c r="HJ23">
        <v>35.446100000000001</v>
      </c>
      <c r="HK23">
        <v>29.9998</v>
      </c>
      <c r="HL23">
        <v>35.327300000000001</v>
      </c>
      <c r="HM23">
        <v>35.307200000000002</v>
      </c>
      <c r="HN23">
        <v>21.092600000000001</v>
      </c>
      <c r="HO23">
        <v>55.253399999999999</v>
      </c>
      <c r="HP23">
        <v>0</v>
      </c>
      <c r="HQ23">
        <v>19.053899999999999</v>
      </c>
      <c r="HR23">
        <v>400</v>
      </c>
      <c r="HS23">
        <v>14.356999999999999</v>
      </c>
      <c r="HT23">
        <v>98.926400000000001</v>
      </c>
      <c r="HU23">
        <v>102.827</v>
      </c>
    </row>
    <row r="24" spans="1:229" x14ac:dyDescent="0.35">
      <c r="A24">
        <v>9</v>
      </c>
      <c r="B24">
        <v>1565553095</v>
      </c>
      <c r="C24">
        <v>815.90000009536698</v>
      </c>
      <c r="D24" t="s">
        <v>385</v>
      </c>
      <c r="E24" t="s">
        <v>386</v>
      </c>
      <c r="G24">
        <v>1565553095</v>
      </c>
      <c r="H24">
        <f t="shared" si="0"/>
        <v>2.4975897955026604E-3</v>
      </c>
      <c r="I24">
        <f t="shared" si="1"/>
        <v>22.903482473132563</v>
      </c>
      <c r="J24">
        <f t="shared" si="2"/>
        <v>471.11900000000003</v>
      </c>
      <c r="K24">
        <f t="shared" si="3"/>
        <v>187.71329926043012</v>
      </c>
      <c r="L24">
        <f t="shared" si="4"/>
        <v>18.625278654986939</v>
      </c>
      <c r="M24">
        <f t="shared" si="5"/>
        <v>46.745343506455001</v>
      </c>
      <c r="N24">
        <f t="shared" si="6"/>
        <v>0.13784795923731957</v>
      </c>
      <c r="O24">
        <f t="shared" si="7"/>
        <v>2.2477617363602547</v>
      </c>
      <c r="P24">
        <f t="shared" si="8"/>
        <v>0.13331781633188447</v>
      </c>
      <c r="Q24">
        <f t="shared" si="9"/>
        <v>8.3718248521491512E-2</v>
      </c>
      <c r="R24">
        <f t="shared" si="10"/>
        <v>281.53802334074805</v>
      </c>
      <c r="S24">
        <f t="shared" si="11"/>
        <v>26.71973346518029</v>
      </c>
      <c r="T24">
        <f t="shared" si="12"/>
        <v>27.063600000000001</v>
      </c>
      <c r="U24">
        <f t="shared" si="13"/>
        <v>3.5925510508093317</v>
      </c>
      <c r="V24">
        <f t="shared" si="14"/>
        <v>54.699086610750015</v>
      </c>
      <c r="W24">
        <f t="shared" si="15"/>
        <v>1.7840800264614998</v>
      </c>
      <c r="X24">
        <f t="shared" si="16"/>
        <v>3.2616267236003065</v>
      </c>
      <c r="Y24">
        <f t="shared" si="17"/>
        <v>1.8084710243478319</v>
      </c>
      <c r="Z24">
        <f t="shared" si="18"/>
        <v>-110.14370998166733</v>
      </c>
      <c r="AA24">
        <f t="shared" si="19"/>
        <v>-198.2647752084234</v>
      </c>
      <c r="AB24">
        <f t="shared" si="20"/>
        <v>-18.892648472203174</v>
      </c>
      <c r="AC24">
        <f t="shared" si="21"/>
        <v>-45.763110321545838</v>
      </c>
      <c r="AD24">
        <v>-4.1123517114451898E-2</v>
      </c>
      <c r="AE24">
        <v>4.6164750578937201E-2</v>
      </c>
      <c r="AF24">
        <v>3.4512198490068999</v>
      </c>
      <c r="AG24">
        <v>0</v>
      </c>
      <c r="AH24">
        <v>0</v>
      </c>
      <c r="AI24">
        <f t="shared" si="22"/>
        <v>1</v>
      </c>
      <c r="AJ24">
        <f t="shared" si="23"/>
        <v>0</v>
      </c>
      <c r="AK24">
        <f t="shared" si="24"/>
        <v>52714.248045112319</v>
      </c>
      <c r="AL24" t="s">
        <v>344</v>
      </c>
      <c r="AM24">
        <v>589.29941176470595</v>
      </c>
      <c r="AN24">
        <v>3530.99</v>
      </c>
      <c r="AO24">
        <f t="shared" si="25"/>
        <v>2941.6905882352939</v>
      </c>
      <c r="AP24">
        <f t="shared" si="26"/>
        <v>0.83310646256015852</v>
      </c>
      <c r="AQ24">
        <v>1.42453575549529</v>
      </c>
      <c r="AR24" t="s">
        <v>387</v>
      </c>
      <c r="AS24">
        <v>777.69429411764702</v>
      </c>
      <c r="AT24">
        <v>1154.75</v>
      </c>
      <c r="AU24">
        <f t="shared" si="27"/>
        <v>0.32652583319536954</v>
      </c>
      <c r="AV24">
        <v>0.5</v>
      </c>
      <c r="AW24">
        <f t="shared" si="28"/>
        <v>1471.1279998142923</v>
      </c>
      <c r="AX24">
        <f t="shared" si="29"/>
        <v>22.903482473132563</v>
      </c>
      <c r="AY24">
        <f t="shared" si="30"/>
        <v>240.18064793819963</v>
      </c>
      <c r="AZ24">
        <f t="shared" si="31"/>
        <v>0.53238363282095691</v>
      </c>
      <c r="BA24">
        <f t="shared" si="32"/>
        <v>1.4600324866598055E-2</v>
      </c>
      <c r="BB24">
        <f t="shared" si="33"/>
        <v>2.0577960597531932</v>
      </c>
      <c r="BC24" t="s">
        <v>388</v>
      </c>
      <c r="BD24">
        <v>539.98</v>
      </c>
      <c r="BE24">
        <f t="shared" si="34"/>
        <v>614.77</v>
      </c>
      <c r="BF24">
        <f t="shared" si="35"/>
        <v>0.61332808348220147</v>
      </c>
      <c r="BG24">
        <f t="shared" si="36"/>
        <v>0.79446073399955197</v>
      </c>
      <c r="BH24">
        <f t="shared" si="37"/>
        <v>0.66682343908970065</v>
      </c>
      <c r="BI24">
        <f t="shared" si="38"/>
        <v>0.80778039998608242</v>
      </c>
      <c r="BJ24">
        <v>8093</v>
      </c>
      <c r="BK24">
        <v>300</v>
      </c>
      <c r="BL24">
        <v>300</v>
      </c>
      <c r="BM24">
        <v>300</v>
      </c>
      <c r="BN24">
        <v>10288.5</v>
      </c>
      <c r="BO24">
        <v>1060.27</v>
      </c>
      <c r="BP24">
        <v>-7.0402599999999996E-3</v>
      </c>
      <c r="BQ24">
        <v>4.8334999999999999</v>
      </c>
      <c r="BR24" t="s">
        <v>347</v>
      </c>
      <c r="BS24" t="s">
        <v>347</v>
      </c>
      <c r="BT24" t="s">
        <v>347</v>
      </c>
      <c r="BU24" t="s">
        <v>347</v>
      </c>
      <c r="BV24" t="s">
        <v>347</v>
      </c>
      <c r="BW24" t="s">
        <v>347</v>
      </c>
      <c r="BX24" t="s">
        <v>347</v>
      </c>
      <c r="BY24" t="s">
        <v>347</v>
      </c>
      <c r="BZ24" t="s">
        <v>347</v>
      </c>
      <c r="CA24" t="s">
        <v>347</v>
      </c>
      <c r="CB24">
        <f t="shared" si="39"/>
        <v>1749.91</v>
      </c>
      <c r="CC24">
        <f t="shared" si="40"/>
        <v>1471.1279998142923</v>
      </c>
      <c r="CD24">
        <f t="shared" si="41"/>
        <v>0.84068780669536847</v>
      </c>
      <c r="CE24">
        <f t="shared" si="42"/>
        <v>0.19137561339073689</v>
      </c>
      <c r="CF24">
        <v>1565553095</v>
      </c>
      <c r="CG24">
        <v>471.11900000000003</v>
      </c>
      <c r="CH24">
        <v>500.01499999999999</v>
      </c>
      <c r="CI24">
        <v>17.980699999999999</v>
      </c>
      <c r="CJ24">
        <v>15.0375</v>
      </c>
      <c r="CK24">
        <v>500.00299999999999</v>
      </c>
      <c r="CL24">
        <v>99.121799999999993</v>
      </c>
      <c r="CM24">
        <v>0.100145</v>
      </c>
      <c r="CN24">
        <v>25.427499999999998</v>
      </c>
      <c r="CO24">
        <v>27.063600000000001</v>
      </c>
      <c r="CP24">
        <v>999.9</v>
      </c>
      <c r="CQ24">
        <v>0</v>
      </c>
      <c r="CR24">
        <v>0</v>
      </c>
      <c r="CS24">
        <v>10005</v>
      </c>
      <c r="CT24">
        <v>0</v>
      </c>
      <c r="CU24">
        <v>1478.77</v>
      </c>
      <c r="CV24">
        <v>-29.095600000000001</v>
      </c>
      <c r="CW24">
        <v>479.53699999999998</v>
      </c>
      <c r="CX24">
        <v>507.649</v>
      </c>
      <c r="CY24">
        <v>2.93316</v>
      </c>
      <c r="CZ24">
        <v>466.44600000000003</v>
      </c>
      <c r="DA24">
        <v>500.01499999999999</v>
      </c>
      <c r="DB24">
        <v>17.5167</v>
      </c>
      <c r="DC24">
        <v>15.0375</v>
      </c>
      <c r="DD24">
        <v>1.78129</v>
      </c>
      <c r="DE24">
        <v>1.49054</v>
      </c>
      <c r="DF24">
        <v>15.6235</v>
      </c>
      <c r="DG24">
        <v>12.871499999999999</v>
      </c>
      <c r="DH24">
        <v>1749.91</v>
      </c>
      <c r="DI24">
        <v>0.97700699999999996</v>
      </c>
      <c r="DJ24">
        <v>2.2992800000000001E-2</v>
      </c>
      <c r="DK24">
        <v>0</v>
      </c>
      <c r="DL24">
        <v>777.56799999999998</v>
      </c>
      <c r="DM24">
        <v>5.0002700000000004</v>
      </c>
      <c r="DN24">
        <v>17843.900000000001</v>
      </c>
      <c r="DO24">
        <v>14145</v>
      </c>
      <c r="DP24">
        <v>49.311999999999998</v>
      </c>
      <c r="DQ24">
        <v>51.5</v>
      </c>
      <c r="DR24">
        <v>50.311999999999998</v>
      </c>
      <c r="DS24">
        <v>51</v>
      </c>
      <c r="DT24">
        <v>50.625</v>
      </c>
      <c r="DU24">
        <v>1704.79</v>
      </c>
      <c r="DV24">
        <v>40.119999999999997</v>
      </c>
      <c r="DW24">
        <v>0</v>
      </c>
      <c r="DX24">
        <v>117.69999980926499</v>
      </c>
      <c r="DY24">
        <v>777.69429411764702</v>
      </c>
      <c r="DZ24">
        <v>-1.2526960865676799</v>
      </c>
      <c r="EA24">
        <v>-513.40686245050904</v>
      </c>
      <c r="EB24">
        <v>17886.7705882353</v>
      </c>
      <c r="EC24">
        <v>10</v>
      </c>
      <c r="ED24">
        <v>1565553121.5</v>
      </c>
      <c r="EE24" t="s">
        <v>389</v>
      </c>
      <c r="EF24">
        <v>64</v>
      </c>
      <c r="EG24">
        <v>4.673</v>
      </c>
      <c r="EH24">
        <v>0.46400000000000002</v>
      </c>
      <c r="EI24">
        <v>500</v>
      </c>
      <c r="EJ24">
        <v>15</v>
      </c>
      <c r="EK24">
        <v>0.08</v>
      </c>
      <c r="EL24">
        <v>0.09</v>
      </c>
      <c r="EM24">
        <v>23.452804130915599</v>
      </c>
      <c r="EN24">
        <v>-2.2022456391707399</v>
      </c>
      <c r="EO24">
        <v>0.22807401877743899</v>
      </c>
      <c r="EP24">
        <v>0</v>
      </c>
      <c r="EQ24">
        <v>0.14018837812691901</v>
      </c>
      <c r="ER24">
        <v>-1.59340207251535E-2</v>
      </c>
      <c r="ES24">
        <v>1.9870234031669699E-3</v>
      </c>
      <c r="ET24">
        <v>1</v>
      </c>
      <c r="EU24">
        <v>1</v>
      </c>
      <c r="EV24">
        <v>2</v>
      </c>
      <c r="EW24" t="s">
        <v>349</v>
      </c>
      <c r="EX24">
        <v>2.9482400000000002</v>
      </c>
      <c r="EY24">
        <v>2.7776000000000001</v>
      </c>
      <c r="EZ24">
        <v>0.10501199999999999</v>
      </c>
      <c r="FA24">
        <v>0.107599</v>
      </c>
      <c r="FB24">
        <v>8.9589699999999994E-2</v>
      </c>
      <c r="FC24">
        <v>7.6271199999999997E-2</v>
      </c>
      <c r="FD24">
        <v>21410</v>
      </c>
      <c r="FE24">
        <v>21532.799999999999</v>
      </c>
      <c r="FF24">
        <v>22501.7</v>
      </c>
      <c r="FG24">
        <v>26474.7</v>
      </c>
      <c r="FH24">
        <v>29285.7</v>
      </c>
      <c r="FI24">
        <v>38390</v>
      </c>
      <c r="FJ24">
        <v>32141.9</v>
      </c>
      <c r="FK24">
        <v>42181.2</v>
      </c>
      <c r="FL24">
        <v>1.9279500000000001</v>
      </c>
      <c r="FM24">
        <v>1.8119799999999999</v>
      </c>
      <c r="FN24">
        <v>-3.241E-3</v>
      </c>
      <c r="FO24">
        <v>0</v>
      </c>
      <c r="FP24">
        <v>27.116599999999998</v>
      </c>
      <c r="FQ24">
        <v>999.9</v>
      </c>
      <c r="FR24">
        <v>36.045999999999999</v>
      </c>
      <c r="FS24">
        <v>42.46</v>
      </c>
      <c r="FT24">
        <v>30.711300000000001</v>
      </c>
      <c r="FU24">
        <v>61.535899999999998</v>
      </c>
      <c r="FV24">
        <v>46.738799999999998</v>
      </c>
      <c r="FW24">
        <v>1</v>
      </c>
      <c r="FX24">
        <v>0.66401900000000003</v>
      </c>
      <c r="FY24">
        <v>9.2810500000000005</v>
      </c>
      <c r="FZ24">
        <v>20.023599999999998</v>
      </c>
      <c r="GA24">
        <v>5.2274700000000003</v>
      </c>
      <c r="GB24">
        <v>11.962</v>
      </c>
      <c r="GC24">
        <v>4.9714999999999998</v>
      </c>
      <c r="GD24">
        <v>3.2949999999999999</v>
      </c>
      <c r="GE24">
        <v>9999</v>
      </c>
      <c r="GF24">
        <v>9999</v>
      </c>
      <c r="GG24">
        <v>505.7</v>
      </c>
      <c r="GH24">
        <v>9999</v>
      </c>
      <c r="GI24">
        <v>1.8660099999999999</v>
      </c>
      <c r="GJ24">
        <v>1.8654500000000001</v>
      </c>
      <c r="GK24">
        <v>1.8656699999999999</v>
      </c>
      <c r="GL24">
        <v>1.86863</v>
      </c>
      <c r="GM24">
        <v>1.86287</v>
      </c>
      <c r="GN24">
        <v>1.8610500000000001</v>
      </c>
      <c r="GO24">
        <v>1.85724</v>
      </c>
      <c r="GP24">
        <v>1.8633999999999999</v>
      </c>
      <c r="GQ24" t="s">
        <v>350</v>
      </c>
      <c r="GR24" t="s">
        <v>19</v>
      </c>
      <c r="GS24" t="s">
        <v>19</v>
      </c>
      <c r="GT24" t="s">
        <v>19</v>
      </c>
      <c r="GU24" t="s">
        <v>351</v>
      </c>
      <c r="GV24" t="s">
        <v>352</v>
      </c>
      <c r="GW24" t="s">
        <v>353</v>
      </c>
      <c r="GX24" t="s">
        <v>353</v>
      </c>
      <c r="GY24" t="s">
        <v>353</v>
      </c>
      <c r="GZ24" t="s">
        <v>353</v>
      </c>
      <c r="HA24">
        <v>0</v>
      </c>
      <c r="HB24">
        <v>100</v>
      </c>
      <c r="HC24">
        <v>100</v>
      </c>
      <c r="HD24">
        <v>4.673</v>
      </c>
      <c r="HE24">
        <v>0.46400000000000002</v>
      </c>
      <c r="HF24">
        <v>2</v>
      </c>
      <c r="HG24">
        <v>503.416</v>
      </c>
      <c r="HH24">
        <v>465.99099999999999</v>
      </c>
      <c r="HI24">
        <v>18.6663</v>
      </c>
      <c r="HJ24">
        <v>35.383499999999998</v>
      </c>
      <c r="HK24">
        <v>29.9999</v>
      </c>
      <c r="HL24">
        <v>35.270400000000002</v>
      </c>
      <c r="HM24">
        <v>35.253700000000002</v>
      </c>
      <c r="HN24">
        <v>25.322099999999999</v>
      </c>
      <c r="HO24">
        <v>53.2577</v>
      </c>
      <c r="HP24">
        <v>0</v>
      </c>
      <c r="HQ24">
        <v>18.033100000000001</v>
      </c>
      <c r="HR24">
        <v>500</v>
      </c>
      <c r="HS24">
        <v>15.1477</v>
      </c>
      <c r="HT24">
        <v>98.941199999999995</v>
      </c>
      <c r="HU24">
        <v>102.84399999999999</v>
      </c>
    </row>
    <row r="25" spans="1:229" x14ac:dyDescent="0.35">
      <c r="A25">
        <v>10</v>
      </c>
      <c r="B25">
        <v>1565553212.5</v>
      </c>
      <c r="C25">
        <v>933.40000009536698</v>
      </c>
      <c r="D25" t="s">
        <v>390</v>
      </c>
      <c r="E25" t="s">
        <v>391</v>
      </c>
      <c r="G25">
        <v>1565553212.5</v>
      </c>
      <c r="H25">
        <f t="shared" si="0"/>
        <v>2.1017578414045846E-3</v>
      </c>
      <c r="I25">
        <f t="shared" si="1"/>
        <v>24.615679101690759</v>
      </c>
      <c r="J25">
        <f t="shared" si="2"/>
        <v>569.01700000000005</v>
      </c>
      <c r="K25">
        <f t="shared" si="3"/>
        <v>207.82333576953073</v>
      </c>
      <c r="L25">
        <f t="shared" si="4"/>
        <v>20.620100384004306</v>
      </c>
      <c r="M25">
        <f t="shared" si="5"/>
        <v>56.457508088584909</v>
      </c>
      <c r="N25">
        <f t="shared" si="6"/>
        <v>0.11540122408742101</v>
      </c>
      <c r="O25">
        <f t="shared" si="7"/>
        <v>2.2499288869949652</v>
      </c>
      <c r="P25">
        <f t="shared" si="8"/>
        <v>0.11221089765721552</v>
      </c>
      <c r="Q25">
        <f t="shared" si="9"/>
        <v>7.0411102834502248E-2</v>
      </c>
      <c r="R25">
        <f t="shared" si="10"/>
        <v>281.54600329345152</v>
      </c>
      <c r="S25">
        <f t="shared" si="11"/>
        <v>26.777441798021691</v>
      </c>
      <c r="T25">
        <f t="shared" si="12"/>
        <v>27.073399999999999</v>
      </c>
      <c r="U25">
        <f t="shared" si="13"/>
        <v>3.5946183829225387</v>
      </c>
      <c r="V25">
        <f t="shared" si="14"/>
        <v>55.013710325079444</v>
      </c>
      <c r="W25">
        <f t="shared" si="15"/>
        <v>1.7865935805030499</v>
      </c>
      <c r="X25">
        <f t="shared" si="16"/>
        <v>3.2475424215999191</v>
      </c>
      <c r="Y25">
        <f t="shared" si="17"/>
        <v>1.8080248024194887</v>
      </c>
      <c r="Z25">
        <f t="shared" si="18"/>
        <v>-92.687520805942185</v>
      </c>
      <c r="AA25">
        <f t="shared" si="19"/>
        <v>-208.47515817175426</v>
      </c>
      <c r="AB25">
        <f t="shared" si="20"/>
        <v>-19.840209699479168</v>
      </c>
      <c r="AC25">
        <f t="shared" si="21"/>
        <v>-39.456885383724085</v>
      </c>
      <c r="AD25">
        <v>-4.1181832885861198E-2</v>
      </c>
      <c r="AE25">
        <v>4.6230215141086398E-2</v>
      </c>
      <c r="AF25">
        <v>3.45509358003945</v>
      </c>
      <c r="AG25">
        <v>0</v>
      </c>
      <c r="AH25">
        <v>0</v>
      </c>
      <c r="AI25">
        <f t="shared" si="22"/>
        <v>1</v>
      </c>
      <c r="AJ25">
        <f t="shared" si="23"/>
        <v>0</v>
      </c>
      <c r="AK25">
        <f t="shared" si="24"/>
        <v>52798.754832977444</v>
      </c>
      <c r="AL25" t="s">
        <v>344</v>
      </c>
      <c r="AM25">
        <v>589.29941176470595</v>
      </c>
      <c r="AN25">
        <v>3530.99</v>
      </c>
      <c r="AO25">
        <f t="shared" si="25"/>
        <v>2941.6905882352939</v>
      </c>
      <c r="AP25">
        <f t="shared" si="26"/>
        <v>0.83310646256015852</v>
      </c>
      <c r="AQ25">
        <v>1.42453575549529</v>
      </c>
      <c r="AR25" t="s">
        <v>392</v>
      </c>
      <c r="AS25">
        <v>781.30670588235296</v>
      </c>
      <c r="AT25">
        <v>1180.05</v>
      </c>
      <c r="AU25">
        <f t="shared" si="27"/>
        <v>0.3379037279078404</v>
      </c>
      <c r="AV25">
        <v>0.5</v>
      </c>
      <c r="AW25">
        <f t="shared" si="28"/>
        <v>1471.1699998142974</v>
      </c>
      <c r="AX25">
        <f t="shared" si="29"/>
        <v>24.615679101690759</v>
      </c>
      <c r="AY25">
        <f t="shared" si="30"/>
        <v>248.55691366171399</v>
      </c>
      <c r="AZ25">
        <f t="shared" si="31"/>
        <v>0.53920596584890468</v>
      </c>
      <c r="BA25">
        <f t="shared" si="32"/>
        <v>1.5763741341328897E-2</v>
      </c>
      <c r="BB25">
        <f t="shared" si="33"/>
        <v>1.9922376170501248</v>
      </c>
      <c r="BC25" t="s">
        <v>393</v>
      </c>
      <c r="BD25">
        <v>543.76</v>
      </c>
      <c r="BE25">
        <f t="shared" si="34"/>
        <v>636.29</v>
      </c>
      <c r="BF25">
        <f t="shared" si="35"/>
        <v>0.62666911961157179</v>
      </c>
      <c r="BG25">
        <f t="shared" si="36"/>
        <v>0.78699664906953937</v>
      </c>
      <c r="BH25">
        <f t="shared" si="37"/>
        <v>0.67497739665191647</v>
      </c>
      <c r="BI25">
        <f t="shared" si="38"/>
        <v>0.79917990335289379</v>
      </c>
      <c r="BJ25">
        <v>8095</v>
      </c>
      <c r="BK25">
        <v>300</v>
      </c>
      <c r="BL25">
        <v>300</v>
      </c>
      <c r="BM25">
        <v>300</v>
      </c>
      <c r="BN25">
        <v>10288.5</v>
      </c>
      <c r="BO25">
        <v>1083.22</v>
      </c>
      <c r="BP25">
        <v>-7.0403599999999998E-3</v>
      </c>
      <c r="BQ25">
        <v>5.6796899999999999</v>
      </c>
      <c r="BR25" t="s">
        <v>347</v>
      </c>
      <c r="BS25" t="s">
        <v>347</v>
      </c>
      <c r="BT25" t="s">
        <v>347</v>
      </c>
      <c r="BU25" t="s">
        <v>347</v>
      </c>
      <c r="BV25" t="s">
        <v>347</v>
      </c>
      <c r="BW25" t="s">
        <v>347</v>
      </c>
      <c r="BX25" t="s">
        <v>347</v>
      </c>
      <c r="BY25" t="s">
        <v>347</v>
      </c>
      <c r="BZ25" t="s">
        <v>347</v>
      </c>
      <c r="CA25" t="s">
        <v>347</v>
      </c>
      <c r="CB25">
        <f t="shared" si="39"/>
        <v>1749.96</v>
      </c>
      <c r="CC25">
        <f t="shared" si="40"/>
        <v>1471.1699998142974</v>
      </c>
      <c r="CD25">
        <f t="shared" si="41"/>
        <v>0.84068778704330238</v>
      </c>
      <c r="CE25">
        <f t="shared" si="42"/>
        <v>0.19137557408660485</v>
      </c>
      <c r="CF25">
        <v>1565553212.5</v>
      </c>
      <c r="CG25">
        <v>569.01700000000005</v>
      </c>
      <c r="CH25">
        <v>599.99099999999999</v>
      </c>
      <c r="CI25">
        <v>18.006499999999999</v>
      </c>
      <c r="CJ25">
        <v>15.5298</v>
      </c>
      <c r="CK25">
        <v>499.99900000000002</v>
      </c>
      <c r="CL25">
        <v>99.119699999999995</v>
      </c>
      <c r="CM25">
        <v>9.96697E-2</v>
      </c>
      <c r="CN25">
        <v>25.354700000000001</v>
      </c>
      <c r="CO25">
        <v>27.073399999999999</v>
      </c>
      <c r="CP25">
        <v>999.9</v>
      </c>
      <c r="CQ25">
        <v>0</v>
      </c>
      <c r="CR25">
        <v>0</v>
      </c>
      <c r="CS25">
        <v>10019.4</v>
      </c>
      <c r="CT25">
        <v>0</v>
      </c>
      <c r="CU25">
        <v>1506.87</v>
      </c>
      <c r="CV25">
        <v>-31.085799999999999</v>
      </c>
      <c r="CW25">
        <v>579.33299999999997</v>
      </c>
      <c r="CX25">
        <v>609.45600000000002</v>
      </c>
      <c r="CY25">
        <v>2.4706800000000002</v>
      </c>
      <c r="CZ25">
        <v>564.23199999999997</v>
      </c>
      <c r="DA25">
        <v>599.99099999999999</v>
      </c>
      <c r="DB25">
        <v>17.5365</v>
      </c>
      <c r="DC25">
        <v>15.5298</v>
      </c>
      <c r="DD25">
        <v>1.7842</v>
      </c>
      <c r="DE25">
        <v>1.53931</v>
      </c>
      <c r="DF25">
        <v>15.649100000000001</v>
      </c>
      <c r="DG25">
        <v>13.3643</v>
      </c>
      <c r="DH25">
        <v>1749.96</v>
      </c>
      <c r="DI25">
        <v>0.97700699999999996</v>
      </c>
      <c r="DJ25">
        <v>2.2992800000000001E-2</v>
      </c>
      <c r="DK25">
        <v>0</v>
      </c>
      <c r="DL25">
        <v>781.245</v>
      </c>
      <c r="DM25">
        <v>5.0002700000000004</v>
      </c>
      <c r="DN25">
        <v>18144</v>
      </c>
      <c r="DO25">
        <v>14145.3</v>
      </c>
      <c r="DP25">
        <v>49.311999999999998</v>
      </c>
      <c r="DQ25">
        <v>51.625</v>
      </c>
      <c r="DR25">
        <v>50.375</v>
      </c>
      <c r="DS25">
        <v>51.061999999999998</v>
      </c>
      <c r="DT25">
        <v>50.625</v>
      </c>
      <c r="DU25">
        <v>1704.84</v>
      </c>
      <c r="DV25">
        <v>40.119999999999997</v>
      </c>
      <c r="DW25">
        <v>0</v>
      </c>
      <c r="DX25">
        <v>116.89999985694899</v>
      </c>
      <c r="DY25">
        <v>781.30670588235296</v>
      </c>
      <c r="DZ25">
        <v>-0.51200982253701799</v>
      </c>
      <c r="EA25">
        <v>-591.56862984863801</v>
      </c>
      <c r="EB25">
        <v>18176.8</v>
      </c>
      <c r="EC25">
        <v>10</v>
      </c>
      <c r="ED25">
        <v>1565553236.5</v>
      </c>
      <c r="EE25" t="s">
        <v>394</v>
      </c>
      <c r="EF25">
        <v>65</v>
      </c>
      <c r="EG25">
        <v>4.7850000000000001</v>
      </c>
      <c r="EH25">
        <v>0.47</v>
      </c>
      <c r="EI25">
        <v>600</v>
      </c>
      <c r="EJ25">
        <v>16</v>
      </c>
      <c r="EK25">
        <v>0.1</v>
      </c>
      <c r="EL25">
        <v>0.09</v>
      </c>
      <c r="EM25">
        <v>24.820783070565199</v>
      </c>
      <c r="EN25">
        <v>-0.39238741570123797</v>
      </c>
      <c r="EO25">
        <v>8.72624893240245E-2</v>
      </c>
      <c r="EP25">
        <v>0</v>
      </c>
      <c r="EQ25">
        <v>0.114248060749048</v>
      </c>
      <c r="ER25">
        <v>5.38639839016717E-3</v>
      </c>
      <c r="ES25">
        <v>9.1515726848666399E-4</v>
      </c>
      <c r="ET25">
        <v>1</v>
      </c>
      <c r="EU25">
        <v>1</v>
      </c>
      <c r="EV25">
        <v>2</v>
      </c>
      <c r="EW25" t="s">
        <v>349</v>
      </c>
      <c r="EX25">
        <v>2.9482300000000001</v>
      </c>
      <c r="EY25">
        <v>2.77725</v>
      </c>
      <c r="EZ25">
        <v>0.120603</v>
      </c>
      <c r="FA25">
        <v>0.122599</v>
      </c>
      <c r="FB25">
        <v>8.9666099999999999E-2</v>
      </c>
      <c r="FC25">
        <v>7.8098799999999996E-2</v>
      </c>
      <c r="FD25">
        <v>21037.1</v>
      </c>
      <c r="FE25">
        <v>21170</v>
      </c>
      <c r="FF25">
        <v>22502.2</v>
      </c>
      <c r="FG25">
        <v>26474.2</v>
      </c>
      <c r="FH25">
        <v>29283.9</v>
      </c>
      <c r="FI25">
        <v>38314.1</v>
      </c>
      <c r="FJ25">
        <v>32142.5</v>
      </c>
      <c r="FK25">
        <v>42181.1</v>
      </c>
      <c r="FL25">
        <v>1.9278200000000001</v>
      </c>
      <c r="FM25">
        <v>1.8128200000000001</v>
      </c>
      <c r="FN25">
        <v>-4.52623E-3</v>
      </c>
      <c r="FO25">
        <v>0</v>
      </c>
      <c r="FP25">
        <v>27.147400000000001</v>
      </c>
      <c r="FQ25">
        <v>999.9</v>
      </c>
      <c r="FR25">
        <v>35.972000000000001</v>
      </c>
      <c r="FS25">
        <v>42.44</v>
      </c>
      <c r="FT25">
        <v>30.614599999999999</v>
      </c>
      <c r="FU25">
        <v>61.445900000000002</v>
      </c>
      <c r="FV25">
        <v>46.610599999999998</v>
      </c>
      <c r="FW25">
        <v>1</v>
      </c>
      <c r="FX25">
        <v>0.66445100000000001</v>
      </c>
      <c r="FY25">
        <v>9.2810500000000005</v>
      </c>
      <c r="FZ25">
        <v>20.024100000000001</v>
      </c>
      <c r="GA25">
        <v>5.2271700000000001</v>
      </c>
      <c r="GB25">
        <v>11.962</v>
      </c>
      <c r="GC25">
        <v>4.9718</v>
      </c>
      <c r="GD25">
        <v>3.2949999999999999</v>
      </c>
      <c r="GE25">
        <v>9999</v>
      </c>
      <c r="GF25">
        <v>9999</v>
      </c>
      <c r="GG25">
        <v>505.8</v>
      </c>
      <c r="GH25">
        <v>9999</v>
      </c>
      <c r="GI25">
        <v>1.8660099999999999</v>
      </c>
      <c r="GJ25">
        <v>1.86544</v>
      </c>
      <c r="GK25">
        <v>1.8656600000000001</v>
      </c>
      <c r="GL25">
        <v>1.8686</v>
      </c>
      <c r="GM25">
        <v>1.8628499999999999</v>
      </c>
      <c r="GN25">
        <v>1.8610800000000001</v>
      </c>
      <c r="GO25">
        <v>1.8572500000000001</v>
      </c>
      <c r="GP25">
        <v>1.8633900000000001</v>
      </c>
      <c r="GQ25" t="s">
        <v>350</v>
      </c>
      <c r="GR25" t="s">
        <v>19</v>
      </c>
      <c r="GS25" t="s">
        <v>19</v>
      </c>
      <c r="GT25" t="s">
        <v>19</v>
      </c>
      <c r="GU25" t="s">
        <v>351</v>
      </c>
      <c r="GV25" t="s">
        <v>352</v>
      </c>
      <c r="GW25" t="s">
        <v>353</v>
      </c>
      <c r="GX25" t="s">
        <v>353</v>
      </c>
      <c r="GY25" t="s">
        <v>353</v>
      </c>
      <c r="GZ25" t="s">
        <v>353</v>
      </c>
      <c r="HA25">
        <v>0</v>
      </c>
      <c r="HB25">
        <v>100</v>
      </c>
      <c r="HC25">
        <v>100</v>
      </c>
      <c r="HD25">
        <v>4.7850000000000001</v>
      </c>
      <c r="HE25">
        <v>0.47</v>
      </c>
      <c r="HF25">
        <v>2</v>
      </c>
      <c r="HG25">
        <v>503.16699999999997</v>
      </c>
      <c r="HH25">
        <v>466.39699999999999</v>
      </c>
      <c r="HI25">
        <v>18.586400000000001</v>
      </c>
      <c r="HJ25">
        <v>35.380200000000002</v>
      </c>
      <c r="HK25">
        <v>30.000299999999999</v>
      </c>
      <c r="HL25">
        <v>35.249400000000001</v>
      </c>
      <c r="HM25">
        <v>35.231699999999996</v>
      </c>
      <c r="HN25">
        <v>29.4207</v>
      </c>
      <c r="HO25">
        <v>51.597499999999997</v>
      </c>
      <c r="HP25">
        <v>0</v>
      </c>
      <c r="HQ25">
        <v>17.852499999999999</v>
      </c>
      <c r="HR25">
        <v>600</v>
      </c>
      <c r="HS25">
        <v>15.5143</v>
      </c>
      <c r="HT25">
        <v>98.942999999999998</v>
      </c>
      <c r="HU25">
        <v>102.843</v>
      </c>
    </row>
    <row r="26" spans="1:229" x14ac:dyDescent="0.35">
      <c r="A26">
        <v>11</v>
      </c>
      <c r="B26">
        <v>1565553327.5</v>
      </c>
      <c r="C26">
        <v>1048.4000000953699</v>
      </c>
      <c r="D26" t="s">
        <v>395</v>
      </c>
      <c r="E26" t="s">
        <v>396</v>
      </c>
      <c r="G26">
        <v>1565553327.5</v>
      </c>
      <c r="H26">
        <f t="shared" si="0"/>
        <v>2.0125038574192863E-3</v>
      </c>
      <c r="I26">
        <f t="shared" si="1"/>
        <v>31.17821068430699</v>
      </c>
      <c r="J26">
        <f t="shared" si="2"/>
        <v>760.83500000000004</v>
      </c>
      <c r="K26">
        <f t="shared" si="3"/>
        <v>275.02130022167859</v>
      </c>
      <c r="L26">
        <f t="shared" si="4"/>
        <v>27.287856196798788</v>
      </c>
      <c r="M26">
        <f t="shared" si="5"/>
        <v>75.490720365138017</v>
      </c>
      <c r="N26">
        <f t="shared" si="6"/>
        <v>0.10855075757028881</v>
      </c>
      <c r="O26">
        <f t="shared" si="7"/>
        <v>2.24698366630391</v>
      </c>
      <c r="P26">
        <f t="shared" si="8"/>
        <v>0.10571935823408292</v>
      </c>
      <c r="Q26">
        <f t="shared" si="9"/>
        <v>6.6322837538285634E-2</v>
      </c>
      <c r="R26">
        <f t="shared" si="10"/>
        <v>281.54440730291066</v>
      </c>
      <c r="S26">
        <f t="shared" si="11"/>
        <v>26.866548314267074</v>
      </c>
      <c r="T26">
        <f t="shared" si="12"/>
        <v>27.197199999999999</v>
      </c>
      <c r="U26">
        <f t="shared" si="13"/>
        <v>3.6208238300360094</v>
      </c>
      <c r="V26">
        <f t="shared" si="14"/>
        <v>54.729016098869153</v>
      </c>
      <c r="W26">
        <f t="shared" si="15"/>
        <v>1.78346560206516</v>
      </c>
      <c r="X26">
        <f t="shared" si="16"/>
        <v>3.2587203812385201</v>
      </c>
      <c r="Y26">
        <f t="shared" si="17"/>
        <v>1.8373582279708494</v>
      </c>
      <c r="Z26">
        <f t="shared" si="18"/>
        <v>-88.75142011219053</v>
      </c>
      <c r="AA26">
        <f t="shared" si="19"/>
        <v>-216.19745758570525</v>
      </c>
      <c r="AB26">
        <f t="shared" si="20"/>
        <v>-20.620870651293259</v>
      </c>
      <c r="AC26">
        <f t="shared" si="21"/>
        <v>-44.025341046278413</v>
      </c>
      <c r="AD26">
        <v>-4.1102592427466299E-2</v>
      </c>
      <c r="AE26">
        <v>4.6141260784692703E-2</v>
      </c>
      <c r="AF26">
        <v>3.4498294289845401</v>
      </c>
      <c r="AG26">
        <v>0</v>
      </c>
      <c r="AH26">
        <v>0</v>
      </c>
      <c r="AI26">
        <f t="shared" si="22"/>
        <v>1</v>
      </c>
      <c r="AJ26">
        <f t="shared" si="23"/>
        <v>0</v>
      </c>
      <c r="AK26">
        <f t="shared" si="24"/>
        <v>52691.152206534367</v>
      </c>
      <c r="AL26" t="s">
        <v>344</v>
      </c>
      <c r="AM26">
        <v>589.29941176470595</v>
      </c>
      <c r="AN26">
        <v>3530.99</v>
      </c>
      <c r="AO26">
        <f t="shared" si="25"/>
        <v>2941.6905882352939</v>
      </c>
      <c r="AP26">
        <f t="shared" si="26"/>
        <v>0.83310646256015852</v>
      </c>
      <c r="AQ26">
        <v>1.42453575549529</v>
      </c>
      <c r="AR26" t="s">
        <v>397</v>
      </c>
      <c r="AS26">
        <v>799.32782352941194</v>
      </c>
      <c r="AT26">
        <v>1262.45</v>
      </c>
      <c r="AU26">
        <f t="shared" si="27"/>
        <v>0.36684397518364142</v>
      </c>
      <c r="AV26">
        <v>0.5</v>
      </c>
      <c r="AW26">
        <f t="shared" si="28"/>
        <v>1471.1615998142966</v>
      </c>
      <c r="AX26">
        <f t="shared" si="29"/>
        <v>31.17821068430699</v>
      </c>
      <c r="AY26">
        <f t="shared" si="30"/>
        <v>269.84338470670099</v>
      </c>
      <c r="AZ26">
        <f t="shared" si="31"/>
        <v>0.56646203810051876</v>
      </c>
      <c r="BA26">
        <f t="shared" si="32"/>
        <v>2.0224613619990815E-2</v>
      </c>
      <c r="BB26">
        <f t="shared" si="33"/>
        <v>1.7969345320606755</v>
      </c>
      <c r="BC26" t="s">
        <v>398</v>
      </c>
      <c r="BD26">
        <v>547.32000000000005</v>
      </c>
      <c r="BE26">
        <f t="shared" si="34"/>
        <v>715.13</v>
      </c>
      <c r="BF26">
        <f t="shared" si="35"/>
        <v>0.64760557726649437</v>
      </c>
      <c r="BG26">
        <f t="shared" si="36"/>
        <v>0.76031866794920355</v>
      </c>
      <c r="BH26">
        <f t="shared" si="37"/>
        <v>0.68799193607583642</v>
      </c>
      <c r="BI26">
        <f t="shared" si="38"/>
        <v>0.77116879969381358</v>
      </c>
      <c r="BJ26">
        <v>8097</v>
      </c>
      <c r="BK26">
        <v>300</v>
      </c>
      <c r="BL26">
        <v>300</v>
      </c>
      <c r="BM26">
        <v>300</v>
      </c>
      <c r="BN26">
        <v>10288.6</v>
      </c>
      <c r="BO26">
        <v>1145.04</v>
      </c>
      <c r="BP26">
        <v>-7.0405099999999998E-3</v>
      </c>
      <c r="BQ26">
        <v>5.1232899999999999</v>
      </c>
      <c r="BR26" t="s">
        <v>347</v>
      </c>
      <c r="BS26" t="s">
        <v>347</v>
      </c>
      <c r="BT26" t="s">
        <v>347</v>
      </c>
      <c r="BU26" t="s">
        <v>347</v>
      </c>
      <c r="BV26" t="s">
        <v>347</v>
      </c>
      <c r="BW26" t="s">
        <v>347</v>
      </c>
      <c r="BX26" t="s">
        <v>347</v>
      </c>
      <c r="BY26" t="s">
        <v>347</v>
      </c>
      <c r="BZ26" t="s">
        <v>347</v>
      </c>
      <c r="CA26" t="s">
        <v>347</v>
      </c>
      <c r="CB26">
        <f t="shared" si="39"/>
        <v>1749.95</v>
      </c>
      <c r="CC26">
        <f t="shared" si="40"/>
        <v>1471.1615998142966</v>
      </c>
      <c r="CD26">
        <f t="shared" si="41"/>
        <v>0.84068779097362578</v>
      </c>
      <c r="CE26">
        <f t="shared" si="42"/>
        <v>0.19137558194725157</v>
      </c>
      <c r="CF26">
        <v>1565553327.5</v>
      </c>
      <c r="CG26">
        <v>760.83500000000004</v>
      </c>
      <c r="CH26">
        <v>800.08799999999997</v>
      </c>
      <c r="CI26">
        <v>17.974699999999999</v>
      </c>
      <c r="CJ26">
        <v>15.603</v>
      </c>
      <c r="CK26">
        <v>499.97800000000001</v>
      </c>
      <c r="CL26">
        <v>99.120900000000006</v>
      </c>
      <c r="CM26">
        <v>9.9982799999999997E-2</v>
      </c>
      <c r="CN26">
        <v>25.412500000000001</v>
      </c>
      <c r="CO26">
        <v>27.197199999999999</v>
      </c>
      <c r="CP26">
        <v>999.9</v>
      </c>
      <c r="CQ26">
        <v>0</v>
      </c>
      <c r="CR26">
        <v>0</v>
      </c>
      <c r="CS26">
        <v>10000</v>
      </c>
      <c r="CT26">
        <v>0</v>
      </c>
      <c r="CU26">
        <v>1597.72</v>
      </c>
      <c r="CV26">
        <v>-39.4133</v>
      </c>
      <c r="CW26">
        <v>774.59900000000005</v>
      </c>
      <c r="CX26">
        <v>812.77</v>
      </c>
      <c r="CY26">
        <v>2.37269</v>
      </c>
      <c r="CZ26">
        <v>755.89</v>
      </c>
      <c r="DA26">
        <v>800.08799999999997</v>
      </c>
      <c r="DB26">
        <v>17.505700000000001</v>
      </c>
      <c r="DC26">
        <v>15.603</v>
      </c>
      <c r="DD26">
        <v>1.7817700000000001</v>
      </c>
      <c r="DE26">
        <v>1.5465800000000001</v>
      </c>
      <c r="DF26">
        <v>15.627700000000001</v>
      </c>
      <c r="DG26">
        <v>13.4366</v>
      </c>
      <c r="DH26">
        <v>1749.95</v>
      </c>
      <c r="DI26">
        <v>0.97700699999999996</v>
      </c>
      <c r="DJ26">
        <v>2.2992800000000001E-2</v>
      </c>
      <c r="DK26">
        <v>0</v>
      </c>
      <c r="DL26">
        <v>799.40200000000004</v>
      </c>
      <c r="DM26">
        <v>5.0002700000000004</v>
      </c>
      <c r="DN26">
        <v>18836.099999999999</v>
      </c>
      <c r="DO26">
        <v>14145.3</v>
      </c>
      <c r="DP26">
        <v>49.375</v>
      </c>
      <c r="DQ26">
        <v>51.75</v>
      </c>
      <c r="DR26">
        <v>50.436999999999998</v>
      </c>
      <c r="DS26">
        <v>51.186999999999998</v>
      </c>
      <c r="DT26">
        <v>50.686999999999998</v>
      </c>
      <c r="DU26">
        <v>1704.83</v>
      </c>
      <c r="DV26">
        <v>40.119999999999997</v>
      </c>
      <c r="DW26">
        <v>0</v>
      </c>
      <c r="DX26">
        <v>114.5</v>
      </c>
      <c r="DY26">
        <v>799.32782352941194</v>
      </c>
      <c r="DZ26">
        <v>-0.58357842244539104</v>
      </c>
      <c r="EA26">
        <v>1308.7745083249199</v>
      </c>
      <c r="EB26">
        <v>18766.6529411765</v>
      </c>
      <c r="EC26">
        <v>10</v>
      </c>
      <c r="ED26">
        <v>1565553354</v>
      </c>
      <c r="EE26" t="s">
        <v>399</v>
      </c>
      <c r="EF26">
        <v>66</v>
      </c>
      <c r="EG26">
        <v>4.9450000000000003</v>
      </c>
      <c r="EH26">
        <v>0.46899999999999997</v>
      </c>
      <c r="EI26">
        <v>800</v>
      </c>
      <c r="EJ26">
        <v>16</v>
      </c>
      <c r="EK26">
        <v>0.09</v>
      </c>
      <c r="EL26">
        <v>0.11</v>
      </c>
      <c r="EM26">
        <v>31.330709557752598</v>
      </c>
      <c r="EN26">
        <v>-0.51258582294810295</v>
      </c>
      <c r="EO26">
        <v>7.3261572309051795E-2</v>
      </c>
      <c r="EP26">
        <v>0</v>
      </c>
      <c r="EQ26">
        <v>0.109194075584035</v>
      </c>
      <c r="ER26">
        <v>-4.4447482666331896E-3</v>
      </c>
      <c r="ES26">
        <v>4.8179346983890303E-4</v>
      </c>
      <c r="ET26">
        <v>1</v>
      </c>
      <c r="EU26">
        <v>1</v>
      </c>
      <c r="EV26">
        <v>2</v>
      </c>
      <c r="EW26" t="s">
        <v>349</v>
      </c>
      <c r="EX26">
        <v>2.9481000000000002</v>
      </c>
      <c r="EY26">
        <v>2.7774000000000001</v>
      </c>
      <c r="EZ26">
        <v>0.14758199999999999</v>
      </c>
      <c r="FA26">
        <v>0.14915300000000001</v>
      </c>
      <c r="FB26">
        <v>8.9540999999999996E-2</v>
      </c>
      <c r="FC26">
        <v>7.8358800000000006E-2</v>
      </c>
      <c r="FD26">
        <v>20386.599999999999</v>
      </c>
      <c r="FE26">
        <v>20522.5</v>
      </c>
      <c r="FF26">
        <v>22497.8</v>
      </c>
      <c r="FG26">
        <v>26467.9</v>
      </c>
      <c r="FH26">
        <v>29282.799999999999</v>
      </c>
      <c r="FI26">
        <v>38295.800000000003</v>
      </c>
      <c r="FJ26">
        <v>32136.5</v>
      </c>
      <c r="FK26">
        <v>42172.5</v>
      </c>
      <c r="FL26">
        <v>1.9267000000000001</v>
      </c>
      <c r="FM26">
        <v>1.81227</v>
      </c>
      <c r="FN26">
        <v>-1.0438299999999999E-2</v>
      </c>
      <c r="FO26">
        <v>0</v>
      </c>
      <c r="FP26">
        <v>27.367799999999999</v>
      </c>
      <c r="FQ26">
        <v>999.9</v>
      </c>
      <c r="FR26">
        <v>35.899000000000001</v>
      </c>
      <c r="FS26">
        <v>42.429000000000002</v>
      </c>
      <c r="FT26">
        <v>30.536200000000001</v>
      </c>
      <c r="FU26">
        <v>61.675899999999999</v>
      </c>
      <c r="FV26">
        <v>46.5946</v>
      </c>
      <c r="FW26">
        <v>1</v>
      </c>
      <c r="FX26">
        <v>0.67260900000000001</v>
      </c>
      <c r="FY26">
        <v>9.2810500000000005</v>
      </c>
      <c r="FZ26">
        <v>20.0242</v>
      </c>
      <c r="GA26">
        <v>5.2286700000000002</v>
      </c>
      <c r="GB26">
        <v>11.962</v>
      </c>
      <c r="GC26">
        <v>4.9718</v>
      </c>
      <c r="GD26">
        <v>3.2949999999999999</v>
      </c>
      <c r="GE26">
        <v>9999</v>
      </c>
      <c r="GF26">
        <v>9999</v>
      </c>
      <c r="GG26">
        <v>505.8</v>
      </c>
      <c r="GH26">
        <v>9999</v>
      </c>
      <c r="GI26">
        <v>1.8660000000000001</v>
      </c>
      <c r="GJ26">
        <v>1.8654200000000001</v>
      </c>
      <c r="GK26">
        <v>1.86565</v>
      </c>
      <c r="GL26">
        <v>1.86859</v>
      </c>
      <c r="GM26">
        <v>1.8628</v>
      </c>
      <c r="GN26">
        <v>1.8610599999999999</v>
      </c>
      <c r="GO26">
        <v>1.8572599999999999</v>
      </c>
      <c r="GP26">
        <v>1.8633900000000001</v>
      </c>
      <c r="GQ26" t="s">
        <v>350</v>
      </c>
      <c r="GR26" t="s">
        <v>19</v>
      </c>
      <c r="GS26" t="s">
        <v>19</v>
      </c>
      <c r="GT26" t="s">
        <v>19</v>
      </c>
      <c r="GU26" t="s">
        <v>351</v>
      </c>
      <c r="GV26" t="s">
        <v>352</v>
      </c>
      <c r="GW26" t="s">
        <v>353</v>
      </c>
      <c r="GX26" t="s">
        <v>353</v>
      </c>
      <c r="GY26" t="s">
        <v>353</v>
      </c>
      <c r="GZ26" t="s">
        <v>353</v>
      </c>
      <c r="HA26">
        <v>0</v>
      </c>
      <c r="HB26">
        <v>100</v>
      </c>
      <c r="HC26">
        <v>100</v>
      </c>
      <c r="HD26">
        <v>4.9450000000000003</v>
      </c>
      <c r="HE26">
        <v>0.46899999999999997</v>
      </c>
      <c r="HF26">
        <v>2</v>
      </c>
      <c r="HG26">
        <v>502.81700000000001</v>
      </c>
      <c r="HH26">
        <v>466.42899999999997</v>
      </c>
      <c r="HI26">
        <v>18.7348</v>
      </c>
      <c r="HJ26">
        <v>35.480200000000004</v>
      </c>
      <c r="HK26">
        <v>30.000499999999999</v>
      </c>
      <c r="HL26">
        <v>35.3033</v>
      </c>
      <c r="HM26">
        <v>35.286700000000003</v>
      </c>
      <c r="HN26">
        <v>37.286000000000001</v>
      </c>
      <c r="HO26">
        <v>51.401899999999998</v>
      </c>
      <c r="HP26">
        <v>0</v>
      </c>
      <c r="HQ26">
        <v>16.339300000000001</v>
      </c>
      <c r="HR26">
        <v>800</v>
      </c>
      <c r="HS26">
        <v>15.570499999999999</v>
      </c>
      <c r="HT26">
        <v>98.924400000000006</v>
      </c>
      <c r="HU26">
        <v>102.82</v>
      </c>
    </row>
    <row r="27" spans="1:229" x14ac:dyDescent="0.35">
      <c r="A27">
        <v>12</v>
      </c>
      <c r="B27">
        <v>1565553445</v>
      </c>
      <c r="C27">
        <v>1165.9000000953699</v>
      </c>
      <c r="D27" t="s">
        <v>400</v>
      </c>
      <c r="E27" t="s">
        <v>401</v>
      </c>
      <c r="G27">
        <v>1565553445</v>
      </c>
      <c r="H27">
        <f t="shared" si="0"/>
        <v>1.8509290747401605E-3</v>
      </c>
      <c r="I27">
        <f t="shared" si="1"/>
        <v>40.734267187391232</v>
      </c>
      <c r="J27">
        <f t="shared" si="2"/>
        <v>1148.4680000000001</v>
      </c>
      <c r="K27">
        <f t="shared" si="3"/>
        <v>446.85130313797515</v>
      </c>
      <c r="L27">
        <f t="shared" si="4"/>
        <v>44.33392596811666</v>
      </c>
      <c r="M27">
        <f t="shared" si="5"/>
        <v>113.94415755576199</v>
      </c>
      <c r="N27">
        <f t="shared" si="6"/>
        <v>9.8257708085989298E-2</v>
      </c>
      <c r="O27">
        <f t="shared" si="7"/>
        <v>2.2476429643481524</v>
      </c>
      <c r="P27">
        <f t="shared" si="8"/>
        <v>9.593227925988411E-2</v>
      </c>
      <c r="Q27">
        <f t="shared" si="9"/>
        <v>6.0162021253220316E-2</v>
      </c>
      <c r="R27">
        <f t="shared" si="10"/>
        <v>281.53961933128858</v>
      </c>
      <c r="S27">
        <f t="shared" si="11"/>
        <v>27.044984391570399</v>
      </c>
      <c r="T27">
        <f t="shared" si="12"/>
        <v>27.350899999999999</v>
      </c>
      <c r="U27">
        <f t="shared" si="13"/>
        <v>3.6535902846978643</v>
      </c>
      <c r="V27">
        <f t="shared" si="14"/>
        <v>54.579293225004186</v>
      </c>
      <c r="W27">
        <f t="shared" si="15"/>
        <v>1.7918751296225501</v>
      </c>
      <c r="X27">
        <f t="shared" si="16"/>
        <v>3.283067668603751</v>
      </c>
      <c r="Y27">
        <f t="shared" si="17"/>
        <v>1.8617151550753142</v>
      </c>
      <c r="Z27">
        <f t="shared" si="18"/>
        <v>-81.625972196041076</v>
      </c>
      <c r="AA27">
        <f t="shared" si="19"/>
        <v>-219.7022610392581</v>
      </c>
      <c r="AB27">
        <f t="shared" si="20"/>
        <v>-20.978322563744143</v>
      </c>
      <c r="AC27">
        <f t="shared" si="21"/>
        <v>-40.766936467754732</v>
      </c>
      <c r="AD27">
        <v>-4.1120322548959899E-2</v>
      </c>
      <c r="AE27">
        <v>4.6161164399313198E-2</v>
      </c>
      <c r="AF27">
        <v>3.45100758971483</v>
      </c>
      <c r="AG27">
        <v>0</v>
      </c>
      <c r="AH27">
        <v>0</v>
      </c>
      <c r="AI27">
        <f t="shared" si="22"/>
        <v>1</v>
      </c>
      <c r="AJ27">
        <f t="shared" si="23"/>
        <v>0</v>
      </c>
      <c r="AK27">
        <f t="shared" si="24"/>
        <v>52690.678400178906</v>
      </c>
      <c r="AL27" t="s">
        <v>344</v>
      </c>
      <c r="AM27">
        <v>589.29941176470595</v>
      </c>
      <c r="AN27">
        <v>3530.99</v>
      </c>
      <c r="AO27">
        <f t="shared" si="25"/>
        <v>2941.6905882352939</v>
      </c>
      <c r="AP27">
        <f t="shared" si="26"/>
        <v>0.83310646256015852</v>
      </c>
      <c r="AQ27">
        <v>1.42453575549529</v>
      </c>
      <c r="AR27" t="s">
        <v>402</v>
      </c>
      <c r="AS27">
        <v>824.87123529411804</v>
      </c>
      <c r="AT27">
        <v>1355.52</v>
      </c>
      <c r="AU27">
        <f t="shared" si="27"/>
        <v>0.39147247160195497</v>
      </c>
      <c r="AV27">
        <v>0.5</v>
      </c>
      <c r="AW27">
        <f t="shared" si="28"/>
        <v>1471.1363998142933</v>
      </c>
      <c r="AX27">
        <f t="shared" si="29"/>
        <v>40.734267187391232</v>
      </c>
      <c r="AY27">
        <f t="shared" si="30"/>
        <v>287.9547012494516</v>
      </c>
      <c r="AZ27">
        <f t="shared" si="31"/>
        <v>0.59785174693106702</v>
      </c>
      <c r="BA27">
        <f t="shared" si="32"/>
        <v>2.6720657198651427E-2</v>
      </c>
      <c r="BB27">
        <f t="shared" si="33"/>
        <v>1.6048970136921623</v>
      </c>
      <c r="BC27" t="s">
        <v>403</v>
      </c>
      <c r="BD27">
        <v>545.12</v>
      </c>
      <c r="BE27">
        <f t="shared" si="34"/>
        <v>810.4</v>
      </c>
      <c r="BF27">
        <f t="shared" si="35"/>
        <v>0.65479857441495803</v>
      </c>
      <c r="BG27">
        <f t="shared" si="36"/>
        <v>0.72858831764276399</v>
      </c>
      <c r="BH27">
        <f t="shared" si="37"/>
        <v>0.69255351899122841</v>
      </c>
      <c r="BI27">
        <f t="shared" si="38"/>
        <v>0.7395305300633449</v>
      </c>
      <c r="BJ27">
        <v>8099</v>
      </c>
      <c r="BK27">
        <v>300</v>
      </c>
      <c r="BL27">
        <v>300</v>
      </c>
      <c r="BM27">
        <v>300</v>
      </c>
      <c r="BN27">
        <v>10288.799999999999</v>
      </c>
      <c r="BO27">
        <v>1221.83</v>
      </c>
      <c r="BP27">
        <v>-7.04092E-3</v>
      </c>
      <c r="BQ27">
        <v>6.1121800000000004</v>
      </c>
      <c r="BR27" t="s">
        <v>347</v>
      </c>
      <c r="BS27" t="s">
        <v>347</v>
      </c>
      <c r="BT27" t="s">
        <v>347</v>
      </c>
      <c r="BU27" t="s">
        <v>347</v>
      </c>
      <c r="BV27" t="s">
        <v>347</v>
      </c>
      <c r="BW27" t="s">
        <v>347</v>
      </c>
      <c r="BX27" t="s">
        <v>347</v>
      </c>
      <c r="BY27" t="s">
        <v>347</v>
      </c>
      <c r="BZ27" t="s">
        <v>347</v>
      </c>
      <c r="CA27" t="s">
        <v>347</v>
      </c>
      <c r="CB27">
        <f t="shared" si="39"/>
        <v>1749.92</v>
      </c>
      <c r="CC27">
        <f t="shared" si="40"/>
        <v>1471.1363998142933</v>
      </c>
      <c r="CD27">
        <f t="shared" si="41"/>
        <v>0.84068780276486543</v>
      </c>
      <c r="CE27">
        <f t="shared" si="42"/>
        <v>0.19137560552973082</v>
      </c>
      <c r="CF27">
        <v>1565553445</v>
      </c>
      <c r="CG27">
        <v>1148.4680000000001</v>
      </c>
      <c r="CH27">
        <v>1199.9000000000001</v>
      </c>
      <c r="CI27">
        <v>18.060700000000001</v>
      </c>
      <c r="CJ27">
        <v>15.8797</v>
      </c>
      <c r="CK27">
        <v>500</v>
      </c>
      <c r="CL27">
        <v>99.114099999999993</v>
      </c>
      <c r="CM27">
        <v>9.9946499999999994E-2</v>
      </c>
      <c r="CN27">
        <v>25.537800000000001</v>
      </c>
      <c r="CO27">
        <v>27.350899999999999</v>
      </c>
      <c r="CP27">
        <v>999.9</v>
      </c>
      <c r="CQ27">
        <v>0</v>
      </c>
      <c r="CR27">
        <v>0</v>
      </c>
      <c r="CS27">
        <v>10005</v>
      </c>
      <c r="CT27">
        <v>0</v>
      </c>
      <c r="CU27">
        <v>1562.32</v>
      </c>
      <c r="CV27">
        <v>-51.070999999999998</v>
      </c>
      <c r="CW27">
        <v>1169.96</v>
      </c>
      <c r="CX27">
        <v>1219.26</v>
      </c>
      <c r="CY27">
        <v>2.18004</v>
      </c>
      <c r="CZ27">
        <v>1143.8900000000001</v>
      </c>
      <c r="DA27">
        <v>1199.9000000000001</v>
      </c>
      <c r="DB27">
        <v>17.590699999999998</v>
      </c>
      <c r="DC27">
        <v>15.8797</v>
      </c>
      <c r="DD27">
        <v>1.7899700000000001</v>
      </c>
      <c r="DE27">
        <v>1.5739000000000001</v>
      </c>
      <c r="DF27">
        <v>15.6995</v>
      </c>
      <c r="DG27">
        <v>13.7056</v>
      </c>
      <c r="DH27">
        <v>1749.92</v>
      </c>
      <c r="DI27">
        <v>0.97700699999999996</v>
      </c>
      <c r="DJ27">
        <v>2.2992800000000001E-2</v>
      </c>
      <c r="DK27">
        <v>0</v>
      </c>
      <c r="DL27">
        <v>823.75900000000001</v>
      </c>
      <c r="DM27">
        <v>5.0002700000000004</v>
      </c>
      <c r="DN27">
        <v>19212.099999999999</v>
      </c>
      <c r="DO27">
        <v>14145</v>
      </c>
      <c r="DP27">
        <v>49.436999999999998</v>
      </c>
      <c r="DQ27">
        <v>51.811999999999998</v>
      </c>
      <c r="DR27">
        <v>50.5</v>
      </c>
      <c r="DS27">
        <v>51.25</v>
      </c>
      <c r="DT27">
        <v>50.75</v>
      </c>
      <c r="DU27">
        <v>1704.8</v>
      </c>
      <c r="DV27">
        <v>40.119999999999997</v>
      </c>
      <c r="DW27">
        <v>0</v>
      </c>
      <c r="DX27">
        <v>117</v>
      </c>
      <c r="DY27">
        <v>824.87123529411804</v>
      </c>
      <c r="DZ27">
        <v>-11.409068598475599</v>
      </c>
      <c r="EA27">
        <v>676.15195865497401</v>
      </c>
      <c r="EB27">
        <v>19170.5058823529</v>
      </c>
      <c r="EC27">
        <v>10</v>
      </c>
      <c r="ED27">
        <v>1565553473.5</v>
      </c>
      <c r="EE27" t="s">
        <v>404</v>
      </c>
      <c r="EF27">
        <v>67</v>
      </c>
      <c r="EG27">
        <v>4.5830000000000002</v>
      </c>
      <c r="EH27">
        <v>0.47</v>
      </c>
      <c r="EI27">
        <v>1200</v>
      </c>
      <c r="EJ27">
        <v>16</v>
      </c>
      <c r="EK27">
        <v>0.08</v>
      </c>
      <c r="EL27">
        <v>0.15</v>
      </c>
      <c r="EM27">
        <v>40.797195956788897</v>
      </c>
      <c r="EN27">
        <v>-1.09749968954578</v>
      </c>
      <c r="EO27">
        <v>0.16609297739731799</v>
      </c>
      <c r="EP27">
        <v>0</v>
      </c>
      <c r="EQ27">
        <v>0.10078370672678801</v>
      </c>
      <c r="ER27">
        <v>-7.5264139313243701E-3</v>
      </c>
      <c r="ES27">
        <v>8.8524477027043997E-4</v>
      </c>
      <c r="ET27">
        <v>1</v>
      </c>
      <c r="EU27">
        <v>1</v>
      </c>
      <c r="EV27">
        <v>2</v>
      </c>
      <c r="EW27" t="s">
        <v>349</v>
      </c>
      <c r="EX27">
        <v>2.9480599999999999</v>
      </c>
      <c r="EY27">
        <v>2.7774000000000001</v>
      </c>
      <c r="EZ27">
        <v>0.19275200000000001</v>
      </c>
      <c r="FA27">
        <v>0.19320100000000001</v>
      </c>
      <c r="FB27">
        <v>8.9831800000000003E-2</v>
      </c>
      <c r="FC27">
        <v>7.9351099999999994E-2</v>
      </c>
      <c r="FD27">
        <v>19298</v>
      </c>
      <c r="FE27">
        <v>19451</v>
      </c>
      <c r="FF27">
        <v>22492</v>
      </c>
      <c r="FG27">
        <v>26461.3</v>
      </c>
      <c r="FH27">
        <v>29266.6</v>
      </c>
      <c r="FI27">
        <v>38246.800000000003</v>
      </c>
      <c r="FJ27">
        <v>32128.400000000001</v>
      </c>
      <c r="FK27">
        <v>42163.6</v>
      </c>
      <c r="FL27">
        <v>1.9251499999999999</v>
      </c>
      <c r="FM27">
        <v>1.8128</v>
      </c>
      <c r="FN27">
        <v>-8.7246300000000006E-3</v>
      </c>
      <c r="FO27">
        <v>0</v>
      </c>
      <c r="FP27">
        <v>27.493500000000001</v>
      </c>
      <c r="FQ27">
        <v>999.9</v>
      </c>
      <c r="FR27">
        <v>35.826000000000001</v>
      </c>
      <c r="FS27">
        <v>42.429000000000002</v>
      </c>
      <c r="FT27">
        <v>30.474900000000002</v>
      </c>
      <c r="FU27">
        <v>61.605899999999998</v>
      </c>
      <c r="FV27">
        <v>46.598599999999998</v>
      </c>
      <c r="FW27">
        <v>1</v>
      </c>
      <c r="FX27">
        <v>0.68225400000000003</v>
      </c>
      <c r="FY27">
        <v>9.2810500000000005</v>
      </c>
      <c r="FZ27">
        <v>20.024000000000001</v>
      </c>
      <c r="GA27">
        <v>5.2264200000000001</v>
      </c>
      <c r="GB27">
        <v>11.962</v>
      </c>
      <c r="GC27">
        <v>4.9716500000000003</v>
      </c>
      <c r="GD27">
        <v>3.2949999999999999</v>
      </c>
      <c r="GE27">
        <v>9999</v>
      </c>
      <c r="GF27">
        <v>9999</v>
      </c>
      <c r="GG27">
        <v>505.8</v>
      </c>
      <c r="GH27">
        <v>9999</v>
      </c>
      <c r="GI27">
        <v>1.8660099999999999</v>
      </c>
      <c r="GJ27">
        <v>1.86547</v>
      </c>
      <c r="GK27">
        <v>1.8656299999999999</v>
      </c>
      <c r="GL27">
        <v>1.8686100000000001</v>
      </c>
      <c r="GM27">
        <v>1.8628400000000001</v>
      </c>
      <c r="GN27">
        <v>1.8610199999999999</v>
      </c>
      <c r="GO27">
        <v>1.8572900000000001</v>
      </c>
      <c r="GP27">
        <v>1.8633999999999999</v>
      </c>
      <c r="GQ27" t="s">
        <v>350</v>
      </c>
      <c r="GR27" t="s">
        <v>19</v>
      </c>
      <c r="GS27" t="s">
        <v>19</v>
      </c>
      <c r="GT27" t="s">
        <v>19</v>
      </c>
      <c r="GU27" t="s">
        <v>351</v>
      </c>
      <c r="GV27" t="s">
        <v>352</v>
      </c>
      <c r="GW27" t="s">
        <v>353</v>
      </c>
      <c r="GX27" t="s">
        <v>353</v>
      </c>
      <c r="GY27" t="s">
        <v>353</v>
      </c>
      <c r="GZ27" t="s">
        <v>353</v>
      </c>
      <c r="HA27">
        <v>0</v>
      </c>
      <c r="HB27">
        <v>100</v>
      </c>
      <c r="HC27">
        <v>100</v>
      </c>
      <c r="HD27">
        <v>4.5830000000000002</v>
      </c>
      <c r="HE27">
        <v>0.47</v>
      </c>
      <c r="HF27">
        <v>2</v>
      </c>
      <c r="HG27">
        <v>502.46100000000001</v>
      </c>
      <c r="HH27">
        <v>467.416</v>
      </c>
      <c r="HI27">
        <v>18.808700000000002</v>
      </c>
      <c r="HJ27">
        <v>35.6023</v>
      </c>
      <c r="HK27">
        <v>30.000399999999999</v>
      </c>
      <c r="HL27">
        <v>35.393999999999998</v>
      </c>
      <c r="HM27">
        <v>35.374899999999997</v>
      </c>
      <c r="HN27">
        <v>51.9895</v>
      </c>
      <c r="HO27">
        <v>49.613900000000001</v>
      </c>
      <c r="HP27">
        <v>0</v>
      </c>
      <c r="HQ27">
        <v>16.223800000000001</v>
      </c>
      <c r="HR27">
        <v>1200</v>
      </c>
      <c r="HS27">
        <v>16.018899999999999</v>
      </c>
      <c r="HT27">
        <v>98.899100000000004</v>
      </c>
      <c r="HU27">
        <v>102.797</v>
      </c>
    </row>
    <row r="28" spans="1:229" x14ac:dyDescent="0.35">
      <c r="A28">
        <v>13</v>
      </c>
      <c r="B28">
        <v>1565553561.5</v>
      </c>
      <c r="C28">
        <v>1282.4000000953699</v>
      </c>
      <c r="D28" t="s">
        <v>405</v>
      </c>
      <c r="E28" t="s">
        <v>406</v>
      </c>
      <c r="G28">
        <v>1565553561.5</v>
      </c>
      <c r="H28">
        <f t="shared" si="0"/>
        <v>1.6314192594060694E-3</v>
      </c>
      <c r="I28">
        <f t="shared" si="1"/>
        <v>44.276537549685663</v>
      </c>
      <c r="J28">
        <f t="shared" si="2"/>
        <v>1543.8230000000001</v>
      </c>
      <c r="K28">
        <f t="shared" si="3"/>
        <v>669.23180229521608</v>
      </c>
      <c r="L28">
        <f t="shared" si="4"/>
        <v>66.396780964633933</v>
      </c>
      <c r="M28">
        <f t="shared" si="5"/>
        <v>153.16797143771481</v>
      </c>
      <c r="N28">
        <f t="shared" si="6"/>
        <v>8.5832793447670225E-2</v>
      </c>
      <c r="O28">
        <f t="shared" si="7"/>
        <v>2.2470529644745469</v>
      </c>
      <c r="P28">
        <f t="shared" si="8"/>
        <v>8.405209499279305E-2</v>
      </c>
      <c r="Q28">
        <f t="shared" si="9"/>
        <v>5.2689471131097745E-2</v>
      </c>
      <c r="R28">
        <f t="shared" si="10"/>
        <v>281.5316393785871</v>
      </c>
      <c r="S28">
        <f t="shared" si="11"/>
        <v>27.211057760994862</v>
      </c>
      <c r="T28">
        <f t="shared" si="12"/>
        <v>27.435099999999998</v>
      </c>
      <c r="U28">
        <f t="shared" si="13"/>
        <v>3.6716498992377287</v>
      </c>
      <c r="V28">
        <f t="shared" si="14"/>
        <v>54.496400725627723</v>
      </c>
      <c r="W28">
        <f t="shared" si="15"/>
        <v>1.79904700401356</v>
      </c>
      <c r="X28">
        <f t="shared" si="16"/>
        <v>3.3012216954862708</v>
      </c>
      <c r="Y28">
        <f t="shared" si="17"/>
        <v>1.8726028952241687</v>
      </c>
      <c r="Z28">
        <f t="shared" si="18"/>
        <v>-71.945589339807654</v>
      </c>
      <c r="AA28">
        <f t="shared" si="19"/>
        <v>-218.59064468280422</v>
      </c>
      <c r="AB28">
        <f t="shared" si="20"/>
        <v>-20.896184942862039</v>
      </c>
      <c r="AC28">
        <f t="shared" si="21"/>
        <v>-29.900779586886813</v>
      </c>
      <c r="AD28">
        <v>-4.1104455802711999E-2</v>
      </c>
      <c r="AE28">
        <v>4.6143352586646501E-2</v>
      </c>
      <c r="AF28">
        <v>3.4499532578522998</v>
      </c>
      <c r="AG28">
        <v>0</v>
      </c>
      <c r="AH28">
        <v>0</v>
      </c>
      <c r="AI28">
        <f t="shared" si="22"/>
        <v>1</v>
      </c>
      <c r="AJ28">
        <f t="shared" si="23"/>
        <v>0</v>
      </c>
      <c r="AK28">
        <f t="shared" si="24"/>
        <v>52654.781109928554</v>
      </c>
      <c r="AL28" t="s">
        <v>344</v>
      </c>
      <c r="AM28">
        <v>589.29941176470595</v>
      </c>
      <c r="AN28">
        <v>3530.99</v>
      </c>
      <c r="AO28">
        <f t="shared" si="25"/>
        <v>2941.6905882352939</v>
      </c>
      <c r="AP28">
        <f t="shared" si="26"/>
        <v>0.83310646256015852</v>
      </c>
      <c r="AQ28">
        <v>1.42453575549529</v>
      </c>
      <c r="AR28" t="s">
        <v>407</v>
      </c>
      <c r="AS28">
        <v>816.62405882352903</v>
      </c>
      <c r="AT28">
        <v>1340.48</v>
      </c>
      <c r="AU28">
        <f t="shared" si="27"/>
        <v>0.39079728244842971</v>
      </c>
      <c r="AV28">
        <v>0.5</v>
      </c>
      <c r="AW28">
        <f t="shared" si="28"/>
        <v>1471.0943998142877</v>
      </c>
      <c r="AX28">
        <f t="shared" si="29"/>
        <v>44.276537549685663</v>
      </c>
      <c r="AY28">
        <f t="shared" si="30"/>
        <v>287.4498468362637</v>
      </c>
      <c r="AZ28">
        <f t="shared" si="31"/>
        <v>0.59629386488422065</v>
      </c>
      <c r="BA28">
        <f t="shared" si="32"/>
        <v>2.9129335139607661E-2</v>
      </c>
      <c r="BB28">
        <f t="shared" si="33"/>
        <v>1.634123597517307</v>
      </c>
      <c r="BC28" t="s">
        <v>408</v>
      </c>
      <c r="BD28">
        <v>541.16</v>
      </c>
      <c r="BE28">
        <f t="shared" si="34"/>
        <v>799.32</v>
      </c>
      <c r="BF28">
        <f t="shared" si="35"/>
        <v>0.65537699691796902</v>
      </c>
      <c r="BG28">
        <f t="shared" si="36"/>
        <v>0.73265369602954011</v>
      </c>
      <c r="BH28">
        <f t="shared" si="37"/>
        <v>0.69737683505258841</v>
      </c>
      <c r="BI28">
        <f t="shared" si="38"/>
        <v>0.7446432363622838</v>
      </c>
      <c r="BJ28">
        <v>8101</v>
      </c>
      <c r="BK28">
        <v>300</v>
      </c>
      <c r="BL28">
        <v>300</v>
      </c>
      <c r="BM28">
        <v>300</v>
      </c>
      <c r="BN28">
        <v>10288.4</v>
      </c>
      <c r="BO28">
        <v>1210.8599999999999</v>
      </c>
      <c r="BP28">
        <v>-7.0406499999999999E-3</v>
      </c>
      <c r="BQ28">
        <v>6.2344999999999997</v>
      </c>
      <c r="BR28" t="s">
        <v>347</v>
      </c>
      <c r="BS28" t="s">
        <v>347</v>
      </c>
      <c r="BT28" t="s">
        <v>347</v>
      </c>
      <c r="BU28" t="s">
        <v>347</v>
      </c>
      <c r="BV28" t="s">
        <v>347</v>
      </c>
      <c r="BW28" t="s">
        <v>347</v>
      </c>
      <c r="BX28" t="s">
        <v>347</v>
      </c>
      <c r="BY28" t="s">
        <v>347</v>
      </c>
      <c r="BZ28" t="s">
        <v>347</v>
      </c>
      <c r="CA28" t="s">
        <v>347</v>
      </c>
      <c r="CB28">
        <f t="shared" si="39"/>
        <v>1749.87</v>
      </c>
      <c r="CC28">
        <f t="shared" si="40"/>
        <v>1471.0943998142877</v>
      </c>
      <c r="CD28">
        <f t="shared" si="41"/>
        <v>0.8406878224178298</v>
      </c>
      <c r="CE28">
        <f t="shared" si="42"/>
        <v>0.19137564483565972</v>
      </c>
      <c r="CF28">
        <v>1565553561.5</v>
      </c>
      <c r="CG28">
        <v>1543.8230000000001</v>
      </c>
      <c r="CH28">
        <v>1599.98</v>
      </c>
      <c r="CI28">
        <v>18.133099999999999</v>
      </c>
      <c r="CJ28">
        <v>16.210799999999999</v>
      </c>
      <c r="CK28">
        <v>499.97500000000002</v>
      </c>
      <c r="CL28">
        <v>99.113500000000002</v>
      </c>
      <c r="CM28">
        <v>9.9927600000000005E-2</v>
      </c>
      <c r="CN28">
        <v>25.630700000000001</v>
      </c>
      <c r="CO28">
        <v>27.435099999999998</v>
      </c>
      <c r="CP28">
        <v>999.9</v>
      </c>
      <c r="CQ28">
        <v>0</v>
      </c>
      <c r="CR28">
        <v>0</v>
      </c>
      <c r="CS28">
        <v>10001.200000000001</v>
      </c>
      <c r="CT28">
        <v>0</v>
      </c>
      <c r="CU28">
        <v>1550.44</v>
      </c>
      <c r="CV28">
        <v>-55.3992</v>
      </c>
      <c r="CW28">
        <v>1573.11</v>
      </c>
      <c r="CX28">
        <v>1626.34</v>
      </c>
      <c r="CY28">
        <v>1.9242900000000001</v>
      </c>
      <c r="CZ28">
        <v>1540</v>
      </c>
      <c r="DA28">
        <v>1599.98</v>
      </c>
      <c r="DB28">
        <v>17.665099999999999</v>
      </c>
      <c r="DC28">
        <v>16.210799999999999</v>
      </c>
      <c r="DD28">
        <v>1.7974300000000001</v>
      </c>
      <c r="DE28">
        <v>1.6067100000000001</v>
      </c>
      <c r="DF28">
        <v>15.7645</v>
      </c>
      <c r="DG28">
        <v>14.023300000000001</v>
      </c>
      <c r="DH28">
        <v>1749.87</v>
      </c>
      <c r="DI28">
        <v>0.97700699999999996</v>
      </c>
      <c r="DJ28">
        <v>2.2992800000000001E-2</v>
      </c>
      <c r="DK28">
        <v>0</v>
      </c>
      <c r="DL28">
        <v>815.85299999999995</v>
      </c>
      <c r="DM28">
        <v>5.0002700000000004</v>
      </c>
      <c r="DN28">
        <v>19044.900000000001</v>
      </c>
      <c r="DO28">
        <v>14144.7</v>
      </c>
      <c r="DP28">
        <v>49.5</v>
      </c>
      <c r="DQ28">
        <v>51.875</v>
      </c>
      <c r="DR28">
        <v>50.561999999999998</v>
      </c>
      <c r="DS28">
        <v>51.25</v>
      </c>
      <c r="DT28">
        <v>50.75</v>
      </c>
      <c r="DU28">
        <v>1704.75</v>
      </c>
      <c r="DV28">
        <v>40.119999999999997</v>
      </c>
      <c r="DW28">
        <v>0</v>
      </c>
      <c r="DX28">
        <v>115.799999952316</v>
      </c>
      <c r="DY28">
        <v>816.62405882352903</v>
      </c>
      <c r="DZ28">
        <v>-11.7811274644938</v>
      </c>
      <c r="EA28">
        <v>73.897059117299193</v>
      </c>
      <c r="EB28">
        <v>19036.782352941202</v>
      </c>
      <c r="EC28">
        <v>10</v>
      </c>
      <c r="ED28">
        <v>1565553586</v>
      </c>
      <c r="EE28" t="s">
        <v>409</v>
      </c>
      <c r="EF28">
        <v>68</v>
      </c>
      <c r="EG28">
        <v>3.8260000000000001</v>
      </c>
      <c r="EH28">
        <v>0.46800000000000003</v>
      </c>
      <c r="EI28">
        <v>1600</v>
      </c>
      <c r="EJ28">
        <v>16</v>
      </c>
      <c r="EK28">
        <v>0.08</v>
      </c>
      <c r="EL28">
        <v>0.12</v>
      </c>
      <c r="EM28">
        <v>43.748178246963903</v>
      </c>
      <c r="EN28">
        <v>1.1977996135098101E-2</v>
      </c>
      <c r="EO28">
        <v>0.175602680651124</v>
      </c>
      <c r="EP28">
        <v>1</v>
      </c>
      <c r="EQ28">
        <v>8.6649551360323998E-2</v>
      </c>
      <c r="ER28">
        <v>-3.8135706954132501E-3</v>
      </c>
      <c r="ES28">
        <v>3.9920907574305498E-4</v>
      </c>
      <c r="ET28">
        <v>1</v>
      </c>
      <c r="EU28">
        <v>2</v>
      </c>
      <c r="EV28">
        <v>2</v>
      </c>
      <c r="EW28" t="s">
        <v>359</v>
      </c>
      <c r="EX28">
        <v>2.9479199999999999</v>
      </c>
      <c r="EY28">
        <v>2.7773500000000002</v>
      </c>
      <c r="EZ28">
        <v>0.23074800000000001</v>
      </c>
      <c r="FA28">
        <v>0.22970399999999999</v>
      </c>
      <c r="FB28">
        <v>9.0090600000000007E-2</v>
      </c>
      <c r="FC28">
        <v>8.0540600000000004E-2</v>
      </c>
      <c r="FD28">
        <v>18381.400000000001</v>
      </c>
      <c r="FE28">
        <v>18562.900000000001</v>
      </c>
      <c r="FF28">
        <v>22487</v>
      </c>
      <c r="FG28">
        <v>26456.7</v>
      </c>
      <c r="FH28">
        <v>29253.8</v>
      </c>
      <c r="FI28">
        <v>38192.199999999997</v>
      </c>
      <c r="FJ28">
        <v>32123</v>
      </c>
      <c r="FK28">
        <v>42157.5</v>
      </c>
      <c r="FL28">
        <v>1.92377</v>
      </c>
      <c r="FM28">
        <v>1.8134300000000001</v>
      </c>
      <c r="FN28">
        <v>-1.04457E-2</v>
      </c>
      <c r="FO28">
        <v>0</v>
      </c>
      <c r="FP28">
        <v>27.605699999999999</v>
      </c>
      <c r="FQ28">
        <v>999.9</v>
      </c>
      <c r="FR28">
        <v>35.722000000000001</v>
      </c>
      <c r="FS28">
        <v>42.429000000000002</v>
      </c>
      <c r="FT28">
        <v>30.3888</v>
      </c>
      <c r="FU28">
        <v>61.615900000000003</v>
      </c>
      <c r="FV28">
        <v>46.554499999999997</v>
      </c>
      <c r="FW28">
        <v>1</v>
      </c>
      <c r="FX28">
        <v>0.68889199999999995</v>
      </c>
      <c r="FY28">
        <v>9.2810500000000005</v>
      </c>
      <c r="FZ28">
        <v>20.023800000000001</v>
      </c>
      <c r="GA28">
        <v>5.2286700000000002</v>
      </c>
      <c r="GB28">
        <v>11.962</v>
      </c>
      <c r="GC28">
        <v>4.9715499999999997</v>
      </c>
      <c r="GD28">
        <v>3.2949999999999999</v>
      </c>
      <c r="GE28">
        <v>9999</v>
      </c>
      <c r="GF28">
        <v>9999</v>
      </c>
      <c r="GG28">
        <v>505.9</v>
      </c>
      <c r="GH28">
        <v>9999</v>
      </c>
      <c r="GI28">
        <v>1.8660000000000001</v>
      </c>
      <c r="GJ28">
        <v>1.86547</v>
      </c>
      <c r="GK28">
        <v>1.8656299999999999</v>
      </c>
      <c r="GL28">
        <v>1.8686100000000001</v>
      </c>
      <c r="GM28">
        <v>1.8629</v>
      </c>
      <c r="GN28">
        <v>1.8610599999999999</v>
      </c>
      <c r="GO28">
        <v>1.8572599999999999</v>
      </c>
      <c r="GP28">
        <v>1.8633999999999999</v>
      </c>
      <c r="GQ28" t="s">
        <v>350</v>
      </c>
      <c r="GR28" t="s">
        <v>19</v>
      </c>
      <c r="GS28" t="s">
        <v>19</v>
      </c>
      <c r="GT28" t="s">
        <v>19</v>
      </c>
      <c r="GU28" t="s">
        <v>351</v>
      </c>
      <c r="GV28" t="s">
        <v>352</v>
      </c>
      <c r="GW28" t="s">
        <v>353</v>
      </c>
      <c r="GX28" t="s">
        <v>353</v>
      </c>
      <c r="GY28" t="s">
        <v>353</v>
      </c>
      <c r="GZ28" t="s">
        <v>353</v>
      </c>
      <c r="HA28">
        <v>0</v>
      </c>
      <c r="HB28">
        <v>100</v>
      </c>
      <c r="HC28">
        <v>100</v>
      </c>
      <c r="HD28">
        <v>3.8260000000000001</v>
      </c>
      <c r="HE28">
        <v>0.46800000000000003</v>
      </c>
      <c r="HF28">
        <v>2</v>
      </c>
      <c r="HG28">
        <v>502.13200000000001</v>
      </c>
      <c r="HH28">
        <v>468.39499999999998</v>
      </c>
      <c r="HI28">
        <v>18.870899999999999</v>
      </c>
      <c r="HJ28">
        <v>35.694299999999998</v>
      </c>
      <c r="HK28">
        <v>30.000399999999999</v>
      </c>
      <c r="HL28">
        <v>35.472900000000003</v>
      </c>
      <c r="HM28">
        <v>35.452500000000001</v>
      </c>
      <c r="HN28">
        <v>65.617400000000004</v>
      </c>
      <c r="HO28">
        <v>48.636400000000002</v>
      </c>
      <c r="HP28">
        <v>0</v>
      </c>
      <c r="HQ28">
        <v>16.2882</v>
      </c>
      <c r="HR28">
        <v>1600</v>
      </c>
      <c r="HS28">
        <v>16.2836</v>
      </c>
      <c r="HT28">
        <v>98.880300000000005</v>
      </c>
      <c r="HU28">
        <v>102.78100000000001</v>
      </c>
    </row>
  </sheetData>
  <sortState xmlns:xlrd2="http://schemas.microsoft.com/office/spreadsheetml/2017/richdata2" ref="J33:L45">
    <sortCondition ref="J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2019-08-10T15:24:06Z</dcterms:created>
  <dcterms:modified xsi:type="dcterms:W3CDTF">2019-08-28T03:08:32Z</dcterms:modified>
</cp:coreProperties>
</file>