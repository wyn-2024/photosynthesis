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1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20190803_De Kauwe\A-Ci\raw\"/>
    </mc:Choice>
  </mc:AlternateContent>
  <xr:revisionPtr revIDLastSave="0" documentId="13_ncr:1_{E26441B8-821B-4E6E-94F0-490C681CB969}" xr6:coauthVersionLast="41" xr6:coauthVersionMax="41" xr10:uidLastSave="{00000000-0000-0000-0000-000000000000}"/>
  <bookViews>
    <workbookView xWindow="-110" yWindow="-110" windowWidth="19420" windowHeight="10420" xr2:uid="{00000000-000D-0000-FFFF-FFFF00000000}"/>
  </bookViews>
  <sheets>
    <sheet name="Measurements" sheetId="1" r:id="rId1"/>
    <sheet name="Remark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E28" i="1" l="1"/>
  <c r="CD28" i="1"/>
  <c r="CB28" i="1"/>
  <c r="BI28" i="1"/>
  <c r="BH28" i="1"/>
  <c r="BG28" i="1"/>
  <c r="BF28" i="1"/>
  <c r="BE28" i="1"/>
  <c r="AZ28" i="1" s="1"/>
  <c r="BB28" i="1"/>
  <c r="AU28" i="1"/>
  <c r="AO28" i="1"/>
  <c r="AP28" i="1" s="1"/>
  <c r="AK28" i="1"/>
  <c r="AI28" i="1" s="1"/>
  <c r="J28" i="1" s="1"/>
  <c r="X28" i="1"/>
  <c r="W28" i="1"/>
  <c r="V28" i="1" s="1"/>
  <c r="O28" i="1"/>
  <c r="H28" i="1"/>
  <c r="Z28" i="1" s="1"/>
  <c r="CE27" i="1"/>
  <c r="CD27" i="1"/>
  <c r="CB27" i="1"/>
  <c r="CC27" i="1" s="1"/>
  <c r="BI27" i="1"/>
  <c r="BH27" i="1"/>
  <c r="BG27" i="1"/>
  <c r="BF27" i="1"/>
  <c r="BE27" i="1"/>
  <c r="AZ27" i="1" s="1"/>
  <c r="BB27" i="1"/>
  <c r="AU27" i="1"/>
  <c r="AO27" i="1"/>
  <c r="AP27" i="1" s="1"/>
  <c r="AK27" i="1"/>
  <c r="AI27" i="1" s="1"/>
  <c r="H27" i="1" s="1"/>
  <c r="X27" i="1"/>
  <c r="W27" i="1"/>
  <c r="V27" i="1" s="1"/>
  <c r="O27" i="1"/>
  <c r="CE26" i="1"/>
  <c r="CD26" i="1"/>
  <c r="CB26" i="1"/>
  <c r="BI26" i="1"/>
  <c r="BH26" i="1"/>
  <c r="BG26" i="1"/>
  <c r="BF26" i="1"/>
  <c r="BE26" i="1"/>
  <c r="AZ26" i="1" s="1"/>
  <c r="BB26" i="1"/>
  <c r="AX26" i="1"/>
  <c r="AU26" i="1"/>
  <c r="AO26" i="1"/>
  <c r="AP26" i="1" s="1"/>
  <c r="AK26" i="1"/>
  <c r="AJ26" i="1"/>
  <c r="AI26" i="1"/>
  <c r="H26" i="1" s="1"/>
  <c r="Z26" i="1" s="1"/>
  <c r="X26" i="1"/>
  <c r="W26" i="1"/>
  <c r="V26" i="1" s="1"/>
  <c r="O26" i="1"/>
  <c r="J26" i="1"/>
  <c r="I26" i="1"/>
  <c r="CE25" i="1"/>
  <c r="CD25" i="1"/>
  <c r="CB25" i="1"/>
  <c r="BI25" i="1"/>
  <c r="BH25" i="1"/>
  <c r="BG25" i="1"/>
  <c r="BF25" i="1"/>
  <c r="BE25" i="1"/>
  <c r="AZ25" i="1" s="1"/>
  <c r="BB25" i="1"/>
  <c r="AU25" i="1"/>
  <c r="AO25" i="1"/>
  <c r="AP25" i="1" s="1"/>
  <c r="AK25" i="1"/>
  <c r="AI25" i="1" s="1"/>
  <c r="X25" i="1"/>
  <c r="W25" i="1"/>
  <c r="V25" i="1"/>
  <c r="O25" i="1"/>
  <c r="CE24" i="1"/>
  <c r="CD24" i="1"/>
  <c r="CB24" i="1"/>
  <c r="CC24" i="1" s="1"/>
  <c r="BI24" i="1"/>
  <c r="BH24" i="1"/>
  <c r="BG24" i="1"/>
  <c r="BF24" i="1"/>
  <c r="BE24" i="1"/>
  <c r="AZ24" i="1" s="1"/>
  <c r="BB24" i="1"/>
  <c r="AU24" i="1"/>
  <c r="AO24" i="1"/>
  <c r="AP24" i="1" s="1"/>
  <c r="AK24" i="1"/>
  <c r="AI24" i="1" s="1"/>
  <c r="J24" i="1" s="1"/>
  <c r="X24" i="1"/>
  <c r="W24" i="1"/>
  <c r="O24" i="1"/>
  <c r="I24" i="1"/>
  <c r="AX24" i="1" s="1"/>
  <c r="H24" i="1"/>
  <c r="Z24" i="1" s="1"/>
  <c r="CE23" i="1"/>
  <c r="CD23" i="1"/>
  <c r="CB23" i="1"/>
  <c r="CC23" i="1" s="1"/>
  <c r="AW23" i="1" s="1"/>
  <c r="AY23" i="1" s="1"/>
  <c r="BI23" i="1"/>
  <c r="BH23" i="1"/>
  <c r="BG23" i="1"/>
  <c r="BF23" i="1"/>
  <c r="BE23" i="1"/>
  <c r="AZ23" i="1" s="1"/>
  <c r="BB23" i="1"/>
  <c r="AU23" i="1"/>
  <c r="AP23" i="1"/>
  <c r="AO23" i="1"/>
  <c r="AK23" i="1"/>
  <c r="AI23" i="1" s="1"/>
  <c r="H23" i="1" s="1"/>
  <c r="X23" i="1"/>
  <c r="W23" i="1"/>
  <c r="O23" i="1"/>
  <c r="CE22" i="1"/>
  <c r="CD22" i="1"/>
  <c r="CC22" i="1" s="1"/>
  <c r="CB22" i="1"/>
  <c r="BI22" i="1"/>
  <c r="BH22" i="1"/>
  <c r="BG22" i="1"/>
  <c r="BF22" i="1"/>
  <c r="BE22" i="1"/>
  <c r="AZ22" i="1" s="1"/>
  <c r="BB22" i="1"/>
  <c r="AW22" i="1"/>
  <c r="AY22" i="1" s="1"/>
  <c r="AU22" i="1"/>
  <c r="AO22" i="1"/>
  <c r="AP22" i="1" s="1"/>
  <c r="AK22" i="1"/>
  <c r="AI22" i="1" s="1"/>
  <c r="X22" i="1"/>
  <c r="W22" i="1"/>
  <c r="V22" i="1"/>
  <c r="O22" i="1"/>
  <c r="CE21" i="1"/>
  <c r="CD21" i="1"/>
  <c r="CB21" i="1"/>
  <c r="CC21" i="1" s="1"/>
  <c r="BI21" i="1"/>
  <c r="BH21" i="1"/>
  <c r="BG21" i="1"/>
  <c r="BF21" i="1"/>
  <c r="BE21" i="1"/>
  <c r="AZ21" i="1" s="1"/>
  <c r="BB21" i="1"/>
  <c r="AU21" i="1"/>
  <c r="AO21" i="1"/>
  <c r="AP21" i="1" s="1"/>
  <c r="AK21" i="1"/>
  <c r="AI21" i="1" s="1"/>
  <c r="J21" i="1" s="1"/>
  <c r="X21" i="1"/>
  <c r="W21" i="1"/>
  <c r="O21" i="1"/>
  <c r="I21" i="1"/>
  <c r="AX21" i="1" s="1"/>
  <c r="H21" i="1"/>
  <c r="Z21" i="1" s="1"/>
  <c r="CE20" i="1"/>
  <c r="CD20" i="1"/>
  <c r="CB20" i="1"/>
  <c r="CC20" i="1" s="1"/>
  <c r="AW20" i="1" s="1"/>
  <c r="BI20" i="1"/>
  <c r="BH20" i="1"/>
  <c r="BG20" i="1"/>
  <c r="BF20" i="1"/>
  <c r="BE20" i="1"/>
  <c r="AZ20" i="1" s="1"/>
  <c r="BB20" i="1"/>
  <c r="AU20" i="1"/>
  <c r="AY20" i="1" s="1"/>
  <c r="AP20" i="1"/>
  <c r="AO20" i="1"/>
  <c r="AK20" i="1"/>
  <c r="AI20" i="1"/>
  <c r="H20" i="1" s="1"/>
  <c r="X20" i="1"/>
  <c r="W20" i="1"/>
  <c r="O20" i="1"/>
  <c r="CE19" i="1"/>
  <c r="CD19" i="1"/>
  <c r="CB19" i="1"/>
  <c r="BI19" i="1"/>
  <c r="BH19" i="1"/>
  <c r="BG19" i="1"/>
  <c r="BF19" i="1"/>
  <c r="BE19" i="1"/>
  <c r="AZ19" i="1" s="1"/>
  <c r="BB19" i="1"/>
  <c r="AU19" i="1"/>
  <c r="AO19" i="1"/>
  <c r="AP19" i="1" s="1"/>
  <c r="AK19" i="1"/>
  <c r="AI19" i="1" s="1"/>
  <c r="X19" i="1"/>
  <c r="W19" i="1"/>
  <c r="V19" i="1" s="1"/>
  <c r="O19" i="1"/>
  <c r="CE18" i="1"/>
  <c r="CD18" i="1"/>
  <c r="CC18" i="1" s="1"/>
  <c r="CB18" i="1"/>
  <c r="BI18" i="1"/>
  <c r="BH18" i="1"/>
  <c r="BG18" i="1"/>
  <c r="BF18" i="1"/>
  <c r="BE18" i="1"/>
  <c r="AZ18" i="1" s="1"/>
  <c r="BB18" i="1"/>
  <c r="AW18" i="1"/>
  <c r="AY18" i="1" s="1"/>
  <c r="AU18" i="1"/>
  <c r="AO18" i="1"/>
  <c r="AP18" i="1" s="1"/>
  <c r="AK18" i="1"/>
  <c r="AI18" i="1" s="1"/>
  <c r="M18" i="1" s="1"/>
  <c r="X18" i="1"/>
  <c r="W18" i="1"/>
  <c r="V18" i="1" s="1"/>
  <c r="O18" i="1"/>
  <c r="CE17" i="1"/>
  <c r="CD17" i="1"/>
  <c r="CB17" i="1"/>
  <c r="BI17" i="1"/>
  <c r="BH17" i="1"/>
  <c r="BG17" i="1"/>
  <c r="BF17" i="1"/>
  <c r="BE17" i="1"/>
  <c r="AZ17" i="1" s="1"/>
  <c r="BB17" i="1"/>
  <c r="AU17" i="1"/>
  <c r="AP17" i="1"/>
  <c r="AO17" i="1"/>
  <c r="AK17" i="1"/>
  <c r="AI17" i="1" s="1"/>
  <c r="J17" i="1" s="1"/>
  <c r="X17" i="1"/>
  <c r="W17" i="1"/>
  <c r="V17" i="1" s="1"/>
  <c r="O17" i="1"/>
  <c r="H19" i="1" l="1"/>
  <c r="Z19" i="1" s="1"/>
  <c r="M19" i="1"/>
  <c r="AJ19" i="1"/>
  <c r="J19" i="1"/>
  <c r="I19" i="1"/>
  <c r="AX19" i="1" s="1"/>
  <c r="CC17" i="1"/>
  <c r="AY19" i="1"/>
  <c r="CC19" i="1"/>
  <c r="AW19" i="1" s="1"/>
  <c r="M21" i="1"/>
  <c r="AJ21" i="1"/>
  <c r="M24" i="1"/>
  <c r="AJ24" i="1"/>
  <c r="CC25" i="1"/>
  <c r="M26" i="1"/>
  <c r="R26" i="1"/>
  <c r="S26" i="1" s="1"/>
  <c r="T26" i="1" s="1"/>
  <c r="P26" i="1" s="1"/>
  <c r="N26" i="1" s="1"/>
  <c r="Q26" i="1" s="1"/>
  <c r="K26" i="1" s="1"/>
  <c r="L26" i="1" s="1"/>
  <c r="I28" i="1"/>
  <c r="AX28" i="1" s="1"/>
  <c r="CC28" i="1"/>
  <c r="V20" i="1"/>
  <c r="R20" i="1"/>
  <c r="R22" i="1"/>
  <c r="R23" i="1"/>
  <c r="M28" i="1"/>
  <c r="AJ28" i="1"/>
  <c r="R18" i="1"/>
  <c r="R19" i="1"/>
  <c r="V21" i="1"/>
  <c r="V23" i="1"/>
  <c r="V24" i="1"/>
  <c r="CC26" i="1"/>
  <c r="AW26" i="1" s="1"/>
  <c r="BA26" i="1" s="1"/>
  <c r="S20" i="1"/>
  <c r="T20" i="1" s="1"/>
  <c r="P20" i="1" s="1"/>
  <c r="N20" i="1" s="1"/>
  <c r="Q20" i="1" s="1"/>
  <c r="K20" i="1" s="1"/>
  <c r="L20" i="1" s="1"/>
  <c r="AJ22" i="1"/>
  <c r="J22" i="1"/>
  <c r="I22" i="1"/>
  <c r="AX22" i="1" s="1"/>
  <c r="BA22" i="1" s="1"/>
  <c r="H18" i="1"/>
  <c r="M17" i="1"/>
  <c r="I17" i="1"/>
  <c r="AX17" i="1" s="1"/>
  <c r="H17" i="1"/>
  <c r="AJ17" i="1"/>
  <c r="S19" i="1"/>
  <c r="T19" i="1" s="1"/>
  <c r="H22" i="1"/>
  <c r="R24" i="1"/>
  <c r="AW24" i="1"/>
  <c r="BA24" i="1" s="1"/>
  <c r="AJ18" i="1"/>
  <c r="J18" i="1"/>
  <c r="I18" i="1"/>
  <c r="AX18" i="1" s="1"/>
  <c r="BA18" i="1" s="1"/>
  <c r="R21" i="1"/>
  <c r="AW21" i="1"/>
  <c r="BA21" i="1" s="1"/>
  <c r="M22" i="1"/>
  <c r="S23" i="1"/>
  <c r="T23" i="1" s="1"/>
  <c r="R25" i="1"/>
  <c r="AW25" i="1"/>
  <c r="AY25" i="1" s="1"/>
  <c r="AW27" i="1"/>
  <c r="AY27" i="1" s="1"/>
  <c r="R27" i="1"/>
  <c r="R28" i="1"/>
  <c r="AW28" i="1"/>
  <c r="BA28" i="1" s="1"/>
  <c r="AJ25" i="1"/>
  <c r="J25" i="1"/>
  <c r="I25" i="1"/>
  <c r="AX25" i="1" s="1"/>
  <c r="M25" i="1"/>
  <c r="H25" i="1"/>
  <c r="AY24" i="1"/>
  <c r="M27" i="1"/>
  <c r="I27" i="1"/>
  <c r="AX27" i="1" s="1"/>
  <c r="M20" i="1"/>
  <c r="I20" i="1"/>
  <c r="AX20" i="1" s="1"/>
  <c r="BA20" i="1" s="1"/>
  <c r="M23" i="1"/>
  <c r="I23" i="1"/>
  <c r="AX23" i="1" s="1"/>
  <c r="BA23" i="1" s="1"/>
  <c r="J20" i="1"/>
  <c r="Z20" i="1"/>
  <c r="AJ20" i="1"/>
  <c r="J23" i="1"/>
  <c r="Z23" i="1"/>
  <c r="AJ23" i="1"/>
  <c r="J27" i="1"/>
  <c r="Z27" i="1"/>
  <c r="AJ27" i="1"/>
  <c r="P19" i="1"/>
  <c r="N19" i="1" s="1"/>
  <c r="Q19" i="1" s="1"/>
  <c r="K19" i="1" s="1"/>
  <c r="L19" i="1" s="1"/>
  <c r="AY21" i="1" l="1"/>
  <c r="BA17" i="1"/>
  <c r="AW17" i="1"/>
  <c r="AY17" i="1" s="1"/>
  <c r="R17" i="1"/>
  <c r="AA20" i="1"/>
  <c r="AY26" i="1"/>
  <c r="BA19" i="1"/>
  <c r="U23" i="1"/>
  <c r="Y23" i="1" s="1"/>
  <c r="AB23" i="1"/>
  <c r="AA23" i="1"/>
  <c r="Z17" i="1"/>
  <c r="AB19" i="1"/>
  <c r="U19" i="1"/>
  <c r="Y19" i="1" s="1"/>
  <c r="AA19" i="1"/>
  <c r="S17" i="1"/>
  <c r="T17" i="1" s="1"/>
  <c r="P17" i="1" s="1"/>
  <c r="N17" i="1" s="1"/>
  <c r="Q17" i="1" s="1"/>
  <c r="K17" i="1" s="1"/>
  <c r="L17" i="1" s="1"/>
  <c r="S28" i="1"/>
  <c r="T28" i="1" s="1"/>
  <c r="S25" i="1"/>
  <c r="T25" i="1" s="1"/>
  <c r="U20" i="1"/>
  <c r="Y20" i="1" s="1"/>
  <c r="AB20" i="1"/>
  <c r="AC20" i="1" s="1"/>
  <c r="S21" i="1"/>
  <c r="T21" i="1" s="1"/>
  <c r="AB26" i="1"/>
  <c r="U26" i="1"/>
  <c r="Y26" i="1" s="1"/>
  <c r="AA26" i="1"/>
  <c r="P18" i="1"/>
  <c r="N18" i="1" s="1"/>
  <c r="Q18" i="1" s="1"/>
  <c r="K18" i="1" s="1"/>
  <c r="L18" i="1" s="1"/>
  <c r="Z18" i="1"/>
  <c r="S18" i="1"/>
  <c r="T18" i="1" s="1"/>
  <c r="Z25" i="1"/>
  <c r="Z22" i="1"/>
  <c r="AY28" i="1"/>
  <c r="BA27" i="1"/>
  <c r="BA25" i="1"/>
  <c r="S22" i="1"/>
  <c r="T22" i="1" s="1"/>
  <c r="S27" i="1"/>
  <c r="T27" i="1" s="1"/>
  <c r="S24" i="1"/>
  <c r="T24" i="1" s="1"/>
  <c r="P23" i="1"/>
  <c r="N23" i="1" s="1"/>
  <c r="Q23" i="1" s="1"/>
  <c r="K23" i="1" s="1"/>
  <c r="L23" i="1" s="1"/>
  <c r="U27" i="1" l="1"/>
  <c r="Y27" i="1" s="1"/>
  <c r="AB27" i="1"/>
  <c r="P27" i="1"/>
  <c r="N27" i="1" s="1"/>
  <c r="Q27" i="1" s="1"/>
  <c r="K27" i="1" s="1"/>
  <c r="L27" i="1" s="1"/>
  <c r="AA27" i="1"/>
  <c r="U21" i="1"/>
  <c r="Y21" i="1" s="1"/>
  <c r="AB21" i="1"/>
  <c r="P21" i="1"/>
  <c r="N21" i="1" s="1"/>
  <c r="Q21" i="1" s="1"/>
  <c r="K21" i="1" s="1"/>
  <c r="L21" i="1" s="1"/>
  <c r="AA21" i="1"/>
  <c r="U25" i="1"/>
  <c r="Y25" i="1" s="1"/>
  <c r="AB25" i="1"/>
  <c r="AA25" i="1"/>
  <c r="P25" i="1"/>
  <c r="N25" i="1" s="1"/>
  <c r="Q25" i="1" s="1"/>
  <c r="K25" i="1" s="1"/>
  <c r="L25" i="1" s="1"/>
  <c r="U28" i="1"/>
  <c r="Y28" i="1" s="1"/>
  <c r="AB28" i="1"/>
  <c r="AA28" i="1"/>
  <c r="P28" i="1"/>
  <c r="N28" i="1" s="1"/>
  <c r="Q28" i="1" s="1"/>
  <c r="K28" i="1" s="1"/>
  <c r="L28" i="1" s="1"/>
  <c r="U22" i="1"/>
  <c r="Y22" i="1" s="1"/>
  <c r="AB22" i="1"/>
  <c r="AA22" i="1"/>
  <c r="U18" i="1"/>
  <c r="Y18" i="1" s="1"/>
  <c r="AB18" i="1"/>
  <c r="AA18" i="1"/>
  <c r="AC19" i="1"/>
  <c r="AC23" i="1"/>
  <c r="U24" i="1"/>
  <c r="Y24" i="1" s="1"/>
  <c r="AB24" i="1"/>
  <c r="AA24" i="1"/>
  <c r="P24" i="1"/>
  <c r="N24" i="1" s="1"/>
  <c r="Q24" i="1" s="1"/>
  <c r="K24" i="1" s="1"/>
  <c r="L24" i="1" s="1"/>
  <c r="P22" i="1"/>
  <c r="N22" i="1" s="1"/>
  <c r="Q22" i="1" s="1"/>
  <c r="K22" i="1" s="1"/>
  <c r="L22" i="1" s="1"/>
  <c r="AC26" i="1"/>
  <c r="U17" i="1"/>
  <c r="Y17" i="1" s="1"/>
  <c r="AB17" i="1"/>
  <c r="AA17" i="1"/>
  <c r="AC24" i="1" l="1"/>
  <c r="AC22" i="1"/>
  <c r="AC28" i="1"/>
  <c r="AC25" i="1"/>
  <c r="AC21" i="1"/>
  <c r="AC27" i="1"/>
  <c r="AC17" i="1"/>
  <c r="AC18" i="1"/>
</calcChain>
</file>

<file path=xl/sharedStrings.xml><?xml version="1.0" encoding="utf-8"?>
<sst xmlns="http://schemas.openxmlformats.org/spreadsheetml/2006/main" count="1019" uniqueCount="410">
  <si>
    <t>File opened</t>
  </si>
  <si>
    <t>2019-08-10 13:25:09</t>
  </si>
  <si>
    <t>Console s/n</t>
  </si>
  <si>
    <t>68C-831448</t>
  </si>
  <si>
    <t>Console ver</t>
  </si>
  <si>
    <t>Bluestem v.1.3.17</t>
  </si>
  <si>
    <t>Scripts ver</t>
  </si>
  <si>
    <t>2018.12  1.3.16, Nov 2018</t>
  </si>
  <si>
    <t>Head s/n</t>
  </si>
  <si>
    <t>68H-581448</t>
  </si>
  <si>
    <t>Head ver</t>
  </si>
  <si>
    <t>1.3.1</t>
  </si>
  <si>
    <t>Head cal</t>
  </si>
  <si>
    <t>{"co2bspan2": "-0.029811", "co2bspanconc2": "296.4", "h2oaspan2b": "0.0689295", "co2bspan1": "1.00063", "h2oaspanconc2": "0", "flowmeterzero": "1.01484", "h2obspan2b": "0.0966582", "co2bspan2b": "0.290353", "h2oazero": "0.99813", "tazero": "-0.075655", "h2obspan2": "0", "h2obspanconc1": "20", "co2aspanconc2": "296.4", "co2bspan2a": "0.292725", "ssa_ref": "27614.2", "co2bspanconc1": "2500", "ssb_ref": "33378.8", "h2obspanconc2": "0", "co2aspanconc1": "2500", "oxygen": "21", "h2obzero": "1.01301", "h2obspan2a": "-0.0693626", "chamberpressurezero": "2.62898", "h2oaspan2a": "0.0687344", "tbzero": "-0.00914764", "co2azero": "0.936047", "h2oaspan1": "1.00284", "h2oaspan2": "0", "co2aspan2b": "0.298132", "flowazero": "0.30339", "h2obspan1": "1", "flowbzero": "0.2519", "co2aspan2": "-0.0275709", "h2oaspanconc1": "12.25", "co2aspan1": "1.00019", "co2aspan2a": "0.300565", "co2bzero": "1.08871"}</t>
  </si>
  <si>
    <t>Chamber type</t>
  </si>
  <si>
    <t>6800-01A</t>
  </si>
  <si>
    <t>Chamber s/n</t>
  </si>
  <si>
    <t>MPF-651357</t>
  </si>
  <si>
    <t>Chamber rev</t>
  </si>
  <si>
    <t>0</t>
  </si>
  <si>
    <t>Chamber cal</t>
  </si>
  <si>
    <t>Fluorometer</t>
  </si>
  <si>
    <t>Flr. Version</t>
  </si>
  <si>
    <t>13:25:09</t>
  </si>
  <si>
    <t>Stability Definition:	A (GasEx): Slp&lt;0.1 Std&lt;1 Per=15	gsw (GasEx): Slp&lt;0.1 Std&lt;1 Per=15</t>
  </si>
  <si>
    <t>SysConst</t>
  </si>
  <si>
    <t>AvgTime</t>
  </si>
  <si>
    <t>Oxygen</t>
  </si>
  <si>
    <t>Chamber</t>
  </si>
  <si>
    <t>6800-01A 6 cm²</t>
  </si>
  <si>
    <t>Const</t>
  </si>
  <si>
    <t>S</t>
  </si>
  <si>
    <t>K</t>
  </si>
  <si>
    <t>Geometry</t>
  </si>
  <si>
    <t>0: Broadleaf</t>
  </si>
  <si>
    <t>CustomBLC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</si>
  <si>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</si>
  <si>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</si>
  <si>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</si>
  <si>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</si>
  <si>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</si>
  <si>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</si>
  <si>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</si>
  <si>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</si>
  <si>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</si>
  <si>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</si>
  <si>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</si>
  <si>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</si>
  <si>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</si>
  <si>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</si>
  <si>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</si>
  <si>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</si>
  <si>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</si>
  <si>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</si>
  <si>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</si>
  <si>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</si>
  <si>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</si>
  <si>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</si>
  <si>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</si>
  <si>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</si>
  <si>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</si>
  <si>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</si>
  <si>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</si>
  <si>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</si>
  <si>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</si>
  <si>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</si>
  <si>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</si>
  <si>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</si>
  <si>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</si>
  <si>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</si>
  <si>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</si>
  <si>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</si>
  <si>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2.27505 85.6935 378.414 623.837 873.05 1080.45 1248.65 1433.3</t>
  </si>
  <si>
    <t>Fs_true</t>
  </si>
  <si>
    <t>0.0487186 103.87 402.965 601.332 802.409 1002.24 1200.35 1401.56</t>
  </si>
  <si>
    <t>leak_wt</t>
  </si>
  <si>
    <t>Sys</t>
  </si>
  <si>
    <t>UserDefVar</t>
  </si>
  <si>
    <t>GasEx</t>
  </si>
  <si>
    <t>Leak</t>
  </si>
  <si>
    <t>FLR</t>
  </si>
  <si>
    <t>MPF</t>
  </si>
  <si>
    <t>FastKntcs</t>
  </si>
  <si>
    <t>LeafQ</t>
  </si>
  <si>
    <t>Meas</t>
  </si>
  <si>
    <t>Meas2</t>
  </si>
  <si>
    <t>FlrLS</t>
  </si>
  <si>
    <t>FlrStats</t>
  </si>
  <si>
    <t>Match</t>
  </si>
  <si>
    <t>Stability</t>
  </si>
  <si>
    <t>Raw</t>
  </si>
  <si>
    <t>Status2</t>
  </si>
  <si>
    <t>Auxiliary</t>
  </si>
  <si>
    <t>Status</t>
  </si>
  <si>
    <t>obs</t>
  </si>
  <si>
    <t>time</t>
  </si>
  <si>
    <t>elapsed</t>
  </si>
  <si>
    <t>date</t>
  </si>
  <si>
    <t>hhmmss</t>
  </si>
  <si>
    <t>plant ID</t>
  </si>
  <si>
    <t>TIME</t>
  </si>
  <si>
    <t>E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</si>
  <si>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</si>
  <si>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</si>
  <si>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</si>
  <si>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</si>
  <si>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</si>
  <si>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</si>
  <si>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</si>
  <si>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</si>
  <si>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</si>
  <si>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</si>
  <si>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</si>
  <si>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</si>
  <si>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</si>
  <si>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</si>
  <si>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</si>
  <si>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</si>
  <si>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</si>
  <si>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</si>
  <si>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</si>
  <si>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</si>
  <si>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</si>
  <si>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blfa_1</t>
  </si>
  <si>
    <t>blfa_2</t>
  </si>
  <si>
    <t>blfa_3</t>
  </si>
  <si>
    <t>LeakPct</t>
  </si>
  <si>
    <t>CorrFact</t>
  </si>
  <si>
    <t>CorrFactPct</t>
  </si>
  <si>
    <t>Fan</t>
  </si>
  <si>
    <t>DarkAdaptedID</t>
  </si>
  <si>
    <t>Fo</t>
  </si>
  <si>
    <t>Fm</t>
  </si>
  <si>
    <t>Fv</t>
  </si>
  <si>
    <t>Fv/Fm</t>
  </si>
  <si>
    <t>Adark</t>
  </si>
  <si>
    <t>LightAdaptedID</t>
  </si>
  <si>
    <t>Fs</t>
  </si>
  <si>
    <t>Fm'</t>
  </si>
  <si>
    <t>PhiPS2</t>
  </si>
  <si>
    <t>PS2/1</t>
  </si>
  <si>
    <t>Qabs_fs</t>
  </si>
  <si>
    <t>Afs</t>
  </si>
  <si>
    <t>ETR</t>
  </si>
  <si>
    <t>Fv'/Fm'</t>
  </si>
  <si>
    <t>PhiCO2</t>
  </si>
  <si>
    <t>NPQ</t>
  </si>
  <si>
    <t>DarkPulseID</t>
  </si>
  <si>
    <t>Fo'</t>
  </si>
  <si>
    <t>Fv'</t>
  </si>
  <si>
    <t>qP</t>
  </si>
  <si>
    <t>qN</t>
  </si>
  <si>
    <t>qP_Fo</t>
  </si>
  <si>
    <t>qN_Fo</t>
  </si>
  <si>
    <t>ID</t>
  </si>
  <si>
    <t>P1_dur</t>
  </si>
  <si>
    <t>P2_dur</t>
  </si>
  <si>
    <t>P3_dur</t>
  </si>
  <si>
    <t>P1_Qmax</t>
  </si>
  <si>
    <t>P1_Fmax</t>
  </si>
  <si>
    <t>P2_dQdt</t>
  </si>
  <si>
    <t>P3_ΔF</t>
  </si>
  <si>
    <t>Duration</t>
  </si>
  <si>
    <t>F1</t>
  </si>
  <si>
    <t>F2</t>
  </si>
  <si>
    <t>Fmax</t>
  </si>
  <si>
    <t>T@HIR</t>
  </si>
  <si>
    <t>T@F1</t>
  </si>
  <si>
    <t>T@F2</t>
  </si>
  <si>
    <t>T@Fmax</t>
  </si>
  <si>
    <t>Qin</t>
  </si>
  <si>
    <t>Qabs</t>
  </si>
  <si>
    <t>alpha</t>
  </si>
  <si>
    <t>convert</t>
  </si>
  <si>
    <t>CO2_s</t>
  </si>
  <si>
    <t>CO2_r</t>
  </si>
  <si>
    <t>H2O_s</t>
  </si>
  <si>
    <t>H2O_r</t>
  </si>
  <si>
    <t>Flow</t>
  </si>
  <si>
    <t>Pa</t>
  </si>
  <si>
    <t>ΔPcham</t>
  </si>
  <si>
    <t>Tair</t>
  </si>
  <si>
    <t>Tleaf</t>
  </si>
  <si>
    <t>Tleaf2</t>
  </si>
  <si>
    <t>Offset</t>
  </si>
  <si>
    <t>Offset2</t>
  </si>
  <si>
    <t>Fan_speed</t>
  </si>
  <si>
    <t>Qamb_in</t>
  </si>
  <si>
    <t>Qamb_out</t>
  </si>
  <si>
    <t>ΔCO2</t>
  </si>
  <si>
    <t>CO2_s_d</t>
  </si>
  <si>
    <t>CO2_r_d</t>
  </si>
  <si>
    <t>ΔH2O</t>
  </si>
  <si>
    <t>CO2_a</t>
  </si>
  <si>
    <t>CO2_b</t>
  </si>
  <si>
    <t>H2O_a</t>
  </si>
  <si>
    <t>H2O_b</t>
  </si>
  <si>
    <t>e_s</t>
  </si>
  <si>
    <t>e_r</t>
  </si>
  <si>
    <t>Td_s</t>
  </si>
  <si>
    <t>Td_r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</si>
  <si>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</si>
  <si>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</si>
  <si>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</si>
  <si>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</si>
  <si>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</si>
  <si>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</si>
  <si>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</si>
  <si>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</si>
  <si>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</si>
  <si>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</si>
  <si>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</si>
  <si>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</si>
  <si>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</si>
  <si>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</si>
  <si>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</si>
  <si>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</si>
  <si>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</si>
  <si>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F_avg</t>
  </si>
  <si>
    <t>dF/dt</t>
  </si>
  <si>
    <t>dF_dc/dt</t>
  </si>
  <si>
    <t>F_dc_avg</t>
  </si>
  <si>
    <t>period</t>
  </si>
  <si>
    <t>count</t>
  </si>
  <si>
    <t>co2_adj</t>
  </si>
  <si>
    <t>h2o_adj</t>
  </si>
  <si>
    <t>co2_at</t>
  </si>
  <si>
    <t>h2o_at</t>
  </si>
  <si>
    <t>co2_cv</t>
  </si>
  <si>
    <t>h2o_cv</t>
  </si>
  <si>
    <t>A:MN</t>
  </si>
  <si>
    <t>A:SLP</t>
  </si>
  <si>
    <t>A:SD</t>
  </si>
  <si>
    <t>A:OK</t>
  </si>
  <si>
    <t>gsw:MN</t>
  </si>
  <si>
    <t>gsw:SLP</t>
  </si>
  <si>
    <t>gsw:SD</t>
  </si>
  <si>
    <t>gsw:OK</t>
  </si>
  <si>
    <t>Stable</t>
  </si>
  <si>
    <t>Total</t>
  </si>
  <si>
    <t>State</t>
  </si>
  <si>
    <t>Vflow</t>
  </si>
  <si>
    <t>VPchamber</t>
  </si>
  <si>
    <t>abs_c_a</t>
  </si>
  <si>
    <t>abs_c_b</t>
  </si>
  <si>
    <t>abs_h_a</t>
  </si>
  <si>
    <t>abs_h_b</t>
  </si>
  <si>
    <t>Wc_s</t>
  </si>
  <si>
    <t>Wc_r</t>
  </si>
  <si>
    <t>Wco_s</t>
  </si>
  <si>
    <t>Wco_r</t>
  </si>
  <si>
    <t>Ww_s</t>
  </si>
  <si>
    <t>Ww_r</t>
  </si>
  <si>
    <t>Wwo_s</t>
  </si>
  <si>
    <t>Wwo_r</t>
  </si>
  <si>
    <t>Flow_s_v</t>
  </si>
  <si>
    <t>Flow_r_v</t>
  </si>
  <si>
    <t>Tleaf_mv</t>
  </si>
  <si>
    <t>Tleaf2_mv</t>
  </si>
  <si>
    <t>Tleaf_j</t>
  </si>
  <si>
    <t>Tleaf2_j</t>
  </si>
  <si>
    <t>Console_RH</t>
  </si>
  <si>
    <t>Console_T</t>
  </si>
  <si>
    <t>Console_H2O</t>
  </si>
  <si>
    <t>Fan_%</t>
  </si>
  <si>
    <t>Flow_%</t>
  </si>
  <si>
    <t>Pump</t>
  </si>
  <si>
    <t>Tchp_pwm</t>
  </si>
  <si>
    <t>Txchg_pwm</t>
  </si>
  <si>
    <t>diag_20v</t>
  </si>
  <si>
    <t>diag_5_4v</t>
  </si>
  <si>
    <t>diag_12v</t>
  </si>
  <si>
    <t>diag_5va</t>
  </si>
  <si>
    <t>diag_3_3vf</t>
  </si>
  <si>
    <t>AccH2O_hum</t>
  </si>
  <si>
    <t>AccCO2_soda</t>
  </si>
  <si>
    <t>CO2_hrs</t>
  </si>
  <si>
    <t>AccH2O_des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</si>
  <si>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</si>
  <si>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</si>
  <si>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</si>
  <si>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</si>
  <si>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</si>
  <si>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</si>
  <si>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</si>
  <si>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</si>
  <si>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</si>
  <si>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</si>
  <si>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</si>
  <si>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</si>
  <si>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</si>
  <si>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</si>
  <si>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</si>
  <si>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</si>
  <si>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</si>
  <si>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</si>
  <si>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</si>
  <si>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</si>
  <si>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</si>
  <si>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</si>
  <si>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</si>
  <si>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</si>
  <si>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</si>
  <si>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</si>
  <si>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</si>
  <si>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</si>
  <si>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</si>
  <si>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</si>
  <si>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</si>
  <si>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</si>
  <si>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</si>
  <si>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</si>
  <si>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</si>
  <si>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</si>
  <si>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</si>
  <si>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</si>
  <si>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</si>
  <si>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</si>
  <si>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</si>
  <si>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µmol m⁻² s⁻¹</t>
  </si>
  <si>
    <t>µmol mol⁻¹</t>
  </si>
  <si>
    <t>W m⁻²</t>
  </si>
  <si>
    <t>°C</t>
  </si>
  <si>
    <t>kPa</t>
  </si>
  <si>
    <t>%</t>
  </si>
  <si>
    <t>µmol s⁻¹</t>
  </si>
  <si>
    <t>µmol µmol⁻¹</t>
  </si>
  <si>
    <t>ms</t>
  </si>
  <si>
    <t>mol m⁻² s⁻²</t>
  </si>
  <si>
    <t>J/µmol</t>
  </si>
  <si>
    <t>mmol mol⁻¹</t>
  </si>
  <si>
    <t>rpm</t>
  </si>
  <si>
    <t>min⁻¹</t>
  </si>
  <si>
    <t>secs</t>
  </si>
  <si>
    <t>µmol/mol</t>
  </si>
  <si>
    <t>mmol/mol</t>
  </si>
  <si>
    <t>µmol m⁻² s⁻¹ min⁻¹</t>
  </si>
  <si>
    <t>mol m⁻² s⁻¹ min⁻¹</t>
  </si>
  <si>
    <t>V</t>
  </si>
  <si>
    <t>mV</t>
  </si>
  <si>
    <t>mg</t>
  </si>
  <si>
    <t>hrs</t>
  </si>
  <si>
    <t>20190811 13:48:39</t>
  </si>
  <si>
    <t>13:48:39</t>
  </si>
  <si>
    <t>MPF-7966-20190811-05_11_28</t>
  </si>
  <si>
    <t>MPF-8051-20190811-13_49_19</t>
  </si>
  <si>
    <t>DARK-8052-20190811-13_49_21</t>
  </si>
  <si>
    <t>-</t>
  </si>
  <si>
    <t>13:49:01</t>
  </si>
  <si>
    <t>2/2</t>
  </si>
  <si>
    <t>5</t>
  </si>
  <si>
    <t>11111111</t>
  </si>
  <si>
    <t>oooooooo</t>
  </si>
  <si>
    <t>off</t>
  </si>
  <si>
    <t>20190811 13:50:23</t>
  </si>
  <si>
    <t>13:50:23</t>
  </si>
  <si>
    <t>MPF-8053-20190811-13_51_03</t>
  </si>
  <si>
    <t>DARK-8054-20190811-13_51_05</t>
  </si>
  <si>
    <t>13:50:46</t>
  </si>
  <si>
    <t>20190811 13:52:17</t>
  </si>
  <si>
    <t>13:52:17</t>
  </si>
  <si>
    <t>MPF-8055-20190811-13_52_57</t>
  </si>
  <si>
    <t>DARK-8056-20190811-13_52_59</t>
  </si>
  <si>
    <t>13:52:42</t>
  </si>
  <si>
    <t>1/2</t>
  </si>
  <si>
    <t>20190811 13:54:13</t>
  </si>
  <si>
    <t>13:54:13</t>
  </si>
  <si>
    <t>MPF-8057-20190811-13_54_53</t>
  </si>
  <si>
    <t>DARK-8058-20190811-13_54_55</t>
  </si>
  <si>
    <t>13:54:36</t>
  </si>
  <si>
    <t>20190811 13:55:56</t>
  </si>
  <si>
    <t>13:55:56</t>
  </si>
  <si>
    <t>MPF-8059-20190811-13_56_36</t>
  </si>
  <si>
    <t>DARK-8060-20190811-13_56_38</t>
  </si>
  <si>
    <t>13:56:21</t>
  </si>
  <si>
    <t>20190811 13:57:34</t>
  </si>
  <si>
    <t>13:57:34</t>
  </si>
  <si>
    <t>MPF-8061-20190811-13_58_14</t>
  </si>
  <si>
    <t>DARK-8062-20190811-13_58_16</t>
  </si>
  <si>
    <t>13:57:58</t>
  </si>
  <si>
    <t>20190811 14:01:08</t>
  </si>
  <si>
    <t>14:01:08</t>
  </si>
  <si>
    <t>MPF-8065-20190811-14_01_48</t>
  </si>
  <si>
    <t>DARK-8066-20190811-14_01_50</t>
  </si>
  <si>
    <t>14:01:36</t>
  </si>
  <si>
    <t>20190811 14:03:07</t>
  </si>
  <si>
    <t>14:03:07</t>
  </si>
  <si>
    <t>MPF-8067-20190811-14_03_47</t>
  </si>
  <si>
    <t>DARK-8068-20190811-14_03_49</t>
  </si>
  <si>
    <t>14:03:32</t>
  </si>
  <si>
    <t>20190811 14:05:03</t>
  </si>
  <si>
    <t>14:05:03</t>
  </si>
  <si>
    <t>MPF-8069-20190811-14_05_43</t>
  </si>
  <si>
    <t>DARK-8070-20190811-14_05_45</t>
  </si>
  <si>
    <t>14:05:27</t>
  </si>
  <si>
    <t>20190811 14:06:58</t>
  </si>
  <si>
    <t>14:06:58</t>
  </si>
  <si>
    <t>MPF-8071-20190811-14_07_38</t>
  </si>
  <si>
    <t>DARK-8072-20190811-14_07_40</t>
  </si>
  <si>
    <t>14:07:38</t>
  </si>
  <si>
    <t>20190811 14:09:09</t>
  </si>
  <si>
    <t>14:09:09</t>
  </si>
  <si>
    <t>MPF-8073-20190811-14_09_49</t>
  </si>
  <si>
    <t>DARK-8074-20190811-14_09_51</t>
  </si>
  <si>
    <t>14:09:43</t>
  </si>
  <si>
    <t>20190811 14:11:14</t>
  </si>
  <si>
    <t>14:11:14</t>
  </si>
  <si>
    <t>MPF-8075-20190811-14_11_54</t>
  </si>
  <si>
    <t>DARK-8076-20190811-14_11_56</t>
  </si>
  <si>
    <t>14:11:51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</si>
</sst>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U28"/>
  <sheetViews>
    <sheetView tabSelected="1" topLeftCell="A11" workbookViewId="0">
      <selection activeCell="A23" sqref="A23:XFD23"/>
    </sheetView>
  </sheetViews>
  <sheetFormatPr defaultRowHeight="14.5" x14ac:dyDescent="0.35"/>
  <sheetData>
    <row r="2" spans="1:229" x14ac:dyDescent="0.35">
      <c r="A2" t="s">
        <v>25</v>
      </c>
      <c r="B2" t="s">
        <v>26</v>
      </c>
      <c r="C2" t="s">
        <v>27</v>
      </c>
      <c r="D2" t="s">
        <v>28</v>
      </c>
    </row>
    <row r="3" spans="1:229" x14ac:dyDescent="0.35">
      <c r="B3">
        <v>4</v>
      </c>
      <c r="C3">
        <v>21</v>
      </c>
      <c r="D3" t="s">
        <v>29</v>
      </c>
    </row>
    <row r="4" spans="1:229" x14ac:dyDescent="0.35">
      <c r="A4" t="s">
        <v>30</v>
      </c>
      <c r="B4" t="s">
        <v>31</v>
      </c>
      <c r="C4" t="s">
        <v>32</v>
      </c>
      <c r="D4" t="s">
        <v>33</v>
      </c>
      <c r="E4" t="s">
        <v>35</v>
      </c>
    </row>
    <row r="5" spans="1:229" x14ac:dyDescent="0.35">
      <c r="B5">
        <v>6</v>
      </c>
      <c r="C5">
        <v>0.5</v>
      </c>
      <c r="D5" t="s">
        <v>34</v>
      </c>
      <c r="E5">
        <v>2</v>
      </c>
    </row>
    <row r="6" spans="1:229" x14ac:dyDescent="0.35">
      <c r="A6" t="s">
        <v>36</v>
      </c>
      <c r="B6" t="s">
        <v>37</v>
      </c>
      <c r="C6" t="s">
        <v>38</v>
      </c>
      <c r="D6" t="s">
        <v>39</v>
      </c>
      <c r="E6" t="s">
        <v>40</v>
      </c>
    </row>
    <row r="7" spans="1:229" x14ac:dyDescent="0.35">
      <c r="B7">
        <v>0</v>
      </c>
      <c r="C7">
        <v>1</v>
      </c>
      <c r="D7">
        <v>0</v>
      </c>
      <c r="E7">
        <v>0</v>
      </c>
    </row>
    <row r="8" spans="1:229" x14ac:dyDescent="0.35">
      <c r="A8" t="s">
        <v>41</v>
      </c>
      <c r="B8" t="s">
        <v>42</v>
      </c>
      <c r="C8" t="s">
        <v>44</v>
      </c>
      <c r="D8" t="s">
        <v>46</v>
      </c>
      <c r="E8" t="s">
        <v>47</v>
      </c>
      <c r="F8" t="s">
        <v>48</v>
      </c>
      <c r="G8" t="s">
        <v>49</v>
      </c>
      <c r="H8" t="s">
        <v>50</v>
      </c>
      <c r="I8" t="s">
        <v>51</v>
      </c>
      <c r="J8" t="s">
        <v>52</v>
      </c>
      <c r="K8" t="s">
        <v>53</v>
      </c>
      <c r="L8" t="s">
        <v>54</v>
      </c>
      <c r="M8" t="s">
        <v>55</v>
      </c>
      <c r="N8" t="s">
        <v>56</v>
      </c>
      <c r="O8" t="s">
        <v>57</v>
      </c>
      <c r="P8" t="s">
        <v>58</v>
      </c>
      <c r="Q8" t="s">
        <v>59</v>
      </c>
    </row>
    <row r="9" spans="1:229" x14ac:dyDescent="0.35">
      <c r="B9" t="s">
        <v>43</v>
      </c>
      <c r="C9" t="s">
        <v>45</v>
      </c>
      <c r="D9">
        <v>0.49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0.39</v>
      </c>
      <c r="L9">
        <v>0.18</v>
      </c>
      <c r="M9">
        <v>0.23</v>
      </c>
      <c r="N9">
        <v>0.26</v>
      </c>
      <c r="O9">
        <v>0.21</v>
      </c>
      <c r="P9">
        <v>0.19</v>
      </c>
      <c r="Q9">
        <v>0.25</v>
      </c>
    </row>
    <row r="10" spans="1:229" x14ac:dyDescent="0.35">
      <c r="A10" t="s">
        <v>60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</row>
    <row r="11" spans="1:229" x14ac:dyDescent="0.35">
      <c r="B11">
        <v>0</v>
      </c>
      <c r="C11">
        <v>0</v>
      </c>
      <c r="D11">
        <v>0</v>
      </c>
      <c r="E11">
        <v>0</v>
      </c>
      <c r="F11">
        <v>1</v>
      </c>
    </row>
    <row r="12" spans="1:229" x14ac:dyDescent="0.35">
      <c r="A12" t="s">
        <v>66</v>
      </c>
      <c r="B12" t="s">
        <v>67</v>
      </c>
      <c r="C12" t="s">
        <v>68</v>
      </c>
      <c r="D12" t="s">
        <v>69</v>
      </c>
      <c r="E12" t="s">
        <v>70</v>
      </c>
      <c r="F12" t="s">
        <v>71</v>
      </c>
      <c r="G12" t="s">
        <v>73</v>
      </c>
      <c r="H12" t="s">
        <v>75</v>
      </c>
    </row>
    <row r="13" spans="1:229" x14ac:dyDescent="0.35">
      <c r="B13">
        <v>-6276</v>
      </c>
      <c r="C13">
        <v>6.6</v>
      </c>
      <c r="D13">
        <v>1.7090000000000001E-5</v>
      </c>
      <c r="E13">
        <v>3.11</v>
      </c>
      <c r="F13" t="s">
        <v>72</v>
      </c>
      <c r="G13" t="s">
        <v>74</v>
      </c>
      <c r="H13">
        <v>0</v>
      </c>
    </row>
    <row r="14" spans="1:229" x14ac:dyDescent="0.35">
      <c r="A14" t="s">
        <v>76</v>
      </c>
      <c r="B14" t="s">
        <v>76</v>
      </c>
      <c r="C14" t="s">
        <v>76</v>
      </c>
      <c r="D14" t="s">
        <v>76</v>
      </c>
      <c r="E14" t="s">
        <v>76</v>
      </c>
      <c r="F14" t="s">
        <v>77</v>
      </c>
      <c r="G14" t="s">
        <v>78</v>
      </c>
      <c r="H14" t="s">
        <v>78</v>
      </c>
      <c r="I14" t="s">
        <v>78</v>
      </c>
      <c r="J14" t="s">
        <v>78</v>
      </c>
      <c r="K14" t="s">
        <v>78</v>
      </c>
      <c r="L14" t="s">
        <v>78</v>
      </c>
      <c r="M14" t="s">
        <v>78</v>
      </c>
      <c r="N14" t="s">
        <v>78</v>
      </c>
      <c r="O14" t="s">
        <v>78</v>
      </c>
      <c r="P14" t="s">
        <v>78</v>
      </c>
      <c r="Q14" t="s">
        <v>78</v>
      </c>
      <c r="R14" t="s">
        <v>78</v>
      </c>
      <c r="S14" t="s">
        <v>78</v>
      </c>
      <c r="T14" t="s">
        <v>78</v>
      </c>
      <c r="U14" t="s">
        <v>78</v>
      </c>
      <c r="V14" t="s">
        <v>78</v>
      </c>
      <c r="W14" t="s">
        <v>78</v>
      </c>
      <c r="X14" t="s">
        <v>78</v>
      </c>
      <c r="Y14" t="s">
        <v>78</v>
      </c>
      <c r="Z14" t="s">
        <v>78</v>
      </c>
      <c r="AA14" t="s">
        <v>78</v>
      </c>
      <c r="AB14" t="s">
        <v>78</v>
      </c>
      <c r="AC14" t="s">
        <v>78</v>
      </c>
      <c r="AD14" t="s">
        <v>78</v>
      </c>
      <c r="AE14" t="s">
        <v>78</v>
      </c>
      <c r="AF14" t="s">
        <v>78</v>
      </c>
      <c r="AG14" t="s">
        <v>79</v>
      </c>
      <c r="AH14" t="s">
        <v>79</v>
      </c>
      <c r="AI14" t="s">
        <v>79</v>
      </c>
      <c r="AJ14" t="s">
        <v>79</v>
      </c>
      <c r="AK14" t="s">
        <v>79</v>
      </c>
      <c r="AL14" t="s">
        <v>80</v>
      </c>
      <c r="AM14" t="s">
        <v>80</v>
      </c>
      <c r="AN14" t="s">
        <v>80</v>
      </c>
      <c r="AO14" t="s">
        <v>80</v>
      </c>
      <c r="AP14" t="s">
        <v>80</v>
      </c>
      <c r="AQ14" t="s">
        <v>80</v>
      </c>
      <c r="AR14" t="s">
        <v>80</v>
      </c>
      <c r="AS14" t="s">
        <v>80</v>
      </c>
      <c r="AT14" t="s">
        <v>80</v>
      </c>
      <c r="AU14" t="s">
        <v>80</v>
      </c>
      <c r="AV14" t="s">
        <v>80</v>
      </c>
      <c r="AW14" t="s">
        <v>80</v>
      </c>
      <c r="AX14" t="s">
        <v>80</v>
      </c>
      <c r="AY14" t="s">
        <v>80</v>
      </c>
      <c r="AZ14" t="s">
        <v>80</v>
      </c>
      <c r="BA14" t="s">
        <v>80</v>
      </c>
      <c r="BB14" t="s">
        <v>80</v>
      </c>
      <c r="BC14" t="s">
        <v>80</v>
      </c>
      <c r="BD14" t="s">
        <v>80</v>
      </c>
      <c r="BE14" t="s">
        <v>80</v>
      </c>
      <c r="BF14" t="s">
        <v>80</v>
      </c>
      <c r="BG14" t="s">
        <v>80</v>
      </c>
      <c r="BH14" t="s">
        <v>80</v>
      </c>
      <c r="BI14" t="s">
        <v>80</v>
      </c>
      <c r="BJ14" t="s">
        <v>81</v>
      </c>
      <c r="BK14" t="s">
        <v>81</v>
      </c>
      <c r="BL14" t="s">
        <v>81</v>
      </c>
      <c r="BM14" t="s">
        <v>81</v>
      </c>
      <c r="BN14" t="s">
        <v>81</v>
      </c>
      <c r="BO14" t="s">
        <v>81</v>
      </c>
      <c r="BP14" t="s">
        <v>81</v>
      </c>
      <c r="BQ14" t="s">
        <v>81</v>
      </c>
      <c r="BR14" t="s">
        <v>82</v>
      </c>
      <c r="BS14" t="s">
        <v>82</v>
      </c>
      <c r="BT14" t="s">
        <v>82</v>
      </c>
      <c r="BU14" t="s">
        <v>82</v>
      </c>
      <c r="BV14" t="s">
        <v>82</v>
      </c>
      <c r="BW14" t="s">
        <v>82</v>
      </c>
      <c r="BX14" t="s">
        <v>82</v>
      </c>
      <c r="BY14" t="s">
        <v>82</v>
      </c>
      <c r="BZ14" t="s">
        <v>82</v>
      </c>
      <c r="CA14" t="s">
        <v>82</v>
      </c>
      <c r="CB14" t="s">
        <v>83</v>
      </c>
      <c r="CC14" t="s">
        <v>83</v>
      </c>
      <c r="CD14" t="s">
        <v>83</v>
      </c>
      <c r="CE14" t="s">
        <v>83</v>
      </c>
      <c r="CF14" t="s">
        <v>84</v>
      </c>
      <c r="CG14" t="s">
        <v>84</v>
      </c>
      <c r="CH14" t="s">
        <v>84</v>
      </c>
      <c r="CI14" t="s">
        <v>84</v>
      </c>
      <c r="CJ14" t="s">
        <v>84</v>
      </c>
      <c r="CK14" t="s">
        <v>84</v>
      </c>
      <c r="CL14" t="s">
        <v>84</v>
      </c>
      <c r="CM14" t="s">
        <v>84</v>
      </c>
      <c r="CN14" t="s">
        <v>84</v>
      </c>
      <c r="CO14" t="s">
        <v>84</v>
      </c>
      <c r="CP14" t="s">
        <v>84</v>
      </c>
      <c r="CQ14" t="s">
        <v>84</v>
      </c>
      <c r="CR14" t="s">
        <v>84</v>
      </c>
      <c r="CS14" t="s">
        <v>84</v>
      </c>
      <c r="CT14" t="s">
        <v>84</v>
      </c>
      <c r="CU14" t="s">
        <v>84</v>
      </c>
      <c r="CV14" t="s">
        <v>85</v>
      </c>
      <c r="CW14" t="s">
        <v>85</v>
      </c>
      <c r="CX14" t="s">
        <v>85</v>
      </c>
      <c r="CY14" t="s">
        <v>85</v>
      </c>
      <c r="CZ14" t="s">
        <v>85</v>
      </c>
      <c r="DA14" t="s">
        <v>85</v>
      </c>
      <c r="DB14" t="s">
        <v>85</v>
      </c>
      <c r="DC14" t="s">
        <v>85</v>
      </c>
      <c r="DD14" t="s">
        <v>85</v>
      </c>
      <c r="DE14" t="s">
        <v>85</v>
      </c>
      <c r="DF14" t="s">
        <v>85</v>
      </c>
      <c r="DG14" t="s">
        <v>85</v>
      </c>
      <c r="DH14" t="s">
        <v>86</v>
      </c>
      <c r="DI14" t="s">
        <v>86</v>
      </c>
      <c r="DJ14" t="s">
        <v>86</v>
      </c>
      <c r="DK14" t="s">
        <v>86</v>
      </c>
      <c r="DL14" t="s">
        <v>86</v>
      </c>
      <c r="DM14" t="s">
        <v>86</v>
      </c>
      <c r="DN14" t="s">
        <v>86</v>
      </c>
      <c r="DO14" t="s">
        <v>86</v>
      </c>
      <c r="DP14" t="s">
        <v>86</v>
      </c>
      <c r="DQ14" t="s">
        <v>86</v>
      </c>
      <c r="DR14" t="s">
        <v>86</v>
      </c>
      <c r="DS14" t="s">
        <v>86</v>
      </c>
      <c r="DT14" t="s">
        <v>86</v>
      </c>
      <c r="DU14" t="s">
        <v>86</v>
      </c>
      <c r="DV14" t="s">
        <v>86</v>
      </c>
      <c r="DW14" t="s">
        <v>86</v>
      </c>
      <c r="DX14" t="s">
        <v>86</v>
      </c>
      <c r="DY14" t="s">
        <v>87</v>
      </c>
      <c r="DZ14" t="s">
        <v>87</v>
      </c>
      <c r="EA14" t="s">
        <v>87</v>
      </c>
      <c r="EB14" t="s">
        <v>87</v>
      </c>
      <c r="EC14" t="s">
        <v>87</v>
      </c>
      <c r="ED14" t="s">
        <v>88</v>
      </c>
      <c r="EE14" t="s">
        <v>88</v>
      </c>
      <c r="EF14" t="s">
        <v>88</v>
      </c>
      <c r="EG14" t="s">
        <v>88</v>
      </c>
      <c r="EH14" t="s">
        <v>88</v>
      </c>
      <c r="EI14" t="s">
        <v>88</v>
      </c>
      <c r="EJ14" t="s">
        <v>88</v>
      </c>
      <c r="EK14" t="s">
        <v>88</v>
      </c>
      <c r="EL14" t="s">
        <v>88</v>
      </c>
      <c r="EM14" t="s">
        <v>89</v>
      </c>
      <c r="EN14" t="s">
        <v>89</v>
      </c>
      <c r="EO14" t="s">
        <v>89</v>
      </c>
      <c r="EP14" t="s">
        <v>89</v>
      </c>
      <c r="EQ14" t="s">
        <v>89</v>
      </c>
      <c r="ER14" t="s">
        <v>89</v>
      </c>
      <c r="ES14" t="s">
        <v>89</v>
      </c>
      <c r="ET14" t="s">
        <v>89</v>
      </c>
      <c r="EU14" t="s">
        <v>89</v>
      </c>
      <c r="EV14" t="s">
        <v>89</v>
      </c>
      <c r="EW14" t="s">
        <v>89</v>
      </c>
      <c r="EX14" t="s">
        <v>90</v>
      </c>
      <c r="EY14" t="s">
        <v>90</v>
      </c>
      <c r="EZ14" t="s">
        <v>90</v>
      </c>
      <c r="FA14" t="s">
        <v>90</v>
      </c>
      <c r="FB14" t="s">
        <v>90</v>
      </c>
      <c r="FC14" t="s">
        <v>90</v>
      </c>
      <c r="FD14" t="s">
        <v>90</v>
      </c>
      <c r="FE14" t="s">
        <v>90</v>
      </c>
      <c r="FF14" t="s">
        <v>90</v>
      </c>
      <c r="FG14" t="s">
        <v>90</v>
      </c>
      <c r="FH14" t="s">
        <v>90</v>
      </c>
      <c r="FI14" t="s">
        <v>90</v>
      </c>
      <c r="FJ14" t="s">
        <v>90</v>
      </c>
      <c r="FK14" t="s">
        <v>90</v>
      </c>
      <c r="FL14" t="s">
        <v>90</v>
      </c>
      <c r="FM14" t="s">
        <v>90</v>
      </c>
      <c r="FN14" t="s">
        <v>90</v>
      </c>
      <c r="FO14" t="s">
        <v>90</v>
      </c>
      <c r="FP14" t="s">
        <v>91</v>
      </c>
      <c r="FQ14" t="s">
        <v>91</v>
      </c>
      <c r="FR14" t="s">
        <v>91</v>
      </c>
      <c r="FS14" t="s">
        <v>91</v>
      </c>
      <c r="FT14" t="s">
        <v>91</v>
      </c>
      <c r="FU14" t="s">
        <v>91</v>
      </c>
      <c r="FV14" t="s">
        <v>91</v>
      </c>
      <c r="FW14" t="s">
        <v>91</v>
      </c>
      <c r="FX14" t="s">
        <v>91</v>
      </c>
      <c r="FY14" t="s">
        <v>91</v>
      </c>
      <c r="FZ14" t="s">
        <v>91</v>
      </c>
      <c r="GA14" t="s">
        <v>91</v>
      </c>
      <c r="GB14" t="s">
        <v>91</v>
      </c>
      <c r="GC14" t="s">
        <v>91</v>
      </c>
      <c r="GD14" t="s">
        <v>91</v>
      </c>
      <c r="GE14" t="s">
        <v>91</v>
      </c>
      <c r="GF14" t="s">
        <v>91</v>
      </c>
      <c r="GG14" t="s">
        <v>91</v>
      </c>
      <c r="GH14" t="s">
        <v>91</v>
      </c>
      <c r="GI14" t="s">
        <v>92</v>
      </c>
      <c r="GJ14" t="s">
        <v>92</v>
      </c>
      <c r="GK14" t="s">
        <v>92</v>
      </c>
      <c r="GL14" t="s">
        <v>92</v>
      </c>
      <c r="GM14" t="s">
        <v>92</v>
      </c>
      <c r="GN14" t="s">
        <v>92</v>
      </c>
      <c r="GO14" t="s">
        <v>92</v>
      </c>
      <c r="GP14" t="s">
        <v>92</v>
      </c>
      <c r="GQ14" t="s">
        <v>92</v>
      </c>
      <c r="GR14" t="s">
        <v>92</v>
      </c>
      <c r="GS14" t="s">
        <v>92</v>
      </c>
      <c r="GT14" t="s">
        <v>92</v>
      </c>
      <c r="GU14" t="s">
        <v>92</v>
      </c>
      <c r="GV14" t="s">
        <v>92</v>
      </c>
      <c r="GW14" t="s">
        <v>92</v>
      </c>
      <c r="GX14" t="s">
        <v>92</v>
      </c>
      <c r="GY14" t="s">
        <v>92</v>
      </c>
      <c r="GZ14" t="s">
        <v>92</v>
      </c>
      <c r="HA14" t="s">
        <v>92</v>
      </c>
      <c r="HB14" t="s">
        <v>93</v>
      </c>
      <c r="HC14" t="s">
        <v>93</v>
      </c>
      <c r="HD14" t="s">
        <v>93</v>
      </c>
      <c r="HE14" t="s">
        <v>93</v>
      </c>
      <c r="HF14" t="s">
        <v>93</v>
      </c>
      <c r="HG14" t="s">
        <v>93</v>
      </c>
      <c r="HH14" t="s">
        <v>93</v>
      </c>
      <c r="HI14" t="s">
        <v>93</v>
      </c>
      <c r="HJ14" t="s">
        <v>93</v>
      </c>
      <c r="HK14" t="s">
        <v>93</v>
      </c>
      <c r="HL14" t="s">
        <v>93</v>
      </c>
      <c r="HM14" t="s">
        <v>93</v>
      </c>
      <c r="HN14" t="s">
        <v>93</v>
      </c>
      <c r="HO14" t="s">
        <v>93</v>
      </c>
      <c r="HP14" t="s">
        <v>93</v>
      </c>
      <c r="HQ14" t="s">
        <v>93</v>
      </c>
      <c r="HR14" t="s">
        <v>93</v>
      </c>
      <c r="HS14" t="s">
        <v>93</v>
      </c>
      <c r="HT14" t="s">
        <v>93</v>
      </c>
      <c r="HU14" t="s">
        <v>93</v>
      </c>
    </row>
    <row r="15" spans="1:229" x14ac:dyDescent="0.35">
      <c r="A15" t="s">
        <v>94</v>
      </c>
      <c r="B15" t="s">
        <v>95</v>
      </c>
      <c r="C15" t="s">
        <v>96</v>
      </c>
      <c r="D15" t="s">
        <v>97</v>
      </c>
      <c r="E15" t="s">
        <v>98</v>
      </c>
      <c r="F15" t="s">
        <v>99</v>
      </c>
      <c r="G15" t="s">
        <v>100</v>
      </c>
      <c r="H15" t="s">
        <v>101</v>
      </c>
      <c r="I15" t="s">
        <v>102</v>
      </c>
      <c r="J15" t="s">
        <v>103</v>
      </c>
      <c r="K15" t="s">
        <v>104</v>
      </c>
      <c r="L15" t="s">
        <v>105</v>
      </c>
      <c r="M15" t="s">
        <v>106</v>
      </c>
      <c r="N15" t="s">
        <v>107</v>
      </c>
      <c r="O15" t="s">
        <v>108</v>
      </c>
      <c r="P15" t="s">
        <v>109</v>
      </c>
      <c r="Q15" t="s">
        <v>110</v>
      </c>
      <c r="R15" t="s">
        <v>111</v>
      </c>
      <c r="S15" t="s">
        <v>112</v>
      </c>
      <c r="T15" t="s">
        <v>113</v>
      </c>
      <c r="U15" t="s">
        <v>114</v>
      </c>
      <c r="V15" t="s">
        <v>115</v>
      </c>
      <c r="W15" t="s">
        <v>116</v>
      </c>
      <c r="X15" t="s">
        <v>117</v>
      </c>
      <c r="Y15" t="s">
        <v>118</v>
      </c>
      <c r="Z15" t="s">
        <v>119</v>
      </c>
      <c r="AA15" t="s">
        <v>120</v>
      </c>
      <c r="AB15" t="s">
        <v>121</v>
      </c>
      <c r="AC15" t="s">
        <v>122</v>
      </c>
      <c r="AD15" t="s">
        <v>123</v>
      </c>
      <c r="AE15" t="s">
        <v>124</v>
      </c>
      <c r="AF15" t="s">
        <v>125</v>
      </c>
      <c r="AG15" t="s">
        <v>79</v>
      </c>
      <c r="AH15" t="s">
        <v>126</v>
      </c>
      <c r="AI15" t="s">
        <v>127</v>
      </c>
      <c r="AJ15" t="s">
        <v>128</v>
      </c>
      <c r="AK15" t="s">
        <v>129</v>
      </c>
      <c r="AL15" t="s">
        <v>130</v>
      </c>
      <c r="AM15" t="s">
        <v>131</v>
      </c>
      <c r="AN15" t="s">
        <v>132</v>
      </c>
      <c r="AO15" t="s">
        <v>133</v>
      </c>
      <c r="AP15" t="s">
        <v>134</v>
      </c>
      <c r="AQ15" t="s">
        <v>135</v>
      </c>
      <c r="AR15" t="s">
        <v>136</v>
      </c>
      <c r="AS15" t="s">
        <v>137</v>
      </c>
      <c r="AT15" t="s">
        <v>138</v>
      </c>
      <c r="AU15" t="s">
        <v>139</v>
      </c>
      <c r="AV15" t="s">
        <v>140</v>
      </c>
      <c r="AW15" t="s">
        <v>141</v>
      </c>
      <c r="AX15" t="s">
        <v>142</v>
      </c>
      <c r="AY15" t="s">
        <v>143</v>
      </c>
      <c r="AZ15" t="s">
        <v>144</v>
      </c>
      <c r="BA15" t="s">
        <v>145</v>
      </c>
      <c r="BB15" t="s">
        <v>146</v>
      </c>
      <c r="BC15" t="s">
        <v>147</v>
      </c>
      <c r="BD15" t="s">
        <v>148</v>
      </c>
      <c r="BE15" t="s">
        <v>149</v>
      </c>
      <c r="BF15" t="s">
        <v>150</v>
      </c>
      <c r="BG15" t="s">
        <v>151</v>
      </c>
      <c r="BH15" t="s">
        <v>152</v>
      </c>
      <c r="BI15" t="s">
        <v>153</v>
      </c>
      <c r="BJ15" t="s">
        <v>154</v>
      </c>
      <c r="BK15" t="s">
        <v>155</v>
      </c>
      <c r="BL15" t="s">
        <v>156</v>
      </c>
      <c r="BM15" t="s">
        <v>157</v>
      </c>
      <c r="BN15" t="s">
        <v>158</v>
      </c>
      <c r="BO15" t="s">
        <v>159</v>
      </c>
      <c r="BP15" t="s">
        <v>160</v>
      </c>
      <c r="BQ15" t="s">
        <v>161</v>
      </c>
      <c r="BR15" t="s">
        <v>154</v>
      </c>
      <c r="BS15" t="s">
        <v>162</v>
      </c>
      <c r="BT15" t="s">
        <v>131</v>
      </c>
      <c r="BU15" t="s">
        <v>163</v>
      </c>
      <c r="BV15" t="s">
        <v>164</v>
      </c>
      <c r="BW15" t="s">
        <v>165</v>
      </c>
      <c r="BX15" t="s">
        <v>166</v>
      </c>
      <c r="BY15" t="s">
        <v>167</v>
      </c>
      <c r="BZ15" t="s">
        <v>168</v>
      </c>
      <c r="CA15" t="s">
        <v>169</v>
      </c>
      <c r="CB15" t="s">
        <v>170</v>
      </c>
      <c r="CC15" t="s">
        <v>171</v>
      </c>
      <c r="CD15" t="s">
        <v>172</v>
      </c>
      <c r="CE15" t="s">
        <v>173</v>
      </c>
      <c r="CF15" t="s">
        <v>100</v>
      </c>
      <c r="CG15" t="s">
        <v>174</v>
      </c>
      <c r="CH15" t="s">
        <v>175</v>
      </c>
      <c r="CI15" t="s">
        <v>176</v>
      </c>
      <c r="CJ15" t="s">
        <v>177</v>
      </c>
      <c r="CK15" t="s">
        <v>178</v>
      </c>
      <c r="CL15" t="s">
        <v>179</v>
      </c>
      <c r="CM15" t="s">
        <v>180</v>
      </c>
      <c r="CN15" t="s">
        <v>181</v>
      </c>
      <c r="CO15" t="s">
        <v>182</v>
      </c>
      <c r="CP15" t="s">
        <v>183</v>
      </c>
      <c r="CQ15" t="s">
        <v>184</v>
      </c>
      <c r="CR15" t="s">
        <v>185</v>
      </c>
      <c r="CS15" t="s">
        <v>186</v>
      </c>
      <c r="CT15" t="s">
        <v>187</v>
      </c>
      <c r="CU15" t="s">
        <v>188</v>
      </c>
      <c r="CV15" t="s">
        <v>189</v>
      </c>
      <c r="CW15" t="s">
        <v>190</v>
      </c>
      <c r="CX15" t="s">
        <v>191</v>
      </c>
      <c r="CY15" t="s">
        <v>192</v>
      </c>
      <c r="CZ15" t="s">
        <v>193</v>
      </c>
      <c r="DA15" t="s">
        <v>194</v>
      </c>
      <c r="DB15" t="s">
        <v>195</v>
      </c>
      <c r="DC15" t="s">
        <v>196</v>
      </c>
      <c r="DD15" t="s">
        <v>197</v>
      </c>
      <c r="DE15" t="s">
        <v>198</v>
      </c>
      <c r="DF15" t="s">
        <v>199</v>
      </c>
      <c r="DG15" t="s">
        <v>200</v>
      </c>
      <c r="DH15" t="s">
        <v>201</v>
      </c>
      <c r="DI15" t="s">
        <v>202</v>
      </c>
      <c r="DJ15" t="s">
        <v>203</v>
      </c>
      <c r="DK15" t="s">
        <v>204</v>
      </c>
      <c r="DL15" t="s">
        <v>205</v>
      </c>
      <c r="DM15" t="s">
        <v>206</v>
      </c>
      <c r="DN15" t="s">
        <v>207</v>
      </c>
      <c r="DO15" t="s">
        <v>208</v>
      </c>
      <c r="DP15" t="s">
        <v>209</v>
      </c>
      <c r="DQ15" t="s">
        <v>210</v>
      </c>
      <c r="DR15" t="s">
        <v>211</v>
      </c>
      <c r="DS15" t="s">
        <v>212</v>
      </c>
      <c r="DT15" t="s">
        <v>213</v>
      </c>
      <c r="DU15" t="s">
        <v>214</v>
      </c>
      <c r="DV15" t="s">
        <v>215</v>
      </c>
      <c r="DW15" t="s">
        <v>216</v>
      </c>
      <c r="DX15" t="s">
        <v>217</v>
      </c>
      <c r="DY15" t="s">
        <v>218</v>
      </c>
      <c r="DZ15" t="s">
        <v>219</v>
      </c>
      <c r="EA15" t="s">
        <v>220</v>
      </c>
      <c r="EB15" t="s">
        <v>221</v>
      </c>
      <c r="EC15" t="s">
        <v>222</v>
      </c>
      <c r="ED15" t="s">
        <v>95</v>
      </c>
      <c r="EE15" t="s">
        <v>98</v>
      </c>
      <c r="EF15" t="s">
        <v>223</v>
      </c>
      <c r="EG15" t="s">
        <v>224</v>
      </c>
      <c r="EH15" t="s">
        <v>225</v>
      </c>
      <c r="EI15" t="s">
        <v>226</v>
      </c>
      <c r="EJ15" t="s">
        <v>227</v>
      </c>
      <c r="EK15" t="s">
        <v>228</v>
      </c>
      <c r="EL15" t="s">
        <v>229</v>
      </c>
      <c r="EM15" t="s">
        <v>230</v>
      </c>
      <c r="EN15" t="s">
        <v>231</v>
      </c>
      <c r="EO15" t="s">
        <v>232</v>
      </c>
      <c r="EP15" t="s">
        <v>233</v>
      </c>
      <c r="EQ15" t="s">
        <v>234</v>
      </c>
      <c r="ER15" t="s">
        <v>235</v>
      </c>
      <c r="ES15" t="s">
        <v>236</v>
      </c>
      <c r="ET15" t="s">
        <v>237</v>
      </c>
      <c r="EU15" t="s">
        <v>238</v>
      </c>
      <c r="EV15" t="s">
        <v>239</v>
      </c>
      <c r="EW15" t="s">
        <v>240</v>
      </c>
      <c r="EX15" t="s">
        <v>241</v>
      </c>
      <c r="EY15" t="s">
        <v>242</v>
      </c>
      <c r="EZ15" t="s">
        <v>243</v>
      </c>
      <c r="FA15" t="s">
        <v>244</v>
      </c>
      <c r="FB15" t="s">
        <v>245</v>
      </c>
      <c r="FC15" t="s">
        <v>246</v>
      </c>
      <c r="FD15" t="s">
        <v>247</v>
      </c>
      <c r="FE15" t="s">
        <v>248</v>
      </c>
      <c r="FF15" t="s">
        <v>249</v>
      </c>
      <c r="FG15" t="s">
        <v>250</v>
      </c>
      <c r="FH15" t="s">
        <v>251</v>
      </c>
      <c r="FI15" t="s">
        <v>252</v>
      </c>
      <c r="FJ15" t="s">
        <v>253</v>
      </c>
      <c r="FK15" t="s">
        <v>254</v>
      </c>
      <c r="FL15" t="s">
        <v>255</v>
      </c>
      <c r="FM15" t="s">
        <v>256</v>
      </c>
      <c r="FN15" t="s">
        <v>257</v>
      </c>
      <c r="FO15" t="s">
        <v>258</v>
      </c>
      <c r="FP15" t="s">
        <v>259</v>
      </c>
      <c r="FQ15" t="s">
        <v>260</v>
      </c>
      <c r="FR15" t="s">
        <v>261</v>
      </c>
      <c r="FS15" t="s">
        <v>262</v>
      </c>
      <c r="FT15" t="s">
        <v>263</v>
      </c>
      <c r="FU15" t="s">
        <v>264</v>
      </c>
      <c r="FV15" t="s">
        <v>265</v>
      </c>
      <c r="FW15" t="s">
        <v>266</v>
      </c>
      <c r="FX15" t="s">
        <v>267</v>
      </c>
      <c r="FY15" t="s">
        <v>268</v>
      </c>
      <c r="FZ15" t="s">
        <v>269</v>
      </c>
      <c r="GA15" t="s">
        <v>270</v>
      </c>
      <c r="GB15" t="s">
        <v>271</v>
      </c>
      <c r="GC15" t="s">
        <v>272</v>
      </c>
      <c r="GD15" t="s">
        <v>273</v>
      </c>
      <c r="GE15" t="s">
        <v>274</v>
      </c>
      <c r="GF15" t="s">
        <v>275</v>
      </c>
      <c r="GG15" t="s">
        <v>276</v>
      </c>
      <c r="GH15" t="s">
        <v>277</v>
      </c>
      <c r="GI15" t="s">
        <v>278</v>
      </c>
      <c r="GJ15" t="s">
        <v>279</v>
      </c>
      <c r="GK15" t="s">
        <v>280</v>
      </c>
      <c r="GL15" t="s">
        <v>281</v>
      </c>
      <c r="GM15" t="s">
        <v>282</v>
      </c>
      <c r="GN15" t="s">
        <v>283</v>
      </c>
      <c r="GO15" t="s">
        <v>284</v>
      </c>
      <c r="GP15" t="s">
        <v>285</v>
      </c>
      <c r="GQ15" t="s">
        <v>286</v>
      </c>
      <c r="GR15" t="s">
        <v>287</v>
      </c>
      <c r="GS15" t="s">
        <v>288</v>
      </c>
      <c r="GT15" t="s">
        <v>289</v>
      </c>
      <c r="GU15" t="s">
        <v>290</v>
      </c>
      <c r="GV15" t="s">
        <v>291</v>
      </c>
      <c r="GW15" t="s">
        <v>292</v>
      </c>
      <c r="GX15" t="s">
        <v>293</v>
      </c>
      <c r="GY15" t="s">
        <v>294</v>
      </c>
      <c r="GZ15" t="s">
        <v>295</v>
      </c>
      <c r="HA15" t="s">
        <v>296</v>
      </c>
      <c r="HB15" t="s">
        <v>297</v>
      </c>
      <c r="HC15" t="s">
        <v>298</v>
      </c>
      <c r="HD15" t="s">
        <v>299</v>
      </c>
      <c r="HE15" t="s">
        <v>300</v>
      </c>
      <c r="HF15" t="s">
        <v>301</v>
      </c>
      <c r="HG15" t="s">
        <v>302</v>
      </c>
      <c r="HH15" t="s">
        <v>303</v>
      </c>
      <c r="HI15" t="s">
        <v>304</v>
      </c>
      <c r="HJ15" t="s">
        <v>305</v>
      </c>
      <c r="HK15" t="s">
        <v>306</v>
      </c>
      <c r="HL15" t="s">
        <v>307</v>
      </c>
      <c r="HM15" t="s">
        <v>308</v>
      </c>
      <c r="HN15" t="s">
        <v>309</v>
      </c>
      <c r="HO15" t="s">
        <v>310</v>
      </c>
      <c r="HP15" t="s">
        <v>311</v>
      </c>
      <c r="HQ15" t="s">
        <v>312</v>
      </c>
      <c r="HR15" t="s">
        <v>313</v>
      </c>
      <c r="HS15" t="s">
        <v>314</v>
      </c>
      <c r="HT15" t="s">
        <v>315</v>
      </c>
      <c r="HU15" t="s">
        <v>316</v>
      </c>
    </row>
    <row r="16" spans="1:229" x14ac:dyDescent="0.35">
      <c r="B16" t="s">
        <v>317</v>
      </c>
      <c r="C16" t="s">
        <v>317</v>
      </c>
      <c r="G16" t="s">
        <v>317</v>
      </c>
      <c r="H16" t="s">
        <v>318</v>
      </c>
      <c r="I16" t="s">
        <v>319</v>
      </c>
      <c r="J16" t="s">
        <v>320</v>
      </c>
      <c r="K16" t="s">
        <v>320</v>
      </c>
      <c r="L16" t="s">
        <v>179</v>
      </c>
      <c r="M16" t="s">
        <v>179</v>
      </c>
      <c r="N16" t="s">
        <v>318</v>
      </c>
      <c r="O16" t="s">
        <v>318</v>
      </c>
      <c r="P16" t="s">
        <v>318</v>
      </c>
      <c r="Q16" t="s">
        <v>318</v>
      </c>
      <c r="R16" t="s">
        <v>321</v>
      </c>
      <c r="S16" t="s">
        <v>322</v>
      </c>
      <c r="T16" t="s">
        <v>322</v>
      </c>
      <c r="U16" t="s">
        <v>323</v>
      </c>
      <c r="V16" t="s">
        <v>324</v>
      </c>
      <c r="W16" t="s">
        <v>323</v>
      </c>
      <c r="X16" t="s">
        <v>323</v>
      </c>
      <c r="Y16" t="s">
        <v>323</v>
      </c>
      <c r="Z16" t="s">
        <v>321</v>
      </c>
      <c r="AA16" t="s">
        <v>321</v>
      </c>
      <c r="AB16" t="s">
        <v>321</v>
      </c>
      <c r="AC16" t="s">
        <v>321</v>
      </c>
      <c r="AG16" t="s">
        <v>325</v>
      </c>
      <c r="AH16" t="s">
        <v>324</v>
      </c>
      <c r="AJ16" t="s">
        <v>324</v>
      </c>
      <c r="AK16" t="s">
        <v>325</v>
      </c>
      <c r="AQ16" t="s">
        <v>319</v>
      </c>
      <c r="AW16" t="s">
        <v>319</v>
      </c>
      <c r="AX16" t="s">
        <v>319</v>
      </c>
      <c r="AY16" t="s">
        <v>319</v>
      </c>
      <c r="BA16" t="s">
        <v>326</v>
      </c>
      <c r="BK16" t="s">
        <v>327</v>
      </c>
      <c r="BL16" t="s">
        <v>327</v>
      </c>
      <c r="BM16" t="s">
        <v>327</v>
      </c>
      <c r="BN16" t="s">
        <v>319</v>
      </c>
      <c r="BP16" t="s">
        <v>328</v>
      </c>
      <c r="BS16" t="s">
        <v>327</v>
      </c>
      <c r="BX16" t="s">
        <v>317</v>
      </c>
      <c r="BY16" t="s">
        <v>317</v>
      </c>
      <c r="BZ16" t="s">
        <v>317</v>
      </c>
      <c r="CA16" t="s">
        <v>317</v>
      </c>
      <c r="CB16" t="s">
        <v>319</v>
      </c>
      <c r="CC16" t="s">
        <v>319</v>
      </c>
      <c r="CE16" t="s">
        <v>329</v>
      </c>
      <c r="CF16" t="s">
        <v>317</v>
      </c>
      <c r="CG16" t="s">
        <v>320</v>
      </c>
      <c r="CH16" t="s">
        <v>320</v>
      </c>
      <c r="CI16" t="s">
        <v>330</v>
      </c>
      <c r="CJ16" t="s">
        <v>330</v>
      </c>
      <c r="CK16" t="s">
        <v>325</v>
      </c>
      <c r="CL16" t="s">
        <v>323</v>
      </c>
      <c r="CM16" t="s">
        <v>323</v>
      </c>
      <c r="CN16" t="s">
        <v>322</v>
      </c>
      <c r="CO16" t="s">
        <v>322</v>
      </c>
      <c r="CP16" t="s">
        <v>322</v>
      </c>
      <c r="CQ16" t="s">
        <v>322</v>
      </c>
      <c r="CR16" t="s">
        <v>322</v>
      </c>
      <c r="CS16" t="s">
        <v>331</v>
      </c>
      <c r="CT16" t="s">
        <v>319</v>
      </c>
      <c r="CU16" t="s">
        <v>319</v>
      </c>
      <c r="CV16" t="s">
        <v>320</v>
      </c>
      <c r="CW16" t="s">
        <v>320</v>
      </c>
      <c r="CX16" t="s">
        <v>320</v>
      </c>
      <c r="CY16" t="s">
        <v>330</v>
      </c>
      <c r="CZ16" t="s">
        <v>320</v>
      </c>
      <c r="DA16" t="s">
        <v>320</v>
      </c>
      <c r="DB16" t="s">
        <v>330</v>
      </c>
      <c r="DC16" t="s">
        <v>330</v>
      </c>
      <c r="DD16" t="s">
        <v>323</v>
      </c>
      <c r="DE16" t="s">
        <v>323</v>
      </c>
      <c r="DF16" t="s">
        <v>322</v>
      </c>
      <c r="DG16" t="s">
        <v>322</v>
      </c>
      <c r="DH16" t="s">
        <v>319</v>
      </c>
      <c r="DM16" t="s">
        <v>319</v>
      </c>
      <c r="DP16" t="s">
        <v>322</v>
      </c>
      <c r="DQ16" t="s">
        <v>322</v>
      </c>
      <c r="DR16" t="s">
        <v>322</v>
      </c>
      <c r="DS16" t="s">
        <v>322</v>
      </c>
      <c r="DT16" t="s">
        <v>322</v>
      </c>
      <c r="DU16" t="s">
        <v>319</v>
      </c>
      <c r="DV16" t="s">
        <v>319</v>
      </c>
      <c r="DW16" t="s">
        <v>319</v>
      </c>
      <c r="DX16" t="s">
        <v>317</v>
      </c>
      <c r="DZ16" t="s">
        <v>332</v>
      </c>
      <c r="EA16" t="s">
        <v>332</v>
      </c>
      <c r="EC16" t="s">
        <v>317</v>
      </c>
      <c r="ED16" t="s">
        <v>333</v>
      </c>
      <c r="EG16" t="s">
        <v>334</v>
      </c>
      <c r="EH16" t="s">
        <v>335</v>
      </c>
      <c r="EI16" t="s">
        <v>334</v>
      </c>
      <c r="EJ16" t="s">
        <v>335</v>
      </c>
      <c r="EK16" t="s">
        <v>324</v>
      </c>
      <c r="EL16" t="s">
        <v>324</v>
      </c>
      <c r="EM16" t="s">
        <v>319</v>
      </c>
      <c r="EN16" t="s">
        <v>336</v>
      </c>
      <c r="EO16" t="s">
        <v>319</v>
      </c>
      <c r="EQ16" t="s">
        <v>318</v>
      </c>
      <c r="ER16" t="s">
        <v>337</v>
      </c>
      <c r="ES16" t="s">
        <v>318</v>
      </c>
      <c r="EX16" t="s">
        <v>338</v>
      </c>
      <c r="EY16" t="s">
        <v>338</v>
      </c>
      <c r="FL16" t="s">
        <v>338</v>
      </c>
      <c r="FM16" t="s">
        <v>338</v>
      </c>
      <c r="FN16" t="s">
        <v>339</v>
      </c>
      <c r="FO16" t="s">
        <v>339</v>
      </c>
      <c r="FP16" t="s">
        <v>322</v>
      </c>
      <c r="FQ16" t="s">
        <v>322</v>
      </c>
      <c r="FR16" t="s">
        <v>324</v>
      </c>
      <c r="FS16" t="s">
        <v>322</v>
      </c>
      <c r="FT16" t="s">
        <v>330</v>
      </c>
      <c r="FU16" t="s">
        <v>324</v>
      </c>
      <c r="FV16" t="s">
        <v>324</v>
      </c>
      <c r="FX16" t="s">
        <v>338</v>
      </c>
      <c r="FY16" t="s">
        <v>338</v>
      </c>
      <c r="FZ16" t="s">
        <v>338</v>
      </c>
      <c r="GA16" t="s">
        <v>338</v>
      </c>
      <c r="GB16" t="s">
        <v>338</v>
      </c>
      <c r="GC16" t="s">
        <v>338</v>
      </c>
      <c r="GD16" t="s">
        <v>338</v>
      </c>
      <c r="GE16" t="s">
        <v>340</v>
      </c>
      <c r="GF16" t="s">
        <v>340</v>
      </c>
      <c r="GG16" t="s">
        <v>341</v>
      </c>
      <c r="GH16" t="s">
        <v>340</v>
      </c>
      <c r="GI16" t="s">
        <v>338</v>
      </c>
      <c r="GJ16" t="s">
        <v>338</v>
      </c>
      <c r="GK16" t="s">
        <v>338</v>
      </c>
      <c r="GL16" t="s">
        <v>338</v>
      </c>
      <c r="GM16" t="s">
        <v>338</v>
      </c>
      <c r="GN16" t="s">
        <v>338</v>
      </c>
      <c r="GO16" t="s">
        <v>338</v>
      </c>
      <c r="GP16" t="s">
        <v>338</v>
      </c>
      <c r="GQ16" t="s">
        <v>338</v>
      </c>
      <c r="GR16" t="s">
        <v>338</v>
      </c>
      <c r="GS16" t="s">
        <v>338</v>
      </c>
      <c r="GT16" t="s">
        <v>338</v>
      </c>
      <c r="HA16" t="s">
        <v>338</v>
      </c>
      <c r="HB16" t="s">
        <v>324</v>
      </c>
      <c r="HC16" t="s">
        <v>324</v>
      </c>
      <c r="HD16" t="s">
        <v>334</v>
      </c>
      <c r="HE16" t="s">
        <v>335</v>
      </c>
      <c r="HG16" t="s">
        <v>325</v>
      </c>
      <c r="HH16" t="s">
        <v>325</v>
      </c>
      <c r="HI16" t="s">
        <v>322</v>
      </c>
      <c r="HJ16" t="s">
        <v>322</v>
      </c>
      <c r="HK16" t="s">
        <v>322</v>
      </c>
      <c r="HL16" t="s">
        <v>322</v>
      </c>
      <c r="HM16" t="s">
        <v>322</v>
      </c>
      <c r="HN16" t="s">
        <v>324</v>
      </c>
      <c r="HO16" t="s">
        <v>324</v>
      </c>
      <c r="HP16" t="s">
        <v>324</v>
      </c>
      <c r="HQ16" t="s">
        <v>322</v>
      </c>
      <c r="HR16" t="s">
        <v>320</v>
      </c>
      <c r="HS16" t="s">
        <v>330</v>
      </c>
      <c r="HT16" t="s">
        <v>324</v>
      </c>
      <c r="HU16" t="s">
        <v>324</v>
      </c>
    </row>
    <row r="17" spans="1:229" x14ac:dyDescent="0.35">
      <c r="A17">
        <v>1</v>
      </c>
      <c r="B17">
        <v>1565549319.5</v>
      </c>
      <c r="C17">
        <v>0</v>
      </c>
      <c r="D17" t="s">
        <v>342</v>
      </c>
      <c r="E17" t="s">
        <v>343</v>
      </c>
      <c r="G17">
        <v>1565549319.5</v>
      </c>
      <c r="H17">
        <f t="shared" ref="H17:H28" si="0">CK17*AI17*(CI17-CJ17)/(100*$B$5*(1000-AI17*CI17))</f>
        <v>2.018895023163797E-3</v>
      </c>
      <c r="I17">
        <f t="shared" ref="I17:I28" si="1">CK17*AI17*(CH17-CG17*(1000-AI17*CJ17)/(1000-AI17*CI17))/(100*$B$5)</f>
        <v>15.277750181864279</v>
      </c>
      <c r="J17">
        <f t="shared" ref="J17:J28" si="2">CG17 - IF(AI17&gt;1, I17*$B$5*100/(AK17*CS17), 0)</f>
        <v>380.79700000000003</v>
      </c>
      <c r="K17">
        <f t="shared" ref="K17:K28" si="3">((Q17-H17/2)*J17-I17)/(Q17+H17/2)</f>
        <v>146.32667558202635</v>
      </c>
      <c r="L17">
        <f t="shared" ref="L17:L28" si="4">K17*(CL17+CM17)/1000</f>
        <v>14.522257496775595</v>
      </c>
      <c r="M17">
        <f t="shared" ref="M17:M28" si="5">(CG17 - IF(AI17&gt;1, I17*$B$5*100/(AK17*CS17), 0))*(CL17+CM17)/1000</f>
        <v>37.792371527635005</v>
      </c>
      <c r="N17">
        <f t="shared" ref="N17:N28" si="6">2/((1/P17-1/O17)+SIGN(P17)*SQRT((1/P17-1/O17)*(1/P17-1/O17) + 4*$C$5/(($C$5+1)*($C$5+1))*(2*1/P17*1/O17-1/O17*1/O17)))</f>
        <v>0.11040370985011839</v>
      </c>
      <c r="O17">
        <f t="shared" ref="O17:O28" si="7">AF17+AE17*$B$5+AD17*$B$5*$B$5</f>
        <v>2.2451606071107939</v>
      </c>
      <c r="P17">
        <f t="shared" ref="P17:P28" si="8">H17*(1000-(1000*0.61365*EXP(17.502*T17/(240.97+T17))/(CL17+CM17)+CI17)/2)/(1000*0.61365*EXP(17.502*T17/(240.97+T17))/(CL17+CM17)-CI17)</f>
        <v>0.10747391660862016</v>
      </c>
      <c r="Q17">
        <f t="shared" ref="Q17:Q28" si="9">1/(($C$5+1)/(N17/1.6)+1/(O17/1.37)) + $C$5/(($C$5+1)/(N17/1.6) + $C$5/(O17/1.37))</f>
        <v>6.7427952359094073E-2</v>
      </c>
      <c r="R17">
        <f t="shared" ref="R17:R28" si="10">(CC17*CE17)</f>
        <v>281.52797505800783</v>
      </c>
      <c r="S17">
        <f t="shared" ref="S17:S28" si="11">(CN17+(R17+2*0.95*0.0000000567*(((CN17+$B$7)+273)^4-(CN17+273)^4)-44100*H17)/(1.84*29.3*O17+8*0.95*0.0000000567*(CN17+273)^3))</f>
        <v>26.700483961042504</v>
      </c>
      <c r="T17">
        <f t="shared" ref="T17:T28" si="12">($C$7*CO17+$D$7*CP17+$E$7*S17)</f>
        <v>26.9968</v>
      </c>
      <c r="U17">
        <f t="shared" ref="U17:U28" si="13">0.61365*EXP(17.502*T17/(240.97+T17))</f>
        <v>3.5784870666482234</v>
      </c>
      <c r="V17">
        <f t="shared" ref="V17:V28" si="14">(W17/X17*100)</f>
        <v>54.676522313350247</v>
      </c>
      <c r="W17">
        <f t="shared" ref="W17:W28" si="15">CI17*(CL17+CM17)/1000</f>
        <v>1.7643460008080001</v>
      </c>
      <c r="X17">
        <f t="shared" ref="X17:X28" si="16">0.61365*EXP(17.502*CN17/(240.97+CN17))</f>
        <v>3.2268804345246433</v>
      </c>
      <c r="Y17">
        <f t="shared" ref="Y17:Y28" si="17">(U17-CI17*(CL17+CM17)/1000)</f>
        <v>1.8141410658402233</v>
      </c>
      <c r="Z17">
        <f t="shared" ref="Z17:Z28" si="18">(-H17*44100)</f>
        <v>-89.033270521523448</v>
      </c>
      <c r="AA17">
        <f t="shared" ref="AA17:AA28" si="19">2*29.3*O17*0.92*(CN17-T17)</f>
        <v>-211.74929797928482</v>
      </c>
      <c r="AB17">
        <f t="shared" ref="AB17:AB28" si="20">2*0.95*0.0000000567*(((CN17+$B$7)+273)^4-(T17+273)^4)</f>
        <v>-20.175996340548018</v>
      </c>
      <c r="AC17">
        <f t="shared" ref="AC17:AC28" si="21">R17+AB17+Z17+AA17</f>
        <v>-39.430589783348438</v>
      </c>
      <c r="AD17">
        <v>-4.1053590329612803E-2</v>
      </c>
      <c r="AE17">
        <v>4.6086251637032498E-2</v>
      </c>
      <c r="AF17">
        <v>3.44657234915466</v>
      </c>
      <c r="AG17">
        <v>0</v>
      </c>
      <c r="AH17">
        <v>0</v>
      </c>
      <c r="AI17">
        <f t="shared" ref="AI17:AI28" si="22">IF(AG17*$H$13&gt;=AK17,1,(AK17/(AK17-AG17*$H$13)))</f>
        <v>1</v>
      </c>
      <c r="AJ17">
        <f t="shared" ref="AJ17:AJ28" si="23">(AI17-1)*100</f>
        <v>0</v>
      </c>
      <c r="AK17">
        <f t="shared" ref="AK17:AK28" si="24">MAX(0,($B$13+$C$13*CS17)/(1+$D$13*CS17)*CL17/(CN17+273)*$E$13)</f>
        <v>52660.551797273896</v>
      </c>
      <c r="AL17" t="s">
        <v>344</v>
      </c>
      <c r="AM17">
        <v>589.29941176470595</v>
      </c>
      <c r="AN17">
        <v>3530.99</v>
      </c>
      <c r="AO17">
        <f t="shared" ref="AO17:AO28" si="25">AN17-AM17</f>
        <v>2941.6905882352939</v>
      </c>
      <c r="AP17">
        <f t="shared" ref="AP17:AP28" si="26">AO17/AN17</f>
        <v>0.83310646256015852</v>
      </c>
      <c r="AQ17">
        <v>1.42453575549529</v>
      </c>
      <c r="AR17" t="s">
        <v>345</v>
      </c>
      <c r="AS17">
        <v>771.80729411764696</v>
      </c>
      <c r="AT17">
        <v>1093.3499999999999</v>
      </c>
      <c r="AU17">
        <f t="shared" ref="AU17:AU28" si="27">1-AS17/AT17</f>
        <v>0.29408945523606622</v>
      </c>
      <c r="AV17">
        <v>0.5</v>
      </c>
      <c r="AW17">
        <f t="shared" ref="AW17:AW28" si="28">CC17</f>
        <v>1471.069799814192</v>
      </c>
      <c r="AX17">
        <f t="shared" ref="AX17:AX28" si="29">I17</f>
        <v>15.277750181864279</v>
      </c>
      <c r="AY17">
        <f t="shared" ref="AY17:AY28" si="30">AU17*AV17*AW17</f>
        <v>216.31305802079237</v>
      </c>
      <c r="AZ17">
        <f t="shared" ref="AZ17:AZ28" si="31">BE17/AT17</f>
        <v>0.50136735720492065</v>
      </c>
      <c r="BA17">
        <f t="shared" ref="BA17:BA28" si="32">(AX17-AQ17)/AW17</f>
        <v>9.4171020492153142E-3</v>
      </c>
      <c r="BB17">
        <f t="shared" ref="BB17:BB28" si="33">(AN17-AT17)/AT17</f>
        <v>2.229514793981799</v>
      </c>
      <c r="BC17" t="s">
        <v>346</v>
      </c>
      <c r="BD17">
        <v>545.17999999999995</v>
      </c>
      <c r="BE17">
        <f t="shared" ref="BE17:BE28" si="34">AT17-BD17</f>
        <v>548.16999999999996</v>
      </c>
      <c r="BF17">
        <f t="shared" ref="BF17:BF28" si="35">(AT17-AS17)/(AT17-BD17)</f>
        <v>0.58657479592526585</v>
      </c>
      <c r="BG17">
        <f t="shared" ref="BG17:BG28" si="36">(AN17-AT17)/(AN17-BD17)</f>
        <v>0.81640827782075887</v>
      </c>
      <c r="BH17">
        <f t="shared" ref="BH17:BH28" si="37">(AT17-AS17)/(AT17-AM17)</f>
        <v>0.63791752928627632</v>
      </c>
      <c r="BI17">
        <f t="shared" ref="BI17:BI28" si="38">(AN17-AT17)/(AN17-AM17)</f>
        <v>0.82865275149903794</v>
      </c>
      <c r="BJ17">
        <v>8051</v>
      </c>
      <c r="BK17">
        <v>300</v>
      </c>
      <c r="BL17">
        <v>300</v>
      </c>
      <c r="BM17">
        <v>300</v>
      </c>
      <c r="BN17">
        <v>10294</v>
      </c>
      <c r="BO17">
        <v>1015.9</v>
      </c>
      <c r="BP17">
        <v>-7.0436500000000003E-3</v>
      </c>
      <c r="BQ17">
        <v>5.7236900000000004</v>
      </c>
      <c r="BR17" t="s">
        <v>347</v>
      </c>
      <c r="BS17" t="s">
        <v>347</v>
      </c>
      <c r="BT17" t="s">
        <v>347</v>
      </c>
      <c r="BU17" t="s">
        <v>347</v>
      </c>
      <c r="BV17" t="s">
        <v>347</v>
      </c>
      <c r="BW17" t="s">
        <v>347</v>
      </c>
      <c r="BX17" t="s">
        <v>347</v>
      </c>
      <c r="BY17" t="s">
        <v>347</v>
      </c>
      <c r="BZ17" t="s">
        <v>347</v>
      </c>
      <c r="CA17" t="s">
        <v>347</v>
      </c>
      <c r="CB17">
        <f t="shared" ref="CB17:CB28" si="39">$B$11*CT17+$C$11*CU17+$F$11*DH17</f>
        <v>1749.84</v>
      </c>
      <c r="CC17">
        <f t="shared" ref="CC17:CC28" si="40">CB17*CD17</f>
        <v>1471.069799814192</v>
      </c>
      <c r="CD17">
        <f t="shared" ref="CD17:CD28" si="41">($B$11*$D$9+$C$11*$D$9+$F$11*((DU17+DM17)/MAX(DU17+DM17+DV17, 0.1)*$I$9+DV17/MAX(DU17+DM17+DV17, 0.1)*$J$9))/($B$11+$C$11+$F$11)</f>
        <v>0.84068817709858734</v>
      </c>
      <c r="CE17">
        <f t="shared" ref="CE17:CE28" si="42">($B$11*$K$9+$C$11*$K$9+$F$11*((DU17+DM17)/MAX(DU17+DM17+DV17, 0.1)*$P$9+DV17/MAX(DU17+DM17+DV17, 0.1)*$Q$9))/($B$11+$C$11+$F$11)</f>
        <v>0.1913763541971748</v>
      </c>
      <c r="CF17">
        <v>1565549319.5</v>
      </c>
      <c r="CG17">
        <v>380.79700000000003</v>
      </c>
      <c r="CH17">
        <v>400.05200000000002</v>
      </c>
      <c r="CI17">
        <v>17.7776</v>
      </c>
      <c r="CJ17">
        <v>15.398099999999999</v>
      </c>
      <c r="CK17">
        <v>500.02199999999999</v>
      </c>
      <c r="CL17">
        <v>99.145300000000006</v>
      </c>
      <c r="CM17">
        <v>0.10015499999999999</v>
      </c>
      <c r="CN17">
        <v>25.247399999999999</v>
      </c>
      <c r="CO17">
        <v>26.9968</v>
      </c>
      <c r="CP17">
        <v>999.9</v>
      </c>
      <c r="CQ17">
        <v>0</v>
      </c>
      <c r="CR17">
        <v>0</v>
      </c>
      <c r="CS17">
        <v>9985.6200000000008</v>
      </c>
      <c r="CT17">
        <v>0</v>
      </c>
      <c r="CU17">
        <v>1526.43</v>
      </c>
      <c r="CV17">
        <v>-19.942699999999999</v>
      </c>
      <c r="CW17">
        <v>386.99</v>
      </c>
      <c r="CX17">
        <v>406.30799999999999</v>
      </c>
      <c r="CY17">
        <v>2.3815300000000001</v>
      </c>
      <c r="CZ17">
        <v>376.28699999999998</v>
      </c>
      <c r="DA17">
        <v>400.05200000000002</v>
      </c>
      <c r="DB17">
        <v>17.310600000000001</v>
      </c>
      <c r="DC17">
        <v>15.398099999999999</v>
      </c>
      <c r="DD17">
        <v>1.7627600000000001</v>
      </c>
      <c r="DE17">
        <v>1.5266500000000001</v>
      </c>
      <c r="DF17">
        <v>15.4604</v>
      </c>
      <c r="DG17">
        <v>13.2377</v>
      </c>
      <c r="DH17">
        <v>1749.84</v>
      </c>
      <c r="DI17">
        <v>0.97699499999999995</v>
      </c>
      <c r="DJ17">
        <v>2.3004500000000001E-2</v>
      </c>
      <c r="DK17">
        <v>0</v>
      </c>
      <c r="DL17">
        <v>771.6</v>
      </c>
      <c r="DM17">
        <v>5.0002700000000004</v>
      </c>
      <c r="DN17">
        <v>17689.900000000001</v>
      </c>
      <c r="DO17">
        <v>14144.3</v>
      </c>
      <c r="DP17">
        <v>47.686999999999998</v>
      </c>
      <c r="DQ17">
        <v>50.25</v>
      </c>
      <c r="DR17">
        <v>48.75</v>
      </c>
      <c r="DS17">
        <v>49.75</v>
      </c>
      <c r="DT17">
        <v>49.061999999999998</v>
      </c>
      <c r="DU17">
        <v>1704.7</v>
      </c>
      <c r="DV17">
        <v>40.14</v>
      </c>
      <c r="DW17">
        <v>0</v>
      </c>
      <c r="DX17">
        <v>2304.7000000476801</v>
      </c>
      <c r="DY17">
        <v>771.80729411764696</v>
      </c>
      <c r="DZ17">
        <v>-2.18799015868521</v>
      </c>
      <c r="EA17">
        <v>222.034314005158</v>
      </c>
      <c r="EB17">
        <v>17689.082352941201</v>
      </c>
      <c r="EC17">
        <v>10</v>
      </c>
      <c r="ED17">
        <v>1565549341.5</v>
      </c>
      <c r="EE17" t="s">
        <v>348</v>
      </c>
      <c r="EF17">
        <v>43</v>
      </c>
      <c r="EG17">
        <v>4.51</v>
      </c>
      <c r="EH17">
        <v>0.46700000000000003</v>
      </c>
      <c r="EI17">
        <v>400</v>
      </c>
      <c r="EJ17">
        <v>15</v>
      </c>
      <c r="EK17">
        <v>0.11</v>
      </c>
      <c r="EL17">
        <v>0.09</v>
      </c>
      <c r="EM17">
        <v>15.818103951980699</v>
      </c>
      <c r="EN17">
        <v>1.86752189262375E-2</v>
      </c>
      <c r="EO17">
        <v>3.69526907549085E-2</v>
      </c>
      <c r="EP17">
        <v>1</v>
      </c>
      <c r="EQ17">
        <v>0.11062565599313801</v>
      </c>
      <c r="ER17">
        <v>-3.0140436848999498E-3</v>
      </c>
      <c r="ES17">
        <v>4.85952211679099E-4</v>
      </c>
      <c r="ET17">
        <v>1</v>
      </c>
      <c r="EU17">
        <v>2</v>
      </c>
      <c r="EV17">
        <v>2</v>
      </c>
      <c r="EW17" t="s">
        <v>349</v>
      </c>
      <c r="EX17">
        <v>2.9489299999999998</v>
      </c>
      <c r="EY17">
        <v>2.7774399999999999</v>
      </c>
      <c r="EZ17">
        <v>8.9368400000000001E-2</v>
      </c>
      <c r="FA17">
        <v>9.1254699999999994E-2</v>
      </c>
      <c r="FB17">
        <v>8.8998999999999995E-2</v>
      </c>
      <c r="FC17">
        <v>7.7765600000000004E-2</v>
      </c>
      <c r="FD17">
        <v>21814.7</v>
      </c>
      <c r="FE17">
        <v>21958.1</v>
      </c>
      <c r="FF17">
        <v>22530.799999999999</v>
      </c>
      <c r="FG17">
        <v>26507.200000000001</v>
      </c>
      <c r="FH17">
        <v>29338.799999999999</v>
      </c>
      <c r="FI17">
        <v>38367</v>
      </c>
      <c r="FJ17">
        <v>32179.8</v>
      </c>
      <c r="FK17">
        <v>42223.3</v>
      </c>
      <c r="FL17">
        <v>1.9369499999999999</v>
      </c>
      <c r="FM17">
        <v>1.8228</v>
      </c>
      <c r="FN17">
        <v>2.9467E-2</v>
      </c>
      <c r="FO17">
        <v>0</v>
      </c>
      <c r="FP17">
        <v>26.514700000000001</v>
      </c>
      <c r="FQ17">
        <v>999.9</v>
      </c>
      <c r="FR17">
        <v>37.436999999999998</v>
      </c>
      <c r="FS17">
        <v>42.057000000000002</v>
      </c>
      <c r="FT17">
        <v>31.2226</v>
      </c>
      <c r="FU17">
        <v>61.683300000000003</v>
      </c>
      <c r="FV17">
        <v>46.490400000000001</v>
      </c>
      <c r="FW17">
        <v>1</v>
      </c>
      <c r="FX17">
        <v>0.59098799999999996</v>
      </c>
      <c r="FY17">
        <v>6.4498800000000003</v>
      </c>
      <c r="FZ17">
        <v>20.144600000000001</v>
      </c>
      <c r="GA17">
        <v>5.2219300000000004</v>
      </c>
      <c r="GB17">
        <v>11.962</v>
      </c>
      <c r="GC17">
        <v>4.9691000000000001</v>
      </c>
      <c r="GD17">
        <v>3.2949999999999999</v>
      </c>
      <c r="GE17">
        <v>9999</v>
      </c>
      <c r="GF17">
        <v>9999</v>
      </c>
      <c r="GG17">
        <v>504.7</v>
      </c>
      <c r="GH17">
        <v>9999</v>
      </c>
      <c r="GI17">
        <v>1.8660099999999999</v>
      </c>
      <c r="GJ17">
        <v>1.86547</v>
      </c>
      <c r="GK17">
        <v>1.8656600000000001</v>
      </c>
      <c r="GL17">
        <v>1.86859</v>
      </c>
      <c r="GM17">
        <v>1.8628499999999999</v>
      </c>
      <c r="GN17">
        <v>1.86103</v>
      </c>
      <c r="GO17">
        <v>1.8572599999999999</v>
      </c>
      <c r="GP17">
        <v>1.8633999999999999</v>
      </c>
      <c r="GQ17" t="s">
        <v>350</v>
      </c>
      <c r="GR17" t="s">
        <v>19</v>
      </c>
      <c r="GS17" t="s">
        <v>19</v>
      </c>
      <c r="GT17" t="s">
        <v>19</v>
      </c>
      <c r="GU17" t="s">
        <v>351</v>
      </c>
      <c r="GV17" t="s">
        <v>352</v>
      </c>
      <c r="GW17" t="s">
        <v>353</v>
      </c>
      <c r="GX17" t="s">
        <v>353</v>
      </c>
      <c r="GY17" t="s">
        <v>353</v>
      </c>
      <c r="GZ17" t="s">
        <v>353</v>
      </c>
      <c r="HA17">
        <v>0</v>
      </c>
      <c r="HB17">
        <v>100</v>
      </c>
      <c r="HC17">
        <v>100</v>
      </c>
      <c r="HD17">
        <v>4.51</v>
      </c>
      <c r="HE17">
        <v>0.46700000000000003</v>
      </c>
      <c r="HF17">
        <v>2</v>
      </c>
      <c r="HG17">
        <v>503.72399999999999</v>
      </c>
      <c r="HH17">
        <v>467.78399999999999</v>
      </c>
      <c r="HI17">
        <v>19.860499999999998</v>
      </c>
      <c r="HJ17">
        <v>34.578099999999999</v>
      </c>
      <c r="HK17">
        <v>30.0002</v>
      </c>
      <c r="HL17">
        <v>34.5244</v>
      </c>
      <c r="HM17">
        <v>34.5124</v>
      </c>
      <c r="HN17">
        <v>21.106200000000001</v>
      </c>
      <c r="HO17">
        <v>53.011899999999997</v>
      </c>
      <c r="HP17">
        <v>0</v>
      </c>
      <c r="HQ17">
        <v>19.863700000000001</v>
      </c>
      <c r="HR17">
        <v>400</v>
      </c>
      <c r="HS17">
        <v>15.4619</v>
      </c>
      <c r="HT17">
        <v>99.0625</v>
      </c>
      <c r="HU17">
        <v>102.955</v>
      </c>
    </row>
    <row r="18" spans="1:229" x14ac:dyDescent="0.35">
      <c r="A18">
        <v>2</v>
      </c>
      <c r="B18">
        <v>1565549423.5</v>
      </c>
      <c r="C18">
        <v>104</v>
      </c>
      <c r="D18" t="s">
        <v>354</v>
      </c>
      <c r="E18" t="s">
        <v>355</v>
      </c>
      <c r="G18">
        <v>1565549423.5</v>
      </c>
      <c r="H18">
        <f t="shared" si="0"/>
        <v>1.9530203429412661E-3</v>
      </c>
      <c r="I18">
        <f t="shared" si="1"/>
        <v>10.865120831136741</v>
      </c>
      <c r="J18">
        <f t="shared" si="2"/>
        <v>286.31700000000001</v>
      </c>
      <c r="K18">
        <f t="shared" si="3"/>
        <v>114.683776764257</v>
      </c>
      <c r="L18">
        <f t="shared" si="4"/>
        <v>11.381843032668231</v>
      </c>
      <c r="M18">
        <f t="shared" si="5"/>
        <v>28.415659507650002</v>
      </c>
      <c r="N18">
        <f t="shared" si="6"/>
        <v>0.10731724639893386</v>
      </c>
      <c r="O18">
        <f t="shared" si="7"/>
        <v>2.246882909341914</v>
      </c>
      <c r="P18">
        <f t="shared" si="8"/>
        <v>0.1045488259779668</v>
      </c>
      <c r="Q18">
        <f t="shared" si="9"/>
        <v>6.5585799510117393E-2</v>
      </c>
      <c r="R18">
        <f t="shared" si="10"/>
        <v>281.54179003125176</v>
      </c>
      <c r="S18">
        <f t="shared" si="11"/>
        <v>26.759735572047656</v>
      </c>
      <c r="T18">
        <f t="shared" si="12"/>
        <v>27.074200000000001</v>
      </c>
      <c r="U18">
        <f t="shared" si="13"/>
        <v>3.5947871905632018</v>
      </c>
      <c r="V18">
        <f t="shared" si="14"/>
        <v>55.380580042973158</v>
      </c>
      <c r="W18">
        <f t="shared" si="15"/>
        <v>1.7911421834200001</v>
      </c>
      <c r="X18">
        <f t="shared" si="16"/>
        <v>3.234242368046965</v>
      </c>
      <c r="Y18">
        <f t="shared" si="17"/>
        <v>1.8036450071432018</v>
      </c>
      <c r="Z18">
        <f t="shared" si="18"/>
        <v>-86.128197123709839</v>
      </c>
      <c r="AA18">
        <f t="shared" si="19"/>
        <v>-216.64807209399751</v>
      </c>
      <c r="AB18">
        <f t="shared" si="20"/>
        <v>-20.638918280896103</v>
      </c>
      <c r="AC18">
        <f t="shared" si="21"/>
        <v>-41.873397467351708</v>
      </c>
      <c r="AD18">
        <v>-4.1099883241531202E-2</v>
      </c>
      <c r="AE18">
        <v>4.6138219486142801E-2</v>
      </c>
      <c r="AF18">
        <v>3.44964938912018</v>
      </c>
      <c r="AG18">
        <v>0</v>
      </c>
      <c r="AH18">
        <v>0</v>
      </c>
      <c r="AI18">
        <f t="shared" si="22"/>
        <v>1</v>
      </c>
      <c r="AJ18">
        <f t="shared" si="23"/>
        <v>0</v>
      </c>
      <c r="AK18">
        <f t="shared" si="24"/>
        <v>52710.748163223805</v>
      </c>
      <c r="AL18" t="s">
        <v>344</v>
      </c>
      <c r="AM18">
        <v>589.29941176470595</v>
      </c>
      <c r="AN18">
        <v>3530.99</v>
      </c>
      <c r="AO18">
        <f t="shared" si="25"/>
        <v>2941.6905882352939</v>
      </c>
      <c r="AP18">
        <f t="shared" si="26"/>
        <v>0.83310646256015852</v>
      </c>
      <c r="AQ18">
        <v>1.42453575549529</v>
      </c>
      <c r="AR18" t="s">
        <v>356</v>
      </c>
      <c r="AS18">
        <v>764.03358823529402</v>
      </c>
      <c r="AT18">
        <v>1057.51</v>
      </c>
      <c r="AU18">
        <f t="shared" si="27"/>
        <v>0.27751644122959218</v>
      </c>
      <c r="AV18">
        <v>0.5</v>
      </c>
      <c r="AW18">
        <f t="shared" si="28"/>
        <v>1471.145106693989</v>
      </c>
      <c r="AX18">
        <f t="shared" si="29"/>
        <v>10.865120831136741</v>
      </c>
      <c r="AY18">
        <f t="shared" si="30"/>
        <v>204.13347727102226</v>
      </c>
      <c r="AZ18">
        <f t="shared" si="31"/>
        <v>0.47919168613062763</v>
      </c>
      <c r="BA18">
        <f t="shared" si="32"/>
        <v>6.4171678461118487E-3</v>
      </c>
      <c r="BB18">
        <f t="shared" si="33"/>
        <v>2.3389660617866492</v>
      </c>
      <c r="BC18" t="s">
        <v>357</v>
      </c>
      <c r="BD18">
        <v>550.76</v>
      </c>
      <c r="BE18">
        <f t="shared" si="34"/>
        <v>506.75</v>
      </c>
      <c r="BF18">
        <f t="shared" si="35"/>
        <v>0.57913450767578878</v>
      </c>
      <c r="BG18">
        <f t="shared" si="36"/>
        <v>0.82996278810695812</v>
      </c>
      <c r="BH18">
        <f t="shared" si="37"/>
        <v>0.62680430374467022</v>
      </c>
      <c r="BI18">
        <f t="shared" si="38"/>
        <v>0.84083622182842432</v>
      </c>
      <c r="BJ18">
        <v>8053</v>
      </c>
      <c r="BK18">
        <v>300</v>
      </c>
      <c r="BL18">
        <v>300</v>
      </c>
      <c r="BM18">
        <v>300</v>
      </c>
      <c r="BN18">
        <v>10292.4</v>
      </c>
      <c r="BO18">
        <v>988.68100000000004</v>
      </c>
      <c r="BP18">
        <v>-7.0424299999999997E-3</v>
      </c>
      <c r="BQ18">
        <v>7.0991799999999996</v>
      </c>
      <c r="BR18" t="s">
        <v>347</v>
      </c>
      <c r="BS18" t="s">
        <v>347</v>
      </c>
      <c r="BT18" t="s">
        <v>347</v>
      </c>
      <c r="BU18" t="s">
        <v>347</v>
      </c>
      <c r="BV18" t="s">
        <v>347</v>
      </c>
      <c r="BW18" t="s">
        <v>347</v>
      </c>
      <c r="BX18" t="s">
        <v>347</v>
      </c>
      <c r="BY18" t="s">
        <v>347</v>
      </c>
      <c r="BZ18" t="s">
        <v>347</v>
      </c>
      <c r="CA18" t="s">
        <v>347</v>
      </c>
      <c r="CB18">
        <f t="shared" si="39"/>
        <v>1749.93</v>
      </c>
      <c r="CC18">
        <f t="shared" si="40"/>
        <v>1471.145106693989</v>
      </c>
      <c r="CD18">
        <f t="shared" si="41"/>
        <v>0.84068797420124741</v>
      </c>
      <c r="CE18">
        <f t="shared" si="42"/>
        <v>0.19137594840249494</v>
      </c>
      <c r="CF18">
        <v>1565549423.5</v>
      </c>
      <c r="CG18">
        <v>286.31700000000001</v>
      </c>
      <c r="CH18">
        <v>300.02600000000001</v>
      </c>
      <c r="CI18">
        <v>18.047599999999999</v>
      </c>
      <c r="CJ18">
        <v>15.7463</v>
      </c>
      <c r="CK18">
        <v>500.00599999999997</v>
      </c>
      <c r="CL18">
        <v>99.145300000000006</v>
      </c>
      <c r="CM18">
        <v>0.10015</v>
      </c>
      <c r="CN18">
        <v>25.285699999999999</v>
      </c>
      <c r="CO18">
        <v>27.074200000000001</v>
      </c>
      <c r="CP18">
        <v>999.9</v>
      </c>
      <c r="CQ18">
        <v>0</v>
      </c>
      <c r="CR18">
        <v>0</v>
      </c>
      <c r="CS18">
        <v>9996.8799999999992</v>
      </c>
      <c r="CT18">
        <v>0</v>
      </c>
      <c r="CU18">
        <v>1653.09</v>
      </c>
      <c r="CV18">
        <v>-13.559799999999999</v>
      </c>
      <c r="CW18">
        <v>291.72899999999998</v>
      </c>
      <c r="CX18">
        <v>304.82600000000002</v>
      </c>
      <c r="CY18">
        <v>2.2922699999999998</v>
      </c>
      <c r="CZ18">
        <v>281.95699999999999</v>
      </c>
      <c r="DA18">
        <v>300.02600000000001</v>
      </c>
      <c r="DB18">
        <v>17.5716</v>
      </c>
      <c r="DC18">
        <v>15.7463</v>
      </c>
      <c r="DD18">
        <v>1.78844</v>
      </c>
      <c r="DE18">
        <v>1.5611699999999999</v>
      </c>
      <c r="DF18">
        <v>15.6861</v>
      </c>
      <c r="DG18">
        <v>13.5808</v>
      </c>
      <c r="DH18">
        <v>1749.93</v>
      </c>
      <c r="DI18">
        <v>0.97699899999999995</v>
      </c>
      <c r="DJ18">
        <v>2.30006E-2</v>
      </c>
      <c r="DK18">
        <v>0</v>
      </c>
      <c r="DL18">
        <v>763.721</v>
      </c>
      <c r="DM18">
        <v>5.0002700000000004</v>
      </c>
      <c r="DN18">
        <v>17869</v>
      </c>
      <c r="DO18">
        <v>14145.1</v>
      </c>
      <c r="DP18">
        <v>47.936999999999998</v>
      </c>
      <c r="DQ18">
        <v>50.5</v>
      </c>
      <c r="DR18">
        <v>49</v>
      </c>
      <c r="DS18">
        <v>50.061999999999998</v>
      </c>
      <c r="DT18">
        <v>49.311999999999998</v>
      </c>
      <c r="DU18">
        <v>1704.79</v>
      </c>
      <c r="DV18">
        <v>40.130000000000003</v>
      </c>
      <c r="DW18">
        <v>0</v>
      </c>
      <c r="DX18">
        <v>103.69999980926499</v>
      </c>
      <c r="DY18">
        <v>764.03358823529402</v>
      </c>
      <c r="DZ18">
        <v>-2.4213234986209802</v>
      </c>
      <c r="EA18">
        <v>-309.41176316603998</v>
      </c>
      <c r="EB18">
        <v>17904.2705882353</v>
      </c>
      <c r="EC18">
        <v>10</v>
      </c>
      <c r="ED18">
        <v>1565549446.5</v>
      </c>
      <c r="EE18" t="s">
        <v>358</v>
      </c>
      <c r="EF18">
        <v>44</v>
      </c>
      <c r="EG18">
        <v>4.3600000000000003</v>
      </c>
      <c r="EH18">
        <v>0.47599999999999998</v>
      </c>
      <c r="EI18">
        <v>300</v>
      </c>
      <c r="EJ18">
        <v>16</v>
      </c>
      <c r="EK18">
        <v>0.17</v>
      </c>
      <c r="EL18">
        <v>0.1</v>
      </c>
      <c r="EM18">
        <v>10.691579196648799</v>
      </c>
      <c r="EN18">
        <v>4.4802286180411301E-2</v>
      </c>
      <c r="EO18">
        <v>2.9787229678575101E-2</v>
      </c>
      <c r="EP18">
        <v>1</v>
      </c>
      <c r="EQ18">
        <v>0.104968004374719</v>
      </c>
      <c r="ER18">
        <v>1.43563179921054E-2</v>
      </c>
      <c r="ES18">
        <v>1.49691695405851E-3</v>
      </c>
      <c r="ET18">
        <v>1</v>
      </c>
      <c r="EU18">
        <v>2</v>
      </c>
      <c r="EV18">
        <v>2</v>
      </c>
      <c r="EW18" t="s">
        <v>349</v>
      </c>
      <c r="EX18">
        <v>2.94889</v>
      </c>
      <c r="EY18">
        <v>2.7775400000000001</v>
      </c>
      <c r="EZ18">
        <v>7.0864999999999997E-2</v>
      </c>
      <c r="FA18">
        <v>7.2668700000000003E-2</v>
      </c>
      <c r="FB18">
        <v>8.9972700000000003E-2</v>
      </c>
      <c r="FC18">
        <v>7.9048900000000005E-2</v>
      </c>
      <c r="FD18">
        <v>22257</v>
      </c>
      <c r="FE18">
        <v>22406.1</v>
      </c>
      <c r="FF18">
        <v>22530</v>
      </c>
      <c r="FG18">
        <v>26505.7</v>
      </c>
      <c r="FH18">
        <v>29306.3</v>
      </c>
      <c r="FI18">
        <v>38310.9</v>
      </c>
      <c r="FJ18">
        <v>32178.7</v>
      </c>
      <c r="FK18">
        <v>42220.6</v>
      </c>
      <c r="FL18">
        <v>1.9370499999999999</v>
      </c>
      <c r="FM18">
        <v>1.8228800000000001</v>
      </c>
      <c r="FN18">
        <v>2.3841899999999999E-2</v>
      </c>
      <c r="FO18">
        <v>0</v>
      </c>
      <c r="FP18">
        <v>26.684200000000001</v>
      </c>
      <c r="FQ18">
        <v>999.9</v>
      </c>
      <c r="FR18">
        <v>37.389000000000003</v>
      </c>
      <c r="FS18">
        <v>41.985999999999997</v>
      </c>
      <c r="FT18">
        <v>31.064299999999999</v>
      </c>
      <c r="FU18">
        <v>61.603299999999997</v>
      </c>
      <c r="FV18">
        <v>46.310099999999998</v>
      </c>
      <c r="FW18">
        <v>1</v>
      </c>
      <c r="FX18">
        <v>0.60650199999999999</v>
      </c>
      <c r="FY18">
        <v>9.2810500000000005</v>
      </c>
      <c r="FZ18">
        <v>20.021599999999999</v>
      </c>
      <c r="GA18">
        <v>5.2273199999999997</v>
      </c>
      <c r="GB18">
        <v>11.962</v>
      </c>
      <c r="GC18">
        <v>4.9718</v>
      </c>
      <c r="GD18">
        <v>3.2949999999999999</v>
      </c>
      <c r="GE18">
        <v>9999</v>
      </c>
      <c r="GF18">
        <v>9999</v>
      </c>
      <c r="GG18">
        <v>504.7</v>
      </c>
      <c r="GH18">
        <v>9999</v>
      </c>
      <c r="GI18">
        <v>1.8660000000000001</v>
      </c>
      <c r="GJ18">
        <v>1.86541</v>
      </c>
      <c r="GK18">
        <v>1.8655999999999999</v>
      </c>
      <c r="GL18">
        <v>1.86859</v>
      </c>
      <c r="GM18">
        <v>1.8628</v>
      </c>
      <c r="GN18">
        <v>1.8609899999999999</v>
      </c>
      <c r="GO18">
        <v>1.8571800000000001</v>
      </c>
      <c r="GP18">
        <v>1.8633900000000001</v>
      </c>
      <c r="GQ18" t="s">
        <v>350</v>
      </c>
      <c r="GR18" t="s">
        <v>19</v>
      </c>
      <c r="GS18" t="s">
        <v>19</v>
      </c>
      <c r="GT18" t="s">
        <v>19</v>
      </c>
      <c r="GU18" t="s">
        <v>351</v>
      </c>
      <c r="GV18" t="s">
        <v>352</v>
      </c>
      <c r="GW18" t="s">
        <v>353</v>
      </c>
      <c r="GX18" t="s">
        <v>353</v>
      </c>
      <c r="GY18" t="s">
        <v>353</v>
      </c>
      <c r="GZ18" t="s">
        <v>353</v>
      </c>
      <c r="HA18">
        <v>0</v>
      </c>
      <c r="HB18">
        <v>100</v>
      </c>
      <c r="HC18">
        <v>100</v>
      </c>
      <c r="HD18">
        <v>4.3600000000000003</v>
      </c>
      <c r="HE18">
        <v>0.47599999999999998</v>
      </c>
      <c r="HF18">
        <v>2</v>
      </c>
      <c r="HG18">
        <v>503.822</v>
      </c>
      <c r="HH18">
        <v>467.86599999999999</v>
      </c>
      <c r="HI18">
        <v>18.423500000000001</v>
      </c>
      <c r="HJ18">
        <v>34.5749</v>
      </c>
      <c r="HK18">
        <v>30.000399999999999</v>
      </c>
      <c r="HL18">
        <v>34.528300000000002</v>
      </c>
      <c r="HM18">
        <v>34.517000000000003</v>
      </c>
      <c r="HN18">
        <v>16.721800000000002</v>
      </c>
      <c r="HO18">
        <v>51.922699999999999</v>
      </c>
      <c r="HP18">
        <v>0</v>
      </c>
      <c r="HQ18">
        <v>18.3291</v>
      </c>
      <c r="HR18">
        <v>300</v>
      </c>
      <c r="HS18">
        <v>15.705500000000001</v>
      </c>
      <c r="HT18">
        <v>99.058999999999997</v>
      </c>
      <c r="HU18">
        <v>102.949</v>
      </c>
    </row>
    <row r="19" spans="1:229" x14ac:dyDescent="0.35">
      <c r="A19">
        <v>3</v>
      </c>
      <c r="B19">
        <v>1565549537.5</v>
      </c>
      <c r="C19">
        <v>218</v>
      </c>
      <c r="D19" t="s">
        <v>359</v>
      </c>
      <c r="E19" t="s">
        <v>360</v>
      </c>
      <c r="G19">
        <v>1565549537.5</v>
      </c>
      <c r="H19">
        <f t="shared" si="0"/>
        <v>2.1467959695978841E-3</v>
      </c>
      <c r="I19">
        <f t="shared" si="1"/>
        <v>6.8534621537312868</v>
      </c>
      <c r="J19">
        <f t="shared" si="2"/>
        <v>191.279</v>
      </c>
      <c r="K19">
        <f t="shared" si="3"/>
        <v>91.737094442335902</v>
      </c>
      <c r="L19">
        <f t="shared" si="4"/>
        <v>9.1045093100458079</v>
      </c>
      <c r="M19">
        <f t="shared" si="5"/>
        <v>18.983612320650998</v>
      </c>
      <c r="N19">
        <f t="shared" si="6"/>
        <v>0.11790994987312138</v>
      </c>
      <c r="O19">
        <f t="shared" si="7"/>
        <v>2.2463156286336314</v>
      </c>
      <c r="P19">
        <f t="shared" si="8"/>
        <v>0.11457636878001456</v>
      </c>
      <c r="Q19">
        <f t="shared" si="9"/>
        <v>7.1901889149843523E-2</v>
      </c>
      <c r="R19">
        <f t="shared" si="10"/>
        <v>281.55773705256848</v>
      </c>
      <c r="S19">
        <f t="shared" si="11"/>
        <v>26.464204534351683</v>
      </c>
      <c r="T19">
        <f t="shared" si="12"/>
        <v>26.9877</v>
      </c>
      <c r="U19">
        <f t="shared" si="13"/>
        <v>3.5765748891172069</v>
      </c>
      <c r="V19">
        <f t="shared" si="14"/>
        <v>55.396206409111628</v>
      </c>
      <c r="W19">
        <f t="shared" si="15"/>
        <v>1.7670889856787999</v>
      </c>
      <c r="X19">
        <f t="shared" si="16"/>
        <v>3.189909743328827</v>
      </c>
      <c r="Y19">
        <f t="shared" si="17"/>
        <v>1.809485903438407</v>
      </c>
      <c r="Z19">
        <f t="shared" si="18"/>
        <v>-94.67370225926669</v>
      </c>
      <c r="AA19">
        <f t="shared" si="19"/>
        <v>-234.18969336887955</v>
      </c>
      <c r="AB19">
        <f t="shared" si="20"/>
        <v>-22.280090222425432</v>
      </c>
      <c r="AC19">
        <f t="shared" si="21"/>
        <v>-69.585748798003181</v>
      </c>
      <c r="AD19">
        <v>-4.1084632055421101E-2</v>
      </c>
      <c r="AE19">
        <v>4.6121098693656902E-2</v>
      </c>
      <c r="AF19">
        <v>3.4486357904668501</v>
      </c>
      <c r="AG19">
        <v>0</v>
      </c>
      <c r="AH19">
        <v>0</v>
      </c>
      <c r="AI19">
        <f t="shared" si="22"/>
        <v>1</v>
      </c>
      <c r="AJ19">
        <f t="shared" si="23"/>
        <v>0</v>
      </c>
      <c r="AK19">
        <f t="shared" si="24"/>
        <v>52732.975433016116</v>
      </c>
      <c r="AL19" t="s">
        <v>344</v>
      </c>
      <c r="AM19">
        <v>589.29941176470595</v>
      </c>
      <c r="AN19">
        <v>3530.99</v>
      </c>
      <c r="AO19">
        <f t="shared" si="25"/>
        <v>2941.6905882352939</v>
      </c>
      <c r="AP19">
        <f t="shared" si="26"/>
        <v>0.83310646256015852</v>
      </c>
      <c r="AQ19">
        <v>1.42453575549529</v>
      </c>
      <c r="AR19" t="s">
        <v>361</v>
      </c>
      <c r="AS19">
        <v>761.91788235294098</v>
      </c>
      <c r="AT19">
        <v>1025.53</v>
      </c>
      <c r="AU19">
        <f t="shared" si="27"/>
        <v>0.25704964032944821</v>
      </c>
      <c r="AV19">
        <v>0.5</v>
      </c>
      <c r="AW19">
        <f t="shared" si="28"/>
        <v>1471.2290998142585</v>
      </c>
      <c r="AX19">
        <f t="shared" si="29"/>
        <v>6.8534621537312868</v>
      </c>
      <c r="AY19">
        <f t="shared" si="30"/>
        <v>189.0894554747365</v>
      </c>
      <c r="AZ19">
        <f t="shared" si="31"/>
        <v>0.46291186020886765</v>
      </c>
      <c r="BA19">
        <f t="shared" si="32"/>
        <v>3.6900618665858327E-3</v>
      </c>
      <c r="BB19">
        <f t="shared" si="33"/>
        <v>2.4430879642721326</v>
      </c>
      <c r="BC19" t="s">
        <v>362</v>
      </c>
      <c r="BD19">
        <v>550.79999999999995</v>
      </c>
      <c r="BE19">
        <f t="shared" si="34"/>
        <v>474.73</v>
      </c>
      <c r="BF19">
        <f t="shared" si="35"/>
        <v>0.5552885169402797</v>
      </c>
      <c r="BG19">
        <f t="shared" si="36"/>
        <v>0.8407047872786636</v>
      </c>
      <c r="BH19">
        <f t="shared" si="37"/>
        <v>0.60429535377943722</v>
      </c>
      <c r="BI19">
        <f t="shared" si="38"/>
        <v>0.85170752152523743</v>
      </c>
      <c r="BJ19">
        <v>8055</v>
      </c>
      <c r="BK19">
        <v>300</v>
      </c>
      <c r="BL19">
        <v>300</v>
      </c>
      <c r="BM19">
        <v>300</v>
      </c>
      <c r="BN19">
        <v>10291</v>
      </c>
      <c r="BO19">
        <v>964.20699999999999</v>
      </c>
      <c r="BP19">
        <v>-7.0414099999999997E-3</v>
      </c>
      <c r="BQ19">
        <v>6.0077499999999997</v>
      </c>
      <c r="BR19" t="s">
        <v>347</v>
      </c>
      <c r="BS19" t="s">
        <v>347</v>
      </c>
      <c r="BT19" t="s">
        <v>347</v>
      </c>
      <c r="BU19" t="s">
        <v>347</v>
      </c>
      <c r="BV19" t="s">
        <v>347</v>
      </c>
      <c r="BW19" t="s">
        <v>347</v>
      </c>
      <c r="BX19" t="s">
        <v>347</v>
      </c>
      <c r="BY19" t="s">
        <v>347</v>
      </c>
      <c r="BZ19" t="s">
        <v>347</v>
      </c>
      <c r="CA19" t="s">
        <v>347</v>
      </c>
      <c r="CB19">
        <f t="shared" si="39"/>
        <v>1750.03</v>
      </c>
      <c r="CC19">
        <f t="shared" si="40"/>
        <v>1471.2290998142585</v>
      </c>
      <c r="CD19">
        <f t="shared" si="41"/>
        <v>0.84068793095790273</v>
      </c>
      <c r="CE19">
        <f t="shared" si="42"/>
        <v>0.19137586191580558</v>
      </c>
      <c r="CF19">
        <v>1565549537.5</v>
      </c>
      <c r="CG19">
        <v>191.279</v>
      </c>
      <c r="CH19">
        <v>199.99700000000001</v>
      </c>
      <c r="CI19">
        <v>17.805199999999999</v>
      </c>
      <c r="CJ19">
        <v>15.2746</v>
      </c>
      <c r="CK19">
        <v>499.93799999999999</v>
      </c>
      <c r="CL19">
        <v>99.145799999999994</v>
      </c>
      <c r="CM19">
        <v>9.9868999999999999E-2</v>
      </c>
      <c r="CN19">
        <v>25.053899999999999</v>
      </c>
      <c r="CO19">
        <v>26.9877</v>
      </c>
      <c r="CP19">
        <v>999.9</v>
      </c>
      <c r="CQ19">
        <v>0</v>
      </c>
      <c r="CR19">
        <v>0</v>
      </c>
      <c r="CS19">
        <v>9993.1200000000008</v>
      </c>
      <c r="CT19">
        <v>0</v>
      </c>
      <c r="CU19">
        <v>1566.16</v>
      </c>
      <c r="CV19">
        <v>-8.59192</v>
      </c>
      <c r="CW19">
        <v>194.876</v>
      </c>
      <c r="CX19">
        <v>203.09899999999999</v>
      </c>
      <c r="CY19">
        <v>2.5345599999999999</v>
      </c>
      <c r="CZ19">
        <v>187.04499999999999</v>
      </c>
      <c r="DA19">
        <v>199.99700000000001</v>
      </c>
      <c r="DB19">
        <v>17.333200000000001</v>
      </c>
      <c r="DC19">
        <v>15.2746</v>
      </c>
      <c r="DD19">
        <v>1.7657099999999999</v>
      </c>
      <c r="DE19">
        <v>1.5144200000000001</v>
      </c>
      <c r="DF19">
        <v>15.486499999999999</v>
      </c>
      <c r="DG19">
        <v>13.1145</v>
      </c>
      <c r="DH19">
        <v>1750.03</v>
      </c>
      <c r="DI19">
        <v>0.97700299999999995</v>
      </c>
      <c r="DJ19">
        <v>2.2996699999999998E-2</v>
      </c>
      <c r="DK19">
        <v>0</v>
      </c>
      <c r="DL19">
        <v>761.69399999999996</v>
      </c>
      <c r="DM19">
        <v>5.0002700000000004</v>
      </c>
      <c r="DN19">
        <v>17619.099999999999</v>
      </c>
      <c r="DO19">
        <v>14145.9</v>
      </c>
      <c r="DP19">
        <v>48.125</v>
      </c>
      <c r="DQ19">
        <v>50.686999999999998</v>
      </c>
      <c r="DR19">
        <v>49.186999999999998</v>
      </c>
      <c r="DS19">
        <v>50.186999999999998</v>
      </c>
      <c r="DT19">
        <v>49.436999999999998</v>
      </c>
      <c r="DU19">
        <v>1704.9</v>
      </c>
      <c r="DV19">
        <v>40.130000000000003</v>
      </c>
      <c r="DW19">
        <v>0</v>
      </c>
      <c r="DX19">
        <v>113.700000047684</v>
      </c>
      <c r="DY19">
        <v>761.91788235294098</v>
      </c>
      <c r="DZ19">
        <v>-1.52524511529573</v>
      </c>
      <c r="EA19">
        <v>80.9803907766333</v>
      </c>
      <c r="EB19">
        <v>17672.588235294101</v>
      </c>
      <c r="EC19">
        <v>10</v>
      </c>
      <c r="ED19">
        <v>1565549562</v>
      </c>
      <c r="EE19" t="s">
        <v>363</v>
      </c>
      <c r="EF19">
        <v>45</v>
      </c>
      <c r="EG19">
        <v>4.234</v>
      </c>
      <c r="EH19">
        <v>0.47199999999999998</v>
      </c>
      <c r="EI19">
        <v>200</v>
      </c>
      <c r="EJ19">
        <v>15</v>
      </c>
      <c r="EK19">
        <v>0.26</v>
      </c>
      <c r="EL19">
        <v>7.0000000000000007E-2</v>
      </c>
      <c r="EM19">
        <v>6.6542233479701602</v>
      </c>
      <c r="EN19">
        <v>0.352275247367553</v>
      </c>
      <c r="EO19">
        <v>4.98767559260411E-2</v>
      </c>
      <c r="EP19">
        <v>0</v>
      </c>
      <c r="EQ19">
        <v>0.118993908349215</v>
      </c>
      <c r="ER19">
        <v>-3.2793821249529499E-3</v>
      </c>
      <c r="ES19">
        <v>6.1842479427447097E-4</v>
      </c>
      <c r="ET19">
        <v>1</v>
      </c>
      <c r="EU19">
        <v>1</v>
      </c>
      <c r="EV19">
        <v>2</v>
      </c>
      <c r="EW19" t="s">
        <v>364</v>
      </c>
      <c r="EX19">
        <v>2.9486400000000001</v>
      </c>
      <c r="EY19">
        <v>2.7772199999999998</v>
      </c>
      <c r="EZ19">
        <v>4.9740800000000002E-2</v>
      </c>
      <c r="FA19">
        <v>5.14586E-2</v>
      </c>
      <c r="FB19">
        <v>8.9072999999999999E-2</v>
      </c>
      <c r="FC19">
        <v>7.7299000000000007E-2</v>
      </c>
      <c r="FD19">
        <v>22760.1</v>
      </c>
      <c r="FE19">
        <v>22915.8</v>
      </c>
      <c r="FF19">
        <v>22527.7</v>
      </c>
      <c r="FG19">
        <v>26503.200000000001</v>
      </c>
      <c r="FH19">
        <v>29332.1</v>
      </c>
      <c r="FI19">
        <v>38380.699999999997</v>
      </c>
      <c r="FJ19">
        <v>32175.4</v>
      </c>
      <c r="FK19">
        <v>42217.7</v>
      </c>
      <c r="FL19">
        <v>1.9367700000000001</v>
      </c>
      <c r="FM19">
        <v>1.8208200000000001</v>
      </c>
      <c r="FN19">
        <v>1.3336499999999999E-2</v>
      </c>
      <c r="FO19">
        <v>0</v>
      </c>
      <c r="FP19">
        <v>26.769500000000001</v>
      </c>
      <c r="FQ19">
        <v>999.9</v>
      </c>
      <c r="FR19">
        <v>37.363999999999997</v>
      </c>
      <c r="FS19">
        <v>41.945999999999998</v>
      </c>
      <c r="FT19">
        <v>30.978000000000002</v>
      </c>
      <c r="FU19">
        <v>61.633400000000002</v>
      </c>
      <c r="FV19">
        <v>46.330100000000002</v>
      </c>
      <c r="FW19">
        <v>1</v>
      </c>
      <c r="FX19">
        <v>0.60903700000000005</v>
      </c>
      <c r="FY19">
        <v>8.4009199999999993</v>
      </c>
      <c r="FZ19">
        <v>20.0672</v>
      </c>
      <c r="GA19">
        <v>5.2231300000000003</v>
      </c>
      <c r="GB19">
        <v>11.962</v>
      </c>
      <c r="GC19">
        <v>4.9707999999999997</v>
      </c>
      <c r="GD19">
        <v>3.29433</v>
      </c>
      <c r="GE19">
        <v>9999</v>
      </c>
      <c r="GF19">
        <v>9999</v>
      </c>
      <c r="GG19">
        <v>504.7</v>
      </c>
      <c r="GH19">
        <v>9999</v>
      </c>
      <c r="GI19">
        <v>1.8660000000000001</v>
      </c>
      <c r="GJ19">
        <v>1.8654299999999999</v>
      </c>
      <c r="GK19">
        <v>1.8656200000000001</v>
      </c>
      <c r="GL19">
        <v>1.86859</v>
      </c>
      <c r="GM19">
        <v>1.8628199999999999</v>
      </c>
      <c r="GN19">
        <v>1.8609599999999999</v>
      </c>
      <c r="GO19">
        <v>1.85721</v>
      </c>
      <c r="GP19">
        <v>1.86337</v>
      </c>
      <c r="GQ19" t="s">
        <v>350</v>
      </c>
      <c r="GR19" t="s">
        <v>19</v>
      </c>
      <c r="GS19" t="s">
        <v>19</v>
      </c>
      <c r="GT19" t="s">
        <v>19</v>
      </c>
      <c r="GU19" t="s">
        <v>351</v>
      </c>
      <c r="GV19" t="s">
        <v>352</v>
      </c>
      <c r="GW19" t="s">
        <v>353</v>
      </c>
      <c r="GX19" t="s">
        <v>353</v>
      </c>
      <c r="GY19" t="s">
        <v>353</v>
      </c>
      <c r="GZ19" t="s">
        <v>353</v>
      </c>
      <c r="HA19">
        <v>0</v>
      </c>
      <c r="HB19">
        <v>100</v>
      </c>
      <c r="HC19">
        <v>100</v>
      </c>
      <c r="HD19">
        <v>4.234</v>
      </c>
      <c r="HE19">
        <v>0.47199999999999998</v>
      </c>
      <c r="HF19">
        <v>2</v>
      </c>
      <c r="HG19">
        <v>504.01900000000001</v>
      </c>
      <c r="HH19">
        <v>466.839</v>
      </c>
      <c r="HI19">
        <v>18.624099999999999</v>
      </c>
      <c r="HJ19">
        <v>34.675699999999999</v>
      </c>
      <c r="HK19">
        <v>30.000800000000002</v>
      </c>
      <c r="HL19">
        <v>34.577199999999998</v>
      </c>
      <c r="HM19">
        <v>34.5625</v>
      </c>
      <c r="HN19">
        <v>12.142200000000001</v>
      </c>
      <c r="HO19">
        <v>53.351100000000002</v>
      </c>
      <c r="HP19">
        <v>0</v>
      </c>
      <c r="HQ19">
        <v>18.61</v>
      </c>
      <c r="HR19">
        <v>200</v>
      </c>
      <c r="HS19">
        <v>15.2098</v>
      </c>
      <c r="HT19">
        <v>99.049000000000007</v>
      </c>
      <c r="HU19">
        <v>102.941</v>
      </c>
    </row>
    <row r="20" spans="1:229" x14ac:dyDescent="0.35">
      <c r="A20">
        <v>4</v>
      </c>
      <c r="B20">
        <v>1565549653</v>
      </c>
      <c r="C20">
        <v>333.5</v>
      </c>
      <c r="D20" t="s">
        <v>365</v>
      </c>
      <c r="E20" t="s">
        <v>366</v>
      </c>
      <c r="G20">
        <v>1565549653</v>
      </c>
      <c r="H20">
        <f t="shared" si="0"/>
        <v>2.4558574286829165E-3</v>
      </c>
      <c r="I20">
        <f t="shared" si="1"/>
        <v>2.502063922488146</v>
      </c>
      <c r="J20">
        <f t="shared" si="2"/>
        <v>96.720399999999998</v>
      </c>
      <c r="K20">
        <f t="shared" si="3"/>
        <v>63.914023676335155</v>
      </c>
      <c r="L20">
        <f t="shared" si="4"/>
        <v>6.3432089759649379</v>
      </c>
      <c r="M20">
        <f t="shared" si="5"/>
        <v>9.5991094622021205</v>
      </c>
      <c r="N20">
        <f t="shared" si="6"/>
        <v>0.13541073264305054</v>
      </c>
      <c r="O20">
        <f t="shared" si="7"/>
        <v>2.2487172084292832</v>
      </c>
      <c r="P20">
        <f t="shared" si="8"/>
        <v>0.1310384230013851</v>
      </c>
      <c r="Q20">
        <f t="shared" si="9"/>
        <v>8.2280088395037532E-2</v>
      </c>
      <c r="R20">
        <f t="shared" si="10"/>
        <v>281.54177714720385</v>
      </c>
      <c r="S20">
        <f t="shared" si="11"/>
        <v>26.481315863002401</v>
      </c>
      <c r="T20">
        <f t="shared" si="12"/>
        <v>27.0106</v>
      </c>
      <c r="U20">
        <f t="shared" si="13"/>
        <v>3.5813885551706033</v>
      </c>
      <c r="V20">
        <f t="shared" si="14"/>
        <v>55.134958917756137</v>
      </c>
      <c r="W20">
        <f t="shared" si="15"/>
        <v>1.7715305560084702</v>
      </c>
      <c r="X20">
        <f t="shared" si="16"/>
        <v>3.2130803954185065</v>
      </c>
      <c r="Y20">
        <f t="shared" si="17"/>
        <v>1.8098579991621331</v>
      </c>
      <c r="Z20">
        <f t="shared" si="18"/>
        <v>-108.30331260491661</v>
      </c>
      <c r="AA20">
        <f t="shared" si="19"/>
        <v>-222.48651189686871</v>
      </c>
      <c r="AB20">
        <f t="shared" si="20"/>
        <v>-21.159377464203519</v>
      </c>
      <c r="AC20">
        <f t="shared" si="21"/>
        <v>-70.407424818785017</v>
      </c>
      <c r="AD20">
        <v>-4.1149221621304903E-2</v>
      </c>
      <c r="AE20">
        <v>4.6193606139718298E-2</v>
      </c>
      <c r="AF20">
        <v>3.4529275499579501</v>
      </c>
      <c r="AG20">
        <v>0</v>
      </c>
      <c r="AH20">
        <v>0</v>
      </c>
      <c r="AI20">
        <f t="shared" si="22"/>
        <v>1</v>
      </c>
      <c r="AJ20">
        <f t="shared" si="23"/>
        <v>0</v>
      </c>
      <c r="AK20">
        <f t="shared" si="24"/>
        <v>52790.971173338781</v>
      </c>
      <c r="AL20" t="s">
        <v>344</v>
      </c>
      <c r="AM20">
        <v>589.29941176470595</v>
      </c>
      <c r="AN20">
        <v>3530.99</v>
      </c>
      <c r="AO20">
        <f t="shared" si="25"/>
        <v>2941.6905882352939</v>
      </c>
      <c r="AP20">
        <f t="shared" si="26"/>
        <v>0.83310646256015852</v>
      </c>
      <c r="AQ20">
        <v>1.42453575549529</v>
      </c>
      <c r="AR20" t="s">
        <v>367</v>
      </c>
      <c r="AS20">
        <v>762.88652941176497</v>
      </c>
      <c r="AT20">
        <v>998.72799999999995</v>
      </c>
      <c r="AU20">
        <f t="shared" si="27"/>
        <v>0.23614184301254693</v>
      </c>
      <c r="AV20">
        <v>0.5</v>
      </c>
      <c r="AW20">
        <f t="shared" si="28"/>
        <v>1471.1450998142479</v>
      </c>
      <c r="AX20">
        <f t="shared" si="29"/>
        <v>2.502063922488146</v>
      </c>
      <c r="AY20">
        <f t="shared" si="30"/>
        <v>173.6994576045069</v>
      </c>
      <c r="AZ20">
        <f t="shared" si="31"/>
        <v>0.43688371608686249</v>
      </c>
      <c r="BA20">
        <f t="shared" si="32"/>
        <v>7.3244180137561454E-4</v>
      </c>
      <c r="BB20">
        <f t="shared" si="33"/>
        <v>2.5354871396416239</v>
      </c>
      <c r="BC20" t="s">
        <v>368</v>
      </c>
      <c r="BD20">
        <v>562.4</v>
      </c>
      <c r="BE20">
        <f t="shared" si="34"/>
        <v>436.32799999999997</v>
      </c>
      <c r="BF20">
        <f t="shared" si="35"/>
        <v>0.5405141787559703</v>
      </c>
      <c r="BG20">
        <f t="shared" si="36"/>
        <v>0.85301843636204389</v>
      </c>
      <c r="BH20">
        <f t="shared" si="37"/>
        <v>0.5760258989357615</v>
      </c>
      <c r="BI20">
        <f t="shared" si="38"/>
        <v>0.860818608907163</v>
      </c>
      <c r="BJ20">
        <v>8057</v>
      </c>
      <c r="BK20">
        <v>300</v>
      </c>
      <c r="BL20">
        <v>300</v>
      </c>
      <c r="BM20">
        <v>300</v>
      </c>
      <c r="BN20">
        <v>10290.200000000001</v>
      </c>
      <c r="BO20">
        <v>943.18700000000001</v>
      </c>
      <c r="BP20">
        <v>-7.0408399999999996E-3</v>
      </c>
      <c r="BQ20">
        <v>4.4741799999999996</v>
      </c>
      <c r="BR20" t="s">
        <v>347</v>
      </c>
      <c r="BS20" t="s">
        <v>347</v>
      </c>
      <c r="BT20" t="s">
        <v>347</v>
      </c>
      <c r="BU20" t="s">
        <v>347</v>
      </c>
      <c r="BV20" t="s">
        <v>347</v>
      </c>
      <c r="BW20" t="s">
        <v>347</v>
      </c>
      <c r="BX20" t="s">
        <v>347</v>
      </c>
      <c r="BY20" t="s">
        <v>347</v>
      </c>
      <c r="BZ20" t="s">
        <v>347</v>
      </c>
      <c r="CA20" t="s">
        <v>347</v>
      </c>
      <c r="CB20">
        <f t="shared" si="39"/>
        <v>1749.93</v>
      </c>
      <c r="CC20">
        <f t="shared" si="40"/>
        <v>1471.1450998142479</v>
      </c>
      <c r="CD20">
        <f t="shared" si="41"/>
        <v>0.84068797026980957</v>
      </c>
      <c r="CE20">
        <f t="shared" si="42"/>
        <v>0.19137594053961932</v>
      </c>
      <c r="CF20">
        <v>1565549653</v>
      </c>
      <c r="CG20">
        <v>96.720399999999998</v>
      </c>
      <c r="CH20">
        <v>100.008</v>
      </c>
      <c r="CI20">
        <v>17.849900000000002</v>
      </c>
      <c r="CJ20">
        <v>14.955399999999999</v>
      </c>
      <c r="CK20">
        <v>499.98700000000002</v>
      </c>
      <c r="CL20">
        <v>99.146100000000004</v>
      </c>
      <c r="CM20">
        <v>9.9865300000000004E-2</v>
      </c>
      <c r="CN20">
        <v>25.1754</v>
      </c>
      <c r="CO20">
        <v>27.0106</v>
      </c>
      <c r="CP20">
        <v>999.9</v>
      </c>
      <c r="CQ20">
        <v>0</v>
      </c>
      <c r="CR20">
        <v>0</v>
      </c>
      <c r="CS20">
        <v>10008.799999999999</v>
      </c>
      <c r="CT20">
        <v>0</v>
      </c>
      <c r="CU20">
        <v>1651</v>
      </c>
      <c r="CV20">
        <v>-3.2030500000000002</v>
      </c>
      <c r="CW20">
        <v>98.565100000000001</v>
      </c>
      <c r="CX20">
        <v>101.527</v>
      </c>
      <c r="CY20">
        <v>2.8985400000000001</v>
      </c>
      <c r="CZ20">
        <v>92.571399999999997</v>
      </c>
      <c r="DA20">
        <v>100.008</v>
      </c>
      <c r="DB20">
        <v>17.381900000000002</v>
      </c>
      <c r="DC20">
        <v>14.955399999999999</v>
      </c>
      <c r="DD20">
        <v>1.7701499999999999</v>
      </c>
      <c r="DE20">
        <v>1.4827699999999999</v>
      </c>
      <c r="DF20">
        <v>15.525700000000001</v>
      </c>
      <c r="DG20">
        <v>12.791600000000001</v>
      </c>
      <c r="DH20">
        <v>1749.93</v>
      </c>
      <c r="DI20">
        <v>0.97700299999999995</v>
      </c>
      <c r="DJ20">
        <v>2.2996699999999998E-2</v>
      </c>
      <c r="DK20">
        <v>0</v>
      </c>
      <c r="DL20">
        <v>763.03099999999995</v>
      </c>
      <c r="DM20">
        <v>5.0002700000000004</v>
      </c>
      <c r="DN20">
        <v>17877.8</v>
      </c>
      <c r="DO20">
        <v>14145.1</v>
      </c>
      <c r="DP20">
        <v>48.25</v>
      </c>
      <c r="DQ20">
        <v>50.686999999999998</v>
      </c>
      <c r="DR20">
        <v>49.25</v>
      </c>
      <c r="DS20">
        <v>50.25</v>
      </c>
      <c r="DT20">
        <v>49.561999999999998</v>
      </c>
      <c r="DU20">
        <v>1704.8</v>
      </c>
      <c r="DV20">
        <v>40.130000000000003</v>
      </c>
      <c r="DW20">
        <v>0</v>
      </c>
      <c r="DX20">
        <v>115.10000014305101</v>
      </c>
      <c r="DY20">
        <v>762.88652941176497</v>
      </c>
      <c r="DZ20">
        <v>-0.98063726084269598</v>
      </c>
      <c r="EA20">
        <v>193.11274384993001</v>
      </c>
      <c r="EB20">
        <v>17891.3</v>
      </c>
      <c r="EC20">
        <v>10</v>
      </c>
      <c r="ED20">
        <v>1565549676.5</v>
      </c>
      <c r="EE20" t="s">
        <v>369</v>
      </c>
      <c r="EF20">
        <v>46</v>
      </c>
      <c r="EG20">
        <v>4.149</v>
      </c>
      <c r="EH20">
        <v>0.46800000000000003</v>
      </c>
      <c r="EI20">
        <v>100</v>
      </c>
      <c r="EJ20">
        <v>15</v>
      </c>
      <c r="EK20">
        <v>0.38</v>
      </c>
      <c r="EL20">
        <v>7.0000000000000007E-2</v>
      </c>
      <c r="EM20">
        <v>2.3764336623098901</v>
      </c>
      <c r="EN20">
        <v>0.19475902243680501</v>
      </c>
      <c r="EO20">
        <v>2.8694828301204501E-2</v>
      </c>
      <c r="EP20">
        <v>0</v>
      </c>
      <c r="EQ20">
        <v>0.13481890071994901</v>
      </c>
      <c r="ER20">
        <v>-3.1606243879918003E-4</v>
      </c>
      <c r="ES20">
        <v>3.7110387885545202E-4</v>
      </c>
      <c r="ET20">
        <v>1</v>
      </c>
      <c r="EU20">
        <v>1</v>
      </c>
      <c r="EV20">
        <v>2</v>
      </c>
      <c r="EW20" t="s">
        <v>364</v>
      </c>
      <c r="EX20">
        <v>2.9487000000000001</v>
      </c>
      <c r="EY20">
        <v>2.7773500000000002</v>
      </c>
      <c r="EZ20">
        <v>2.58099E-2</v>
      </c>
      <c r="FA20">
        <v>2.7102299999999999E-2</v>
      </c>
      <c r="FB20">
        <v>8.9245400000000003E-2</v>
      </c>
      <c r="FC20">
        <v>7.6100799999999996E-2</v>
      </c>
      <c r="FD20">
        <v>23330.2</v>
      </c>
      <c r="FE20">
        <v>23500.400000000001</v>
      </c>
      <c r="FF20">
        <v>22525.9</v>
      </c>
      <c r="FG20">
        <v>26500</v>
      </c>
      <c r="FH20">
        <v>29324.1</v>
      </c>
      <c r="FI20">
        <v>38426.300000000003</v>
      </c>
      <c r="FJ20">
        <v>32173.1</v>
      </c>
      <c r="FK20">
        <v>42213.5</v>
      </c>
      <c r="FL20">
        <v>1.9357800000000001</v>
      </c>
      <c r="FM20">
        <v>1.82012</v>
      </c>
      <c r="FN20">
        <v>1.07102E-2</v>
      </c>
      <c r="FO20">
        <v>0</v>
      </c>
      <c r="FP20">
        <v>26.8354</v>
      </c>
      <c r="FQ20">
        <v>999.9</v>
      </c>
      <c r="FR20">
        <v>37.314999999999998</v>
      </c>
      <c r="FS20">
        <v>41.926000000000002</v>
      </c>
      <c r="FT20">
        <v>30.905000000000001</v>
      </c>
      <c r="FU20">
        <v>61.523400000000002</v>
      </c>
      <c r="FV20">
        <v>46.265999999999998</v>
      </c>
      <c r="FW20">
        <v>1</v>
      </c>
      <c r="FX20">
        <v>0.61155499999999996</v>
      </c>
      <c r="FY20">
        <v>7.9347799999999999</v>
      </c>
      <c r="FZ20">
        <v>20.088899999999999</v>
      </c>
      <c r="GA20">
        <v>5.2264200000000001</v>
      </c>
      <c r="GB20">
        <v>11.962</v>
      </c>
      <c r="GC20">
        <v>4.9718499999999999</v>
      </c>
      <c r="GD20">
        <v>3.2949999999999999</v>
      </c>
      <c r="GE20">
        <v>9999</v>
      </c>
      <c r="GF20">
        <v>9999</v>
      </c>
      <c r="GG20">
        <v>504.8</v>
      </c>
      <c r="GH20">
        <v>9999</v>
      </c>
      <c r="GI20">
        <v>1.8660000000000001</v>
      </c>
      <c r="GJ20">
        <v>1.8654500000000001</v>
      </c>
      <c r="GK20">
        <v>1.8656699999999999</v>
      </c>
      <c r="GL20">
        <v>1.86859</v>
      </c>
      <c r="GM20">
        <v>1.8628100000000001</v>
      </c>
      <c r="GN20">
        <v>1.8609899999999999</v>
      </c>
      <c r="GO20">
        <v>1.8572299999999999</v>
      </c>
      <c r="GP20">
        <v>1.86338</v>
      </c>
      <c r="GQ20" t="s">
        <v>350</v>
      </c>
      <c r="GR20" t="s">
        <v>19</v>
      </c>
      <c r="GS20" t="s">
        <v>19</v>
      </c>
      <c r="GT20" t="s">
        <v>19</v>
      </c>
      <c r="GU20" t="s">
        <v>351</v>
      </c>
      <c r="GV20" t="s">
        <v>352</v>
      </c>
      <c r="GW20" t="s">
        <v>353</v>
      </c>
      <c r="GX20" t="s">
        <v>353</v>
      </c>
      <c r="GY20" t="s">
        <v>353</v>
      </c>
      <c r="GZ20" t="s">
        <v>353</v>
      </c>
      <c r="HA20">
        <v>0</v>
      </c>
      <c r="HB20">
        <v>100</v>
      </c>
      <c r="HC20">
        <v>100</v>
      </c>
      <c r="HD20">
        <v>4.149</v>
      </c>
      <c r="HE20">
        <v>0.46800000000000003</v>
      </c>
      <c r="HF20">
        <v>2</v>
      </c>
      <c r="HG20">
        <v>503.71699999999998</v>
      </c>
      <c r="HH20">
        <v>466.69799999999998</v>
      </c>
      <c r="HI20">
        <v>19.006799999999998</v>
      </c>
      <c r="HJ20">
        <v>34.751600000000003</v>
      </c>
      <c r="HK20">
        <v>29.9998</v>
      </c>
      <c r="HL20">
        <v>34.625300000000003</v>
      </c>
      <c r="HM20">
        <v>34.6066</v>
      </c>
      <c r="HN20">
        <v>7.4140699999999997</v>
      </c>
      <c r="HO20">
        <v>54.028599999999997</v>
      </c>
      <c r="HP20">
        <v>0</v>
      </c>
      <c r="HQ20">
        <v>18.985499999999998</v>
      </c>
      <c r="HR20">
        <v>100</v>
      </c>
      <c r="HS20">
        <v>14.933400000000001</v>
      </c>
      <c r="HT20">
        <v>99.041300000000007</v>
      </c>
      <c r="HU20">
        <v>102.93</v>
      </c>
    </row>
    <row r="21" spans="1:229" x14ac:dyDescent="0.35">
      <c r="A21">
        <v>5</v>
      </c>
      <c r="B21">
        <v>1565549756.5</v>
      </c>
      <c r="C21">
        <v>437</v>
      </c>
      <c r="D21" t="s">
        <v>370</v>
      </c>
      <c r="E21" t="s">
        <v>371</v>
      </c>
      <c r="G21">
        <v>1565549756.5</v>
      </c>
      <c r="H21">
        <f t="shared" si="0"/>
        <v>2.8123386162775725E-3</v>
      </c>
      <c r="I21">
        <f t="shared" si="1"/>
        <v>0.15523276374086217</v>
      </c>
      <c r="J21">
        <f t="shared" si="2"/>
        <v>49.636299999999999</v>
      </c>
      <c r="K21">
        <f t="shared" si="3"/>
        <v>46.587348745230159</v>
      </c>
      <c r="L21">
        <f t="shared" si="4"/>
        <v>4.6234747784104355</v>
      </c>
      <c r="M21">
        <f t="shared" si="5"/>
        <v>4.9260622749456298</v>
      </c>
      <c r="N21">
        <f t="shared" si="6"/>
        <v>0.15753421504055273</v>
      </c>
      <c r="O21">
        <f t="shared" si="7"/>
        <v>2.2487656928731776</v>
      </c>
      <c r="P21">
        <f t="shared" si="8"/>
        <v>0.15165001654883287</v>
      </c>
      <c r="Q21">
        <f t="shared" si="9"/>
        <v>9.5291620313380579E-2</v>
      </c>
      <c r="R21">
        <f t="shared" si="10"/>
        <v>281.56196319886658</v>
      </c>
      <c r="S21">
        <f t="shared" si="11"/>
        <v>26.457339812120058</v>
      </c>
      <c r="T21">
        <f t="shared" si="12"/>
        <v>26.994700000000002</v>
      </c>
      <c r="U21">
        <f t="shared" si="13"/>
        <v>3.578045715720195</v>
      </c>
      <c r="V21">
        <f t="shared" si="14"/>
        <v>55.314967022774795</v>
      </c>
      <c r="W21">
        <f t="shared" si="15"/>
        <v>1.7873391802589698</v>
      </c>
      <c r="X21">
        <f t="shared" si="16"/>
        <v>3.2312035538646704</v>
      </c>
      <c r="Y21">
        <f t="shared" si="17"/>
        <v>1.7907065354612253</v>
      </c>
      <c r="Z21">
        <f t="shared" si="18"/>
        <v>-124.02413297784095</v>
      </c>
      <c r="AA21">
        <f t="shared" si="19"/>
        <v>-209.10691456775174</v>
      </c>
      <c r="AB21">
        <f t="shared" si="20"/>
        <v>-19.894312479472827</v>
      </c>
      <c r="AC21">
        <f t="shared" si="21"/>
        <v>-71.463396826198959</v>
      </c>
      <c r="AD21">
        <v>-4.1150526232779601E-2</v>
      </c>
      <c r="AE21">
        <v>4.6195070680388903E-2</v>
      </c>
      <c r="AF21">
        <v>3.4530142131709098</v>
      </c>
      <c r="AG21">
        <v>0</v>
      </c>
      <c r="AH21">
        <v>0</v>
      </c>
      <c r="AI21">
        <f t="shared" si="22"/>
        <v>1</v>
      </c>
      <c r="AJ21">
        <f t="shared" si="23"/>
        <v>0</v>
      </c>
      <c r="AK21">
        <f t="shared" si="24"/>
        <v>52775.78873603043</v>
      </c>
      <c r="AL21" t="s">
        <v>344</v>
      </c>
      <c r="AM21">
        <v>589.29941176470595</v>
      </c>
      <c r="AN21">
        <v>3530.99</v>
      </c>
      <c r="AO21">
        <f t="shared" si="25"/>
        <v>2941.6905882352939</v>
      </c>
      <c r="AP21">
        <f t="shared" si="26"/>
        <v>0.83310646256015852</v>
      </c>
      <c r="AQ21">
        <v>1.42453575549529</v>
      </c>
      <c r="AR21" t="s">
        <v>372</v>
      </c>
      <c r="AS21">
        <v>763.94729411764695</v>
      </c>
      <c r="AT21">
        <v>976.21799999999996</v>
      </c>
      <c r="AU21">
        <f t="shared" si="27"/>
        <v>0.21744190937101449</v>
      </c>
      <c r="AV21">
        <v>0.5</v>
      </c>
      <c r="AW21">
        <f t="shared" si="28"/>
        <v>1471.2539998143081</v>
      </c>
      <c r="AX21">
        <f t="shared" si="29"/>
        <v>0.15523276374086217</v>
      </c>
      <c r="AY21">
        <f t="shared" si="30"/>
        <v>159.95613944468269</v>
      </c>
      <c r="AZ21">
        <f t="shared" si="31"/>
        <v>0.42172752397517765</v>
      </c>
      <c r="BA21">
        <f t="shared" si="32"/>
        <v>-8.6273545690589853E-4</v>
      </c>
      <c r="BB21">
        <f t="shared" si="33"/>
        <v>2.6170097252867701</v>
      </c>
      <c r="BC21" t="s">
        <v>373</v>
      </c>
      <c r="BD21">
        <v>564.52</v>
      </c>
      <c r="BE21">
        <f t="shared" si="34"/>
        <v>411.69799999999998</v>
      </c>
      <c r="BF21">
        <f t="shared" si="35"/>
        <v>0.51559809832049952</v>
      </c>
      <c r="BG21">
        <f t="shared" si="36"/>
        <v>0.86121619298357988</v>
      </c>
      <c r="BH21">
        <f t="shared" si="37"/>
        <v>0.54861852683403867</v>
      </c>
      <c r="BI21">
        <f t="shared" si="38"/>
        <v>0.86847067132665212</v>
      </c>
      <c r="BJ21">
        <v>8059</v>
      </c>
      <c r="BK21">
        <v>300</v>
      </c>
      <c r="BL21">
        <v>300</v>
      </c>
      <c r="BM21">
        <v>300</v>
      </c>
      <c r="BN21">
        <v>10289.299999999999</v>
      </c>
      <c r="BO21">
        <v>926.7</v>
      </c>
      <c r="BP21">
        <v>-7.0401200000000004E-3</v>
      </c>
      <c r="BQ21">
        <v>3.7483499999999998</v>
      </c>
      <c r="BR21" t="s">
        <v>347</v>
      </c>
      <c r="BS21" t="s">
        <v>347</v>
      </c>
      <c r="BT21" t="s">
        <v>347</v>
      </c>
      <c r="BU21" t="s">
        <v>347</v>
      </c>
      <c r="BV21" t="s">
        <v>347</v>
      </c>
      <c r="BW21" t="s">
        <v>347</v>
      </c>
      <c r="BX21" t="s">
        <v>347</v>
      </c>
      <c r="BY21" t="s">
        <v>347</v>
      </c>
      <c r="BZ21" t="s">
        <v>347</v>
      </c>
      <c r="CA21" t="s">
        <v>347</v>
      </c>
      <c r="CB21">
        <f t="shared" si="39"/>
        <v>1750.06</v>
      </c>
      <c r="CC21">
        <f t="shared" si="40"/>
        <v>1471.2539998143081</v>
      </c>
      <c r="CD21">
        <f t="shared" si="41"/>
        <v>0.84068774774253918</v>
      </c>
      <c r="CE21">
        <f t="shared" si="42"/>
        <v>0.19137549548507835</v>
      </c>
      <c r="CF21">
        <v>1565549756.5</v>
      </c>
      <c r="CG21">
        <v>49.636299999999999</v>
      </c>
      <c r="CH21">
        <v>49.990099999999998</v>
      </c>
      <c r="CI21">
        <v>18.009699999999999</v>
      </c>
      <c r="CJ21">
        <v>14.695600000000001</v>
      </c>
      <c r="CK21">
        <v>499.98899999999998</v>
      </c>
      <c r="CL21">
        <v>99.143299999999996</v>
      </c>
      <c r="CM21">
        <v>9.9840100000000001E-2</v>
      </c>
      <c r="CN21">
        <v>25.2699</v>
      </c>
      <c r="CO21">
        <v>26.994700000000002</v>
      </c>
      <c r="CP21">
        <v>999.9</v>
      </c>
      <c r="CQ21">
        <v>0</v>
      </c>
      <c r="CR21">
        <v>0</v>
      </c>
      <c r="CS21">
        <v>10009.4</v>
      </c>
      <c r="CT21">
        <v>0</v>
      </c>
      <c r="CU21">
        <v>1496.63</v>
      </c>
      <c r="CV21">
        <v>-0.27481800000000001</v>
      </c>
      <c r="CW21">
        <v>50.627099999999999</v>
      </c>
      <c r="CX21">
        <v>50.735700000000001</v>
      </c>
      <c r="CY21">
        <v>3.31602</v>
      </c>
      <c r="CZ21">
        <v>45.566299999999998</v>
      </c>
      <c r="DA21">
        <v>49.990099999999998</v>
      </c>
      <c r="DB21">
        <v>17.543700000000001</v>
      </c>
      <c r="DC21">
        <v>14.695600000000001</v>
      </c>
      <c r="DD21">
        <v>1.7857400000000001</v>
      </c>
      <c r="DE21">
        <v>1.4569700000000001</v>
      </c>
      <c r="DF21">
        <v>15.6625</v>
      </c>
      <c r="DG21">
        <v>12.523899999999999</v>
      </c>
      <c r="DH21">
        <v>1750.06</v>
      </c>
      <c r="DI21">
        <v>0.97700699999999996</v>
      </c>
      <c r="DJ21">
        <v>2.2992800000000001E-2</v>
      </c>
      <c r="DK21">
        <v>0</v>
      </c>
      <c r="DL21">
        <v>763.67899999999997</v>
      </c>
      <c r="DM21">
        <v>5.0002700000000004</v>
      </c>
      <c r="DN21">
        <v>17549.400000000001</v>
      </c>
      <c r="DO21">
        <v>14146.1</v>
      </c>
      <c r="DP21">
        <v>48.311999999999998</v>
      </c>
      <c r="DQ21">
        <v>50.75</v>
      </c>
      <c r="DR21">
        <v>49.375</v>
      </c>
      <c r="DS21">
        <v>50.311999999999998</v>
      </c>
      <c r="DT21">
        <v>49.686999999999998</v>
      </c>
      <c r="DU21">
        <v>1704.94</v>
      </c>
      <c r="DV21">
        <v>40.119999999999997</v>
      </c>
      <c r="DW21">
        <v>0</v>
      </c>
      <c r="DX21">
        <v>102.90000009536701</v>
      </c>
      <c r="DY21">
        <v>763.94729411764695</v>
      </c>
      <c r="DZ21">
        <v>-1.64338232720705</v>
      </c>
      <c r="EA21">
        <v>61.617646533183603</v>
      </c>
      <c r="EB21">
        <v>17558.211764705899</v>
      </c>
      <c r="EC21">
        <v>10</v>
      </c>
      <c r="ED21">
        <v>1565549781</v>
      </c>
      <c r="EE21" t="s">
        <v>374</v>
      </c>
      <c r="EF21">
        <v>47</v>
      </c>
      <c r="EG21">
        <v>4.07</v>
      </c>
      <c r="EH21">
        <v>0.46600000000000003</v>
      </c>
      <c r="EI21">
        <v>50</v>
      </c>
      <c r="EJ21">
        <v>15</v>
      </c>
      <c r="EK21">
        <v>0.28999999999999998</v>
      </c>
      <c r="EL21">
        <v>7.0000000000000007E-2</v>
      </c>
      <c r="EM21">
        <v>9.0599186754662095E-2</v>
      </c>
      <c r="EN21">
        <v>5.7022443717878998E-2</v>
      </c>
      <c r="EO21">
        <v>2.55664819782257E-2</v>
      </c>
      <c r="EP21">
        <v>1</v>
      </c>
      <c r="EQ21">
        <v>0.15498526044577299</v>
      </c>
      <c r="ER21">
        <v>1.3273851991974801E-2</v>
      </c>
      <c r="ES21">
        <v>1.3678083975062201E-3</v>
      </c>
      <c r="ET21">
        <v>1</v>
      </c>
      <c r="EU21">
        <v>2</v>
      </c>
      <c r="EV21">
        <v>2</v>
      </c>
      <c r="EW21" t="s">
        <v>349</v>
      </c>
      <c r="EX21">
        <v>2.9486699999999999</v>
      </c>
      <c r="EY21">
        <v>2.7773300000000001</v>
      </c>
      <c r="EZ21">
        <v>1.28982E-2</v>
      </c>
      <c r="FA21">
        <v>1.37771E-2</v>
      </c>
      <c r="FB21">
        <v>8.9840299999999998E-2</v>
      </c>
      <c r="FC21">
        <v>7.5117900000000001E-2</v>
      </c>
      <c r="FD21">
        <v>23636.6</v>
      </c>
      <c r="FE21">
        <v>23820</v>
      </c>
      <c r="FF21">
        <v>22523.8</v>
      </c>
      <c r="FG21">
        <v>26498.1</v>
      </c>
      <c r="FH21">
        <v>29302.5</v>
      </c>
      <c r="FI21">
        <v>38464.9</v>
      </c>
      <c r="FJ21">
        <v>32170.400000000001</v>
      </c>
      <c r="FK21">
        <v>42211.199999999997</v>
      </c>
      <c r="FL21">
        <v>1.93662</v>
      </c>
      <c r="FM21">
        <v>1.8176699999999999</v>
      </c>
      <c r="FN21">
        <v>1.7844099999999999E-3</v>
      </c>
      <c r="FO21">
        <v>0</v>
      </c>
      <c r="FP21">
        <v>26.965499999999999</v>
      </c>
      <c r="FQ21">
        <v>999.9</v>
      </c>
      <c r="FR21">
        <v>37.267000000000003</v>
      </c>
      <c r="FS21">
        <v>41.915999999999997</v>
      </c>
      <c r="FT21">
        <v>30.849900000000002</v>
      </c>
      <c r="FU21">
        <v>61.483400000000003</v>
      </c>
      <c r="FV21">
        <v>46.342100000000002</v>
      </c>
      <c r="FW21">
        <v>1</v>
      </c>
      <c r="FX21">
        <v>0.61945099999999997</v>
      </c>
      <c r="FY21">
        <v>8.7484099999999998</v>
      </c>
      <c r="FZ21">
        <v>20.049299999999999</v>
      </c>
      <c r="GA21">
        <v>5.2277699999999996</v>
      </c>
      <c r="GB21">
        <v>11.962</v>
      </c>
      <c r="GC21">
        <v>4.9717000000000002</v>
      </c>
      <c r="GD21">
        <v>3.2949999999999999</v>
      </c>
      <c r="GE21">
        <v>9999</v>
      </c>
      <c r="GF21">
        <v>9999</v>
      </c>
      <c r="GG21">
        <v>504.8</v>
      </c>
      <c r="GH21">
        <v>9999</v>
      </c>
      <c r="GI21">
        <v>1.8660000000000001</v>
      </c>
      <c r="GJ21">
        <v>1.86544</v>
      </c>
      <c r="GK21">
        <v>1.8656200000000001</v>
      </c>
      <c r="GL21">
        <v>1.8686</v>
      </c>
      <c r="GM21">
        <v>1.8627899999999999</v>
      </c>
      <c r="GN21">
        <v>1.8609899999999999</v>
      </c>
      <c r="GO21">
        <v>1.8572299999999999</v>
      </c>
      <c r="GP21">
        <v>1.8633599999999999</v>
      </c>
      <c r="GQ21" t="s">
        <v>350</v>
      </c>
      <c r="GR21" t="s">
        <v>19</v>
      </c>
      <c r="GS21" t="s">
        <v>19</v>
      </c>
      <c r="GT21" t="s">
        <v>19</v>
      </c>
      <c r="GU21" t="s">
        <v>351</v>
      </c>
      <c r="GV21" t="s">
        <v>352</v>
      </c>
      <c r="GW21" t="s">
        <v>353</v>
      </c>
      <c r="GX21" t="s">
        <v>353</v>
      </c>
      <c r="GY21" t="s">
        <v>353</v>
      </c>
      <c r="GZ21" t="s">
        <v>353</v>
      </c>
      <c r="HA21">
        <v>0</v>
      </c>
      <c r="HB21">
        <v>100</v>
      </c>
      <c r="HC21">
        <v>100</v>
      </c>
      <c r="HD21">
        <v>4.07</v>
      </c>
      <c r="HE21">
        <v>0.46600000000000003</v>
      </c>
      <c r="HF21">
        <v>2</v>
      </c>
      <c r="HG21">
        <v>504.51900000000001</v>
      </c>
      <c r="HH21">
        <v>465.28199999999998</v>
      </c>
      <c r="HI21">
        <v>18.846299999999999</v>
      </c>
      <c r="HJ21">
        <v>34.7879</v>
      </c>
      <c r="HK21">
        <v>30.000399999999999</v>
      </c>
      <c r="HL21">
        <v>34.653700000000001</v>
      </c>
      <c r="HM21">
        <v>34.634999999999998</v>
      </c>
      <c r="HN21">
        <v>5.0575000000000001</v>
      </c>
      <c r="HO21">
        <v>54.712499999999999</v>
      </c>
      <c r="HP21">
        <v>0</v>
      </c>
      <c r="HQ21">
        <v>18.845800000000001</v>
      </c>
      <c r="HR21">
        <v>50</v>
      </c>
      <c r="HS21">
        <v>14.6357</v>
      </c>
      <c r="HT21">
        <v>99.032899999999998</v>
      </c>
      <c r="HU21">
        <v>102.92400000000001</v>
      </c>
    </row>
    <row r="22" spans="1:229" x14ac:dyDescent="0.35">
      <c r="A22">
        <v>6</v>
      </c>
      <c r="B22">
        <v>1565549854</v>
      </c>
      <c r="C22">
        <v>534.5</v>
      </c>
      <c r="D22" t="s">
        <v>375</v>
      </c>
      <c r="E22" t="s">
        <v>376</v>
      </c>
      <c r="G22">
        <v>1565549854</v>
      </c>
      <c r="H22">
        <f t="shared" si="0"/>
        <v>3.27959267285911E-3</v>
      </c>
      <c r="I22">
        <f t="shared" si="1"/>
        <v>-2.1305759460540843</v>
      </c>
      <c r="J22">
        <f t="shared" si="2"/>
        <v>14.978</v>
      </c>
      <c r="K22">
        <f t="shared" si="3"/>
        <v>33.299170073029785</v>
      </c>
      <c r="L22">
        <f t="shared" si="4"/>
        <v>3.304727330634182</v>
      </c>
      <c r="M22">
        <f t="shared" si="5"/>
        <v>1.4864696582432</v>
      </c>
      <c r="N22">
        <f t="shared" si="6"/>
        <v>0.18619097862377368</v>
      </c>
      <c r="O22">
        <f t="shared" si="7"/>
        <v>2.2470462929766324</v>
      </c>
      <c r="P22">
        <f t="shared" si="8"/>
        <v>0.17802497197091988</v>
      </c>
      <c r="Q22">
        <f t="shared" si="9"/>
        <v>0.111969443614029</v>
      </c>
      <c r="R22">
        <f t="shared" si="10"/>
        <v>281.54919527453364</v>
      </c>
      <c r="S22">
        <f t="shared" si="11"/>
        <v>26.32882488479293</v>
      </c>
      <c r="T22">
        <f t="shared" si="12"/>
        <v>26.9528</v>
      </c>
      <c r="U22">
        <f t="shared" si="13"/>
        <v>3.5692496404973921</v>
      </c>
      <c r="V22">
        <f t="shared" si="14"/>
        <v>55.321646232142818</v>
      </c>
      <c r="W22">
        <f t="shared" si="15"/>
        <v>1.7903434362225601</v>
      </c>
      <c r="X22">
        <f t="shared" si="16"/>
        <v>3.2362439626432158</v>
      </c>
      <c r="Y22">
        <f t="shared" si="17"/>
        <v>1.778906204274832</v>
      </c>
      <c r="Z22">
        <f t="shared" si="18"/>
        <v>-144.63003687308677</v>
      </c>
      <c r="AA22">
        <f t="shared" si="19"/>
        <v>-200.69721007278244</v>
      </c>
      <c r="AB22">
        <f t="shared" si="20"/>
        <v>-19.10731191067104</v>
      </c>
      <c r="AC22">
        <f t="shared" si="21"/>
        <v>-82.885363582006619</v>
      </c>
      <c r="AD22">
        <v>-4.11042764089413E-2</v>
      </c>
      <c r="AE22">
        <v>4.6143151201423198E-2</v>
      </c>
      <c r="AF22">
        <v>3.4499413364899798</v>
      </c>
      <c r="AG22">
        <v>0</v>
      </c>
      <c r="AH22">
        <v>0</v>
      </c>
      <c r="AI22">
        <f t="shared" si="22"/>
        <v>1</v>
      </c>
      <c r="AJ22">
        <f t="shared" si="23"/>
        <v>0</v>
      </c>
      <c r="AK22">
        <f t="shared" si="24"/>
        <v>52714.277634832986</v>
      </c>
      <c r="AL22" t="s">
        <v>344</v>
      </c>
      <c r="AM22">
        <v>589.29941176470595</v>
      </c>
      <c r="AN22">
        <v>3530.99</v>
      </c>
      <c r="AO22">
        <f t="shared" si="25"/>
        <v>2941.6905882352939</v>
      </c>
      <c r="AP22">
        <f t="shared" si="26"/>
        <v>0.83310646256015852</v>
      </c>
      <c r="AQ22">
        <v>1.42453575549529</v>
      </c>
      <c r="AR22" t="s">
        <v>377</v>
      </c>
      <c r="AS22">
        <v>767.16817647058804</v>
      </c>
      <c r="AT22">
        <v>950.80399999999997</v>
      </c>
      <c r="AU22">
        <f t="shared" si="27"/>
        <v>0.19313741163206288</v>
      </c>
      <c r="AV22">
        <v>0.5</v>
      </c>
      <c r="AW22">
        <f t="shared" si="28"/>
        <v>1471.1867998142995</v>
      </c>
      <c r="AX22">
        <f t="shared" si="29"/>
        <v>-2.1305759460540843</v>
      </c>
      <c r="AY22">
        <f t="shared" si="30"/>
        <v>142.07060527169583</v>
      </c>
      <c r="AZ22">
        <f t="shared" si="31"/>
        <v>0.40372568899583922</v>
      </c>
      <c r="BA22">
        <f t="shared" si="32"/>
        <v>-2.4164923869614096E-3</v>
      </c>
      <c r="BB22">
        <f t="shared" si="33"/>
        <v>2.713688625626312</v>
      </c>
      <c r="BC22" t="s">
        <v>378</v>
      </c>
      <c r="BD22">
        <v>566.94000000000005</v>
      </c>
      <c r="BE22">
        <f t="shared" si="34"/>
        <v>383.86399999999992</v>
      </c>
      <c r="BF22">
        <f t="shared" si="35"/>
        <v>0.47838771942514008</v>
      </c>
      <c r="BG22">
        <f t="shared" si="36"/>
        <v>0.870493412729205</v>
      </c>
      <c r="BH22">
        <f t="shared" si="37"/>
        <v>0.50797646698162546</v>
      </c>
      <c r="BI22">
        <f t="shared" si="38"/>
        <v>0.87710992118577669</v>
      </c>
      <c r="BJ22">
        <v>8061</v>
      </c>
      <c r="BK22">
        <v>300</v>
      </c>
      <c r="BL22">
        <v>300</v>
      </c>
      <c r="BM22">
        <v>300</v>
      </c>
      <c r="BN22">
        <v>10288.4</v>
      </c>
      <c r="BO22">
        <v>911.41800000000001</v>
      </c>
      <c r="BP22">
        <v>-7.0394200000000002E-3</v>
      </c>
      <c r="BQ22">
        <v>4.5779399999999999</v>
      </c>
      <c r="BR22" t="s">
        <v>347</v>
      </c>
      <c r="BS22" t="s">
        <v>347</v>
      </c>
      <c r="BT22" t="s">
        <v>347</v>
      </c>
      <c r="BU22" t="s">
        <v>347</v>
      </c>
      <c r="BV22" t="s">
        <v>347</v>
      </c>
      <c r="BW22" t="s">
        <v>347</v>
      </c>
      <c r="BX22" t="s">
        <v>347</v>
      </c>
      <c r="BY22" t="s">
        <v>347</v>
      </c>
      <c r="BZ22" t="s">
        <v>347</v>
      </c>
      <c r="CA22" t="s">
        <v>347</v>
      </c>
      <c r="CB22">
        <f t="shared" si="39"/>
        <v>1749.98</v>
      </c>
      <c r="CC22">
        <f t="shared" si="40"/>
        <v>1471.1867998142995</v>
      </c>
      <c r="CD22">
        <f t="shared" si="41"/>
        <v>0.84068777918279036</v>
      </c>
      <c r="CE22">
        <f t="shared" si="42"/>
        <v>0.1913755583655809</v>
      </c>
      <c r="CF22">
        <v>1565549854</v>
      </c>
      <c r="CG22">
        <v>14.978</v>
      </c>
      <c r="CH22">
        <v>12.4802</v>
      </c>
      <c r="CI22">
        <v>18.039899999999999</v>
      </c>
      <c r="CJ22">
        <v>14.1753</v>
      </c>
      <c r="CK22">
        <v>499.98899999999998</v>
      </c>
      <c r="CL22">
        <v>99.143600000000006</v>
      </c>
      <c r="CM22">
        <v>9.9934400000000007E-2</v>
      </c>
      <c r="CN22">
        <v>25.296099999999999</v>
      </c>
      <c r="CO22">
        <v>26.9528</v>
      </c>
      <c r="CP22">
        <v>999.9</v>
      </c>
      <c r="CQ22">
        <v>0</v>
      </c>
      <c r="CR22">
        <v>0</v>
      </c>
      <c r="CS22">
        <v>9998.1200000000008</v>
      </c>
      <c r="CT22">
        <v>0</v>
      </c>
      <c r="CU22">
        <v>1498.73</v>
      </c>
      <c r="CV22">
        <v>2.4448400000000001</v>
      </c>
      <c r="CW22">
        <v>15.199400000000001</v>
      </c>
      <c r="CX22">
        <v>12.659700000000001</v>
      </c>
      <c r="CY22">
        <v>3.8746299999999998</v>
      </c>
      <c r="CZ22">
        <v>10.855</v>
      </c>
      <c r="DA22">
        <v>12.4802</v>
      </c>
      <c r="DB22">
        <v>17.5839</v>
      </c>
      <c r="DC22">
        <v>14.1753</v>
      </c>
      <c r="DD22">
        <v>1.7895300000000001</v>
      </c>
      <c r="DE22">
        <v>1.4053899999999999</v>
      </c>
      <c r="DF22">
        <v>15.695600000000001</v>
      </c>
      <c r="DG22">
        <v>11.975899999999999</v>
      </c>
      <c r="DH22">
        <v>1749.98</v>
      </c>
      <c r="DI22">
        <v>0.97700699999999996</v>
      </c>
      <c r="DJ22">
        <v>2.2992800000000001E-2</v>
      </c>
      <c r="DK22">
        <v>0</v>
      </c>
      <c r="DL22">
        <v>767.28</v>
      </c>
      <c r="DM22">
        <v>5.0002700000000004</v>
      </c>
      <c r="DN22">
        <v>17653.900000000001</v>
      </c>
      <c r="DO22">
        <v>14145.5</v>
      </c>
      <c r="DP22">
        <v>48.436999999999998</v>
      </c>
      <c r="DQ22">
        <v>50.75</v>
      </c>
      <c r="DR22">
        <v>49.436999999999998</v>
      </c>
      <c r="DS22">
        <v>50.436999999999998</v>
      </c>
      <c r="DT22">
        <v>49.75</v>
      </c>
      <c r="DU22">
        <v>1704.86</v>
      </c>
      <c r="DV22">
        <v>40.119999999999997</v>
      </c>
      <c r="DW22">
        <v>0</v>
      </c>
      <c r="DX22">
        <v>97.200000047683702</v>
      </c>
      <c r="DY22">
        <v>767.16817647058804</v>
      </c>
      <c r="DZ22">
        <v>0.28112742136017899</v>
      </c>
      <c r="EA22">
        <v>258.16176464420101</v>
      </c>
      <c r="EB22">
        <v>17620.817647058801</v>
      </c>
      <c r="EC22">
        <v>10</v>
      </c>
      <c r="ED22">
        <v>1565549878</v>
      </c>
      <c r="EE22" t="s">
        <v>379</v>
      </c>
      <c r="EF22">
        <v>48</v>
      </c>
      <c r="EG22">
        <v>4.1230000000000002</v>
      </c>
      <c r="EH22">
        <v>0.45600000000000002</v>
      </c>
      <c r="EI22">
        <v>13</v>
      </c>
      <c r="EJ22">
        <v>14</v>
      </c>
      <c r="EK22">
        <v>0.27</v>
      </c>
      <c r="EL22">
        <v>7.0000000000000007E-2</v>
      </c>
      <c r="EM22">
        <v>-2.0761178226967898</v>
      </c>
      <c r="EN22">
        <v>7.68377917182827E-2</v>
      </c>
      <c r="EO22">
        <v>1.7386537824598602E-2</v>
      </c>
      <c r="EP22">
        <v>1</v>
      </c>
      <c r="EQ22">
        <v>0.18462019560835699</v>
      </c>
      <c r="ER22">
        <v>2.1473897369151899E-2</v>
      </c>
      <c r="ES22">
        <v>2.8314981957987002E-3</v>
      </c>
      <c r="ET22">
        <v>1</v>
      </c>
      <c r="EU22">
        <v>2</v>
      </c>
      <c r="EV22">
        <v>2</v>
      </c>
      <c r="EW22" t="s">
        <v>349</v>
      </c>
      <c r="EX22">
        <v>2.94861</v>
      </c>
      <c r="EY22">
        <v>2.7773300000000001</v>
      </c>
      <c r="EZ22">
        <v>3.08925E-3</v>
      </c>
      <c r="FA22">
        <v>3.4595400000000001E-3</v>
      </c>
      <c r="FB22">
        <v>8.9976299999999995E-2</v>
      </c>
      <c r="FC22">
        <v>7.3132600000000006E-2</v>
      </c>
      <c r="FD22">
        <v>23865.5</v>
      </c>
      <c r="FE22">
        <v>24063</v>
      </c>
      <c r="FF22">
        <v>22518.9</v>
      </c>
      <c r="FG22">
        <v>26492.2</v>
      </c>
      <c r="FH22">
        <v>29292.2</v>
      </c>
      <c r="FI22">
        <v>38539.699999999997</v>
      </c>
      <c r="FJ22">
        <v>32164</v>
      </c>
      <c r="FK22">
        <v>42203</v>
      </c>
      <c r="FL22">
        <v>1.9351</v>
      </c>
      <c r="FM22">
        <v>1.81778</v>
      </c>
      <c r="FN22">
        <v>-2.2202699999999999E-3</v>
      </c>
      <c r="FO22">
        <v>0</v>
      </c>
      <c r="FP22">
        <v>26.989100000000001</v>
      </c>
      <c r="FQ22">
        <v>999.9</v>
      </c>
      <c r="FR22">
        <v>37.186999999999998</v>
      </c>
      <c r="FS22">
        <v>41.926000000000002</v>
      </c>
      <c r="FT22">
        <v>30.802299999999999</v>
      </c>
      <c r="FU22">
        <v>61.673400000000001</v>
      </c>
      <c r="FV22">
        <v>46.358199999999997</v>
      </c>
      <c r="FW22">
        <v>1</v>
      </c>
      <c r="FX22">
        <v>0.62266999999999995</v>
      </c>
      <c r="FY22">
        <v>7.9561500000000001</v>
      </c>
      <c r="FZ22">
        <v>20.0869</v>
      </c>
      <c r="GA22">
        <v>5.2280699999999998</v>
      </c>
      <c r="GB22">
        <v>11.962</v>
      </c>
      <c r="GC22">
        <v>4.9716500000000003</v>
      </c>
      <c r="GD22">
        <v>3.2949999999999999</v>
      </c>
      <c r="GE22">
        <v>9999</v>
      </c>
      <c r="GF22">
        <v>9999</v>
      </c>
      <c r="GG22">
        <v>504.8</v>
      </c>
      <c r="GH22">
        <v>9999</v>
      </c>
      <c r="GI22">
        <v>1.8660000000000001</v>
      </c>
      <c r="GJ22">
        <v>1.86541</v>
      </c>
      <c r="GK22">
        <v>1.86565</v>
      </c>
      <c r="GL22">
        <v>1.8686100000000001</v>
      </c>
      <c r="GM22">
        <v>1.8628100000000001</v>
      </c>
      <c r="GN22">
        <v>1.8609899999999999</v>
      </c>
      <c r="GO22">
        <v>1.8571800000000001</v>
      </c>
      <c r="GP22">
        <v>1.8633900000000001</v>
      </c>
      <c r="GQ22" t="s">
        <v>350</v>
      </c>
      <c r="GR22" t="s">
        <v>19</v>
      </c>
      <c r="GS22" t="s">
        <v>19</v>
      </c>
      <c r="GT22" t="s">
        <v>19</v>
      </c>
      <c r="GU22" t="s">
        <v>351</v>
      </c>
      <c r="GV22" t="s">
        <v>352</v>
      </c>
      <c r="GW22" t="s">
        <v>353</v>
      </c>
      <c r="GX22" t="s">
        <v>353</v>
      </c>
      <c r="GY22" t="s">
        <v>353</v>
      </c>
      <c r="GZ22" t="s">
        <v>353</v>
      </c>
      <c r="HA22">
        <v>0</v>
      </c>
      <c r="HB22">
        <v>100</v>
      </c>
      <c r="HC22">
        <v>100</v>
      </c>
      <c r="HD22">
        <v>4.1230000000000002</v>
      </c>
      <c r="HE22">
        <v>0.45600000000000002</v>
      </c>
      <c r="HF22">
        <v>2</v>
      </c>
      <c r="HG22">
        <v>503.99700000000001</v>
      </c>
      <c r="HH22">
        <v>465.82600000000002</v>
      </c>
      <c r="HI22">
        <v>19.131399999999999</v>
      </c>
      <c r="HJ22">
        <v>34.870100000000001</v>
      </c>
      <c r="HK22">
        <v>30</v>
      </c>
      <c r="HL22">
        <v>34.719799999999999</v>
      </c>
      <c r="HM22">
        <v>34.700699999999998</v>
      </c>
      <c r="HN22">
        <v>3.3283200000000002</v>
      </c>
      <c r="HO22">
        <v>55.622599999999998</v>
      </c>
      <c r="HP22">
        <v>0</v>
      </c>
      <c r="HQ22">
        <v>19.1388</v>
      </c>
      <c r="HR22">
        <v>12.5</v>
      </c>
      <c r="HS22">
        <v>14.203099999999999</v>
      </c>
      <c r="HT22">
        <v>99.012299999999996</v>
      </c>
      <c r="HU22">
        <v>102.902</v>
      </c>
    </row>
    <row r="23" spans="1:229" x14ac:dyDescent="0.35">
      <c r="A23">
        <v>8</v>
      </c>
      <c r="B23">
        <v>1565550068</v>
      </c>
      <c r="C23">
        <v>748.5</v>
      </c>
      <c r="D23" t="s">
        <v>380</v>
      </c>
      <c r="E23" t="s">
        <v>381</v>
      </c>
      <c r="G23">
        <v>1565550068</v>
      </c>
      <c r="H23">
        <f t="shared" si="0"/>
        <v>3.3007280285375492E-3</v>
      </c>
      <c r="I23">
        <f t="shared" si="1"/>
        <v>21.262571182942544</v>
      </c>
      <c r="J23">
        <f t="shared" si="2"/>
        <v>372.98500000000001</v>
      </c>
      <c r="K23">
        <f t="shared" si="3"/>
        <v>174.874175529127</v>
      </c>
      <c r="L23">
        <f t="shared" si="4"/>
        <v>17.353997965214617</v>
      </c>
      <c r="M23">
        <f t="shared" si="5"/>
        <v>37.013932511593005</v>
      </c>
      <c r="N23">
        <f t="shared" si="6"/>
        <v>0.18605353163958685</v>
      </c>
      <c r="O23">
        <f t="shared" si="7"/>
        <v>2.2474169229353778</v>
      </c>
      <c r="P23">
        <f t="shared" si="8"/>
        <v>0.17790057450947555</v>
      </c>
      <c r="Q23">
        <f t="shared" si="9"/>
        <v>0.11189059613641561</v>
      </c>
      <c r="R23">
        <f t="shared" si="10"/>
        <v>281.57162862806496</v>
      </c>
      <c r="S23">
        <f t="shared" si="11"/>
        <v>26.563993472366011</v>
      </c>
      <c r="T23">
        <f t="shared" si="12"/>
        <v>27.030100000000001</v>
      </c>
      <c r="U23">
        <f t="shared" si="13"/>
        <v>3.585491985648162</v>
      </c>
      <c r="V23">
        <f t="shared" si="14"/>
        <v>54.647109633952176</v>
      </c>
      <c r="W23">
        <f t="shared" si="15"/>
        <v>1.79417616158786</v>
      </c>
      <c r="X23">
        <f t="shared" si="16"/>
        <v>3.2832041321232861</v>
      </c>
      <c r="Y23">
        <f t="shared" si="17"/>
        <v>1.791315824060302</v>
      </c>
      <c r="Z23">
        <f t="shared" si="18"/>
        <v>-145.56210605850592</v>
      </c>
      <c r="AA23">
        <f t="shared" si="19"/>
        <v>-180.72634469828432</v>
      </c>
      <c r="AB23">
        <f t="shared" si="20"/>
        <v>-17.23072406962412</v>
      </c>
      <c r="AC23">
        <f t="shared" si="21"/>
        <v>-61.947546198349386</v>
      </c>
      <c r="AD23">
        <v>-4.1114243219733303E-2</v>
      </c>
      <c r="AE23">
        <v>4.61543398196778E-2</v>
      </c>
      <c r="AF23">
        <v>3.45060363992771</v>
      </c>
      <c r="AG23">
        <v>0</v>
      </c>
      <c r="AH23">
        <v>0</v>
      </c>
      <c r="AI23">
        <f t="shared" si="22"/>
        <v>1</v>
      </c>
      <c r="AJ23">
        <f t="shared" si="23"/>
        <v>0</v>
      </c>
      <c r="AK23">
        <f t="shared" si="24"/>
        <v>52683.584448288537</v>
      </c>
      <c r="AL23" t="s">
        <v>344</v>
      </c>
      <c r="AM23">
        <v>589.29941176470595</v>
      </c>
      <c r="AN23">
        <v>3530.99</v>
      </c>
      <c r="AO23">
        <f t="shared" si="25"/>
        <v>2941.6905882352939</v>
      </c>
      <c r="AP23">
        <f t="shared" si="26"/>
        <v>0.83310646256015852</v>
      </c>
      <c r="AQ23">
        <v>1.42453575549529</v>
      </c>
      <c r="AR23" t="s">
        <v>382</v>
      </c>
      <c r="AS23">
        <v>747.04017647058799</v>
      </c>
      <c r="AT23">
        <v>1081.6199999999999</v>
      </c>
      <c r="AU23">
        <f t="shared" si="27"/>
        <v>0.30933213469556031</v>
      </c>
      <c r="AV23">
        <v>0.5</v>
      </c>
      <c r="AW23">
        <f t="shared" si="28"/>
        <v>1471.2968998141746</v>
      </c>
      <c r="AX23">
        <f t="shared" si="29"/>
        <v>21.262571182942544</v>
      </c>
      <c r="AY23">
        <f t="shared" si="30"/>
        <v>227.55970539523929</v>
      </c>
      <c r="AZ23">
        <f t="shared" si="31"/>
        <v>0.51324864555019312</v>
      </c>
      <c r="BA23">
        <f t="shared" si="32"/>
        <v>1.3483366565886739E-2</v>
      </c>
      <c r="BB23">
        <f t="shared" si="33"/>
        <v>2.2645383776187571</v>
      </c>
      <c r="BC23" t="s">
        <v>383</v>
      </c>
      <c r="BD23">
        <v>526.48</v>
      </c>
      <c r="BE23">
        <f t="shared" si="34"/>
        <v>555.13999999999987</v>
      </c>
      <c r="BF23">
        <f t="shared" si="35"/>
        <v>0.60269449783732387</v>
      </c>
      <c r="BG23">
        <f t="shared" si="36"/>
        <v>0.81523110257579445</v>
      </c>
      <c r="BH23">
        <f t="shared" si="37"/>
        <v>0.67959746458847403</v>
      </c>
      <c r="BI23">
        <f t="shared" si="38"/>
        <v>0.83264025448351631</v>
      </c>
      <c r="BJ23">
        <v>8065</v>
      </c>
      <c r="BK23">
        <v>300</v>
      </c>
      <c r="BL23">
        <v>300</v>
      </c>
      <c r="BM23">
        <v>300</v>
      </c>
      <c r="BN23">
        <v>10287.6</v>
      </c>
      <c r="BO23">
        <v>993.52800000000002</v>
      </c>
      <c r="BP23">
        <v>-7.0392299999999996E-3</v>
      </c>
      <c r="BQ23">
        <v>4.3609600000000004</v>
      </c>
      <c r="BR23" t="s">
        <v>347</v>
      </c>
      <c r="BS23" t="s">
        <v>347</v>
      </c>
      <c r="BT23" t="s">
        <v>347</v>
      </c>
      <c r="BU23" t="s">
        <v>347</v>
      </c>
      <c r="BV23" t="s">
        <v>347</v>
      </c>
      <c r="BW23" t="s">
        <v>347</v>
      </c>
      <c r="BX23" t="s">
        <v>347</v>
      </c>
      <c r="BY23" t="s">
        <v>347</v>
      </c>
      <c r="BZ23" t="s">
        <v>347</v>
      </c>
      <c r="CA23" t="s">
        <v>347</v>
      </c>
      <c r="CB23">
        <f t="shared" si="39"/>
        <v>1750.11</v>
      </c>
      <c r="CC23">
        <f t="shared" si="40"/>
        <v>1471.2968998141746</v>
      </c>
      <c r="CD23">
        <f t="shared" si="41"/>
        <v>0.84068824234715223</v>
      </c>
      <c r="CE23">
        <f t="shared" si="42"/>
        <v>0.19137648469430443</v>
      </c>
      <c r="CF23">
        <v>1565550068</v>
      </c>
      <c r="CG23">
        <v>372.98500000000001</v>
      </c>
      <c r="CH23">
        <v>399.97699999999998</v>
      </c>
      <c r="CI23">
        <v>18.079699999999999</v>
      </c>
      <c r="CJ23">
        <v>14.1905</v>
      </c>
      <c r="CK23">
        <v>500.00799999999998</v>
      </c>
      <c r="CL23">
        <v>99.137100000000004</v>
      </c>
      <c r="CM23">
        <v>9.9953799999999995E-2</v>
      </c>
      <c r="CN23">
        <v>25.538499999999999</v>
      </c>
      <c r="CO23">
        <v>27.030100000000001</v>
      </c>
      <c r="CP23">
        <v>999.9</v>
      </c>
      <c r="CQ23">
        <v>0</v>
      </c>
      <c r="CR23">
        <v>0</v>
      </c>
      <c r="CS23">
        <v>10001.200000000001</v>
      </c>
      <c r="CT23">
        <v>0</v>
      </c>
      <c r="CU23">
        <v>1575.36</v>
      </c>
      <c r="CV23">
        <v>-27.000900000000001</v>
      </c>
      <c r="CW23">
        <v>379.839</v>
      </c>
      <c r="CX23">
        <v>405.73500000000001</v>
      </c>
      <c r="CY23">
        <v>3.8772500000000001</v>
      </c>
      <c r="CZ23">
        <v>368.51299999999998</v>
      </c>
      <c r="DA23">
        <v>399.97699999999998</v>
      </c>
      <c r="DB23">
        <v>17.627700000000001</v>
      </c>
      <c r="DC23">
        <v>14.1905</v>
      </c>
      <c r="DD23">
        <v>1.79118</v>
      </c>
      <c r="DE23">
        <v>1.4068000000000001</v>
      </c>
      <c r="DF23">
        <v>15.710100000000001</v>
      </c>
      <c r="DG23">
        <v>11.991199999999999</v>
      </c>
      <c r="DH23">
        <v>1750.11</v>
      </c>
      <c r="DI23">
        <v>0.97699199999999997</v>
      </c>
      <c r="DJ23">
        <v>2.3008000000000001E-2</v>
      </c>
      <c r="DK23">
        <v>0</v>
      </c>
      <c r="DL23">
        <v>747.13</v>
      </c>
      <c r="DM23">
        <v>5.0002700000000004</v>
      </c>
      <c r="DN23">
        <v>17482.400000000001</v>
      </c>
      <c r="DO23">
        <v>14146.5</v>
      </c>
      <c r="DP23">
        <v>48.561999999999998</v>
      </c>
      <c r="DQ23">
        <v>50.936999999999998</v>
      </c>
      <c r="DR23">
        <v>49.625</v>
      </c>
      <c r="DS23">
        <v>50.436999999999998</v>
      </c>
      <c r="DT23">
        <v>49.875</v>
      </c>
      <c r="DU23">
        <v>1704.96</v>
      </c>
      <c r="DV23">
        <v>40.15</v>
      </c>
      <c r="DW23">
        <v>0</v>
      </c>
      <c r="DX23">
        <v>115.90000009536701</v>
      </c>
      <c r="DY23">
        <v>747.04017647058799</v>
      </c>
      <c r="DZ23">
        <v>1.0958333083416301</v>
      </c>
      <c r="EA23">
        <v>676.56862718565799</v>
      </c>
      <c r="EB23">
        <v>17450.941176470598</v>
      </c>
      <c r="EC23">
        <v>10</v>
      </c>
      <c r="ED23">
        <v>1565550096.5</v>
      </c>
      <c r="EE23" t="s">
        <v>384</v>
      </c>
      <c r="EF23">
        <v>50</v>
      </c>
      <c r="EG23">
        <v>4.4720000000000004</v>
      </c>
      <c r="EH23">
        <v>0.45200000000000001</v>
      </c>
      <c r="EI23">
        <v>400</v>
      </c>
      <c r="EJ23">
        <v>14</v>
      </c>
      <c r="EK23">
        <v>0.08</v>
      </c>
      <c r="EL23">
        <v>0.05</v>
      </c>
      <c r="EM23">
        <v>21.622550759523602</v>
      </c>
      <c r="EN23">
        <v>-2.1004918717105898</v>
      </c>
      <c r="EO23">
        <v>0.21309642604476001</v>
      </c>
      <c r="EP23">
        <v>0</v>
      </c>
      <c r="EQ23">
        <v>0.19748278398510999</v>
      </c>
      <c r="ER23">
        <v>-3.7562784303174702E-2</v>
      </c>
      <c r="ES23">
        <v>4.0996476289807196E-3</v>
      </c>
      <c r="ET23">
        <v>1</v>
      </c>
      <c r="EU23">
        <v>1</v>
      </c>
      <c r="EV23">
        <v>2</v>
      </c>
      <c r="EW23" t="s">
        <v>364</v>
      </c>
      <c r="EX23">
        <v>2.9485999999999999</v>
      </c>
      <c r="EY23">
        <v>2.77738</v>
      </c>
      <c r="EZ23">
        <v>8.7852600000000003E-2</v>
      </c>
      <c r="FA23">
        <v>9.1157100000000005E-2</v>
      </c>
      <c r="FB23">
        <v>9.0111800000000006E-2</v>
      </c>
      <c r="FC23">
        <v>7.3167599999999999E-2</v>
      </c>
      <c r="FD23">
        <v>21833.9</v>
      </c>
      <c r="FE23">
        <v>21942.3</v>
      </c>
      <c r="FF23">
        <v>22514.2</v>
      </c>
      <c r="FG23">
        <v>26487.200000000001</v>
      </c>
      <c r="FH23">
        <v>29283</v>
      </c>
      <c r="FI23">
        <v>38533.199999999997</v>
      </c>
      <c r="FJ23">
        <v>32157.8</v>
      </c>
      <c r="FK23">
        <v>42196.5</v>
      </c>
      <c r="FL23">
        <v>1.9360999999999999</v>
      </c>
      <c r="FM23">
        <v>1.8149200000000001</v>
      </c>
      <c r="FN23">
        <v>-3.2261E-3</v>
      </c>
      <c r="FO23">
        <v>0</v>
      </c>
      <c r="FP23">
        <v>27.082799999999999</v>
      </c>
      <c r="FQ23">
        <v>999.9</v>
      </c>
      <c r="FR23">
        <v>36.966999999999999</v>
      </c>
      <c r="FS23">
        <v>41.945999999999998</v>
      </c>
      <c r="FT23">
        <v>30.6526</v>
      </c>
      <c r="FU23">
        <v>61.633400000000002</v>
      </c>
      <c r="FV23">
        <v>46.265999999999998</v>
      </c>
      <c r="FW23">
        <v>1</v>
      </c>
      <c r="FX23">
        <v>0.633656</v>
      </c>
      <c r="FY23">
        <v>8.7002900000000007</v>
      </c>
      <c r="FZ23">
        <v>20.049099999999999</v>
      </c>
      <c r="GA23">
        <v>5.2280699999999998</v>
      </c>
      <c r="GB23">
        <v>11.962</v>
      </c>
      <c r="GC23">
        <v>4.9717000000000002</v>
      </c>
      <c r="GD23">
        <v>3.2949999999999999</v>
      </c>
      <c r="GE23">
        <v>9999</v>
      </c>
      <c r="GF23">
        <v>9999</v>
      </c>
      <c r="GG23">
        <v>504.9</v>
      </c>
      <c r="GH23">
        <v>9999</v>
      </c>
      <c r="GI23">
        <v>1.8660000000000001</v>
      </c>
      <c r="GJ23">
        <v>1.86541</v>
      </c>
      <c r="GK23">
        <v>1.86565</v>
      </c>
      <c r="GL23">
        <v>1.86859</v>
      </c>
      <c r="GM23">
        <v>1.8628100000000001</v>
      </c>
      <c r="GN23">
        <v>1.86097</v>
      </c>
      <c r="GO23">
        <v>1.8571899999999999</v>
      </c>
      <c r="GP23">
        <v>1.8633900000000001</v>
      </c>
      <c r="GQ23" t="s">
        <v>350</v>
      </c>
      <c r="GR23" t="s">
        <v>19</v>
      </c>
      <c r="GS23" t="s">
        <v>19</v>
      </c>
      <c r="GT23" t="s">
        <v>19</v>
      </c>
      <c r="GU23" t="s">
        <v>351</v>
      </c>
      <c r="GV23" t="s">
        <v>352</v>
      </c>
      <c r="GW23" t="s">
        <v>353</v>
      </c>
      <c r="GX23" t="s">
        <v>353</v>
      </c>
      <c r="GY23" t="s">
        <v>353</v>
      </c>
      <c r="GZ23" t="s">
        <v>353</v>
      </c>
      <c r="HA23">
        <v>0</v>
      </c>
      <c r="HB23">
        <v>100</v>
      </c>
      <c r="HC23">
        <v>100</v>
      </c>
      <c r="HD23">
        <v>4.4720000000000004</v>
      </c>
      <c r="HE23">
        <v>0.45200000000000001</v>
      </c>
      <c r="HF23">
        <v>2</v>
      </c>
      <c r="HG23">
        <v>505.48099999999999</v>
      </c>
      <c r="HH23">
        <v>464.69299999999998</v>
      </c>
      <c r="HI23">
        <v>18.9785</v>
      </c>
      <c r="HJ23">
        <v>34.948599999999999</v>
      </c>
      <c r="HK23">
        <v>30</v>
      </c>
      <c r="HL23">
        <v>34.822000000000003</v>
      </c>
      <c r="HM23">
        <v>34.804400000000001</v>
      </c>
      <c r="HN23">
        <v>21.092700000000001</v>
      </c>
      <c r="HO23">
        <v>55.424199999999999</v>
      </c>
      <c r="HP23">
        <v>0</v>
      </c>
      <c r="HQ23">
        <v>18.966100000000001</v>
      </c>
      <c r="HR23">
        <v>400</v>
      </c>
      <c r="HS23">
        <v>14.2933</v>
      </c>
      <c r="HT23">
        <v>98.992500000000007</v>
      </c>
      <c r="HU23">
        <v>102.88500000000001</v>
      </c>
    </row>
    <row r="24" spans="1:229" x14ac:dyDescent="0.35">
      <c r="A24">
        <v>9</v>
      </c>
      <c r="B24">
        <v>1565550187.5</v>
      </c>
      <c r="C24">
        <v>868</v>
      </c>
      <c r="D24" t="s">
        <v>385</v>
      </c>
      <c r="E24" t="s">
        <v>386</v>
      </c>
      <c r="G24">
        <v>1565550187.5</v>
      </c>
      <c r="H24">
        <f t="shared" si="0"/>
        <v>1.9768511415048074E-3</v>
      </c>
      <c r="I24">
        <f t="shared" si="1"/>
        <v>19.275850456629978</v>
      </c>
      <c r="J24">
        <f t="shared" si="2"/>
        <v>475.72</v>
      </c>
      <c r="K24">
        <f t="shared" si="3"/>
        <v>173.79597342945746</v>
      </c>
      <c r="L24">
        <f t="shared" si="4"/>
        <v>17.246627103830306</v>
      </c>
      <c r="M24">
        <f t="shared" si="5"/>
        <v>47.208029529892002</v>
      </c>
      <c r="N24">
        <f t="shared" si="6"/>
        <v>0.10795860256679016</v>
      </c>
      <c r="O24">
        <f t="shared" si="7"/>
        <v>2.2479653323589819</v>
      </c>
      <c r="P24">
        <f t="shared" si="8"/>
        <v>0.10515876986558513</v>
      </c>
      <c r="Q24">
        <f t="shared" si="9"/>
        <v>6.5969737087903199E-2</v>
      </c>
      <c r="R24">
        <f t="shared" si="10"/>
        <v>281.55566872278587</v>
      </c>
      <c r="S24">
        <f t="shared" si="11"/>
        <v>26.79371372296881</v>
      </c>
      <c r="T24">
        <f t="shared" si="12"/>
        <v>27.0593</v>
      </c>
      <c r="U24">
        <f t="shared" si="13"/>
        <v>3.5916442837492597</v>
      </c>
      <c r="V24">
        <f t="shared" si="14"/>
        <v>54.7926435125515</v>
      </c>
      <c r="W24">
        <f t="shared" si="15"/>
        <v>1.7766124473989098</v>
      </c>
      <c r="X24">
        <f t="shared" si="16"/>
        <v>3.2424287888061767</v>
      </c>
      <c r="Y24">
        <f t="shared" si="17"/>
        <v>1.8150318363503499</v>
      </c>
      <c r="Z24">
        <f t="shared" si="18"/>
        <v>-87.179135340362009</v>
      </c>
      <c r="AA24">
        <f t="shared" si="19"/>
        <v>-209.79600264447589</v>
      </c>
      <c r="AB24">
        <f t="shared" si="20"/>
        <v>-19.979287367448936</v>
      </c>
      <c r="AC24">
        <f t="shared" si="21"/>
        <v>-35.398756629500951</v>
      </c>
      <c r="AD24">
        <v>-4.1128993512438101E-2</v>
      </c>
      <c r="AE24">
        <v>4.6170898315435603E-2</v>
      </c>
      <c r="AF24">
        <v>3.4515837089141401</v>
      </c>
      <c r="AG24">
        <v>0</v>
      </c>
      <c r="AH24">
        <v>0</v>
      </c>
      <c r="AI24">
        <f t="shared" si="22"/>
        <v>1</v>
      </c>
      <c r="AJ24">
        <f t="shared" si="23"/>
        <v>0</v>
      </c>
      <c r="AK24">
        <f t="shared" si="24"/>
        <v>52738.816506695468</v>
      </c>
      <c r="AL24" t="s">
        <v>344</v>
      </c>
      <c r="AM24">
        <v>589.29941176470595</v>
      </c>
      <c r="AN24">
        <v>3530.99</v>
      </c>
      <c r="AO24">
        <f t="shared" si="25"/>
        <v>2941.6905882352939</v>
      </c>
      <c r="AP24">
        <f t="shared" si="26"/>
        <v>0.83310646256015852</v>
      </c>
      <c r="AQ24">
        <v>1.42453575549529</v>
      </c>
      <c r="AR24" t="s">
        <v>387</v>
      </c>
      <c r="AS24">
        <v>749.77870588235305</v>
      </c>
      <c r="AT24">
        <v>1083.6500000000001</v>
      </c>
      <c r="AU24">
        <f t="shared" si="27"/>
        <v>0.30809882722064041</v>
      </c>
      <c r="AV24">
        <v>0.5</v>
      </c>
      <c r="AW24">
        <f t="shared" si="28"/>
        <v>1471.2128998141636</v>
      </c>
      <c r="AX24">
        <f t="shared" si="29"/>
        <v>19.275850456629978</v>
      </c>
      <c r="AY24">
        <f t="shared" si="30"/>
        <v>226.63948451231067</v>
      </c>
      <c r="AZ24">
        <f t="shared" si="31"/>
        <v>0.5063904397176211</v>
      </c>
      <c r="BA24">
        <f t="shared" si="32"/>
        <v>1.2133739925329352E-2</v>
      </c>
      <c r="BB24">
        <f t="shared" si="33"/>
        <v>2.2584229225303369</v>
      </c>
      <c r="BC24" t="s">
        <v>388</v>
      </c>
      <c r="BD24">
        <v>534.9</v>
      </c>
      <c r="BE24">
        <f t="shared" si="34"/>
        <v>548.75000000000011</v>
      </c>
      <c r="BF24">
        <f t="shared" si="35"/>
        <v>0.6084214926973065</v>
      </c>
      <c r="BG24">
        <f t="shared" si="36"/>
        <v>0.81684462082247189</v>
      </c>
      <c r="BH24">
        <f t="shared" si="37"/>
        <v>0.67537351439083471</v>
      </c>
      <c r="BI24">
        <f t="shared" si="38"/>
        <v>0.83195017510939084</v>
      </c>
      <c r="BJ24">
        <v>8067</v>
      </c>
      <c r="BK24">
        <v>300</v>
      </c>
      <c r="BL24">
        <v>300</v>
      </c>
      <c r="BM24">
        <v>300</v>
      </c>
      <c r="BN24">
        <v>10287.1</v>
      </c>
      <c r="BO24">
        <v>998.846</v>
      </c>
      <c r="BP24">
        <v>-7.0390599999999998E-3</v>
      </c>
      <c r="BQ24">
        <v>5.1171300000000004</v>
      </c>
      <c r="BR24" t="s">
        <v>347</v>
      </c>
      <c r="BS24" t="s">
        <v>347</v>
      </c>
      <c r="BT24" t="s">
        <v>347</v>
      </c>
      <c r="BU24" t="s">
        <v>347</v>
      </c>
      <c r="BV24" t="s">
        <v>347</v>
      </c>
      <c r="BW24" t="s">
        <v>347</v>
      </c>
      <c r="BX24" t="s">
        <v>347</v>
      </c>
      <c r="BY24" t="s">
        <v>347</v>
      </c>
      <c r="BZ24" t="s">
        <v>347</v>
      </c>
      <c r="CA24" t="s">
        <v>347</v>
      </c>
      <c r="CB24">
        <f t="shared" si="39"/>
        <v>1750.01</v>
      </c>
      <c r="CC24">
        <f t="shared" si="40"/>
        <v>1471.2128998141636</v>
      </c>
      <c r="CD24">
        <f t="shared" si="41"/>
        <v>0.84068828167505538</v>
      </c>
      <c r="CE24">
        <f t="shared" si="42"/>
        <v>0.19137656335011105</v>
      </c>
      <c r="CF24">
        <v>1565550187.5</v>
      </c>
      <c r="CG24">
        <v>475.72</v>
      </c>
      <c r="CH24">
        <v>499.97899999999998</v>
      </c>
      <c r="CI24">
        <v>17.903099999999998</v>
      </c>
      <c r="CJ24">
        <v>15.573399999999999</v>
      </c>
      <c r="CK24">
        <v>500.01100000000002</v>
      </c>
      <c r="CL24">
        <v>99.135000000000005</v>
      </c>
      <c r="CM24">
        <v>9.9906099999999998E-2</v>
      </c>
      <c r="CN24">
        <v>25.328199999999999</v>
      </c>
      <c r="CO24">
        <v>27.0593</v>
      </c>
      <c r="CP24">
        <v>999.9</v>
      </c>
      <c r="CQ24">
        <v>0</v>
      </c>
      <c r="CR24">
        <v>0</v>
      </c>
      <c r="CS24">
        <v>10005</v>
      </c>
      <c r="CT24">
        <v>0</v>
      </c>
      <c r="CU24">
        <v>1517.37</v>
      </c>
      <c r="CV24">
        <v>-24.474799999999998</v>
      </c>
      <c r="CW24">
        <v>484.16399999999999</v>
      </c>
      <c r="CX24">
        <v>507.88799999999998</v>
      </c>
      <c r="CY24">
        <v>2.3126899999999999</v>
      </c>
      <c r="CZ24">
        <v>471.03199999999998</v>
      </c>
      <c r="DA24">
        <v>499.97899999999998</v>
      </c>
      <c r="DB24">
        <v>17.434100000000001</v>
      </c>
      <c r="DC24">
        <v>15.573399999999999</v>
      </c>
      <c r="DD24">
        <v>1.7731399999999999</v>
      </c>
      <c r="DE24">
        <v>1.5438700000000001</v>
      </c>
      <c r="DF24">
        <v>15.552</v>
      </c>
      <c r="DG24">
        <v>13.409700000000001</v>
      </c>
      <c r="DH24">
        <v>1750.01</v>
      </c>
      <c r="DI24">
        <v>0.97699199999999997</v>
      </c>
      <c r="DJ24">
        <v>2.3008000000000001E-2</v>
      </c>
      <c r="DK24">
        <v>0</v>
      </c>
      <c r="DL24">
        <v>749.43200000000002</v>
      </c>
      <c r="DM24">
        <v>5.0002700000000004</v>
      </c>
      <c r="DN24">
        <v>17387.7</v>
      </c>
      <c r="DO24">
        <v>14145.7</v>
      </c>
      <c r="DP24">
        <v>48.625</v>
      </c>
      <c r="DQ24">
        <v>51</v>
      </c>
      <c r="DR24">
        <v>49.686999999999998</v>
      </c>
      <c r="DS24">
        <v>50.561999999999998</v>
      </c>
      <c r="DT24">
        <v>50</v>
      </c>
      <c r="DU24">
        <v>1704.86</v>
      </c>
      <c r="DV24">
        <v>40.15</v>
      </c>
      <c r="DW24">
        <v>0</v>
      </c>
      <c r="DX24">
        <v>118.89999985694899</v>
      </c>
      <c r="DY24">
        <v>749.77870588235305</v>
      </c>
      <c r="DZ24">
        <v>-2.90122550275164</v>
      </c>
      <c r="EA24">
        <v>358.28431546995802</v>
      </c>
      <c r="EB24">
        <v>17348.7705882353</v>
      </c>
      <c r="EC24">
        <v>10</v>
      </c>
      <c r="ED24">
        <v>1565550212.5</v>
      </c>
      <c r="EE24" t="s">
        <v>389</v>
      </c>
      <c r="EF24">
        <v>51</v>
      </c>
      <c r="EG24">
        <v>4.6879999999999997</v>
      </c>
      <c r="EH24">
        <v>0.46899999999999997</v>
      </c>
      <c r="EI24">
        <v>500</v>
      </c>
      <c r="EJ24">
        <v>16</v>
      </c>
      <c r="EK24">
        <v>7.0000000000000007E-2</v>
      </c>
      <c r="EL24">
        <v>0.1</v>
      </c>
      <c r="EM24">
        <v>20.009673442523699</v>
      </c>
      <c r="EN24">
        <v>-3.0816482803429901</v>
      </c>
      <c r="EO24">
        <v>0.31430130322821198</v>
      </c>
      <c r="EP24">
        <v>0</v>
      </c>
      <c r="EQ24">
        <v>0.10978368158355201</v>
      </c>
      <c r="ER24">
        <v>-1.82325649044652E-2</v>
      </c>
      <c r="ES24">
        <v>2.26624690383051E-3</v>
      </c>
      <c r="ET24">
        <v>1</v>
      </c>
      <c r="EU24">
        <v>1</v>
      </c>
      <c r="EV24">
        <v>2</v>
      </c>
      <c r="EW24" t="s">
        <v>364</v>
      </c>
      <c r="EX24">
        <v>2.9485800000000002</v>
      </c>
      <c r="EY24">
        <v>2.7773599999999998</v>
      </c>
      <c r="EZ24">
        <v>0.105896</v>
      </c>
      <c r="FA24">
        <v>0.10772</v>
      </c>
      <c r="FB24">
        <v>8.9382199999999995E-2</v>
      </c>
      <c r="FC24">
        <v>7.8345200000000004E-2</v>
      </c>
      <c r="FD24">
        <v>21401.7</v>
      </c>
      <c r="FE24">
        <v>21541.599999999999</v>
      </c>
      <c r="FF24">
        <v>22514.1</v>
      </c>
      <c r="FG24">
        <v>26486.9</v>
      </c>
      <c r="FH24">
        <v>29307</v>
      </c>
      <c r="FI24">
        <v>38318</v>
      </c>
      <c r="FJ24">
        <v>32158.1</v>
      </c>
      <c r="FK24">
        <v>42196.2</v>
      </c>
      <c r="FL24">
        <v>1.93292</v>
      </c>
      <c r="FM24">
        <v>1.81995</v>
      </c>
      <c r="FN24">
        <v>3.0435599999999998E-3</v>
      </c>
      <c r="FO24">
        <v>0</v>
      </c>
      <c r="FP24">
        <v>27.009499999999999</v>
      </c>
      <c r="FQ24">
        <v>999.9</v>
      </c>
      <c r="FR24">
        <v>36.869999999999997</v>
      </c>
      <c r="FS24">
        <v>41.956000000000003</v>
      </c>
      <c r="FT24">
        <v>30.590199999999999</v>
      </c>
      <c r="FU24">
        <v>61.763500000000001</v>
      </c>
      <c r="FV24">
        <v>46.161900000000003</v>
      </c>
      <c r="FW24">
        <v>1</v>
      </c>
      <c r="FX24">
        <v>0.638293</v>
      </c>
      <c r="FY24">
        <v>9.2810500000000005</v>
      </c>
      <c r="FZ24">
        <v>20.023299999999999</v>
      </c>
      <c r="GA24">
        <v>5.2282200000000003</v>
      </c>
      <c r="GB24">
        <v>11.962</v>
      </c>
      <c r="GC24">
        <v>4.9716500000000003</v>
      </c>
      <c r="GD24">
        <v>3.2949999999999999</v>
      </c>
      <c r="GE24">
        <v>9999</v>
      </c>
      <c r="GF24">
        <v>9999</v>
      </c>
      <c r="GG24">
        <v>504.9</v>
      </c>
      <c r="GH24">
        <v>9999</v>
      </c>
      <c r="GI24">
        <v>1.8660000000000001</v>
      </c>
      <c r="GJ24">
        <v>1.8653999999999999</v>
      </c>
      <c r="GK24">
        <v>1.86565</v>
      </c>
      <c r="GL24">
        <v>1.8686</v>
      </c>
      <c r="GM24">
        <v>1.8628100000000001</v>
      </c>
      <c r="GN24">
        <v>1.86097</v>
      </c>
      <c r="GO24">
        <v>1.8572</v>
      </c>
      <c r="GP24">
        <v>1.8633900000000001</v>
      </c>
      <c r="GQ24" t="s">
        <v>350</v>
      </c>
      <c r="GR24" t="s">
        <v>19</v>
      </c>
      <c r="GS24" t="s">
        <v>19</v>
      </c>
      <c r="GT24" t="s">
        <v>19</v>
      </c>
      <c r="GU24" t="s">
        <v>351</v>
      </c>
      <c r="GV24" t="s">
        <v>352</v>
      </c>
      <c r="GW24" t="s">
        <v>353</v>
      </c>
      <c r="GX24" t="s">
        <v>353</v>
      </c>
      <c r="GY24" t="s">
        <v>353</v>
      </c>
      <c r="GZ24" t="s">
        <v>353</v>
      </c>
      <c r="HA24">
        <v>0</v>
      </c>
      <c r="HB24">
        <v>100</v>
      </c>
      <c r="HC24">
        <v>100</v>
      </c>
      <c r="HD24">
        <v>4.6879999999999997</v>
      </c>
      <c r="HE24">
        <v>0.46899999999999997</v>
      </c>
      <c r="HF24">
        <v>2</v>
      </c>
      <c r="HG24">
        <v>503.55799999999999</v>
      </c>
      <c r="HH24">
        <v>468.25799999999998</v>
      </c>
      <c r="HI24">
        <v>18.464600000000001</v>
      </c>
      <c r="HJ24">
        <v>34.982100000000003</v>
      </c>
      <c r="HK24">
        <v>30.000299999999999</v>
      </c>
      <c r="HL24">
        <v>34.853000000000002</v>
      </c>
      <c r="HM24">
        <v>34.835700000000003</v>
      </c>
      <c r="HN24">
        <v>25.331700000000001</v>
      </c>
      <c r="HO24">
        <v>50.878100000000003</v>
      </c>
      <c r="HP24">
        <v>0</v>
      </c>
      <c r="HQ24">
        <v>17.601099999999999</v>
      </c>
      <c r="HR24">
        <v>500</v>
      </c>
      <c r="HS24">
        <v>15.71</v>
      </c>
      <c r="HT24">
        <v>98.992999999999995</v>
      </c>
      <c r="HU24">
        <v>102.884</v>
      </c>
    </row>
    <row r="25" spans="1:229" x14ac:dyDescent="0.35">
      <c r="A25">
        <v>10</v>
      </c>
      <c r="B25">
        <v>1565550303.5</v>
      </c>
      <c r="C25">
        <v>984</v>
      </c>
      <c r="D25" t="s">
        <v>390</v>
      </c>
      <c r="E25" t="s">
        <v>391</v>
      </c>
      <c r="G25">
        <v>1565550303.5</v>
      </c>
      <c r="H25">
        <f t="shared" si="0"/>
        <v>1.6310986491890488E-3</v>
      </c>
      <c r="I25">
        <f t="shared" si="1"/>
        <v>20.149975363598845</v>
      </c>
      <c r="J25">
        <f t="shared" si="2"/>
        <v>574.83900000000006</v>
      </c>
      <c r="K25">
        <f t="shared" si="3"/>
        <v>194.7531903620434</v>
      </c>
      <c r="L25">
        <f t="shared" si="4"/>
        <v>19.326749617404751</v>
      </c>
      <c r="M25">
        <f t="shared" si="5"/>
        <v>57.04537832046001</v>
      </c>
      <c r="N25">
        <f t="shared" si="6"/>
        <v>8.9112515160551492E-2</v>
      </c>
      <c r="O25">
        <f t="shared" si="7"/>
        <v>2.2470423892187652</v>
      </c>
      <c r="P25">
        <f t="shared" si="8"/>
        <v>8.7194763058910899E-2</v>
      </c>
      <c r="Q25">
        <f t="shared" si="9"/>
        <v>5.4665591894770139E-2</v>
      </c>
      <c r="R25">
        <f t="shared" si="10"/>
        <v>281.54130480804412</v>
      </c>
      <c r="S25">
        <f t="shared" si="11"/>
        <v>26.68077295943138</v>
      </c>
      <c r="T25">
        <f t="shared" si="12"/>
        <v>26.944700000000001</v>
      </c>
      <c r="U25">
        <f t="shared" si="13"/>
        <v>3.5675513849400211</v>
      </c>
      <c r="V25">
        <f t="shared" si="14"/>
        <v>55.056237246288134</v>
      </c>
      <c r="W25">
        <f t="shared" si="15"/>
        <v>1.7610225915840001</v>
      </c>
      <c r="X25">
        <f t="shared" si="16"/>
        <v>3.1985887152190506</v>
      </c>
      <c r="Y25">
        <f t="shared" si="17"/>
        <v>1.806528793356021</v>
      </c>
      <c r="Z25">
        <f t="shared" si="18"/>
        <v>-71.931450429237046</v>
      </c>
      <c r="AA25">
        <f t="shared" si="19"/>
        <v>-223.53223194540979</v>
      </c>
      <c r="AB25">
        <f t="shared" si="20"/>
        <v>-21.259551239426283</v>
      </c>
      <c r="AC25">
        <f t="shared" si="21"/>
        <v>-35.181928806028992</v>
      </c>
      <c r="AD25">
        <v>-4.1104171438758198E-2</v>
      </c>
      <c r="AE25">
        <v>4.6143033363196799E-2</v>
      </c>
      <c r="AF25">
        <v>3.44993436083488</v>
      </c>
      <c r="AG25">
        <v>0</v>
      </c>
      <c r="AH25">
        <v>0</v>
      </c>
      <c r="AI25">
        <f t="shared" si="22"/>
        <v>1</v>
      </c>
      <c r="AJ25">
        <f t="shared" si="23"/>
        <v>0</v>
      </c>
      <c r="AK25">
        <f t="shared" si="24"/>
        <v>52748.772867262473</v>
      </c>
      <c r="AL25" t="s">
        <v>344</v>
      </c>
      <c r="AM25">
        <v>589.29941176470595</v>
      </c>
      <c r="AN25">
        <v>3530.99</v>
      </c>
      <c r="AO25">
        <f t="shared" si="25"/>
        <v>2941.6905882352939</v>
      </c>
      <c r="AP25">
        <f t="shared" si="26"/>
        <v>0.83310646256015852</v>
      </c>
      <c r="AQ25">
        <v>1.42453575549529</v>
      </c>
      <c r="AR25" t="s">
        <v>392</v>
      </c>
      <c r="AS25">
        <v>752.97888235294101</v>
      </c>
      <c r="AT25">
        <v>1097.82</v>
      </c>
      <c r="AU25">
        <f t="shared" si="27"/>
        <v>0.31411444284769718</v>
      </c>
      <c r="AV25">
        <v>0.5</v>
      </c>
      <c r="AW25">
        <f t="shared" si="28"/>
        <v>1471.1372998141542</v>
      </c>
      <c r="AX25">
        <f t="shared" si="29"/>
        <v>20.149975363598845</v>
      </c>
      <c r="AY25">
        <f t="shared" si="30"/>
        <v>231.05273664179435</v>
      </c>
      <c r="AZ25">
        <f t="shared" si="31"/>
        <v>0.51208759177278607</v>
      </c>
      <c r="BA25">
        <f t="shared" si="32"/>
        <v>1.2728546554063379E-2</v>
      </c>
      <c r="BB25">
        <f t="shared" si="33"/>
        <v>2.2163651600444521</v>
      </c>
      <c r="BC25" t="s">
        <v>393</v>
      </c>
      <c r="BD25">
        <v>535.64</v>
      </c>
      <c r="BE25">
        <f t="shared" si="34"/>
        <v>562.17999999999995</v>
      </c>
      <c r="BF25">
        <f t="shared" si="35"/>
        <v>0.61339983216595917</v>
      </c>
      <c r="BG25">
        <f t="shared" si="36"/>
        <v>0.81231575608860407</v>
      </c>
      <c r="BH25">
        <f t="shared" si="37"/>
        <v>0.67812616760267708</v>
      </c>
      <c r="BI25">
        <f t="shared" si="38"/>
        <v>0.82713321711364862</v>
      </c>
      <c r="BJ25">
        <v>8069</v>
      </c>
      <c r="BK25">
        <v>300</v>
      </c>
      <c r="BL25">
        <v>300</v>
      </c>
      <c r="BM25">
        <v>300</v>
      </c>
      <c r="BN25">
        <v>10286.6</v>
      </c>
      <c r="BO25">
        <v>1010.97</v>
      </c>
      <c r="BP25">
        <v>-7.0387899999999996E-3</v>
      </c>
      <c r="BQ25">
        <v>4.7312000000000003</v>
      </c>
      <c r="BR25" t="s">
        <v>347</v>
      </c>
      <c r="BS25" t="s">
        <v>347</v>
      </c>
      <c r="BT25" t="s">
        <v>347</v>
      </c>
      <c r="BU25" t="s">
        <v>347</v>
      </c>
      <c r="BV25" t="s">
        <v>347</v>
      </c>
      <c r="BW25" t="s">
        <v>347</v>
      </c>
      <c r="BX25" t="s">
        <v>347</v>
      </c>
      <c r="BY25" t="s">
        <v>347</v>
      </c>
      <c r="BZ25" t="s">
        <v>347</v>
      </c>
      <c r="CA25" t="s">
        <v>347</v>
      </c>
      <c r="CB25">
        <f t="shared" si="39"/>
        <v>1749.92</v>
      </c>
      <c r="CC25">
        <f t="shared" si="40"/>
        <v>1471.1372998141542</v>
      </c>
      <c r="CD25">
        <f t="shared" si="41"/>
        <v>0.84068831707401148</v>
      </c>
      <c r="CE25">
        <f t="shared" si="42"/>
        <v>0.19137663414802322</v>
      </c>
      <c r="CF25">
        <v>1565550303.5</v>
      </c>
      <c r="CG25">
        <v>574.83900000000006</v>
      </c>
      <c r="CH25">
        <v>600.14300000000003</v>
      </c>
      <c r="CI25">
        <v>17.7456</v>
      </c>
      <c r="CJ25">
        <v>15.8231</v>
      </c>
      <c r="CK25">
        <v>500.02199999999999</v>
      </c>
      <c r="CL25">
        <v>99.137100000000004</v>
      </c>
      <c r="CM25">
        <v>0.10004</v>
      </c>
      <c r="CN25">
        <v>25.099499999999999</v>
      </c>
      <c r="CO25">
        <v>26.944700000000001</v>
      </c>
      <c r="CP25">
        <v>999.9</v>
      </c>
      <c r="CQ25">
        <v>0</v>
      </c>
      <c r="CR25">
        <v>0</v>
      </c>
      <c r="CS25">
        <v>9998.75</v>
      </c>
      <c r="CT25">
        <v>0</v>
      </c>
      <c r="CU25">
        <v>1547.23</v>
      </c>
      <c r="CV25">
        <v>-25.395199999999999</v>
      </c>
      <c r="CW25">
        <v>585.13</v>
      </c>
      <c r="CX25">
        <v>609.79200000000003</v>
      </c>
      <c r="CY25">
        <v>1.9204699999999999</v>
      </c>
      <c r="CZ25">
        <v>570.05999999999995</v>
      </c>
      <c r="DA25">
        <v>600.14300000000003</v>
      </c>
      <c r="DB25">
        <v>17.2746</v>
      </c>
      <c r="DC25">
        <v>15.8231</v>
      </c>
      <c r="DD25">
        <v>1.75905</v>
      </c>
      <c r="DE25">
        <v>1.5686599999999999</v>
      </c>
      <c r="DF25">
        <v>15.4275</v>
      </c>
      <c r="DG25">
        <v>13.654299999999999</v>
      </c>
      <c r="DH25">
        <v>1749.92</v>
      </c>
      <c r="DI25">
        <v>0.97699199999999997</v>
      </c>
      <c r="DJ25">
        <v>2.3008000000000001E-2</v>
      </c>
      <c r="DK25">
        <v>0</v>
      </c>
      <c r="DL25">
        <v>752.85799999999995</v>
      </c>
      <c r="DM25">
        <v>5.0002700000000004</v>
      </c>
      <c r="DN25">
        <v>17477.400000000001</v>
      </c>
      <c r="DO25">
        <v>14145</v>
      </c>
      <c r="DP25">
        <v>48.75</v>
      </c>
      <c r="DQ25">
        <v>51.125</v>
      </c>
      <c r="DR25">
        <v>49.75</v>
      </c>
      <c r="DS25">
        <v>50.686999999999998</v>
      </c>
      <c r="DT25">
        <v>50.061999999999998</v>
      </c>
      <c r="DU25">
        <v>1704.77</v>
      </c>
      <c r="DV25">
        <v>40.15</v>
      </c>
      <c r="DW25">
        <v>0</v>
      </c>
      <c r="DX25">
        <v>115.799999952316</v>
      </c>
      <c r="DY25">
        <v>752.97888235294101</v>
      </c>
      <c r="DZ25">
        <v>0.11642161126736</v>
      </c>
      <c r="EA25">
        <v>-260.14705921981499</v>
      </c>
      <c r="EB25">
        <v>17489.829411764698</v>
      </c>
      <c r="EC25">
        <v>10</v>
      </c>
      <c r="ED25">
        <v>1565550327</v>
      </c>
      <c r="EE25" t="s">
        <v>394</v>
      </c>
      <c r="EF25">
        <v>52</v>
      </c>
      <c r="EG25">
        <v>4.7789999999999999</v>
      </c>
      <c r="EH25">
        <v>0.47099999999999997</v>
      </c>
      <c r="EI25">
        <v>600</v>
      </c>
      <c r="EJ25">
        <v>16</v>
      </c>
      <c r="EK25">
        <v>7.0000000000000007E-2</v>
      </c>
      <c r="EL25">
        <v>0.1</v>
      </c>
      <c r="EM25">
        <v>20.229829323666699</v>
      </c>
      <c r="EN25">
        <v>-0.421402767556811</v>
      </c>
      <c r="EO25">
        <v>6.5517625194783005E-2</v>
      </c>
      <c r="EP25">
        <v>0</v>
      </c>
      <c r="EQ25">
        <v>8.9470369574072506E-2</v>
      </c>
      <c r="ER25">
        <v>-2.3482022186782198E-3</v>
      </c>
      <c r="ES25">
        <v>3.04326497815049E-4</v>
      </c>
      <c r="ET25">
        <v>1</v>
      </c>
      <c r="EU25">
        <v>1</v>
      </c>
      <c r="EV25">
        <v>2</v>
      </c>
      <c r="EW25" t="s">
        <v>364</v>
      </c>
      <c r="EX25">
        <v>2.9485399999999999</v>
      </c>
      <c r="EY25">
        <v>2.7774399999999999</v>
      </c>
      <c r="EZ25">
        <v>0.121601</v>
      </c>
      <c r="FA25">
        <v>0.122742</v>
      </c>
      <c r="FB25">
        <v>8.87762E-2</v>
      </c>
      <c r="FC25">
        <v>7.9254199999999997E-2</v>
      </c>
      <c r="FD25">
        <v>21023.3</v>
      </c>
      <c r="FE25">
        <v>21176.6</v>
      </c>
      <c r="FF25">
        <v>22512</v>
      </c>
      <c r="FG25">
        <v>26485.1</v>
      </c>
      <c r="FH25">
        <v>29324.2</v>
      </c>
      <c r="FI25">
        <v>38278</v>
      </c>
      <c r="FJ25">
        <v>32155.4</v>
      </c>
      <c r="FK25">
        <v>42193.7</v>
      </c>
      <c r="FL25">
        <v>1.9315199999999999</v>
      </c>
      <c r="FM25">
        <v>1.8195699999999999</v>
      </c>
      <c r="FN25">
        <v>3.5427499999999999E-3</v>
      </c>
      <c r="FO25">
        <v>0</v>
      </c>
      <c r="FP25">
        <v>26.886700000000001</v>
      </c>
      <c r="FQ25">
        <v>999.9</v>
      </c>
      <c r="FR25">
        <v>36.765999999999998</v>
      </c>
      <c r="FS25">
        <v>41.966000000000001</v>
      </c>
      <c r="FT25">
        <v>30.519400000000001</v>
      </c>
      <c r="FU25">
        <v>61.533499999999997</v>
      </c>
      <c r="FV25">
        <v>46.137799999999999</v>
      </c>
      <c r="FW25">
        <v>1</v>
      </c>
      <c r="FX25">
        <v>0.63827999999999996</v>
      </c>
      <c r="FY25">
        <v>8.2215399999999992</v>
      </c>
      <c r="FZ25">
        <v>20.075199999999999</v>
      </c>
      <c r="GA25">
        <v>5.2285199999999996</v>
      </c>
      <c r="GB25">
        <v>11.962</v>
      </c>
      <c r="GC25">
        <v>4.9718</v>
      </c>
      <c r="GD25">
        <v>3.2949999999999999</v>
      </c>
      <c r="GE25">
        <v>9999</v>
      </c>
      <c r="GF25">
        <v>9999</v>
      </c>
      <c r="GG25">
        <v>504.9</v>
      </c>
      <c r="GH25">
        <v>9999</v>
      </c>
      <c r="GI25">
        <v>1.8660000000000001</v>
      </c>
      <c r="GJ25">
        <v>1.8654200000000001</v>
      </c>
      <c r="GK25">
        <v>1.8656600000000001</v>
      </c>
      <c r="GL25">
        <v>1.86859</v>
      </c>
      <c r="GM25">
        <v>1.8628499999999999</v>
      </c>
      <c r="GN25">
        <v>1.8609800000000001</v>
      </c>
      <c r="GO25">
        <v>1.8572500000000001</v>
      </c>
      <c r="GP25">
        <v>1.8633999999999999</v>
      </c>
      <c r="GQ25" t="s">
        <v>350</v>
      </c>
      <c r="GR25" t="s">
        <v>19</v>
      </c>
      <c r="GS25" t="s">
        <v>19</v>
      </c>
      <c r="GT25" t="s">
        <v>19</v>
      </c>
      <c r="GU25" t="s">
        <v>351</v>
      </c>
      <c r="GV25" t="s">
        <v>352</v>
      </c>
      <c r="GW25" t="s">
        <v>353</v>
      </c>
      <c r="GX25" t="s">
        <v>353</v>
      </c>
      <c r="GY25" t="s">
        <v>353</v>
      </c>
      <c r="GZ25" t="s">
        <v>353</v>
      </c>
      <c r="HA25">
        <v>0</v>
      </c>
      <c r="HB25">
        <v>100</v>
      </c>
      <c r="HC25">
        <v>100</v>
      </c>
      <c r="HD25">
        <v>4.7789999999999999</v>
      </c>
      <c r="HE25">
        <v>0.47099999999999997</v>
      </c>
      <c r="HF25">
        <v>2</v>
      </c>
      <c r="HG25">
        <v>503.029</v>
      </c>
      <c r="HH25">
        <v>468.392</v>
      </c>
      <c r="HI25">
        <v>18.826599999999999</v>
      </c>
      <c r="HJ25">
        <v>35.069400000000002</v>
      </c>
      <c r="HK25">
        <v>30.000599999999999</v>
      </c>
      <c r="HL25">
        <v>34.907200000000003</v>
      </c>
      <c r="HM25">
        <v>34.888199999999998</v>
      </c>
      <c r="HN25">
        <v>29.424700000000001</v>
      </c>
      <c r="HO25">
        <v>50.159199999999998</v>
      </c>
      <c r="HP25">
        <v>0</v>
      </c>
      <c r="HQ25">
        <v>18.8383</v>
      </c>
      <c r="HR25">
        <v>600</v>
      </c>
      <c r="HS25">
        <v>15.834300000000001</v>
      </c>
      <c r="HT25">
        <v>98.984300000000005</v>
      </c>
      <c r="HU25">
        <v>102.878</v>
      </c>
    </row>
    <row r="26" spans="1:229" x14ac:dyDescent="0.35">
      <c r="A26">
        <v>11</v>
      </c>
      <c r="B26">
        <v>1565550418</v>
      </c>
      <c r="C26">
        <v>1098.5</v>
      </c>
      <c r="D26" t="s">
        <v>395</v>
      </c>
      <c r="E26" t="s">
        <v>396</v>
      </c>
      <c r="G26">
        <v>1565550418</v>
      </c>
      <c r="H26">
        <f t="shared" si="0"/>
        <v>1.527725345391854E-3</v>
      </c>
      <c r="I26">
        <f t="shared" si="1"/>
        <v>25.500668637893931</v>
      </c>
      <c r="J26">
        <f t="shared" si="2"/>
        <v>767.98599999999999</v>
      </c>
      <c r="K26">
        <f t="shared" si="3"/>
        <v>251.23668838791679</v>
      </c>
      <c r="L26">
        <f t="shared" si="4"/>
        <v>24.931183397757234</v>
      </c>
      <c r="M26">
        <f t="shared" si="5"/>
        <v>76.210206143725202</v>
      </c>
      <c r="N26">
        <f t="shared" si="6"/>
        <v>8.2791042868577441E-2</v>
      </c>
      <c r="O26">
        <f t="shared" si="7"/>
        <v>2.2484220695623454</v>
      </c>
      <c r="P26">
        <f t="shared" si="8"/>
        <v>8.1133991405881109E-2</v>
      </c>
      <c r="Q26">
        <f t="shared" si="9"/>
        <v>5.0854861756343669E-2</v>
      </c>
      <c r="R26">
        <f t="shared" si="10"/>
        <v>281.57106680236359</v>
      </c>
      <c r="S26">
        <f t="shared" si="11"/>
        <v>26.789177412757383</v>
      </c>
      <c r="T26">
        <f t="shared" si="12"/>
        <v>27.0106</v>
      </c>
      <c r="U26">
        <f t="shared" si="13"/>
        <v>3.5813885551706033</v>
      </c>
      <c r="V26">
        <f t="shared" si="14"/>
        <v>54.878261145541593</v>
      </c>
      <c r="W26">
        <f t="shared" si="15"/>
        <v>1.7631671680479601</v>
      </c>
      <c r="X26">
        <f t="shared" si="16"/>
        <v>3.2128699620636629</v>
      </c>
      <c r="Y26">
        <f t="shared" si="17"/>
        <v>1.8182213871226431</v>
      </c>
      <c r="Z26">
        <f t="shared" si="18"/>
        <v>-67.372687731780758</v>
      </c>
      <c r="AA26">
        <f t="shared" si="19"/>
        <v>-222.59064968693855</v>
      </c>
      <c r="AB26">
        <f t="shared" si="20"/>
        <v>-21.171943617825484</v>
      </c>
      <c r="AC26">
        <f t="shared" si="21"/>
        <v>-29.564214234181208</v>
      </c>
      <c r="AD26">
        <v>-4.1141280620717098E-2</v>
      </c>
      <c r="AE26">
        <v>4.6184691670888497E-2</v>
      </c>
      <c r="AF26">
        <v>3.4524000218828301</v>
      </c>
      <c r="AG26">
        <v>0</v>
      </c>
      <c r="AH26">
        <v>0</v>
      </c>
      <c r="AI26">
        <f t="shared" si="22"/>
        <v>1</v>
      </c>
      <c r="AJ26">
        <f t="shared" si="23"/>
        <v>0</v>
      </c>
      <c r="AK26">
        <f t="shared" si="24"/>
        <v>52781.129890251636</v>
      </c>
      <c r="AL26" t="s">
        <v>344</v>
      </c>
      <c r="AM26">
        <v>589.29941176470595</v>
      </c>
      <c r="AN26">
        <v>3530.99</v>
      </c>
      <c r="AO26">
        <f t="shared" si="25"/>
        <v>2941.6905882352939</v>
      </c>
      <c r="AP26">
        <f t="shared" si="26"/>
        <v>0.83310646256015852</v>
      </c>
      <c r="AQ26">
        <v>1.42453575549529</v>
      </c>
      <c r="AR26" t="s">
        <v>397</v>
      </c>
      <c r="AS26">
        <v>769.29394117647098</v>
      </c>
      <c r="AT26">
        <v>1166.6400000000001</v>
      </c>
      <c r="AU26">
        <f t="shared" si="27"/>
        <v>0.3405901210515061</v>
      </c>
      <c r="AV26">
        <v>0.5</v>
      </c>
      <c r="AW26">
        <f t="shared" si="28"/>
        <v>1471.2965998142206</v>
      </c>
      <c r="AX26">
        <f t="shared" si="29"/>
        <v>25.500668637893931</v>
      </c>
      <c r="AY26">
        <f t="shared" si="30"/>
        <v>250.55454351669735</v>
      </c>
      <c r="AZ26">
        <f t="shared" si="31"/>
        <v>0.53858945347322229</v>
      </c>
      <c r="BA26">
        <f t="shared" si="32"/>
        <v>1.6363888073579937E-2</v>
      </c>
      <c r="BB26">
        <f t="shared" si="33"/>
        <v>2.0266320373037092</v>
      </c>
      <c r="BC26" t="s">
        <v>398</v>
      </c>
      <c r="BD26">
        <v>538.29999999999995</v>
      </c>
      <c r="BE26">
        <f t="shared" si="34"/>
        <v>628.34000000000015</v>
      </c>
      <c r="BF26">
        <f t="shared" si="35"/>
        <v>0.63237428593361722</v>
      </c>
      <c r="BG26">
        <f t="shared" si="36"/>
        <v>0.79004173502768404</v>
      </c>
      <c r="BH26">
        <f t="shared" si="37"/>
        <v>0.6882351023302582</v>
      </c>
      <c r="BI26">
        <f t="shared" si="38"/>
        <v>0.80373850650906209</v>
      </c>
      <c r="BJ26">
        <v>8071</v>
      </c>
      <c r="BK26">
        <v>300</v>
      </c>
      <c r="BL26">
        <v>300</v>
      </c>
      <c r="BM26">
        <v>300</v>
      </c>
      <c r="BN26">
        <v>10286.1</v>
      </c>
      <c r="BO26">
        <v>1061.28</v>
      </c>
      <c r="BP26">
        <v>-7.0386099999999998E-3</v>
      </c>
      <c r="BQ26">
        <v>4.5881299999999996</v>
      </c>
      <c r="BR26" t="s">
        <v>347</v>
      </c>
      <c r="BS26" t="s">
        <v>347</v>
      </c>
      <c r="BT26" t="s">
        <v>347</v>
      </c>
      <c r="BU26" t="s">
        <v>347</v>
      </c>
      <c r="BV26" t="s">
        <v>347</v>
      </c>
      <c r="BW26" t="s">
        <v>347</v>
      </c>
      <c r="BX26" t="s">
        <v>347</v>
      </c>
      <c r="BY26" t="s">
        <v>347</v>
      </c>
      <c r="BZ26" t="s">
        <v>347</v>
      </c>
      <c r="CA26" t="s">
        <v>347</v>
      </c>
      <c r="CB26">
        <f t="shared" si="39"/>
        <v>1750.11</v>
      </c>
      <c r="CC26">
        <f t="shared" si="40"/>
        <v>1471.2965998142206</v>
      </c>
      <c r="CD26">
        <f t="shared" si="41"/>
        <v>0.84068807092938203</v>
      </c>
      <c r="CE26">
        <f t="shared" si="42"/>
        <v>0.19137614185876411</v>
      </c>
      <c r="CF26">
        <v>1565550418</v>
      </c>
      <c r="CG26">
        <v>767.98599999999999</v>
      </c>
      <c r="CH26">
        <v>799.99300000000005</v>
      </c>
      <c r="CI26">
        <v>17.767800000000001</v>
      </c>
      <c r="CJ26">
        <v>15.9672</v>
      </c>
      <c r="CK26">
        <v>500.02699999999999</v>
      </c>
      <c r="CL26">
        <v>99.133899999999997</v>
      </c>
      <c r="CM26">
        <v>9.9948200000000001E-2</v>
      </c>
      <c r="CN26">
        <v>25.174299999999999</v>
      </c>
      <c r="CO26">
        <v>27.0106</v>
      </c>
      <c r="CP26">
        <v>999.9</v>
      </c>
      <c r="CQ26">
        <v>0</v>
      </c>
      <c r="CR26">
        <v>0</v>
      </c>
      <c r="CS26">
        <v>10008.1</v>
      </c>
      <c r="CT26">
        <v>0</v>
      </c>
      <c r="CU26">
        <v>1551.81</v>
      </c>
      <c r="CV26">
        <v>-32.101999999999997</v>
      </c>
      <c r="CW26">
        <v>781.779</v>
      </c>
      <c r="CX26">
        <v>812.97400000000005</v>
      </c>
      <c r="CY26">
        <v>1.79759</v>
      </c>
      <c r="CZ26">
        <v>763.11199999999997</v>
      </c>
      <c r="DA26">
        <v>799.99300000000005</v>
      </c>
      <c r="DB26">
        <v>17.293800000000001</v>
      </c>
      <c r="DC26">
        <v>15.9672</v>
      </c>
      <c r="DD26">
        <v>1.76109</v>
      </c>
      <c r="DE26">
        <v>1.5828899999999999</v>
      </c>
      <c r="DF26">
        <v>15.445600000000001</v>
      </c>
      <c r="DG26">
        <v>13.793200000000001</v>
      </c>
      <c r="DH26">
        <v>1750.11</v>
      </c>
      <c r="DI26">
        <v>0.97699599999999998</v>
      </c>
      <c r="DJ26">
        <v>2.30041E-2</v>
      </c>
      <c r="DK26">
        <v>0</v>
      </c>
      <c r="DL26">
        <v>769.54499999999996</v>
      </c>
      <c r="DM26">
        <v>5.0002700000000004</v>
      </c>
      <c r="DN26">
        <v>17771.900000000001</v>
      </c>
      <c r="DO26">
        <v>14146.5</v>
      </c>
      <c r="DP26">
        <v>48.875</v>
      </c>
      <c r="DQ26">
        <v>51.311999999999998</v>
      </c>
      <c r="DR26">
        <v>49.936999999999998</v>
      </c>
      <c r="DS26">
        <v>50.875</v>
      </c>
      <c r="DT26">
        <v>50.125</v>
      </c>
      <c r="DU26">
        <v>1704.97</v>
      </c>
      <c r="DV26">
        <v>40.14</v>
      </c>
      <c r="DW26">
        <v>0</v>
      </c>
      <c r="DX26">
        <v>113.799999952316</v>
      </c>
      <c r="DY26">
        <v>769.29394117647098</v>
      </c>
      <c r="DZ26">
        <v>8.21078092938263E-2</v>
      </c>
      <c r="EA26">
        <v>-480.00000026428597</v>
      </c>
      <c r="EB26">
        <v>17800.1529411765</v>
      </c>
      <c r="EC26">
        <v>10</v>
      </c>
      <c r="ED26">
        <v>1565550458.5</v>
      </c>
      <c r="EE26" t="s">
        <v>399</v>
      </c>
      <c r="EF26">
        <v>53</v>
      </c>
      <c r="EG26">
        <v>4.8739999999999997</v>
      </c>
      <c r="EH26">
        <v>0.47399999999999998</v>
      </c>
      <c r="EI26">
        <v>800</v>
      </c>
      <c r="EJ26">
        <v>16</v>
      </c>
      <c r="EK26">
        <v>0.11</v>
      </c>
      <c r="EL26">
        <v>0.12</v>
      </c>
      <c r="EM26">
        <v>25.784970534761602</v>
      </c>
      <c r="EN26">
        <v>-1.1843057984013901</v>
      </c>
      <c r="EO26">
        <v>0.14457880085170499</v>
      </c>
      <c r="EP26">
        <v>0</v>
      </c>
      <c r="EQ26">
        <v>8.3353349277363098E-2</v>
      </c>
      <c r="ER26">
        <v>-5.3276887297291596E-3</v>
      </c>
      <c r="ES26">
        <v>5.5714113057750902E-4</v>
      </c>
      <c r="ET26">
        <v>1</v>
      </c>
      <c r="EU26">
        <v>1</v>
      </c>
      <c r="EV26">
        <v>2</v>
      </c>
      <c r="EW26" t="s">
        <v>364</v>
      </c>
      <c r="EX26">
        <v>2.9485000000000001</v>
      </c>
      <c r="EY26">
        <v>2.7774299999999998</v>
      </c>
      <c r="EZ26">
        <v>0.14865</v>
      </c>
      <c r="FA26">
        <v>0.149279</v>
      </c>
      <c r="FB26">
        <v>8.8833599999999999E-2</v>
      </c>
      <c r="FC26">
        <v>7.9768000000000006E-2</v>
      </c>
      <c r="FD26">
        <v>20372.599999999999</v>
      </c>
      <c r="FE26">
        <v>20531.3</v>
      </c>
      <c r="FF26">
        <v>22509.599999999999</v>
      </c>
      <c r="FG26">
        <v>26481.1</v>
      </c>
      <c r="FH26">
        <v>29319.1</v>
      </c>
      <c r="FI26">
        <v>38252.199999999997</v>
      </c>
      <c r="FJ26">
        <v>32151.5</v>
      </c>
      <c r="FK26">
        <v>42188.6</v>
      </c>
      <c r="FL26">
        <v>1.9308000000000001</v>
      </c>
      <c r="FM26">
        <v>1.8197000000000001</v>
      </c>
      <c r="FN26">
        <v>1.9371499999999999E-3</v>
      </c>
      <c r="FO26">
        <v>0</v>
      </c>
      <c r="FP26">
        <v>26.978899999999999</v>
      </c>
      <c r="FQ26">
        <v>999.9</v>
      </c>
      <c r="FR26">
        <v>36.741999999999997</v>
      </c>
      <c r="FS26">
        <v>42.017000000000003</v>
      </c>
      <c r="FT26">
        <v>30.581499999999998</v>
      </c>
      <c r="FU26">
        <v>61.463500000000003</v>
      </c>
      <c r="FV26">
        <v>46.069699999999997</v>
      </c>
      <c r="FW26">
        <v>1</v>
      </c>
      <c r="FX26">
        <v>0.64850600000000003</v>
      </c>
      <c r="FY26">
        <v>9.2810500000000005</v>
      </c>
      <c r="FZ26">
        <v>20.023</v>
      </c>
      <c r="GA26">
        <v>5.2262700000000004</v>
      </c>
      <c r="GB26">
        <v>11.962</v>
      </c>
      <c r="GC26">
        <v>4.9717500000000001</v>
      </c>
      <c r="GD26">
        <v>3.2949999999999999</v>
      </c>
      <c r="GE26">
        <v>9999</v>
      </c>
      <c r="GF26">
        <v>9999</v>
      </c>
      <c r="GG26">
        <v>505</v>
      </c>
      <c r="GH26">
        <v>9999</v>
      </c>
      <c r="GI26">
        <v>1.8660000000000001</v>
      </c>
      <c r="GJ26">
        <v>1.8654200000000001</v>
      </c>
      <c r="GK26">
        <v>1.8656600000000001</v>
      </c>
      <c r="GL26">
        <v>1.86859</v>
      </c>
      <c r="GM26">
        <v>1.8628400000000001</v>
      </c>
      <c r="GN26">
        <v>1.8609899999999999</v>
      </c>
      <c r="GO26">
        <v>1.8572500000000001</v>
      </c>
      <c r="GP26">
        <v>1.8633999999999999</v>
      </c>
      <c r="GQ26" t="s">
        <v>350</v>
      </c>
      <c r="GR26" t="s">
        <v>19</v>
      </c>
      <c r="GS26" t="s">
        <v>19</v>
      </c>
      <c r="GT26" t="s">
        <v>19</v>
      </c>
      <c r="GU26" t="s">
        <v>351</v>
      </c>
      <c r="GV26" t="s">
        <v>352</v>
      </c>
      <c r="GW26" t="s">
        <v>353</v>
      </c>
      <c r="GX26" t="s">
        <v>353</v>
      </c>
      <c r="GY26" t="s">
        <v>353</v>
      </c>
      <c r="GZ26" t="s">
        <v>353</v>
      </c>
      <c r="HA26">
        <v>0</v>
      </c>
      <c r="HB26">
        <v>100</v>
      </c>
      <c r="HC26">
        <v>100</v>
      </c>
      <c r="HD26">
        <v>4.8739999999999997</v>
      </c>
      <c r="HE26">
        <v>0.47399999999999998</v>
      </c>
      <c r="HF26">
        <v>2</v>
      </c>
      <c r="HG26">
        <v>502.96699999999998</v>
      </c>
      <c r="HH26">
        <v>468.875</v>
      </c>
      <c r="HI26">
        <v>18.498200000000001</v>
      </c>
      <c r="HJ26">
        <v>35.132399999999997</v>
      </c>
      <c r="HK26">
        <v>30.000299999999999</v>
      </c>
      <c r="HL26">
        <v>34.962499999999999</v>
      </c>
      <c r="HM26">
        <v>34.942799999999998</v>
      </c>
      <c r="HN26">
        <v>37.279699999999998</v>
      </c>
      <c r="HO26">
        <v>49.74</v>
      </c>
      <c r="HP26">
        <v>0</v>
      </c>
      <c r="HQ26">
        <v>18.130199999999999</v>
      </c>
      <c r="HR26">
        <v>800</v>
      </c>
      <c r="HS26">
        <v>16.046099999999999</v>
      </c>
      <c r="HT26">
        <v>98.972899999999996</v>
      </c>
      <c r="HU26">
        <v>102.864</v>
      </c>
    </row>
    <row r="27" spans="1:229" x14ac:dyDescent="0.35">
      <c r="A27">
        <v>12</v>
      </c>
      <c r="B27">
        <v>1565550549.5</v>
      </c>
      <c r="C27">
        <v>1230</v>
      </c>
      <c r="D27" t="s">
        <v>400</v>
      </c>
      <c r="E27" t="s">
        <v>401</v>
      </c>
      <c r="G27">
        <v>1565550549.5</v>
      </c>
      <c r="H27">
        <f t="shared" si="0"/>
        <v>1.344622884795613E-3</v>
      </c>
      <c r="I27">
        <f t="shared" si="1"/>
        <v>33.239750853321404</v>
      </c>
      <c r="J27">
        <f t="shared" si="2"/>
        <v>1158.1959999999999</v>
      </c>
      <c r="K27">
        <f t="shared" si="3"/>
        <v>390.06247499517974</v>
      </c>
      <c r="L27">
        <f t="shared" si="4"/>
        <v>38.706830472899497</v>
      </c>
      <c r="M27">
        <f t="shared" si="5"/>
        <v>114.93055369385199</v>
      </c>
      <c r="N27">
        <f t="shared" si="6"/>
        <v>7.2499813273673511E-2</v>
      </c>
      <c r="O27">
        <f t="shared" si="7"/>
        <v>2.2479236890757277</v>
      </c>
      <c r="P27">
        <f t="shared" si="8"/>
        <v>7.1225419409134447E-2</v>
      </c>
      <c r="Q27">
        <f t="shared" si="9"/>
        <v>4.4628520466718238E-2</v>
      </c>
      <c r="R27">
        <f t="shared" si="10"/>
        <v>281.55989486863422</v>
      </c>
      <c r="S27">
        <f t="shared" si="11"/>
        <v>26.792594046775079</v>
      </c>
      <c r="T27">
        <f t="shared" si="12"/>
        <v>26.998999999999999</v>
      </c>
      <c r="U27">
        <f t="shared" si="13"/>
        <v>3.5789494852572084</v>
      </c>
      <c r="V27">
        <f t="shared" si="14"/>
        <v>54.842293785580878</v>
      </c>
      <c r="W27">
        <f t="shared" si="15"/>
        <v>1.7559567809198</v>
      </c>
      <c r="X27">
        <f t="shared" si="16"/>
        <v>3.2018295729663224</v>
      </c>
      <c r="Y27">
        <f t="shared" si="17"/>
        <v>1.8229927043374083</v>
      </c>
      <c r="Z27">
        <f t="shared" si="18"/>
        <v>-59.297869219486536</v>
      </c>
      <c r="AA27">
        <f t="shared" si="19"/>
        <v>-228.14029157466089</v>
      </c>
      <c r="AB27">
        <f t="shared" si="20"/>
        <v>-21.697071627920067</v>
      </c>
      <c r="AC27">
        <f t="shared" si="21"/>
        <v>-27.575337553433286</v>
      </c>
      <c r="AD27">
        <v>-4.1127873340122703E-2</v>
      </c>
      <c r="AE27">
        <v>4.6169640823879102E-2</v>
      </c>
      <c r="AF27">
        <v>3.4515092843768702</v>
      </c>
      <c r="AG27">
        <v>0</v>
      </c>
      <c r="AH27">
        <v>0</v>
      </c>
      <c r="AI27">
        <f t="shared" si="22"/>
        <v>1</v>
      </c>
      <c r="AJ27">
        <f t="shared" si="23"/>
        <v>0</v>
      </c>
      <c r="AK27">
        <f t="shared" si="24"/>
        <v>52774.830269709317</v>
      </c>
      <c r="AL27" t="s">
        <v>344</v>
      </c>
      <c r="AM27">
        <v>589.29941176470595</v>
      </c>
      <c r="AN27">
        <v>3530.99</v>
      </c>
      <c r="AO27">
        <f t="shared" si="25"/>
        <v>2941.6905882352939</v>
      </c>
      <c r="AP27">
        <f t="shared" si="26"/>
        <v>0.83310646256015852</v>
      </c>
      <c r="AQ27">
        <v>1.42453575549529</v>
      </c>
      <c r="AR27" t="s">
        <v>402</v>
      </c>
      <c r="AS27">
        <v>801.81035294117601</v>
      </c>
      <c r="AT27">
        <v>1259.07</v>
      </c>
      <c r="AU27">
        <f t="shared" si="27"/>
        <v>0.36317253771341063</v>
      </c>
      <c r="AV27">
        <v>0.5</v>
      </c>
      <c r="AW27">
        <f t="shared" si="28"/>
        <v>1471.2377998142133</v>
      </c>
      <c r="AX27">
        <f t="shared" si="29"/>
        <v>33.239750853321404</v>
      </c>
      <c r="AY27">
        <f t="shared" si="30"/>
        <v>267.15658266921133</v>
      </c>
      <c r="AZ27">
        <f t="shared" si="31"/>
        <v>0.56841160539128088</v>
      </c>
      <c r="BA27">
        <f t="shared" si="32"/>
        <v>2.1624794511019028E-2</v>
      </c>
      <c r="BB27">
        <f t="shared" si="33"/>
        <v>1.804442961868681</v>
      </c>
      <c r="BC27" t="s">
        <v>403</v>
      </c>
      <c r="BD27">
        <v>543.4</v>
      </c>
      <c r="BE27">
        <f t="shared" si="34"/>
        <v>715.67</v>
      </c>
      <c r="BF27">
        <f t="shared" si="35"/>
        <v>0.6389252687115905</v>
      </c>
      <c r="BG27">
        <f t="shared" si="36"/>
        <v>0.76045240478111131</v>
      </c>
      <c r="BH27">
        <f t="shared" si="37"/>
        <v>0.68271084919331537</v>
      </c>
      <c r="BI27">
        <f t="shared" si="38"/>
        <v>0.77231779884876128</v>
      </c>
      <c r="BJ27">
        <v>8073</v>
      </c>
      <c r="BK27">
        <v>300</v>
      </c>
      <c r="BL27">
        <v>300</v>
      </c>
      <c r="BM27">
        <v>300</v>
      </c>
      <c r="BN27">
        <v>10285.9</v>
      </c>
      <c r="BO27">
        <v>1143.6500000000001</v>
      </c>
      <c r="BP27">
        <v>-7.0386299999999997E-3</v>
      </c>
      <c r="BQ27">
        <v>4.7309599999999996</v>
      </c>
      <c r="BR27" t="s">
        <v>347</v>
      </c>
      <c r="BS27" t="s">
        <v>347</v>
      </c>
      <c r="BT27" t="s">
        <v>347</v>
      </c>
      <c r="BU27" t="s">
        <v>347</v>
      </c>
      <c r="BV27" t="s">
        <v>347</v>
      </c>
      <c r="BW27" t="s">
        <v>347</v>
      </c>
      <c r="BX27" t="s">
        <v>347</v>
      </c>
      <c r="BY27" t="s">
        <v>347</v>
      </c>
      <c r="BZ27" t="s">
        <v>347</v>
      </c>
      <c r="CA27" t="s">
        <v>347</v>
      </c>
      <c r="CB27">
        <f t="shared" si="39"/>
        <v>1750.04</v>
      </c>
      <c r="CC27">
        <f t="shared" si="40"/>
        <v>1471.2377998142133</v>
      </c>
      <c r="CD27">
        <f t="shared" si="41"/>
        <v>0.84068809845158587</v>
      </c>
      <c r="CE27">
        <f t="shared" si="42"/>
        <v>0.19137619690317184</v>
      </c>
      <c r="CF27">
        <v>1565550549.5</v>
      </c>
      <c r="CG27">
        <v>1158.1959999999999</v>
      </c>
      <c r="CH27">
        <v>1199.95</v>
      </c>
      <c r="CI27">
        <v>17.695399999999999</v>
      </c>
      <c r="CJ27">
        <v>16.110499999999998</v>
      </c>
      <c r="CK27">
        <v>500.03</v>
      </c>
      <c r="CL27">
        <v>99.132300000000001</v>
      </c>
      <c r="CM27">
        <v>0.100087</v>
      </c>
      <c r="CN27">
        <v>25.116499999999998</v>
      </c>
      <c r="CO27">
        <v>26.998999999999999</v>
      </c>
      <c r="CP27">
        <v>999.9</v>
      </c>
      <c r="CQ27">
        <v>0</v>
      </c>
      <c r="CR27">
        <v>0</v>
      </c>
      <c r="CS27">
        <v>10005</v>
      </c>
      <c r="CT27">
        <v>0</v>
      </c>
      <c r="CU27">
        <v>1444.83</v>
      </c>
      <c r="CV27">
        <v>-41.4634</v>
      </c>
      <c r="CW27">
        <v>1179.3599999999999</v>
      </c>
      <c r="CX27">
        <v>1219.5999999999999</v>
      </c>
      <c r="CY27">
        <v>1.5868599999999999</v>
      </c>
      <c r="CZ27">
        <v>1153.6199999999999</v>
      </c>
      <c r="DA27">
        <v>1199.95</v>
      </c>
      <c r="DB27">
        <v>17.223400000000002</v>
      </c>
      <c r="DC27">
        <v>16.110499999999998</v>
      </c>
      <c r="DD27">
        <v>1.7543800000000001</v>
      </c>
      <c r="DE27">
        <v>1.59707</v>
      </c>
      <c r="DF27">
        <v>15.386200000000001</v>
      </c>
      <c r="DG27">
        <v>13.9306</v>
      </c>
      <c r="DH27">
        <v>1750.04</v>
      </c>
      <c r="DI27">
        <v>0.97699599999999998</v>
      </c>
      <c r="DJ27">
        <v>2.30041E-2</v>
      </c>
      <c r="DK27">
        <v>0</v>
      </c>
      <c r="DL27">
        <v>800.89300000000003</v>
      </c>
      <c r="DM27">
        <v>5.0002700000000004</v>
      </c>
      <c r="DN27">
        <v>18175.3</v>
      </c>
      <c r="DO27">
        <v>14146</v>
      </c>
      <c r="DP27">
        <v>48.936999999999998</v>
      </c>
      <c r="DQ27">
        <v>51.436999999999998</v>
      </c>
      <c r="DR27">
        <v>50.061999999999998</v>
      </c>
      <c r="DS27">
        <v>51</v>
      </c>
      <c r="DT27">
        <v>50.25</v>
      </c>
      <c r="DU27">
        <v>1704.9</v>
      </c>
      <c r="DV27">
        <v>40.14</v>
      </c>
      <c r="DW27">
        <v>0</v>
      </c>
      <c r="DX27">
        <v>131.200000047684</v>
      </c>
      <c r="DY27">
        <v>801.81035294117601</v>
      </c>
      <c r="DZ27">
        <v>-9.6872549338109604</v>
      </c>
      <c r="EA27">
        <v>818.30882320141905</v>
      </c>
      <c r="EB27">
        <v>18133.082352941201</v>
      </c>
      <c r="EC27">
        <v>10</v>
      </c>
      <c r="ED27">
        <v>1565550583.5</v>
      </c>
      <c r="EE27" t="s">
        <v>404</v>
      </c>
      <c r="EF27">
        <v>54</v>
      </c>
      <c r="EG27">
        <v>4.58</v>
      </c>
      <c r="EH27">
        <v>0.47199999999999998</v>
      </c>
      <c r="EI27">
        <v>1200</v>
      </c>
      <c r="EJ27">
        <v>16</v>
      </c>
      <c r="EK27">
        <v>0.09</v>
      </c>
      <c r="EL27">
        <v>0.15</v>
      </c>
      <c r="EM27">
        <v>33.550662641743202</v>
      </c>
      <c r="EN27">
        <v>-1.7597633402044099</v>
      </c>
      <c r="EO27">
        <v>0.24690404978217001</v>
      </c>
      <c r="EP27">
        <v>0</v>
      </c>
      <c r="EQ27">
        <v>7.3417194284396095E-2</v>
      </c>
      <c r="ER27">
        <v>-5.0405132908412503E-3</v>
      </c>
      <c r="ES27">
        <v>5.2426136916313402E-4</v>
      </c>
      <c r="ET27">
        <v>1</v>
      </c>
      <c r="EU27">
        <v>1</v>
      </c>
      <c r="EV27">
        <v>2</v>
      </c>
      <c r="EW27" t="s">
        <v>364</v>
      </c>
      <c r="EX27">
        <v>2.9484400000000002</v>
      </c>
      <c r="EY27">
        <v>2.7775400000000001</v>
      </c>
      <c r="EZ27">
        <v>0.19392799999999999</v>
      </c>
      <c r="FA27">
        <v>0.193383</v>
      </c>
      <c r="FB27">
        <v>8.8550599999999993E-2</v>
      </c>
      <c r="FC27">
        <v>8.0272499999999997E-2</v>
      </c>
      <c r="FD27">
        <v>19282</v>
      </c>
      <c r="FE27">
        <v>19458.8</v>
      </c>
      <c r="FF27">
        <v>22505</v>
      </c>
      <c r="FG27">
        <v>26475.4</v>
      </c>
      <c r="FH27">
        <v>29323.4</v>
      </c>
      <c r="FI27">
        <v>38224.9</v>
      </c>
      <c r="FJ27">
        <v>32145.7</v>
      </c>
      <c r="FK27">
        <v>42181.1</v>
      </c>
      <c r="FL27">
        <v>1.9295</v>
      </c>
      <c r="FM27">
        <v>1.8198799999999999</v>
      </c>
      <c r="FN27">
        <v>7.7784100000000004E-3</v>
      </c>
      <c r="FO27">
        <v>0</v>
      </c>
      <c r="FP27">
        <v>26.8718</v>
      </c>
      <c r="FQ27">
        <v>999.9</v>
      </c>
      <c r="FR27">
        <v>36.716999999999999</v>
      </c>
      <c r="FS27">
        <v>42.046999999999997</v>
      </c>
      <c r="FT27">
        <v>30.608699999999999</v>
      </c>
      <c r="FU27">
        <v>61.6235</v>
      </c>
      <c r="FV27">
        <v>46.085700000000003</v>
      </c>
      <c r="FW27">
        <v>1</v>
      </c>
      <c r="FX27">
        <v>0.65667900000000001</v>
      </c>
      <c r="FY27">
        <v>9.2810500000000005</v>
      </c>
      <c r="FZ27">
        <v>20.0227</v>
      </c>
      <c r="GA27">
        <v>5.2264200000000001</v>
      </c>
      <c r="GB27">
        <v>11.962</v>
      </c>
      <c r="GC27">
        <v>4.9717500000000001</v>
      </c>
      <c r="GD27">
        <v>3.2949999999999999</v>
      </c>
      <c r="GE27">
        <v>9999</v>
      </c>
      <c r="GF27">
        <v>9999</v>
      </c>
      <c r="GG27">
        <v>505</v>
      </c>
      <c r="GH27">
        <v>9999</v>
      </c>
      <c r="GI27">
        <v>1.8660000000000001</v>
      </c>
      <c r="GJ27">
        <v>1.8654200000000001</v>
      </c>
      <c r="GK27">
        <v>1.86564</v>
      </c>
      <c r="GL27">
        <v>1.8686</v>
      </c>
      <c r="GM27">
        <v>1.8628499999999999</v>
      </c>
      <c r="GN27">
        <v>1.8610199999999999</v>
      </c>
      <c r="GO27">
        <v>1.8572500000000001</v>
      </c>
      <c r="GP27">
        <v>1.8633999999999999</v>
      </c>
      <c r="GQ27" t="s">
        <v>350</v>
      </c>
      <c r="GR27" t="s">
        <v>19</v>
      </c>
      <c r="GS27" t="s">
        <v>19</v>
      </c>
      <c r="GT27" t="s">
        <v>19</v>
      </c>
      <c r="GU27" t="s">
        <v>351</v>
      </c>
      <c r="GV27" t="s">
        <v>352</v>
      </c>
      <c r="GW27" t="s">
        <v>353</v>
      </c>
      <c r="GX27" t="s">
        <v>353</v>
      </c>
      <c r="GY27" t="s">
        <v>353</v>
      </c>
      <c r="GZ27" t="s">
        <v>353</v>
      </c>
      <c r="HA27">
        <v>0</v>
      </c>
      <c r="HB27">
        <v>100</v>
      </c>
      <c r="HC27">
        <v>100</v>
      </c>
      <c r="HD27">
        <v>4.58</v>
      </c>
      <c r="HE27">
        <v>0.47199999999999998</v>
      </c>
      <c r="HF27">
        <v>2</v>
      </c>
      <c r="HG27">
        <v>502.74700000000001</v>
      </c>
      <c r="HH27">
        <v>469.62</v>
      </c>
      <c r="HI27">
        <v>18.4068</v>
      </c>
      <c r="HJ27">
        <v>35.222099999999998</v>
      </c>
      <c r="HK27">
        <v>30.000399999999999</v>
      </c>
      <c r="HL27">
        <v>35.048200000000001</v>
      </c>
      <c r="HM27">
        <v>35.028700000000001</v>
      </c>
      <c r="HN27">
        <v>51.947699999999998</v>
      </c>
      <c r="HO27">
        <v>49.220199999999998</v>
      </c>
      <c r="HP27">
        <v>0</v>
      </c>
      <c r="HQ27">
        <v>18.075900000000001</v>
      </c>
      <c r="HR27">
        <v>1200</v>
      </c>
      <c r="HS27">
        <v>16.157299999999999</v>
      </c>
      <c r="HT27">
        <v>98.953999999999994</v>
      </c>
      <c r="HU27">
        <v>102.845</v>
      </c>
    </row>
    <row r="28" spans="1:229" x14ac:dyDescent="0.35">
      <c r="A28">
        <v>13</v>
      </c>
      <c r="B28">
        <v>1565550674.5</v>
      </c>
      <c r="C28">
        <v>1355</v>
      </c>
      <c r="D28" t="s">
        <v>405</v>
      </c>
      <c r="E28" t="s">
        <v>406</v>
      </c>
      <c r="G28">
        <v>1565550674.5</v>
      </c>
      <c r="H28">
        <f t="shared" si="0"/>
        <v>1.0779314807683113E-3</v>
      </c>
      <c r="I28">
        <f t="shared" si="1"/>
        <v>35.888826969962935</v>
      </c>
      <c r="J28">
        <f t="shared" si="2"/>
        <v>1555.193</v>
      </c>
      <c r="K28">
        <f t="shared" si="3"/>
        <v>516.88053169304078</v>
      </c>
      <c r="L28">
        <f t="shared" si="4"/>
        <v>51.290897158286562</v>
      </c>
      <c r="M28">
        <f t="shared" si="5"/>
        <v>154.32433479939701</v>
      </c>
      <c r="N28">
        <f t="shared" si="6"/>
        <v>5.7719865052921274E-2</v>
      </c>
      <c r="O28">
        <f t="shared" si="7"/>
        <v>2.2485836696100474</v>
      </c>
      <c r="P28">
        <f t="shared" si="8"/>
        <v>5.690920990041997E-2</v>
      </c>
      <c r="Q28">
        <f t="shared" si="9"/>
        <v>3.56401418114939E-2</v>
      </c>
      <c r="R28">
        <f t="shared" si="10"/>
        <v>281.58280056176659</v>
      </c>
      <c r="S28">
        <f t="shared" si="11"/>
        <v>26.871898484298281</v>
      </c>
      <c r="T28">
        <f t="shared" si="12"/>
        <v>27.024899999999999</v>
      </c>
      <c r="U28">
        <f t="shared" si="13"/>
        <v>3.5843973364380251</v>
      </c>
      <c r="V28">
        <f t="shared" si="14"/>
        <v>54.854556526650036</v>
      </c>
      <c r="W28">
        <f t="shared" si="15"/>
        <v>1.7553975938471</v>
      </c>
      <c r="X28">
        <f t="shared" si="16"/>
        <v>3.2000944041800317</v>
      </c>
      <c r="Y28">
        <f t="shared" si="17"/>
        <v>1.828999742590925</v>
      </c>
      <c r="Z28">
        <f t="shared" si="18"/>
        <v>-47.536778301882528</v>
      </c>
      <c r="AA28">
        <f t="shared" si="19"/>
        <v>-232.45017006136243</v>
      </c>
      <c r="AB28">
        <f t="shared" si="20"/>
        <v>-22.102340583208672</v>
      </c>
      <c r="AC28">
        <f t="shared" si="21"/>
        <v>-20.506488384687032</v>
      </c>
      <c r="AD28">
        <v>-4.1145628511909497E-2</v>
      </c>
      <c r="AE28">
        <v>4.6189572559648201E-2</v>
      </c>
      <c r="AF28">
        <v>3.4526888606809001</v>
      </c>
      <c r="AG28">
        <v>0</v>
      </c>
      <c r="AH28">
        <v>0</v>
      </c>
      <c r="AI28">
        <f t="shared" si="22"/>
        <v>1</v>
      </c>
      <c r="AJ28">
        <f t="shared" si="23"/>
        <v>0</v>
      </c>
      <c r="AK28">
        <f t="shared" si="24"/>
        <v>52798.272332243658</v>
      </c>
      <c r="AL28" t="s">
        <v>344</v>
      </c>
      <c r="AM28">
        <v>589.29941176470595</v>
      </c>
      <c r="AN28">
        <v>3530.99</v>
      </c>
      <c r="AO28">
        <f t="shared" si="25"/>
        <v>2941.6905882352939</v>
      </c>
      <c r="AP28">
        <f t="shared" si="26"/>
        <v>0.83310646256015852</v>
      </c>
      <c r="AQ28">
        <v>1.42453575549529</v>
      </c>
      <c r="AR28" t="s">
        <v>407</v>
      </c>
      <c r="AS28">
        <v>807.21829411764702</v>
      </c>
      <c r="AT28">
        <v>1280.3699999999999</v>
      </c>
      <c r="AU28">
        <f t="shared" si="27"/>
        <v>0.36954294921183162</v>
      </c>
      <c r="AV28">
        <v>0.5</v>
      </c>
      <c r="AW28">
        <f t="shared" si="28"/>
        <v>1471.3556998141819</v>
      </c>
      <c r="AX28">
        <f t="shared" si="29"/>
        <v>35.888826969962935</v>
      </c>
      <c r="AY28">
        <f t="shared" si="30"/>
        <v>271.86456232448558</v>
      </c>
      <c r="AZ28">
        <f t="shared" si="31"/>
        <v>0.57582573787264613</v>
      </c>
      <c r="BA28">
        <f t="shared" si="32"/>
        <v>2.3423493869511057E-2</v>
      </c>
      <c r="BB28">
        <f t="shared" si="33"/>
        <v>1.7577887641853527</v>
      </c>
      <c r="BC28" t="s">
        <v>408</v>
      </c>
      <c r="BD28">
        <v>543.1</v>
      </c>
      <c r="BE28">
        <f t="shared" si="34"/>
        <v>737.26999999999987</v>
      </c>
      <c r="BF28">
        <f t="shared" si="35"/>
        <v>0.64176177775082799</v>
      </c>
      <c r="BG28">
        <f t="shared" si="36"/>
        <v>0.75324727483274145</v>
      </c>
      <c r="BH28">
        <f t="shared" si="37"/>
        <v>0.68466479971399885</v>
      </c>
      <c r="BI28">
        <f t="shared" si="38"/>
        <v>0.76507706452912028</v>
      </c>
      <c r="BJ28">
        <v>8075</v>
      </c>
      <c r="BK28">
        <v>300</v>
      </c>
      <c r="BL28">
        <v>300</v>
      </c>
      <c r="BM28">
        <v>300</v>
      </c>
      <c r="BN28">
        <v>10286.4</v>
      </c>
      <c r="BO28">
        <v>1162.3499999999999</v>
      </c>
      <c r="BP28">
        <v>-7.03887E-3</v>
      </c>
      <c r="BQ28">
        <v>6.4012500000000001</v>
      </c>
      <c r="BR28" t="s">
        <v>347</v>
      </c>
      <c r="BS28" t="s">
        <v>347</v>
      </c>
      <c r="BT28" t="s">
        <v>347</v>
      </c>
      <c r="BU28" t="s">
        <v>347</v>
      </c>
      <c r="BV28" t="s">
        <v>347</v>
      </c>
      <c r="BW28" t="s">
        <v>347</v>
      </c>
      <c r="BX28" t="s">
        <v>347</v>
      </c>
      <c r="BY28" t="s">
        <v>347</v>
      </c>
      <c r="BZ28" t="s">
        <v>347</v>
      </c>
      <c r="CA28" t="s">
        <v>347</v>
      </c>
      <c r="CB28">
        <f t="shared" si="39"/>
        <v>1750.18</v>
      </c>
      <c r="CC28">
        <f t="shared" si="40"/>
        <v>1471.3556998141819</v>
      </c>
      <c r="CD28">
        <f t="shared" si="41"/>
        <v>0.84068821482029388</v>
      </c>
      <c r="CE28">
        <f t="shared" si="42"/>
        <v>0.19137642964058779</v>
      </c>
      <c r="CF28">
        <v>1565550674.5</v>
      </c>
      <c r="CG28">
        <v>1555.193</v>
      </c>
      <c r="CH28">
        <v>1600.27</v>
      </c>
      <c r="CI28">
        <v>17.689900000000002</v>
      </c>
      <c r="CJ28">
        <v>16.4193</v>
      </c>
      <c r="CK28">
        <v>500.01400000000001</v>
      </c>
      <c r="CL28">
        <v>99.131500000000003</v>
      </c>
      <c r="CM28">
        <v>0.100129</v>
      </c>
      <c r="CN28">
        <v>25.107399999999998</v>
      </c>
      <c r="CO28">
        <v>27.024899999999999</v>
      </c>
      <c r="CP28">
        <v>999.9</v>
      </c>
      <c r="CQ28">
        <v>0</v>
      </c>
      <c r="CR28">
        <v>0</v>
      </c>
      <c r="CS28">
        <v>10009.4</v>
      </c>
      <c r="CT28">
        <v>0</v>
      </c>
      <c r="CU28">
        <v>1576.51</v>
      </c>
      <c r="CV28">
        <v>-44.237499999999997</v>
      </c>
      <c r="CW28">
        <v>1584.06</v>
      </c>
      <c r="CX28">
        <v>1626.99</v>
      </c>
      <c r="CY28">
        <v>1.2685299999999999</v>
      </c>
      <c r="CZ28">
        <v>1551.46</v>
      </c>
      <c r="DA28">
        <v>1600.27</v>
      </c>
      <c r="DB28">
        <v>17.215900000000001</v>
      </c>
      <c r="DC28">
        <v>16.4193</v>
      </c>
      <c r="DD28">
        <v>1.75343</v>
      </c>
      <c r="DE28">
        <v>1.62767</v>
      </c>
      <c r="DF28">
        <v>15.377700000000001</v>
      </c>
      <c r="DG28">
        <v>14.2233</v>
      </c>
      <c r="DH28">
        <v>1750.18</v>
      </c>
      <c r="DI28">
        <v>0.97699599999999998</v>
      </c>
      <c r="DJ28">
        <v>2.30041E-2</v>
      </c>
      <c r="DK28">
        <v>0</v>
      </c>
      <c r="DL28">
        <v>806.21400000000006</v>
      </c>
      <c r="DM28">
        <v>5.0002700000000004</v>
      </c>
      <c r="DN28">
        <v>18558</v>
      </c>
      <c r="DO28">
        <v>14147.1</v>
      </c>
      <c r="DP28">
        <v>48.875</v>
      </c>
      <c r="DQ28">
        <v>51.311999999999998</v>
      </c>
      <c r="DR28">
        <v>50</v>
      </c>
      <c r="DS28">
        <v>50.686999999999998</v>
      </c>
      <c r="DT28">
        <v>50.125</v>
      </c>
      <c r="DU28">
        <v>1705.03</v>
      </c>
      <c r="DV28">
        <v>40.15</v>
      </c>
      <c r="DW28">
        <v>0</v>
      </c>
      <c r="DX28">
        <v>124.799999952316</v>
      </c>
      <c r="DY28">
        <v>807.21829411764702</v>
      </c>
      <c r="DZ28">
        <v>-13.359803915547699</v>
      </c>
      <c r="EA28">
        <v>-371.07843107727098</v>
      </c>
      <c r="EB28">
        <v>18593.9941176471</v>
      </c>
      <c r="EC28">
        <v>10</v>
      </c>
      <c r="ED28">
        <v>1565550711.5</v>
      </c>
      <c r="EE28" t="s">
        <v>409</v>
      </c>
      <c r="EF28">
        <v>55</v>
      </c>
      <c r="EG28">
        <v>3.7330000000000001</v>
      </c>
      <c r="EH28">
        <v>0.47399999999999998</v>
      </c>
      <c r="EI28">
        <v>1600</v>
      </c>
      <c r="EJ28">
        <v>16</v>
      </c>
      <c r="EK28">
        <v>0.12</v>
      </c>
      <c r="EL28">
        <v>0.22</v>
      </c>
      <c r="EM28">
        <v>35.443565987922099</v>
      </c>
      <c r="EN28">
        <v>-1.9833060970057701</v>
      </c>
      <c r="EO28">
        <v>0.28816446483299801</v>
      </c>
      <c r="EP28">
        <v>0</v>
      </c>
      <c r="EQ28">
        <v>5.8135197312013998E-2</v>
      </c>
      <c r="ER28">
        <v>-5.4774528286256402E-3</v>
      </c>
      <c r="ES28">
        <v>6.0176095875312801E-4</v>
      </c>
      <c r="ET28">
        <v>1</v>
      </c>
      <c r="EU28">
        <v>1</v>
      </c>
      <c r="EV28">
        <v>2</v>
      </c>
      <c r="EW28" t="s">
        <v>364</v>
      </c>
      <c r="EX28">
        <v>2.9483999999999999</v>
      </c>
      <c r="EY28">
        <v>2.7776299999999998</v>
      </c>
      <c r="EZ28">
        <v>0.231959</v>
      </c>
      <c r="FA28">
        <v>0.22995299999999999</v>
      </c>
      <c r="FB28">
        <v>8.85161E-2</v>
      </c>
      <c r="FC28">
        <v>8.1385600000000002E-2</v>
      </c>
      <c r="FD28">
        <v>18366.8</v>
      </c>
      <c r="FE28">
        <v>18571.8</v>
      </c>
      <c r="FF28">
        <v>22502.9</v>
      </c>
      <c r="FG28">
        <v>26474.7</v>
      </c>
      <c r="FH28">
        <v>29323.4</v>
      </c>
      <c r="FI28">
        <v>38178.6</v>
      </c>
      <c r="FJ28">
        <v>32144.1</v>
      </c>
      <c r="FK28">
        <v>42180.6</v>
      </c>
      <c r="FL28">
        <v>1.9298</v>
      </c>
      <c r="FM28">
        <v>1.8205199999999999</v>
      </c>
      <c r="FN28">
        <v>2.7917299999999999E-2</v>
      </c>
      <c r="FO28">
        <v>0</v>
      </c>
      <c r="FP28">
        <v>26.568200000000001</v>
      </c>
      <c r="FQ28">
        <v>999.9</v>
      </c>
      <c r="FR28">
        <v>36.692999999999998</v>
      </c>
      <c r="FS28">
        <v>42.067</v>
      </c>
      <c r="FT28">
        <v>30.622199999999999</v>
      </c>
      <c r="FU28">
        <v>61.363500000000002</v>
      </c>
      <c r="FV28">
        <v>45.917499999999997</v>
      </c>
      <c r="FW28">
        <v>1</v>
      </c>
      <c r="FX28">
        <v>0.65280700000000003</v>
      </c>
      <c r="FY28">
        <v>8.4489900000000002</v>
      </c>
      <c r="FZ28">
        <v>20.060600000000001</v>
      </c>
      <c r="GA28">
        <v>5.2289700000000003</v>
      </c>
      <c r="GB28">
        <v>11.962</v>
      </c>
      <c r="GC28">
        <v>4.9716500000000003</v>
      </c>
      <c r="GD28">
        <v>3.2949999999999999</v>
      </c>
      <c r="GE28">
        <v>9999</v>
      </c>
      <c r="GF28">
        <v>9999</v>
      </c>
      <c r="GG28">
        <v>505</v>
      </c>
      <c r="GH28">
        <v>9999</v>
      </c>
      <c r="GI28">
        <v>1.8660000000000001</v>
      </c>
      <c r="GJ28">
        <v>1.8654299999999999</v>
      </c>
      <c r="GK28">
        <v>1.8655900000000001</v>
      </c>
      <c r="GL28">
        <v>1.86859</v>
      </c>
      <c r="GM28">
        <v>1.86283</v>
      </c>
      <c r="GN28">
        <v>1.8609899999999999</v>
      </c>
      <c r="GO28">
        <v>1.85721</v>
      </c>
      <c r="GP28">
        <v>1.8633999999999999</v>
      </c>
      <c r="GQ28" t="s">
        <v>350</v>
      </c>
      <c r="GR28" t="s">
        <v>19</v>
      </c>
      <c r="GS28" t="s">
        <v>19</v>
      </c>
      <c r="GT28" t="s">
        <v>19</v>
      </c>
      <c r="GU28" t="s">
        <v>351</v>
      </c>
      <c r="GV28" t="s">
        <v>352</v>
      </c>
      <c r="GW28" t="s">
        <v>353</v>
      </c>
      <c r="GX28" t="s">
        <v>353</v>
      </c>
      <c r="GY28" t="s">
        <v>353</v>
      </c>
      <c r="GZ28" t="s">
        <v>353</v>
      </c>
      <c r="HA28">
        <v>0</v>
      </c>
      <c r="HB28">
        <v>100</v>
      </c>
      <c r="HC28">
        <v>100</v>
      </c>
      <c r="HD28">
        <v>3.7330000000000001</v>
      </c>
      <c r="HE28">
        <v>0.47399999999999998</v>
      </c>
      <c r="HF28">
        <v>2</v>
      </c>
      <c r="HG28">
        <v>503.16</v>
      </c>
      <c r="HH28">
        <v>470.245</v>
      </c>
      <c r="HI28">
        <v>18.722799999999999</v>
      </c>
      <c r="HJ28">
        <v>35.214399999999998</v>
      </c>
      <c r="HK28">
        <v>30.000299999999999</v>
      </c>
      <c r="HL28">
        <v>35.0749</v>
      </c>
      <c r="HM28">
        <v>35.054699999999997</v>
      </c>
      <c r="HN28">
        <v>65.558899999999994</v>
      </c>
      <c r="HO28">
        <v>48.024999999999999</v>
      </c>
      <c r="HP28">
        <v>0</v>
      </c>
      <c r="HQ28">
        <v>18.6721</v>
      </c>
      <c r="HR28">
        <v>1600</v>
      </c>
      <c r="HS28">
        <v>16.5</v>
      </c>
      <c r="HT28">
        <v>98.947299999999998</v>
      </c>
      <c r="HU28">
        <v>102.843</v>
      </c>
    </row>
  </sheetData>
  <sortState xmlns:xlrd2="http://schemas.microsoft.com/office/spreadsheetml/2017/richdata2" ref="J33:L45">
    <sortCondition ref="J33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s">
        <v>3</v>
      </c>
    </row>
    <row r="3" spans="1:2" x14ac:dyDescent="0.35">
      <c r="A3" t="s">
        <v>4</v>
      </c>
      <c r="B3" t="s">
        <v>5</v>
      </c>
    </row>
    <row r="4" spans="1:2" x14ac:dyDescent="0.35">
      <c r="A4" t="s">
        <v>6</v>
      </c>
      <c r="B4" t="s">
        <v>7</v>
      </c>
    </row>
    <row r="5" spans="1:2" x14ac:dyDescent="0.35">
      <c r="A5" t="s">
        <v>8</v>
      </c>
      <c r="B5" t="s">
        <v>9</v>
      </c>
    </row>
    <row r="6" spans="1:2" x14ac:dyDescent="0.35">
      <c r="A6" t="s">
        <v>10</v>
      </c>
      <c r="B6" t="s">
        <v>11</v>
      </c>
    </row>
    <row r="7" spans="1:2" x14ac:dyDescent="0.35">
      <c r="A7" t="s">
        <v>12</v>
      </c>
      <c r="B7" t="s">
        <v>13</v>
      </c>
    </row>
    <row r="8" spans="1:2" x14ac:dyDescent="0.35">
      <c r="A8" t="s">
        <v>14</v>
      </c>
      <c r="B8" t="s">
        <v>15</v>
      </c>
    </row>
    <row r="9" spans="1:2" x14ac:dyDescent="0.35">
      <c r="A9" t="s">
        <v>16</v>
      </c>
      <c r="B9" t="s">
        <v>17</v>
      </c>
    </row>
    <row r="10" spans="1:2" x14ac:dyDescent="0.35">
      <c r="A10" t="s">
        <v>18</v>
      </c>
      <c r="B10" t="s">
        <v>19</v>
      </c>
    </row>
    <row r="11" spans="1:2" x14ac:dyDescent="0.35">
      <c r="A11" t="s">
        <v>20</v>
      </c>
      <c r="B11" t="s">
        <v>19</v>
      </c>
    </row>
    <row r="12" spans="1:2" x14ac:dyDescent="0.35">
      <c r="A12" t="s">
        <v>21</v>
      </c>
      <c r="B12" t="s">
        <v>17</v>
      </c>
    </row>
    <row r="13" spans="1:2" x14ac:dyDescent="0.35">
      <c r="A13" t="s">
        <v>22</v>
      </c>
      <c r="B13" t="s">
        <v>11</v>
      </c>
    </row>
    <row r="14" spans="1:2" x14ac:dyDescent="0.35">
      <c r="A14" t="s">
        <v>23</v>
      </c>
      <c r="B14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Wu, Genghong</cp:lastModifiedBy>
  <dcterms:created xsi:type="dcterms:W3CDTF">2019-08-10T14:32:01Z</dcterms:created>
  <dcterms:modified xsi:type="dcterms:W3CDTF">2019-08-28T03:08:09Z</dcterms:modified>
</cp:coreProperties>
</file>