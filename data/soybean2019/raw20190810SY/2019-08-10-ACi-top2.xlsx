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BCA53098-74BC-445C-A8A7-10FFCF3B2F2E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E28" i="1" l="1"/>
  <c r="CD28" i="1"/>
  <c r="CB28" i="1"/>
  <c r="CC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X28" i="1"/>
  <c r="W28" i="1"/>
  <c r="O28" i="1"/>
  <c r="H28" i="1"/>
  <c r="Z28" i="1" s="1"/>
  <c r="CE27" i="1"/>
  <c r="CD27" i="1"/>
  <c r="CB27" i="1"/>
  <c r="CC27" i="1" s="1"/>
  <c r="AW27" i="1" s="1"/>
  <c r="BI27" i="1"/>
  <c r="BH27" i="1"/>
  <c r="BG27" i="1"/>
  <c r="BF27" i="1"/>
  <c r="BE27" i="1"/>
  <c r="AZ27" i="1" s="1"/>
  <c r="BB27" i="1"/>
  <c r="AU27" i="1"/>
  <c r="AP27" i="1"/>
  <c r="AO27" i="1"/>
  <c r="AK27" i="1"/>
  <c r="AI27" i="1"/>
  <c r="J27" i="1" s="1"/>
  <c r="X27" i="1"/>
  <c r="W27" i="1"/>
  <c r="O27" i="1"/>
  <c r="CE26" i="1"/>
  <c r="CD26" i="1"/>
  <c r="CB26" i="1"/>
  <c r="CC26" i="1" s="1"/>
  <c r="AW26" i="1" s="1"/>
  <c r="AY26" i="1" s="1"/>
  <c r="BI26" i="1"/>
  <c r="BH26" i="1"/>
  <c r="BG26" i="1"/>
  <c r="BF26" i="1"/>
  <c r="BE26" i="1"/>
  <c r="AZ26" i="1" s="1"/>
  <c r="BB26" i="1"/>
  <c r="AU26" i="1"/>
  <c r="AP26" i="1"/>
  <c r="AO26" i="1"/>
  <c r="AK26" i="1"/>
  <c r="AI26" i="1"/>
  <c r="M26" i="1" s="1"/>
  <c r="X26" i="1"/>
  <c r="V26" i="1" s="1"/>
  <c r="W26" i="1"/>
  <c r="O26" i="1"/>
  <c r="CE25" i="1"/>
  <c r="CD25" i="1"/>
  <c r="CB25" i="1"/>
  <c r="BI25" i="1"/>
  <c r="BH25" i="1"/>
  <c r="BG25" i="1"/>
  <c r="BF25" i="1"/>
  <c r="BE25" i="1"/>
  <c r="AZ25" i="1" s="1"/>
  <c r="BB25" i="1"/>
  <c r="AU25" i="1"/>
  <c r="AO25" i="1"/>
  <c r="AP25" i="1" s="1"/>
  <c r="AK25" i="1"/>
  <c r="AI25" i="1" s="1"/>
  <c r="I25" i="1" s="1"/>
  <c r="AX25" i="1" s="1"/>
  <c r="X25" i="1"/>
  <c r="W25" i="1"/>
  <c r="O25" i="1"/>
  <c r="M25" i="1"/>
  <c r="H25" i="1"/>
  <c r="Z25" i="1" s="1"/>
  <c r="CE24" i="1"/>
  <c r="CD24" i="1"/>
  <c r="CB24" i="1"/>
  <c r="BI24" i="1"/>
  <c r="BH24" i="1"/>
  <c r="BG24" i="1"/>
  <c r="BF24" i="1"/>
  <c r="BE24" i="1"/>
  <c r="BB24" i="1"/>
  <c r="AZ24" i="1"/>
  <c r="AU24" i="1"/>
  <c r="AO24" i="1"/>
  <c r="AP24" i="1" s="1"/>
  <c r="AK24" i="1"/>
  <c r="AI24" i="1" s="1"/>
  <c r="X24" i="1"/>
  <c r="W24" i="1"/>
  <c r="O24" i="1"/>
  <c r="CE23" i="1"/>
  <c r="CD23" i="1"/>
  <c r="CB23" i="1"/>
  <c r="BI23" i="1"/>
  <c r="BH23" i="1"/>
  <c r="BG23" i="1"/>
  <c r="BF23" i="1"/>
  <c r="BE23" i="1"/>
  <c r="AZ23" i="1" s="1"/>
  <c r="BB23" i="1"/>
  <c r="AU23" i="1"/>
  <c r="AP23" i="1"/>
  <c r="AO23" i="1"/>
  <c r="AK23" i="1"/>
  <c r="AI23" i="1" s="1"/>
  <c r="X23" i="1"/>
  <c r="W23" i="1"/>
  <c r="V23" i="1" s="1"/>
  <c r="O23" i="1"/>
  <c r="CE22" i="1"/>
  <c r="CD22" i="1"/>
  <c r="CC22" i="1" s="1"/>
  <c r="CB22" i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 s="1"/>
  <c r="I22" i="1" s="1"/>
  <c r="AX22" i="1" s="1"/>
  <c r="X22" i="1"/>
  <c r="W22" i="1"/>
  <c r="O22" i="1"/>
  <c r="M22" i="1"/>
  <c r="H22" i="1"/>
  <c r="Z22" i="1" s="1"/>
  <c r="CE21" i="1"/>
  <c r="CD21" i="1"/>
  <c r="CB21" i="1"/>
  <c r="CC21" i="1" s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 s="1"/>
  <c r="H21" i="1" s="1"/>
  <c r="X21" i="1"/>
  <c r="W21" i="1"/>
  <c r="O21" i="1"/>
  <c r="CE20" i="1"/>
  <c r="CD20" i="1"/>
  <c r="CB20" i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 s="1"/>
  <c r="X20" i="1"/>
  <c r="W20" i="1"/>
  <c r="V20" i="1" s="1"/>
  <c r="O20" i="1"/>
  <c r="CE19" i="1"/>
  <c r="CD19" i="1"/>
  <c r="CB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M19" i="1" s="1"/>
  <c r="X19" i="1"/>
  <c r="W19" i="1"/>
  <c r="V19" i="1"/>
  <c r="O19" i="1"/>
  <c r="CE18" i="1"/>
  <c r="CD18" i="1"/>
  <c r="CC18" i="1" s="1"/>
  <c r="CB18" i="1"/>
  <c r="BI18" i="1"/>
  <c r="BH18" i="1"/>
  <c r="BG18" i="1"/>
  <c r="BF18" i="1"/>
  <c r="BE18" i="1"/>
  <c r="AZ18" i="1" s="1"/>
  <c r="BB18" i="1"/>
  <c r="AU18" i="1"/>
  <c r="AO18" i="1"/>
  <c r="AP18" i="1" s="1"/>
  <c r="AK18" i="1"/>
  <c r="AI18" i="1" s="1"/>
  <c r="I18" i="1" s="1"/>
  <c r="AX18" i="1" s="1"/>
  <c r="X18" i="1"/>
  <c r="W18" i="1"/>
  <c r="O18" i="1"/>
  <c r="M18" i="1"/>
  <c r="H18" i="1"/>
  <c r="Z18" i="1" s="1"/>
  <c r="CE17" i="1"/>
  <c r="CD17" i="1"/>
  <c r="CB17" i="1"/>
  <c r="CC17" i="1" s="1"/>
  <c r="BI17" i="1"/>
  <c r="BH17" i="1"/>
  <c r="BG17" i="1"/>
  <c r="BF17" i="1"/>
  <c r="BE17" i="1"/>
  <c r="AZ17" i="1" s="1"/>
  <c r="BB17" i="1"/>
  <c r="AU17" i="1"/>
  <c r="AO17" i="1"/>
  <c r="AP17" i="1" s="1"/>
  <c r="AK17" i="1"/>
  <c r="AI17" i="1"/>
  <c r="M17" i="1" s="1"/>
  <c r="X17" i="1"/>
  <c r="W17" i="1"/>
  <c r="V17" i="1" s="1"/>
  <c r="O17" i="1"/>
  <c r="J17" i="1"/>
  <c r="AJ20" i="1" l="1"/>
  <c r="J20" i="1"/>
  <c r="AJ23" i="1"/>
  <c r="J23" i="1"/>
  <c r="CC20" i="1"/>
  <c r="V25" i="1"/>
  <c r="V27" i="1"/>
  <c r="V18" i="1"/>
  <c r="V22" i="1"/>
  <c r="CC25" i="1"/>
  <c r="AW25" i="1" s="1"/>
  <c r="R26" i="1"/>
  <c r="R27" i="1"/>
  <c r="AJ27" i="1"/>
  <c r="AY27" i="1"/>
  <c r="CC23" i="1"/>
  <c r="CC24" i="1"/>
  <c r="AW24" i="1" s="1"/>
  <c r="AY24" i="1" s="1"/>
  <c r="R18" i="1"/>
  <c r="AW18" i="1"/>
  <c r="AY18" i="1" s="1"/>
  <c r="Z21" i="1"/>
  <c r="R22" i="1"/>
  <c r="AW22" i="1"/>
  <c r="AY22" i="1" s="1"/>
  <c r="R25" i="1"/>
  <c r="R28" i="1"/>
  <c r="AW28" i="1"/>
  <c r="AY28" i="1" s="1"/>
  <c r="AW17" i="1"/>
  <c r="AY17" i="1" s="1"/>
  <c r="R17" i="1"/>
  <c r="R21" i="1"/>
  <c r="AW21" i="1"/>
  <c r="R24" i="1"/>
  <c r="H19" i="1"/>
  <c r="AJ19" i="1"/>
  <c r="J24" i="1"/>
  <c r="M24" i="1"/>
  <c r="I24" i="1"/>
  <c r="AX24" i="1" s="1"/>
  <c r="S26" i="1"/>
  <c r="T26" i="1" s="1"/>
  <c r="AA26" i="1" s="1"/>
  <c r="J28" i="1"/>
  <c r="M28" i="1"/>
  <c r="I28" i="1"/>
  <c r="AX28" i="1" s="1"/>
  <c r="BA28" i="1" s="1"/>
  <c r="AJ17" i="1"/>
  <c r="CC19" i="1"/>
  <c r="J21" i="1"/>
  <c r="M21" i="1"/>
  <c r="I21" i="1"/>
  <c r="AX21" i="1" s="1"/>
  <c r="BA21" i="1" s="1"/>
  <c r="H24" i="1"/>
  <c r="H26" i="1"/>
  <c r="AJ26" i="1"/>
  <c r="H17" i="1"/>
  <c r="AJ18" i="1"/>
  <c r="J18" i="1"/>
  <c r="I19" i="1"/>
  <c r="AX19" i="1" s="1"/>
  <c r="AY21" i="1"/>
  <c r="AJ22" i="1"/>
  <c r="J22" i="1"/>
  <c r="AJ25" i="1"/>
  <c r="J25" i="1"/>
  <c r="I26" i="1"/>
  <c r="AX26" i="1" s="1"/>
  <c r="BA26" i="1" s="1"/>
  <c r="I17" i="1"/>
  <c r="AX17" i="1" s="1"/>
  <c r="J19" i="1"/>
  <c r="M20" i="1"/>
  <c r="I20" i="1"/>
  <c r="AX20" i="1" s="1"/>
  <c r="H20" i="1"/>
  <c r="V21" i="1"/>
  <c r="AJ21" i="1"/>
  <c r="M23" i="1"/>
  <c r="I23" i="1"/>
  <c r="AX23" i="1" s="1"/>
  <c r="H23" i="1"/>
  <c r="V24" i="1"/>
  <c r="AJ24" i="1"/>
  <c r="J26" i="1"/>
  <c r="M27" i="1"/>
  <c r="I27" i="1"/>
  <c r="AX27" i="1" s="1"/>
  <c r="BA27" i="1" s="1"/>
  <c r="H27" i="1"/>
  <c r="V28" i="1"/>
  <c r="AJ28" i="1"/>
  <c r="AY25" i="1" l="1"/>
  <c r="BA25" i="1"/>
  <c r="BA17" i="1"/>
  <c r="BA24" i="1"/>
  <c r="BA20" i="1"/>
  <c r="AW23" i="1"/>
  <c r="AY23" i="1" s="1"/>
  <c r="R23" i="1"/>
  <c r="S23" i="1" s="1"/>
  <c r="T23" i="1" s="1"/>
  <c r="AW20" i="1"/>
  <c r="AY20" i="1" s="1"/>
  <c r="R20" i="1"/>
  <c r="Z20" i="1"/>
  <c r="AW19" i="1"/>
  <c r="AY19" i="1" s="1"/>
  <c r="R19" i="1"/>
  <c r="Z19" i="1"/>
  <c r="S21" i="1"/>
  <c r="T21" i="1" s="1"/>
  <c r="S28" i="1"/>
  <c r="T28" i="1" s="1"/>
  <c r="S22" i="1"/>
  <c r="T22" i="1" s="1"/>
  <c r="Z23" i="1"/>
  <c r="P26" i="1"/>
  <c r="N26" i="1" s="1"/>
  <c r="Q26" i="1" s="1"/>
  <c r="K26" i="1" s="1"/>
  <c r="L26" i="1" s="1"/>
  <c r="Z26" i="1"/>
  <c r="BA22" i="1"/>
  <c r="BA18" i="1"/>
  <c r="Z17" i="1"/>
  <c r="Z24" i="1"/>
  <c r="S24" i="1"/>
  <c r="T24" i="1" s="1"/>
  <c r="P24" i="1" s="1"/>
  <c r="N24" i="1" s="1"/>
  <c r="Q24" i="1" s="1"/>
  <c r="K24" i="1" s="1"/>
  <c r="L24" i="1" s="1"/>
  <c r="AB26" i="1"/>
  <c r="U26" i="1"/>
  <c r="Y26" i="1" s="1"/>
  <c r="S18" i="1"/>
  <c r="T18" i="1" s="1"/>
  <c r="Z27" i="1"/>
  <c r="S27" i="1"/>
  <c r="T27" i="1" s="1"/>
  <c r="S20" i="1"/>
  <c r="T20" i="1" s="1"/>
  <c r="S17" i="1"/>
  <c r="T17" i="1" s="1"/>
  <c r="S25" i="1"/>
  <c r="T25" i="1" s="1"/>
  <c r="BA23" i="1" l="1"/>
  <c r="U17" i="1"/>
  <c r="Y17" i="1" s="1"/>
  <c r="AB17" i="1"/>
  <c r="AA17" i="1"/>
  <c r="U20" i="1"/>
  <c r="Y20" i="1" s="1"/>
  <c r="AB20" i="1"/>
  <c r="AA20" i="1"/>
  <c r="U28" i="1"/>
  <c r="Y28" i="1" s="1"/>
  <c r="AB28" i="1"/>
  <c r="AA28" i="1"/>
  <c r="P28" i="1"/>
  <c r="N28" i="1" s="1"/>
  <c r="Q28" i="1" s="1"/>
  <c r="K28" i="1" s="1"/>
  <c r="L28" i="1" s="1"/>
  <c r="BA19" i="1"/>
  <c r="U24" i="1"/>
  <c r="Y24" i="1" s="1"/>
  <c r="AB24" i="1"/>
  <c r="AA24" i="1"/>
  <c r="U23" i="1"/>
  <c r="Y23" i="1" s="1"/>
  <c r="AB23" i="1"/>
  <c r="AA23" i="1"/>
  <c r="U18" i="1"/>
  <c r="Y18" i="1" s="1"/>
  <c r="AB18" i="1"/>
  <c r="AA18" i="1"/>
  <c r="P18" i="1"/>
  <c r="N18" i="1" s="1"/>
  <c r="Q18" i="1" s="1"/>
  <c r="K18" i="1" s="1"/>
  <c r="L18" i="1" s="1"/>
  <c r="P17" i="1"/>
  <c r="N17" i="1" s="1"/>
  <c r="Q17" i="1" s="1"/>
  <c r="K17" i="1" s="1"/>
  <c r="L17" i="1" s="1"/>
  <c r="AB22" i="1"/>
  <c r="U22" i="1"/>
  <c r="Y22" i="1" s="1"/>
  <c r="P22" i="1"/>
  <c r="N22" i="1" s="1"/>
  <c r="Q22" i="1" s="1"/>
  <c r="K22" i="1" s="1"/>
  <c r="L22" i="1" s="1"/>
  <c r="AA22" i="1"/>
  <c r="AB25" i="1"/>
  <c r="U25" i="1"/>
  <c r="Y25" i="1" s="1"/>
  <c r="AA25" i="1"/>
  <c r="P25" i="1"/>
  <c r="N25" i="1" s="1"/>
  <c r="Q25" i="1" s="1"/>
  <c r="K25" i="1" s="1"/>
  <c r="L25" i="1" s="1"/>
  <c r="U27" i="1"/>
  <c r="Y27" i="1" s="1"/>
  <c r="AB27" i="1"/>
  <c r="AA27" i="1"/>
  <c r="P27" i="1"/>
  <c r="N27" i="1" s="1"/>
  <c r="Q27" i="1" s="1"/>
  <c r="K27" i="1" s="1"/>
  <c r="L27" i="1" s="1"/>
  <c r="AC26" i="1"/>
  <c r="P23" i="1"/>
  <c r="N23" i="1" s="1"/>
  <c r="Q23" i="1" s="1"/>
  <c r="K23" i="1" s="1"/>
  <c r="L23" i="1" s="1"/>
  <c r="U21" i="1"/>
  <c r="Y21" i="1" s="1"/>
  <c r="AB21" i="1"/>
  <c r="AA21" i="1"/>
  <c r="P21" i="1"/>
  <c r="N21" i="1" s="1"/>
  <c r="Q21" i="1" s="1"/>
  <c r="K21" i="1" s="1"/>
  <c r="L21" i="1" s="1"/>
  <c r="S19" i="1"/>
  <c r="T19" i="1" s="1"/>
  <c r="P20" i="1"/>
  <c r="N20" i="1" s="1"/>
  <c r="Q20" i="1" s="1"/>
  <c r="K20" i="1" s="1"/>
  <c r="L20" i="1" s="1"/>
  <c r="AC21" i="1" l="1"/>
  <c r="AC24" i="1"/>
  <c r="AC20" i="1"/>
  <c r="AC27" i="1"/>
  <c r="AC23" i="1"/>
  <c r="AC28" i="1"/>
  <c r="AC25" i="1"/>
  <c r="AC22" i="1"/>
  <c r="AC18" i="1"/>
  <c r="AC17" i="1"/>
  <c r="AB19" i="1"/>
  <c r="AC19" i="1" s="1"/>
  <c r="U19" i="1"/>
  <c r="Y19" i="1" s="1"/>
  <c r="AA19" i="1"/>
  <c r="P19" i="1"/>
  <c r="N19" i="1" s="1"/>
  <c r="Q19" i="1" s="1"/>
  <c r="K19" i="1" s="1"/>
  <c r="L19" i="1" s="1"/>
</calcChain>
</file>

<file path=xl/sharedStrings.xml><?xml version="1.0" encoding="utf-8"?>
<sst xmlns="http://schemas.openxmlformats.org/spreadsheetml/2006/main" count="1019" uniqueCount="410">
  <si>
    <t>File opened</t>
  </si>
  <si>
    <t>2019-08-10 12:43:43</t>
  </si>
  <si>
    <t>Console s/n</t>
  </si>
  <si>
    <t>68C-831448</t>
  </si>
  <si>
    <t>Console ver</t>
  </si>
  <si>
    <t>Bluestem v.1.3.17</t>
  </si>
  <si>
    <t>Scripts ver</t>
  </si>
  <si>
    <t>2018.12  1.3.16, Nov 2018</t>
  </si>
  <si>
    <t>Head s/n</t>
  </si>
  <si>
    <t>68H-581448</t>
  </si>
  <si>
    <t>Head ver</t>
  </si>
  <si>
    <t>1.3.1</t>
  </si>
  <si>
    <t>Head cal</t>
  </si>
  <si>
    <t>{"co2bspan2": "-0.029811", "co2bspanconc2": "296.4", "h2oaspan2b": "0.0689295", "co2bspan1": "1.00063", "h2oaspanconc2": "0", "flowmeterzero": "1.01484", "h2obspan2b": "0.0966582", "co2bspan2b": "0.290353", "h2oazero": "0.99813", "tazero": "-0.075655", "h2obspan2": "0", "h2obspanconc1": "20", "co2aspanconc2": "296.4", "co2bspan2a": "0.292725", "ssa_ref": "27614.2", "co2bspanconc1": "2500", "ssb_ref": "33378.8", "h2obspanconc2": "0", "co2aspanconc1": "2500", "oxygen": "21", "h2obzero": "1.01301", "h2obspan2a": "-0.0693626", "chamberpressurezero": "2.62898", "h2oaspan2a": "0.0687344", "tbzero": "-0.00914764", "co2azero": "0.936047", "h2oaspan1": "1.00284", "h2oaspan2": "0", "co2aspan2b": "0.298132", "flowazero": "0.30339", "h2obspan1": "1", "flowbzero": "0.2519", "co2aspan2": "-0.0275709", "h2oaspanconc1": "12.25", "co2aspan1": "1.00019", "co2aspan2a": "0.300565", "co2bzero": "1.08871"}</t>
  </si>
  <si>
    <t>Chamber type</t>
  </si>
  <si>
    <t>6800-01A</t>
  </si>
  <si>
    <t>Chamber s/n</t>
  </si>
  <si>
    <t>MPF-651357</t>
  </si>
  <si>
    <t>Chamber rev</t>
  </si>
  <si>
    <t>0</t>
  </si>
  <si>
    <t>Chamber cal</t>
  </si>
  <si>
    <t>Fluorometer</t>
  </si>
  <si>
    <t>Flr. Version</t>
  </si>
  <si>
    <t>12:43:43</t>
  </si>
  <si>
    <t>Stability Definition:	A (GasEx): Slp&lt;0.1 Std&lt;1 Per=15	gsw (GasEx): Slp&lt;0.1 Std&lt;1 Per=15</t>
  </si>
  <si>
    <t>SysConst</t>
  </si>
  <si>
    <t>AvgTime</t>
  </si>
  <si>
    <t>Oxygen</t>
  </si>
  <si>
    <t>Chamber</t>
  </si>
  <si>
    <t>6800-01A 6 cm²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</si>
  <si>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</si>
  <si>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</si>
  <si>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</si>
  <si>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</si>
  <si>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</si>
  <si>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</si>
  <si>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</si>
  <si>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</si>
  <si>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</si>
  <si>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</si>
  <si>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</si>
  <si>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</si>
  <si>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</si>
  <si>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</si>
  <si>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</si>
  <si>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</si>
  <si>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</si>
  <si>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</si>
  <si>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</si>
  <si>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</si>
  <si>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</si>
  <si>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</si>
  <si>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</si>
  <si>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</si>
  <si>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</si>
  <si>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</si>
  <si>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</si>
  <si>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</si>
  <si>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</si>
  <si>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</si>
  <si>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</si>
  <si>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</si>
  <si>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</si>
  <si>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</si>
  <si>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</si>
  <si>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</si>
  <si>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</si>
  <si>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</si>
  <si>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</si>
  <si>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</si>
  <si>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</si>
  <si>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</si>
  <si>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2.27505 85.6935 378.414 623.837 873.05 1080.45 1248.65 1433.3</t>
  </si>
  <si>
    <t>Fs_true</t>
  </si>
  <si>
    <t>0.0487186 103.87 402.965 601.332 802.409 1002.24 1200.35 1401.56</t>
  </si>
  <si>
    <t>leak_wt</t>
  </si>
  <si>
    <t>Sys</t>
  </si>
  <si>
    <t>UserDefVar</t>
  </si>
  <si>
    <t>GasEx</t>
  </si>
  <si>
    <t>Leak</t>
  </si>
  <si>
    <t>FLR</t>
  </si>
  <si>
    <t>MPF</t>
  </si>
  <si>
    <t>FastKntcs</t>
  </si>
  <si>
    <t>LeafQ</t>
  </si>
  <si>
    <t>Meas</t>
  </si>
  <si>
    <t>Meas2</t>
  </si>
  <si>
    <t>FlrLS</t>
  </si>
  <si>
    <t>FlrStats</t>
  </si>
  <si>
    <t>Match</t>
  </si>
  <si>
    <t>Stability</t>
  </si>
  <si>
    <t>Raw</t>
  </si>
  <si>
    <t>Status2</t>
  </si>
  <si>
    <t>Auxiliary</t>
  </si>
  <si>
    <t>Status</t>
  </si>
  <si>
    <t>obs</t>
  </si>
  <si>
    <t>time</t>
  </si>
  <si>
    <t>elapsed</t>
  </si>
  <si>
    <t>date</t>
  </si>
  <si>
    <t>hhmmss</t>
  </si>
  <si>
    <t>plant ID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</si>
  <si>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</si>
  <si>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</si>
  <si>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</si>
  <si>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</si>
  <si>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</si>
  <si>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</si>
  <si>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</si>
  <si>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</si>
  <si>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</si>
  <si>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</si>
  <si>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</si>
  <si>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</si>
  <si>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</si>
  <si>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</si>
  <si>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</si>
  <si>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</si>
  <si>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</si>
  <si>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</si>
  <si>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</si>
  <si>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</si>
  <si>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</si>
  <si>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</si>
  <si>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</si>
  <si>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</si>
  <si>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</si>
  <si>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</si>
  <si>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</si>
  <si>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</si>
  <si>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</si>
  <si>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</si>
  <si>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</si>
  <si>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</si>
  <si>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</si>
  <si>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</si>
  <si>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</si>
  <si>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</si>
  <si>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</si>
  <si>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</si>
  <si>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</si>
  <si>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</si>
  <si>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</si>
  <si>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</si>
  <si>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</si>
  <si>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</si>
  <si>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</si>
  <si>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</si>
  <si>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</si>
  <si>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</si>
  <si>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</si>
  <si>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</si>
  <si>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</si>
  <si>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</si>
  <si>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</si>
  <si>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</si>
  <si>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</si>
  <si>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</si>
  <si>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</si>
  <si>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</si>
  <si>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</si>
  <si>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</si>
  <si>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</si>
  <si>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</si>
  <si>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Duration</t>
  </si>
  <si>
    <t>F1</t>
  </si>
  <si>
    <t>F2</t>
  </si>
  <si>
    <t>Fmax</t>
  </si>
  <si>
    <t>T@HIR</t>
  </si>
  <si>
    <t>T@F1</t>
  </si>
  <si>
    <t>T@F2</t>
  </si>
  <si>
    <t>T@Fmax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</si>
  <si>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</si>
  <si>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</si>
  <si>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</si>
  <si>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</si>
  <si>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</si>
  <si>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</si>
  <si>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</si>
  <si>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</si>
  <si>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</si>
  <si>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</si>
  <si>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</si>
  <si>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</si>
  <si>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</si>
  <si>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</si>
  <si>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</si>
  <si>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</si>
  <si>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</si>
  <si>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</si>
  <si>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</si>
  <si>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</si>
  <si>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</si>
  <si>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</si>
  <si>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</si>
  <si>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CO2_a</t>
  </si>
  <si>
    <t>CO2_b</t>
  </si>
  <si>
    <t>H2O_a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</si>
  <si>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</si>
  <si>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</si>
  <si>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</si>
  <si>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</si>
  <si>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</si>
  <si>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</si>
  <si>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</si>
  <si>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</si>
  <si>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</si>
  <si>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</si>
  <si>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</si>
  <si>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</si>
  <si>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</si>
  <si>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</si>
  <si>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</si>
  <si>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</si>
  <si>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</si>
  <si>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</si>
  <si>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</si>
  <si>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</si>
  <si>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</si>
  <si>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</si>
  <si>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</si>
  <si>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</si>
  <si>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</si>
  <si>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</si>
  <si>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</si>
  <si>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</si>
  <si>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</si>
  <si>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</si>
  <si>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</si>
  <si>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</si>
  <si>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</si>
  <si>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</si>
  <si>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</si>
  <si>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</si>
  <si>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</si>
  <si>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</si>
  <si>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</si>
  <si>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</si>
  <si>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</si>
  <si>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</si>
  <si>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</si>
  <si>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</si>
  <si>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</si>
  <si>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</si>
  <si>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</si>
  <si>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</si>
  <si>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</si>
  <si>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</si>
  <si>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</si>
  <si>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</si>
  <si>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</si>
  <si>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</si>
  <si>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</si>
  <si>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</si>
  <si>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</si>
  <si>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</si>
  <si>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</si>
  <si>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</si>
  <si>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</si>
  <si>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</si>
  <si>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</si>
  <si>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</si>
  <si>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</si>
  <si>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</si>
  <si>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</si>
  <si>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</si>
  <si>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</si>
  <si>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</si>
  <si>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</si>
  <si>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</si>
  <si>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</si>
  <si>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</si>
  <si>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</si>
  <si>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</si>
  <si>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</si>
  <si>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</si>
  <si>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</si>
  <si>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AccCO2_soda</t>
  </si>
  <si>
    <t>CO2_hrs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</si>
  <si>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</si>
  <si>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</si>
  <si>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</si>
  <si>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</si>
  <si>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</si>
  <si>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</si>
  <si>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</si>
  <si>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</si>
  <si>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</si>
  <si>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</si>
  <si>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</si>
  <si>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</si>
  <si>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</si>
  <si>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</si>
  <si>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</si>
  <si>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</si>
  <si>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</si>
  <si>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</si>
  <si>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</si>
  <si>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</si>
  <si>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</si>
  <si>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</si>
  <si>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</si>
  <si>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</si>
  <si>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</si>
  <si>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</si>
  <si>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</si>
  <si>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</si>
  <si>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</si>
  <si>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</si>
  <si>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</si>
  <si>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</si>
  <si>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</si>
  <si>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</si>
  <si>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</si>
  <si>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</si>
  <si>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</si>
  <si>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</si>
  <si>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</si>
  <si>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</si>
  <si>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</si>
  <si>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</si>
  <si>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</si>
  <si>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</si>
  <si>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</si>
  <si>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</si>
  <si>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</si>
  <si>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</si>
  <si>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</si>
  <si>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</si>
  <si>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</si>
  <si>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</si>
  <si>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</si>
  <si>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</si>
  <si>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</si>
  <si>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</si>
  <si>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</si>
  <si>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</si>
  <si>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</si>
  <si>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</si>
  <si>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</si>
  <si>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</si>
  <si>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mV</t>
  </si>
  <si>
    <t>mg</t>
  </si>
  <si>
    <t>hrs</t>
  </si>
  <si>
    <t>20190811 12:47:53</t>
  </si>
  <si>
    <t>12:47:53</t>
  </si>
  <si>
    <t>MPF-7966-20190811-05_11_28</t>
  </si>
  <si>
    <t>MPF-8025-20190811-12_48_33</t>
  </si>
  <si>
    <t>DARK-8026-20190811-12_48_35</t>
  </si>
  <si>
    <t>-</t>
  </si>
  <si>
    <t>12:48:17</t>
  </si>
  <si>
    <t>2/2</t>
  </si>
  <si>
    <t>5</t>
  </si>
  <si>
    <t>11111111</t>
  </si>
  <si>
    <t>oooooooo</t>
  </si>
  <si>
    <t>off</t>
  </si>
  <si>
    <t>20190811 12:49:48</t>
  </si>
  <si>
    <t>12:49:48</t>
  </si>
  <si>
    <t>MPF-8027-20190811-12_50_28</t>
  </si>
  <si>
    <t>DARK-8028-20190811-12_50_30</t>
  </si>
  <si>
    <t>12:50:10</t>
  </si>
  <si>
    <t>1/2</t>
  </si>
  <si>
    <t>20190811 12:51:41</t>
  </si>
  <si>
    <t>12:51:41</t>
  </si>
  <si>
    <t>MPF-8029-20190811-12_52_21</t>
  </si>
  <si>
    <t>DARK-8030-20190811-12_52_23</t>
  </si>
  <si>
    <t>12:52:03</t>
  </si>
  <si>
    <t>20190811 12:53:34</t>
  </si>
  <si>
    <t>12:53:34</t>
  </si>
  <si>
    <t>MPF-8031-20190811-12_54_14</t>
  </si>
  <si>
    <t>DARK-8032-20190811-12_54_16</t>
  </si>
  <si>
    <t>12:53:59</t>
  </si>
  <si>
    <t>20190811 12:55:18</t>
  </si>
  <si>
    <t>12:55:18</t>
  </si>
  <si>
    <t>MPF-8033-20190811-12_55_58</t>
  </si>
  <si>
    <t>DARK-8034-20190811-12_56_00</t>
  </si>
  <si>
    <t>12:55:43</t>
  </si>
  <si>
    <t>20190811 12:56:52</t>
  </si>
  <si>
    <t>12:56:52</t>
  </si>
  <si>
    <t>MPF-8035-20190811-12_57_32</t>
  </si>
  <si>
    <t>DARK-8036-20190811-12_57_34</t>
  </si>
  <si>
    <t>12:57:21</t>
  </si>
  <si>
    <t>20190811 13:00:38</t>
  </si>
  <si>
    <t>13:00:38</t>
  </si>
  <si>
    <t>MPF-8039-20190811-13_01_18</t>
  </si>
  <si>
    <t>DARK-8040-20190811-13_01_20</t>
  </si>
  <si>
    <t>13:01:05</t>
  </si>
  <si>
    <t>20190811 13:02:36</t>
  </si>
  <si>
    <t>13:02:36</t>
  </si>
  <si>
    <t>MPF-8041-20190811-13_03_16</t>
  </si>
  <si>
    <t>DARK-8042-20190811-13_03_18</t>
  </si>
  <si>
    <t>13:03:00</t>
  </si>
  <si>
    <t>20190811 13:04:31</t>
  </si>
  <si>
    <t>13:04:31</t>
  </si>
  <si>
    <t>MPF-8043-20190811-13_05_11</t>
  </si>
  <si>
    <t>DARK-8044-20190811-13_05_13</t>
  </si>
  <si>
    <t>13:04:57</t>
  </si>
  <si>
    <t>20190811 13:06:24</t>
  </si>
  <si>
    <t>13:06:24</t>
  </si>
  <si>
    <t>MPF-8045-20190811-13_07_04</t>
  </si>
  <si>
    <t>DARK-8046-20190811-13_07_06</t>
  </si>
  <si>
    <t>13:06:49</t>
  </si>
  <si>
    <t>20190811 13:08:20</t>
  </si>
  <si>
    <t>13:08:20</t>
  </si>
  <si>
    <t>MPF-8047-20190811-13_09_00</t>
  </si>
  <si>
    <t>DARK-8048-20190811-13_09_02</t>
  </si>
  <si>
    <t>13:08:43</t>
  </si>
  <si>
    <t>20190811 13:10:14</t>
  </si>
  <si>
    <t>13:10:14</t>
  </si>
  <si>
    <t>MPF-8049-20190811-13_10_54</t>
  </si>
  <si>
    <t>DARK-8050-20190811-13_10_56</t>
  </si>
  <si>
    <t>13:10:54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</si>
</sst>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U28"/>
  <sheetViews>
    <sheetView tabSelected="1" topLeftCell="A13" workbookViewId="0">
      <selection activeCell="A23" sqref="A23:XFD23"/>
    </sheetView>
  </sheetViews>
  <sheetFormatPr defaultRowHeight="14.5" x14ac:dyDescent="0.35"/>
  <sheetData>
    <row r="2" spans="1:229" x14ac:dyDescent="0.35">
      <c r="A2" t="s">
        <v>25</v>
      </c>
      <c r="B2" t="s">
        <v>26</v>
      </c>
      <c r="C2" t="s">
        <v>27</v>
      </c>
      <c r="D2" t="s">
        <v>28</v>
      </c>
    </row>
    <row r="3" spans="1:229" x14ac:dyDescent="0.35">
      <c r="B3">
        <v>4</v>
      </c>
      <c r="C3">
        <v>21</v>
      </c>
      <c r="D3" t="s">
        <v>29</v>
      </c>
    </row>
    <row r="4" spans="1:229" x14ac:dyDescent="0.35">
      <c r="A4" t="s">
        <v>30</v>
      </c>
      <c r="B4" t="s">
        <v>31</v>
      </c>
      <c r="C4" t="s">
        <v>32</v>
      </c>
      <c r="D4" t="s">
        <v>33</v>
      </c>
      <c r="E4" t="s">
        <v>35</v>
      </c>
    </row>
    <row r="5" spans="1:229" x14ac:dyDescent="0.35">
      <c r="B5">
        <v>6</v>
      </c>
      <c r="C5">
        <v>0.5</v>
      </c>
      <c r="D5" t="s">
        <v>34</v>
      </c>
      <c r="E5">
        <v>2</v>
      </c>
    </row>
    <row r="6" spans="1:229" x14ac:dyDescent="0.35">
      <c r="A6" t="s">
        <v>36</v>
      </c>
      <c r="B6" t="s">
        <v>37</v>
      </c>
      <c r="C6" t="s">
        <v>38</v>
      </c>
      <c r="D6" t="s">
        <v>39</v>
      </c>
      <c r="E6" t="s">
        <v>40</v>
      </c>
    </row>
    <row r="7" spans="1:229" x14ac:dyDescent="0.35">
      <c r="B7">
        <v>0</v>
      </c>
      <c r="C7">
        <v>1</v>
      </c>
      <c r="D7">
        <v>0</v>
      </c>
      <c r="E7">
        <v>0</v>
      </c>
    </row>
    <row r="8" spans="1:229" x14ac:dyDescent="0.35">
      <c r="A8" t="s">
        <v>41</v>
      </c>
      <c r="B8" t="s">
        <v>42</v>
      </c>
      <c r="C8" t="s">
        <v>44</v>
      </c>
      <c r="D8" t="s">
        <v>46</v>
      </c>
      <c r="E8" t="s">
        <v>47</v>
      </c>
      <c r="F8" t="s">
        <v>48</v>
      </c>
      <c r="G8" t="s">
        <v>49</v>
      </c>
      <c r="H8" t="s">
        <v>50</v>
      </c>
      <c r="I8" t="s">
        <v>51</v>
      </c>
      <c r="J8" t="s">
        <v>52</v>
      </c>
      <c r="K8" t="s">
        <v>53</v>
      </c>
      <c r="L8" t="s">
        <v>54</v>
      </c>
      <c r="M8" t="s">
        <v>55</v>
      </c>
      <c r="N8" t="s">
        <v>56</v>
      </c>
      <c r="O8" t="s">
        <v>57</v>
      </c>
      <c r="P8" t="s">
        <v>58</v>
      </c>
      <c r="Q8" t="s">
        <v>59</v>
      </c>
    </row>
    <row r="9" spans="1:229" x14ac:dyDescent="0.35">
      <c r="B9" t="s">
        <v>43</v>
      </c>
      <c r="C9" t="s">
        <v>45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229" x14ac:dyDescent="0.35">
      <c r="A10" t="s">
        <v>60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</row>
    <row r="11" spans="1:22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229" x14ac:dyDescent="0.35">
      <c r="A12" t="s">
        <v>66</v>
      </c>
      <c r="B12" t="s">
        <v>67</v>
      </c>
      <c r="C12" t="s">
        <v>68</v>
      </c>
      <c r="D12" t="s">
        <v>69</v>
      </c>
      <c r="E12" t="s">
        <v>70</v>
      </c>
      <c r="F12" t="s">
        <v>71</v>
      </c>
      <c r="G12" t="s">
        <v>73</v>
      </c>
      <c r="H12" t="s">
        <v>75</v>
      </c>
    </row>
    <row r="13" spans="1:229" x14ac:dyDescent="0.35">
      <c r="B13">
        <v>-6276</v>
      </c>
      <c r="C13">
        <v>6.6</v>
      </c>
      <c r="D13">
        <v>1.7090000000000001E-5</v>
      </c>
      <c r="E13">
        <v>3.11</v>
      </c>
      <c r="F13" t="s">
        <v>72</v>
      </c>
      <c r="G13" t="s">
        <v>74</v>
      </c>
      <c r="H13">
        <v>0</v>
      </c>
    </row>
    <row r="14" spans="1:229" x14ac:dyDescent="0.35">
      <c r="A14" t="s">
        <v>76</v>
      </c>
      <c r="B14" t="s">
        <v>76</v>
      </c>
      <c r="C14" t="s">
        <v>76</v>
      </c>
      <c r="D14" t="s">
        <v>76</v>
      </c>
      <c r="E14" t="s">
        <v>76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80</v>
      </c>
      <c r="AM14" t="s">
        <v>80</v>
      </c>
      <c r="AN14" t="s">
        <v>80</v>
      </c>
      <c r="AO14" t="s">
        <v>80</v>
      </c>
      <c r="AP14" t="s">
        <v>80</v>
      </c>
      <c r="AQ14" t="s">
        <v>80</v>
      </c>
      <c r="AR14" t="s">
        <v>80</v>
      </c>
      <c r="AS14" t="s">
        <v>80</v>
      </c>
      <c r="AT14" t="s">
        <v>80</v>
      </c>
      <c r="AU14" t="s">
        <v>80</v>
      </c>
      <c r="AV14" t="s">
        <v>80</v>
      </c>
      <c r="AW14" t="s">
        <v>80</v>
      </c>
      <c r="AX14" t="s">
        <v>80</v>
      </c>
      <c r="AY14" t="s">
        <v>80</v>
      </c>
      <c r="AZ14" t="s">
        <v>80</v>
      </c>
      <c r="BA14" t="s">
        <v>80</v>
      </c>
      <c r="BB14" t="s">
        <v>80</v>
      </c>
      <c r="BC14" t="s">
        <v>80</v>
      </c>
      <c r="BD14" t="s">
        <v>80</v>
      </c>
      <c r="BE14" t="s">
        <v>80</v>
      </c>
      <c r="BF14" t="s">
        <v>80</v>
      </c>
      <c r="BG14" t="s">
        <v>80</v>
      </c>
      <c r="BH14" t="s">
        <v>80</v>
      </c>
      <c r="BI14" t="s">
        <v>80</v>
      </c>
      <c r="BJ14" t="s">
        <v>81</v>
      </c>
      <c r="BK14" t="s">
        <v>81</v>
      </c>
      <c r="BL14" t="s">
        <v>81</v>
      </c>
      <c r="BM14" t="s">
        <v>81</v>
      </c>
      <c r="BN14" t="s">
        <v>81</v>
      </c>
      <c r="BO14" t="s">
        <v>81</v>
      </c>
      <c r="BP14" t="s">
        <v>81</v>
      </c>
      <c r="BQ14" t="s">
        <v>81</v>
      </c>
      <c r="BR14" t="s">
        <v>82</v>
      </c>
      <c r="BS14" t="s">
        <v>82</v>
      </c>
      <c r="BT14" t="s">
        <v>82</v>
      </c>
      <c r="BU14" t="s">
        <v>82</v>
      </c>
      <c r="BV14" t="s">
        <v>82</v>
      </c>
      <c r="BW14" t="s">
        <v>82</v>
      </c>
      <c r="BX14" t="s">
        <v>82</v>
      </c>
      <c r="BY14" t="s">
        <v>82</v>
      </c>
      <c r="BZ14" t="s">
        <v>82</v>
      </c>
      <c r="CA14" t="s">
        <v>82</v>
      </c>
      <c r="CB14" t="s">
        <v>83</v>
      </c>
      <c r="CC14" t="s">
        <v>83</v>
      </c>
      <c r="CD14" t="s">
        <v>83</v>
      </c>
      <c r="CE14" t="s">
        <v>83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84</v>
      </c>
      <c r="CO14" t="s">
        <v>84</v>
      </c>
      <c r="CP14" t="s">
        <v>84</v>
      </c>
      <c r="CQ14" t="s">
        <v>84</v>
      </c>
      <c r="CR14" t="s">
        <v>84</v>
      </c>
      <c r="CS14" t="s">
        <v>84</v>
      </c>
      <c r="CT14" t="s">
        <v>84</v>
      </c>
      <c r="CU14" t="s">
        <v>84</v>
      </c>
      <c r="CV14" t="s">
        <v>85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85</v>
      </c>
      <c r="DC14" t="s">
        <v>85</v>
      </c>
      <c r="DD14" t="s">
        <v>85</v>
      </c>
      <c r="DE14" t="s">
        <v>85</v>
      </c>
      <c r="DF14" t="s">
        <v>85</v>
      </c>
      <c r="DG14" t="s">
        <v>85</v>
      </c>
      <c r="DH14" t="s">
        <v>86</v>
      </c>
      <c r="DI14" t="s">
        <v>86</v>
      </c>
      <c r="DJ14" t="s">
        <v>86</v>
      </c>
      <c r="DK14" t="s">
        <v>86</v>
      </c>
      <c r="DL14" t="s">
        <v>86</v>
      </c>
      <c r="DM14" t="s">
        <v>86</v>
      </c>
      <c r="DN14" t="s">
        <v>86</v>
      </c>
      <c r="DO14" t="s">
        <v>86</v>
      </c>
      <c r="DP14" t="s">
        <v>86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87</v>
      </c>
      <c r="DZ14" t="s">
        <v>87</v>
      </c>
      <c r="EA14" t="s">
        <v>87</v>
      </c>
      <c r="EB14" t="s">
        <v>87</v>
      </c>
      <c r="EC14" t="s">
        <v>87</v>
      </c>
      <c r="ED14" t="s">
        <v>88</v>
      </c>
      <c r="EE14" t="s">
        <v>88</v>
      </c>
      <c r="EF14" t="s">
        <v>88</v>
      </c>
      <c r="EG14" t="s">
        <v>88</v>
      </c>
      <c r="EH14" t="s">
        <v>88</v>
      </c>
      <c r="EI14" t="s">
        <v>88</v>
      </c>
      <c r="EJ14" t="s">
        <v>88</v>
      </c>
      <c r="EK14" t="s">
        <v>88</v>
      </c>
      <c r="EL14" t="s">
        <v>88</v>
      </c>
      <c r="EM14" t="s">
        <v>89</v>
      </c>
      <c r="EN14" t="s">
        <v>89</v>
      </c>
      <c r="EO14" t="s">
        <v>89</v>
      </c>
      <c r="EP14" t="s">
        <v>89</v>
      </c>
      <c r="EQ14" t="s">
        <v>89</v>
      </c>
      <c r="ER14" t="s">
        <v>89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90</v>
      </c>
      <c r="EY14" t="s">
        <v>90</v>
      </c>
      <c r="EZ14" t="s">
        <v>90</v>
      </c>
      <c r="FA14" t="s">
        <v>90</v>
      </c>
      <c r="FB14" t="s">
        <v>90</v>
      </c>
      <c r="FC14" t="s">
        <v>90</v>
      </c>
      <c r="FD14" t="s">
        <v>90</v>
      </c>
      <c r="FE14" t="s">
        <v>90</v>
      </c>
      <c r="FF14" t="s">
        <v>90</v>
      </c>
      <c r="FG14" t="s">
        <v>90</v>
      </c>
      <c r="FH14" t="s">
        <v>90</v>
      </c>
      <c r="FI14" t="s">
        <v>90</v>
      </c>
      <c r="FJ14" t="s">
        <v>90</v>
      </c>
      <c r="FK14" t="s">
        <v>90</v>
      </c>
      <c r="FL14" t="s">
        <v>90</v>
      </c>
      <c r="FM14" t="s">
        <v>90</v>
      </c>
      <c r="FN14" t="s">
        <v>90</v>
      </c>
      <c r="FO14" t="s">
        <v>90</v>
      </c>
      <c r="FP14" t="s">
        <v>91</v>
      </c>
      <c r="FQ14" t="s">
        <v>91</v>
      </c>
      <c r="FR14" t="s">
        <v>91</v>
      </c>
      <c r="FS14" t="s">
        <v>91</v>
      </c>
      <c r="FT14" t="s">
        <v>91</v>
      </c>
      <c r="FU14" t="s">
        <v>91</v>
      </c>
      <c r="FV14" t="s">
        <v>91</v>
      </c>
      <c r="FW14" t="s">
        <v>91</v>
      </c>
      <c r="FX14" t="s">
        <v>91</v>
      </c>
      <c r="FY14" t="s">
        <v>91</v>
      </c>
      <c r="FZ14" t="s">
        <v>91</v>
      </c>
      <c r="GA14" t="s">
        <v>91</v>
      </c>
      <c r="GB14" t="s">
        <v>91</v>
      </c>
      <c r="GC14" t="s">
        <v>91</v>
      </c>
      <c r="GD14" t="s">
        <v>91</v>
      </c>
      <c r="GE14" t="s">
        <v>91</v>
      </c>
      <c r="GF14" t="s">
        <v>91</v>
      </c>
      <c r="GG14" t="s">
        <v>91</v>
      </c>
      <c r="GH14" t="s">
        <v>91</v>
      </c>
      <c r="GI14" t="s">
        <v>92</v>
      </c>
      <c r="GJ14" t="s">
        <v>92</v>
      </c>
      <c r="GK14" t="s">
        <v>92</v>
      </c>
      <c r="GL14" t="s">
        <v>92</v>
      </c>
      <c r="GM14" t="s">
        <v>92</v>
      </c>
      <c r="GN14" t="s">
        <v>92</v>
      </c>
      <c r="GO14" t="s">
        <v>92</v>
      </c>
      <c r="GP14" t="s">
        <v>92</v>
      </c>
      <c r="GQ14" t="s">
        <v>92</v>
      </c>
      <c r="GR14" t="s">
        <v>92</v>
      </c>
      <c r="GS14" t="s">
        <v>92</v>
      </c>
      <c r="GT14" t="s">
        <v>92</v>
      </c>
      <c r="GU14" t="s">
        <v>92</v>
      </c>
      <c r="GV14" t="s">
        <v>92</v>
      </c>
      <c r="GW14" t="s">
        <v>92</v>
      </c>
      <c r="GX14" t="s">
        <v>92</v>
      </c>
      <c r="GY14" t="s">
        <v>92</v>
      </c>
      <c r="GZ14" t="s">
        <v>92</v>
      </c>
      <c r="HA14" t="s">
        <v>92</v>
      </c>
      <c r="HB14" t="s">
        <v>93</v>
      </c>
      <c r="HC14" t="s">
        <v>93</v>
      </c>
      <c r="HD14" t="s">
        <v>93</v>
      </c>
      <c r="HE14" t="s">
        <v>93</v>
      </c>
      <c r="HF14" t="s">
        <v>93</v>
      </c>
      <c r="HG14" t="s">
        <v>93</v>
      </c>
      <c r="HH14" t="s">
        <v>93</v>
      </c>
      <c r="HI14" t="s">
        <v>93</v>
      </c>
      <c r="HJ14" t="s">
        <v>93</v>
      </c>
      <c r="HK14" t="s">
        <v>93</v>
      </c>
      <c r="HL14" t="s">
        <v>93</v>
      </c>
      <c r="HM14" t="s">
        <v>93</v>
      </c>
      <c r="HN14" t="s">
        <v>93</v>
      </c>
      <c r="HO14" t="s">
        <v>93</v>
      </c>
      <c r="HP14" t="s">
        <v>93</v>
      </c>
      <c r="HQ14" t="s">
        <v>93</v>
      </c>
      <c r="HR14" t="s">
        <v>93</v>
      </c>
      <c r="HS14" t="s">
        <v>93</v>
      </c>
      <c r="HT14" t="s">
        <v>93</v>
      </c>
      <c r="HU14" t="s">
        <v>93</v>
      </c>
    </row>
    <row r="15" spans="1:229" x14ac:dyDescent="0.35">
      <c r="A15" t="s">
        <v>94</v>
      </c>
      <c r="B15" t="s">
        <v>95</v>
      </c>
      <c r="C15" t="s">
        <v>96</v>
      </c>
      <c r="D15" t="s">
        <v>97</v>
      </c>
      <c r="E15" t="s">
        <v>98</v>
      </c>
      <c r="F15" t="s">
        <v>99</v>
      </c>
      <c r="G15" t="s">
        <v>100</v>
      </c>
      <c r="H15" t="s">
        <v>101</v>
      </c>
      <c r="I15" t="s">
        <v>102</v>
      </c>
      <c r="J15" t="s">
        <v>103</v>
      </c>
      <c r="K15" t="s">
        <v>104</v>
      </c>
      <c r="L15" t="s">
        <v>105</v>
      </c>
      <c r="M15" t="s">
        <v>106</v>
      </c>
      <c r="N15" t="s">
        <v>107</v>
      </c>
      <c r="O15" t="s">
        <v>108</v>
      </c>
      <c r="P15" t="s">
        <v>109</v>
      </c>
      <c r="Q15" t="s">
        <v>110</v>
      </c>
      <c r="R15" t="s">
        <v>111</v>
      </c>
      <c r="S15" t="s">
        <v>112</v>
      </c>
      <c r="T15" t="s">
        <v>113</v>
      </c>
      <c r="U15" t="s">
        <v>114</v>
      </c>
      <c r="V15" t="s">
        <v>115</v>
      </c>
      <c r="W15" t="s">
        <v>116</v>
      </c>
      <c r="X15" t="s">
        <v>117</v>
      </c>
      <c r="Y15" t="s">
        <v>118</v>
      </c>
      <c r="Z15" t="s">
        <v>119</v>
      </c>
      <c r="AA15" t="s">
        <v>120</v>
      </c>
      <c r="AB15" t="s">
        <v>121</v>
      </c>
      <c r="AC15" t="s">
        <v>122</v>
      </c>
      <c r="AD15" t="s">
        <v>123</v>
      </c>
      <c r="AE15" t="s">
        <v>124</v>
      </c>
      <c r="AF15" t="s">
        <v>125</v>
      </c>
      <c r="AG15" t="s">
        <v>79</v>
      </c>
      <c r="AH15" t="s">
        <v>126</v>
      </c>
      <c r="AI15" t="s">
        <v>127</v>
      </c>
      <c r="AJ15" t="s">
        <v>128</v>
      </c>
      <c r="AK15" t="s">
        <v>129</v>
      </c>
      <c r="AL15" t="s">
        <v>130</v>
      </c>
      <c r="AM15" t="s">
        <v>131</v>
      </c>
      <c r="AN15" t="s">
        <v>132</v>
      </c>
      <c r="AO15" t="s">
        <v>133</v>
      </c>
      <c r="AP15" t="s">
        <v>134</v>
      </c>
      <c r="AQ15" t="s">
        <v>135</v>
      </c>
      <c r="AR15" t="s">
        <v>136</v>
      </c>
      <c r="AS15" t="s">
        <v>137</v>
      </c>
      <c r="AT15" t="s">
        <v>138</v>
      </c>
      <c r="AU15" t="s">
        <v>139</v>
      </c>
      <c r="AV15" t="s">
        <v>140</v>
      </c>
      <c r="AW15" t="s">
        <v>141</v>
      </c>
      <c r="AX15" t="s">
        <v>142</v>
      </c>
      <c r="AY15" t="s">
        <v>143</v>
      </c>
      <c r="AZ15" t="s">
        <v>144</v>
      </c>
      <c r="BA15" t="s">
        <v>145</v>
      </c>
      <c r="BB15" t="s">
        <v>146</v>
      </c>
      <c r="BC15" t="s">
        <v>147</v>
      </c>
      <c r="BD15" t="s">
        <v>148</v>
      </c>
      <c r="BE15" t="s">
        <v>149</v>
      </c>
      <c r="BF15" t="s">
        <v>150</v>
      </c>
      <c r="BG15" t="s">
        <v>151</v>
      </c>
      <c r="BH15" t="s">
        <v>152</v>
      </c>
      <c r="BI15" t="s">
        <v>153</v>
      </c>
      <c r="BJ15" t="s">
        <v>154</v>
      </c>
      <c r="BK15" t="s">
        <v>155</v>
      </c>
      <c r="BL15" t="s">
        <v>156</v>
      </c>
      <c r="BM15" t="s">
        <v>157</v>
      </c>
      <c r="BN15" t="s">
        <v>158</v>
      </c>
      <c r="BO15" t="s">
        <v>159</v>
      </c>
      <c r="BP15" t="s">
        <v>160</v>
      </c>
      <c r="BQ15" t="s">
        <v>161</v>
      </c>
      <c r="BR15" t="s">
        <v>154</v>
      </c>
      <c r="BS15" t="s">
        <v>162</v>
      </c>
      <c r="BT15" t="s">
        <v>131</v>
      </c>
      <c r="BU15" t="s">
        <v>163</v>
      </c>
      <c r="BV15" t="s">
        <v>164</v>
      </c>
      <c r="BW15" t="s">
        <v>165</v>
      </c>
      <c r="BX15" t="s">
        <v>166</v>
      </c>
      <c r="BY15" t="s">
        <v>167</v>
      </c>
      <c r="BZ15" t="s">
        <v>168</v>
      </c>
      <c r="CA15" t="s">
        <v>169</v>
      </c>
      <c r="CB15" t="s">
        <v>170</v>
      </c>
      <c r="CC15" t="s">
        <v>171</v>
      </c>
      <c r="CD15" t="s">
        <v>172</v>
      </c>
      <c r="CE15" t="s">
        <v>173</v>
      </c>
      <c r="CF15" t="s">
        <v>100</v>
      </c>
      <c r="CG15" t="s">
        <v>174</v>
      </c>
      <c r="CH15" t="s">
        <v>175</v>
      </c>
      <c r="CI15" t="s">
        <v>176</v>
      </c>
      <c r="CJ15" t="s">
        <v>177</v>
      </c>
      <c r="CK15" t="s">
        <v>178</v>
      </c>
      <c r="CL15" t="s">
        <v>179</v>
      </c>
      <c r="CM15" t="s">
        <v>180</v>
      </c>
      <c r="CN15" t="s">
        <v>181</v>
      </c>
      <c r="CO15" t="s">
        <v>182</v>
      </c>
      <c r="CP15" t="s">
        <v>183</v>
      </c>
      <c r="CQ15" t="s">
        <v>184</v>
      </c>
      <c r="CR15" t="s">
        <v>185</v>
      </c>
      <c r="CS15" t="s">
        <v>186</v>
      </c>
      <c r="CT15" t="s">
        <v>187</v>
      </c>
      <c r="CU15" t="s">
        <v>188</v>
      </c>
      <c r="CV15" t="s">
        <v>189</v>
      </c>
      <c r="CW15" t="s">
        <v>190</v>
      </c>
      <c r="CX15" t="s">
        <v>191</v>
      </c>
      <c r="CY15" t="s">
        <v>192</v>
      </c>
      <c r="CZ15" t="s">
        <v>193</v>
      </c>
      <c r="DA15" t="s">
        <v>194</v>
      </c>
      <c r="DB15" t="s">
        <v>195</v>
      </c>
      <c r="DC15" t="s">
        <v>196</v>
      </c>
      <c r="DD15" t="s">
        <v>197</v>
      </c>
      <c r="DE15" t="s">
        <v>198</v>
      </c>
      <c r="DF15" t="s">
        <v>199</v>
      </c>
      <c r="DG15" t="s">
        <v>200</v>
      </c>
      <c r="DH15" t="s">
        <v>201</v>
      </c>
      <c r="DI15" t="s">
        <v>202</v>
      </c>
      <c r="DJ15" t="s">
        <v>203</v>
      </c>
      <c r="DK15" t="s">
        <v>204</v>
      </c>
      <c r="DL15" t="s">
        <v>205</v>
      </c>
      <c r="DM15" t="s">
        <v>206</v>
      </c>
      <c r="DN15" t="s">
        <v>207</v>
      </c>
      <c r="DO15" t="s">
        <v>208</v>
      </c>
      <c r="DP15" t="s">
        <v>209</v>
      </c>
      <c r="DQ15" t="s">
        <v>210</v>
      </c>
      <c r="DR15" t="s">
        <v>211</v>
      </c>
      <c r="DS15" t="s">
        <v>212</v>
      </c>
      <c r="DT15" t="s">
        <v>213</v>
      </c>
      <c r="DU15" t="s">
        <v>214</v>
      </c>
      <c r="DV15" t="s">
        <v>215</v>
      </c>
      <c r="DW15" t="s">
        <v>216</v>
      </c>
      <c r="DX15" t="s">
        <v>217</v>
      </c>
      <c r="DY15" t="s">
        <v>218</v>
      </c>
      <c r="DZ15" t="s">
        <v>219</v>
      </c>
      <c r="EA15" t="s">
        <v>220</v>
      </c>
      <c r="EB15" t="s">
        <v>221</v>
      </c>
      <c r="EC15" t="s">
        <v>222</v>
      </c>
      <c r="ED15" t="s">
        <v>95</v>
      </c>
      <c r="EE15" t="s">
        <v>98</v>
      </c>
      <c r="EF15" t="s">
        <v>223</v>
      </c>
      <c r="EG15" t="s">
        <v>224</v>
      </c>
      <c r="EH15" t="s">
        <v>225</v>
      </c>
      <c r="EI15" t="s">
        <v>226</v>
      </c>
      <c r="EJ15" t="s">
        <v>227</v>
      </c>
      <c r="EK15" t="s">
        <v>228</v>
      </c>
      <c r="EL15" t="s">
        <v>229</v>
      </c>
      <c r="EM15" t="s">
        <v>230</v>
      </c>
      <c r="EN15" t="s">
        <v>231</v>
      </c>
      <c r="EO15" t="s">
        <v>232</v>
      </c>
      <c r="EP15" t="s">
        <v>233</v>
      </c>
      <c r="EQ15" t="s">
        <v>234</v>
      </c>
      <c r="ER15" t="s">
        <v>235</v>
      </c>
      <c r="ES15" t="s">
        <v>236</v>
      </c>
      <c r="ET15" t="s">
        <v>237</v>
      </c>
      <c r="EU15" t="s">
        <v>238</v>
      </c>
      <c r="EV15" t="s">
        <v>239</v>
      </c>
      <c r="EW15" t="s">
        <v>240</v>
      </c>
      <c r="EX15" t="s">
        <v>241</v>
      </c>
      <c r="EY15" t="s">
        <v>242</v>
      </c>
      <c r="EZ15" t="s">
        <v>243</v>
      </c>
      <c r="FA15" t="s">
        <v>244</v>
      </c>
      <c r="FB15" t="s">
        <v>245</v>
      </c>
      <c r="FC15" t="s">
        <v>246</v>
      </c>
      <c r="FD15" t="s">
        <v>247</v>
      </c>
      <c r="FE15" t="s">
        <v>248</v>
      </c>
      <c r="FF15" t="s">
        <v>249</v>
      </c>
      <c r="FG15" t="s">
        <v>250</v>
      </c>
      <c r="FH15" t="s">
        <v>251</v>
      </c>
      <c r="FI15" t="s">
        <v>252</v>
      </c>
      <c r="FJ15" t="s">
        <v>253</v>
      </c>
      <c r="FK15" t="s">
        <v>254</v>
      </c>
      <c r="FL15" t="s">
        <v>255</v>
      </c>
      <c r="FM15" t="s">
        <v>256</v>
      </c>
      <c r="FN15" t="s">
        <v>257</v>
      </c>
      <c r="FO15" t="s">
        <v>258</v>
      </c>
      <c r="FP15" t="s">
        <v>259</v>
      </c>
      <c r="FQ15" t="s">
        <v>260</v>
      </c>
      <c r="FR15" t="s">
        <v>261</v>
      </c>
      <c r="FS15" t="s">
        <v>262</v>
      </c>
      <c r="FT15" t="s">
        <v>263</v>
      </c>
      <c r="FU15" t="s">
        <v>264</v>
      </c>
      <c r="FV15" t="s">
        <v>265</v>
      </c>
      <c r="FW15" t="s">
        <v>266</v>
      </c>
      <c r="FX15" t="s">
        <v>267</v>
      </c>
      <c r="FY15" t="s">
        <v>268</v>
      </c>
      <c r="FZ15" t="s">
        <v>269</v>
      </c>
      <c r="GA15" t="s">
        <v>270</v>
      </c>
      <c r="GB15" t="s">
        <v>271</v>
      </c>
      <c r="GC15" t="s">
        <v>272</v>
      </c>
      <c r="GD15" t="s">
        <v>273</v>
      </c>
      <c r="GE15" t="s">
        <v>274</v>
      </c>
      <c r="GF15" t="s">
        <v>275</v>
      </c>
      <c r="GG15" t="s">
        <v>276</v>
      </c>
      <c r="GH15" t="s">
        <v>277</v>
      </c>
      <c r="GI15" t="s">
        <v>278</v>
      </c>
      <c r="GJ15" t="s">
        <v>279</v>
      </c>
      <c r="GK15" t="s">
        <v>280</v>
      </c>
      <c r="GL15" t="s">
        <v>281</v>
      </c>
      <c r="GM15" t="s">
        <v>282</v>
      </c>
      <c r="GN15" t="s">
        <v>283</v>
      </c>
      <c r="GO15" t="s">
        <v>284</v>
      </c>
      <c r="GP15" t="s">
        <v>285</v>
      </c>
      <c r="GQ15" t="s">
        <v>286</v>
      </c>
      <c r="GR15" t="s">
        <v>287</v>
      </c>
      <c r="GS15" t="s">
        <v>288</v>
      </c>
      <c r="GT15" t="s">
        <v>289</v>
      </c>
      <c r="GU15" t="s">
        <v>290</v>
      </c>
      <c r="GV15" t="s">
        <v>291</v>
      </c>
      <c r="GW15" t="s">
        <v>292</v>
      </c>
      <c r="GX15" t="s">
        <v>293</v>
      </c>
      <c r="GY15" t="s">
        <v>294</v>
      </c>
      <c r="GZ15" t="s">
        <v>295</v>
      </c>
      <c r="HA15" t="s">
        <v>296</v>
      </c>
      <c r="HB15" t="s">
        <v>297</v>
      </c>
      <c r="HC15" t="s">
        <v>298</v>
      </c>
      <c r="HD15" t="s">
        <v>299</v>
      </c>
      <c r="HE15" t="s">
        <v>300</v>
      </c>
      <c r="HF15" t="s">
        <v>301</v>
      </c>
      <c r="HG15" t="s">
        <v>302</v>
      </c>
      <c r="HH15" t="s">
        <v>303</v>
      </c>
      <c r="HI15" t="s">
        <v>304</v>
      </c>
      <c r="HJ15" t="s">
        <v>305</v>
      </c>
      <c r="HK15" t="s">
        <v>306</v>
      </c>
      <c r="HL15" t="s">
        <v>307</v>
      </c>
      <c r="HM15" t="s">
        <v>308</v>
      </c>
      <c r="HN15" t="s">
        <v>309</v>
      </c>
      <c r="HO15" t="s">
        <v>310</v>
      </c>
      <c r="HP15" t="s">
        <v>311</v>
      </c>
      <c r="HQ15" t="s">
        <v>312</v>
      </c>
      <c r="HR15" t="s">
        <v>313</v>
      </c>
      <c r="HS15" t="s">
        <v>314</v>
      </c>
      <c r="HT15" t="s">
        <v>315</v>
      </c>
      <c r="HU15" t="s">
        <v>316</v>
      </c>
    </row>
    <row r="16" spans="1:229" x14ac:dyDescent="0.35">
      <c r="B16" t="s">
        <v>317</v>
      </c>
      <c r="C16" t="s">
        <v>317</v>
      </c>
      <c r="G16" t="s">
        <v>317</v>
      </c>
      <c r="H16" t="s">
        <v>318</v>
      </c>
      <c r="I16" t="s">
        <v>319</v>
      </c>
      <c r="J16" t="s">
        <v>320</v>
      </c>
      <c r="K16" t="s">
        <v>320</v>
      </c>
      <c r="L16" t="s">
        <v>179</v>
      </c>
      <c r="M16" t="s">
        <v>179</v>
      </c>
      <c r="N16" t="s">
        <v>318</v>
      </c>
      <c r="O16" t="s">
        <v>318</v>
      </c>
      <c r="P16" t="s">
        <v>318</v>
      </c>
      <c r="Q16" t="s">
        <v>318</v>
      </c>
      <c r="R16" t="s">
        <v>321</v>
      </c>
      <c r="S16" t="s">
        <v>322</v>
      </c>
      <c r="T16" t="s">
        <v>322</v>
      </c>
      <c r="U16" t="s">
        <v>323</v>
      </c>
      <c r="V16" t="s">
        <v>324</v>
      </c>
      <c r="W16" t="s">
        <v>323</v>
      </c>
      <c r="X16" t="s">
        <v>323</v>
      </c>
      <c r="Y16" t="s">
        <v>323</v>
      </c>
      <c r="Z16" t="s">
        <v>321</v>
      </c>
      <c r="AA16" t="s">
        <v>321</v>
      </c>
      <c r="AB16" t="s">
        <v>321</v>
      </c>
      <c r="AC16" t="s">
        <v>321</v>
      </c>
      <c r="AG16" t="s">
        <v>325</v>
      </c>
      <c r="AH16" t="s">
        <v>324</v>
      </c>
      <c r="AJ16" t="s">
        <v>324</v>
      </c>
      <c r="AK16" t="s">
        <v>325</v>
      </c>
      <c r="AQ16" t="s">
        <v>319</v>
      </c>
      <c r="AW16" t="s">
        <v>319</v>
      </c>
      <c r="AX16" t="s">
        <v>319</v>
      </c>
      <c r="AY16" t="s">
        <v>319</v>
      </c>
      <c r="BA16" t="s">
        <v>326</v>
      </c>
      <c r="BK16" t="s">
        <v>327</v>
      </c>
      <c r="BL16" t="s">
        <v>327</v>
      </c>
      <c r="BM16" t="s">
        <v>327</v>
      </c>
      <c r="BN16" t="s">
        <v>319</v>
      </c>
      <c r="BP16" t="s">
        <v>328</v>
      </c>
      <c r="BS16" t="s">
        <v>327</v>
      </c>
      <c r="BX16" t="s">
        <v>317</v>
      </c>
      <c r="BY16" t="s">
        <v>317</v>
      </c>
      <c r="BZ16" t="s">
        <v>317</v>
      </c>
      <c r="CA16" t="s">
        <v>317</v>
      </c>
      <c r="CB16" t="s">
        <v>319</v>
      </c>
      <c r="CC16" t="s">
        <v>319</v>
      </c>
      <c r="CE16" t="s">
        <v>329</v>
      </c>
      <c r="CF16" t="s">
        <v>317</v>
      </c>
      <c r="CG16" t="s">
        <v>320</v>
      </c>
      <c r="CH16" t="s">
        <v>320</v>
      </c>
      <c r="CI16" t="s">
        <v>330</v>
      </c>
      <c r="CJ16" t="s">
        <v>330</v>
      </c>
      <c r="CK16" t="s">
        <v>325</v>
      </c>
      <c r="CL16" t="s">
        <v>323</v>
      </c>
      <c r="CM16" t="s">
        <v>323</v>
      </c>
      <c r="CN16" t="s">
        <v>322</v>
      </c>
      <c r="CO16" t="s">
        <v>322</v>
      </c>
      <c r="CP16" t="s">
        <v>322</v>
      </c>
      <c r="CQ16" t="s">
        <v>322</v>
      </c>
      <c r="CR16" t="s">
        <v>322</v>
      </c>
      <c r="CS16" t="s">
        <v>331</v>
      </c>
      <c r="CT16" t="s">
        <v>319</v>
      </c>
      <c r="CU16" t="s">
        <v>319</v>
      </c>
      <c r="CV16" t="s">
        <v>320</v>
      </c>
      <c r="CW16" t="s">
        <v>320</v>
      </c>
      <c r="CX16" t="s">
        <v>320</v>
      </c>
      <c r="CY16" t="s">
        <v>330</v>
      </c>
      <c r="CZ16" t="s">
        <v>320</v>
      </c>
      <c r="DA16" t="s">
        <v>320</v>
      </c>
      <c r="DB16" t="s">
        <v>330</v>
      </c>
      <c r="DC16" t="s">
        <v>330</v>
      </c>
      <c r="DD16" t="s">
        <v>323</v>
      </c>
      <c r="DE16" t="s">
        <v>323</v>
      </c>
      <c r="DF16" t="s">
        <v>322</v>
      </c>
      <c r="DG16" t="s">
        <v>322</v>
      </c>
      <c r="DH16" t="s">
        <v>319</v>
      </c>
      <c r="DM16" t="s">
        <v>319</v>
      </c>
      <c r="DP16" t="s">
        <v>322</v>
      </c>
      <c r="DQ16" t="s">
        <v>322</v>
      </c>
      <c r="DR16" t="s">
        <v>322</v>
      </c>
      <c r="DS16" t="s">
        <v>322</v>
      </c>
      <c r="DT16" t="s">
        <v>322</v>
      </c>
      <c r="DU16" t="s">
        <v>319</v>
      </c>
      <c r="DV16" t="s">
        <v>319</v>
      </c>
      <c r="DW16" t="s">
        <v>319</v>
      </c>
      <c r="DX16" t="s">
        <v>317</v>
      </c>
      <c r="DZ16" t="s">
        <v>332</v>
      </c>
      <c r="EA16" t="s">
        <v>332</v>
      </c>
      <c r="EC16" t="s">
        <v>317</v>
      </c>
      <c r="ED16" t="s">
        <v>333</v>
      </c>
      <c r="EG16" t="s">
        <v>334</v>
      </c>
      <c r="EH16" t="s">
        <v>335</v>
      </c>
      <c r="EI16" t="s">
        <v>334</v>
      </c>
      <c r="EJ16" t="s">
        <v>335</v>
      </c>
      <c r="EK16" t="s">
        <v>324</v>
      </c>
      <c r="EL16" t="s">
        <v>324</v>
      </c>
      <c r="EM16" t="s">
        <v>319</v>
      </c>
      <c r="EN16" t="s">
        <v>336</v>
      </c>
      <c r="EO16" t="s">
        <v>319</v>
      </c>
      <c r="EQ16" t="s">
        <v>318</v>
      </c>
      <c r="ER16" t="s">
        <v>337</v>
      </c>
      <c r="ES16" t="s">
        <v>318</v>
      </c>
      <c r="EX16" t="s">
        <v>338</v>
      </c>
      <c r="EY16" t="s">
        <v>338</v>
      </c>
      <c r="FL16" t="s">
        <v>338</v>
      </c>
      <c r="FM16" t="s">
        <v>338</v>
      </c>
      <c r="FN16" t="s">
        <v>339</v>
      </c>
      <c r="FO16" t="s">
        <v>339</v>
      </c>
      <c r="FP16" t="s">
        <v>322</v>
      </c>
      <c r="FQ16" t="s">
        <v>322</v>
      </c>
      <c r="FR16" t="s">
        <v>324</v>
      </c>
      <c r="FS16" t="s">
        <v>322</v>
      </c>
      <c r="FT16" t="s">
        <v>330</v>
      </c>
      <c r="FU16" t="s">
        <v>324</v>
      </c>
      <c r="FV16" t="s">
        <v>324</v>
      </c>
      <c r="FX16" t="s">
        <v>338</v>
      </c>
      <c r="FY16" t="s">
        <v>338</v>
      </c>
      <c r="FZ16" t="s">
        <v>338</v>
      </c>
      <c r="GA16" t="s">
        <v>338</v>
      </c>
      <c r="GB16" t="s">
        <v>338</v>
      </c>
      <c r="GC16" t="s">
        <v>338</v>
      </c>
      <c r="GD16" t="s">
        <v>338</v>
      </c>
      <c r="GE16" t="s">
        <v>340</v>
      </c>
      <c r="GF16" t="s">
        <v>340</v>
      </c>
      <c r="GG16" t="s">
        <v>341</v>
      </c>
      <c r="GH16" t="s">
        <v>340</v>
      </c>
      <c r="GI16" t="s">
        <v>338</v>
      </c>
      <c r="GJ16" t="s">
        <v>338</v>
      </c>
      <c r="GK16" t="s">
        <v>338</v>
      </c>
      <c r="GL16" t="s">
        <v>338</v>
      </c>
      <c r="GM16" t="s">
        <v>338</v>
      </c>
      <c r="GN16" t="s">
        <v>338</v>
      </c>
      <c r="GO16" t="s">
        <v>338</v>
      </c>
      <c r="GP16" t="s">
        <v>338</v>
      </c>
      <c r="GQ16" t="s">
        <v>338</v>
      </c>
      <c r="GR16" t="s">
        <v>338</v>
      </c>
      <c r="GS16" t="s">
        <v>338</v>
      </c>
      <c r="GT16" t="s">
        <v>338</v>
      </c>
      <c r="HA16" t="s">
        <v>338</v>
      </c>
      <c r="HB16" t="s">
        <v>324</v>
      </c>
      <c r="HC16" t="s">
        <v>324</v>
      </c>
      <c r="HD16" t="s">
        <v>334</v>
      </c>
      <c r="HE16" t="s">
        <v>335</v>
      </c>
      <c r="HG16" t="s">
        <v>325</v>
      </c>
      <c r="HH16" t="s">
        <v>325</v>
      </c>
      <c r="HI16" t="s">
        <v>322</v>
      </c>
      <c r="HJ16" t="s">
        <v>322</v>
      </c>
      <c r="HK16" t="s">
        <v>322</v>
      </c>
      <c r="HL16" t="s">
        <v>322</v>
      </c>
      <c r="HM16" t="s">
        <v>322</v>
      </c>
      <c r="HN16" t="s">
        <v>324</v>
      </c>
      <c r="HO16" t="s">
        <v>324</v>
      </c>
      <c r="HP16" t="s">
        <v>324</v>
      </c>
      <c r="HQ16" t="s">
        <v>322</v>
      </c>
      <c r="HR16" t="s">
        <v>320</v>
      </c>
      <c r="HS16" t="s">
        <v>330</v>
      </c>
      <c r="HT16" t="s">
        <v>324</v>
      </c>
      <c r="HU16" t="s">
        <v>324</v>
      </c>
    </row>
    <row r="17" spans="1:229" x14ac:dyDescent="0.35">
      <c r="A17">
        <v>1</v>
      </c>
      <c r="B17">
        <v>1565545673.5</v>
      </c>
      <c r="C17">
        <v>0</v>
      </c>
      <c r="D17" t="s">
        <v>342</v>
      </c>
      <c r="E17" t="s">
        <v>343</v>
      </c>
      <c r="G17">
        <v>1565545673.5</v>
      </c>
      <c r="H17">
        <f t="shared" ref="H17:H28" si="0">CK17*AI17*(CI17-CJ17)/(100*$B$5*(1000-AI17*CI17))</f>
        <v>1.5670741660988388E-3</v>
      </c>
      <c r="I17">
        <f t="shared" ref="I17:I28" si="1">CK17*AI17*(CH17-CG17*(1000-AI17*CJ17)/(1000-AI17*CI17))/(100*$B$5)</f>
        <v>11.947960203981873</v>
      </c>
      <c r="J17">
        <f t="shared" ref="J17:J28" si="2">CG17 - IF(AI17&gt;1, I17*$B$5*100/(AK17*CS17), 0)</f>
        <v>384.95600000000002</v>
      </c>
      <c r="K17">
        <f t="shared" ref="K17:K28" si="3">((Q17-H17/2)*J17-I17)/(Q17+H17/2)</f>
        <v>143.27052024399219</v>
      </c>
      <c r="L17">
        <f t="shared" ref="L17:L28" si="4">K17*(CL17+CM17)/1000</f>
        <v>14.224093100624717</v>
      </c>
      <c r="M17">
        <f t="shared" ref="M17:M28" si="5">(CG17 - IF(AI17&gt;1, I17*$B$5*100/(AK17*CS17), 0))*(CL17+CM17)/1000</f>
        <v>38.218957914851998</v>
      </c>
      <c r="N17">
        <f t="shared" ref="N17:N28" si="6">2/((1/P17-1/O17)+SIGN(P17)*SQRT((1/P17-1/O17)*(1/P17-1/O17) + 4*$C$5/(($C$5+1)*($C$5+1))*(2*1/P17*1/O17-1/O17*1/O17)))</f>
        <v>8.3278901591051266E-2</v>
      </c>
      <c r="O17">
        <f t="shared" ref="O17:O28" si="7">AF17+AE17*$B$5+AD17*$B$5*$B$5</f>
        <v>2.2461942762701286</v>
      </c>
      <c r="P17">
        <f t="shared" ref="P17:P28" si="8">H17*(1000-(1000*0.61365*EXP(17.502*T17/(240.97+T17))/(CL17+CM17)+CI17)/2)/(1000*0.61365*EXP(17.502*T17/(240.97+T17))/(CL17+CM17)-CI17)</f>
        <v>8.1600850230910571E-2</v>
      </c>
      <c r="Q17">
        <f t="shared" ref="Q17:Q28" si="9">1/(($C$5+1)/(N17/1.6)+1/(O17/1.37)) + $C$5/(($C$5+1)/(N17/1.6) + $C$5/(O17/1.37))</f>
        <v>5.114848142024514E-2</v>
      </c>
      <c r="R17">
        <f t="shared" ref="R17:R28" si="10">(CC17*CE17)</f>
        <v>281.58486889171326</v>
      </c>
      <c r="S17">
        <f t="shared" ref="S17:S28" si="11">(CN17+(R17+2*0.95*0.0000000567*(((CN17+$B$7)+273)^4-(CN17+273)^4)-44100*H17)/(1.84*29.3*O17+8*0.95*0.0000000567*(CN17+273)^3))</f>
        <v>26.728818690749588</v>
      </c>
      <c r="T17">
        <f t="shared" ref="T17:T28" si="12">($C$7*CO17+$D$7*CP17+$E$7*S17)</f>
        <v>27.247599999999998</v>
      </c>
      <c r="U17">
        <f t="shared" ref="U17:U28" si="13">0.61365*EXP(17.502*T17/(240.97+T17))</f>
        <v>3.6315399491545342</v>
      </c>
      <c r="V17">
        <f t="shared" ref="V17:V28" si="14">(W17/X17*100)</f>
        <v>55.46568700260628</v>
      </c>
      <c r="W17">
        <f t="shared" ref="W17:W28" si="15">CI17*(CL17+CM17)/1000</f>
        <v>1.7768584814724</v>
      </c>
      <c r="X17">
        <f t="shared" ref="X17:X28" si="16">0.61365*EXP(17.502*CN17/(240.97+CN17))</f>
        <v>3.2035274013443789</v>
      </c>
      <c r="Y17">
        <f t="shared" ref="Y17:Y28" si="17">(U17-CI17*(CL17+CM17)/1000)</f>
        <v>1.8546814676821342</v>
      </c>
      <c r="Z17">
        <f t="shared" ref="Z17:Z28" si="18">(-H17*44100)</f>
        <v>-69.10797072495879</v>
      </c>
      <c r="AA17">
        <f t="shared" ref="AA17:AA28" si="19">2*29.3*O17*0.92*(CN17-T17)</f>
        <v>-256.99168376003229</v>
      </c>
      <c r="AB17">
        <f t="shared" ref="AB17:AB28" si="20">2*0.95*0.0000000567*(((CN17+$B$7)+273)^4-(T17+273)^4)</f>
        <v>-24.491444689885071</v>
      </c>
      <c r="AC17">
        <f t="shared" ref="AC17:AC28" si="21">R17+AB17+Z17+AA17</f>
        <v>-69.006230283162921</v>
      </c>
      <c r="AD17">
        <v>-4.1081369980570701E-2</v>
      </c>
      <c r="AE17">
        <v>4.6117436728863898E-2</v>
      </c>
      <c r="AF17">
        <v>3.4484189751974901</v>
      </c>
      <c r="AG17">
        <v>0</v>
      </c>
      <c r="AH17">
        <v>0</v>
      </c>
      <c r="AI17">
        <f t="shared" ref="AI17:AI28" si="22">IF(AG17*$H$13&gt;=AK17,1,(AK17/(AK17-AG17*$H$13)))</f>
        <v>1</v>
      </c>
      <c r="AJ17">
        <f t="shared" ref="AJ17:AJ28" si="23">(AI17-1)*100</f>
        <v>0</v>
      </c>
      <c r="AK17">
        <f t="shared" ref="AK17:AK28" si="24">MAX(0,($B$13+$C$13*CS17)/(1+$D$13*CS17)*CL17/(CN17+273)*$E$13)</f>
        <v>52717.079853522999</v>
      </c>
      <c r="AL17" t="s">
        <v>344</v>
      </c>
      <c r="AM17">
        <v>589.29941176470595</v>
      </c>
      <c r="AN17">
        <v>3530.99</v>
      </c>
      <c r="AO17">
        <f t="shared" ref="AO17:AO28" si="25">AN17-AM17</f>
        <v>2941.6905882352939</v>
      </c>
      <c r="AP17">
        <f t="shared" ref="AP17:AP28" si="26">AO17/AN17</f>
        <v>0.83310646256015852</v>
      </c>
      <c r="AQ17">
        <v>1.42453575549529</v>
      </c>
      <c r="AR17" t="s">
        <v>345</v>
      </c>
      <c r="AS17">
        <v>795.93005882352895</v>
      </c>
      <c r="AT17">
        <v>1093.27</v>
      </c>
      <c r="AU17">
        <f t="shared" ref="AU17:AU28" si="27">1-AS17/AT17</f>
        <v>0.27197301780573058</v>
      </c>
      <c r="AV17">
        <v>0.5</v>
      </c>
      <c r="AW17">
        <f t="shared" ref="AW17:AW28" si="28">CC17</f>
        <v>1471.3718998142765</v>
      </c>
      <c r="AX17">
        <f t="shared" ref="AX17:AX28" si="29">I17</f>
        <v>11.947960203981873</v>
      </c>
      <c r="AY17">
        <f t="shared" ref="AY17:AY28" si="30">AU17*AV17*AW17</f>
        <v>200.08672795351993</v>
      </c>
      <c r="AZ17">
        <f t="shared" ref="AZ17:AZ28" si="31">BE17/AT17</f>
        <v>0.4949280598571259</v>
      </c>
      <c r="BA17">
        <f t="shared" ref="BA17:BA28" si="32">(AX17-AQ17)/AW17</f>
        <v>7.1521173197713643E-3</v>
      </c>
      <c r="BB17">
        <f t="shared" ref="BB17:BB28" si="33">(AN17-AT17)/AT17</f>
        <v>2.2297511136315822</v>
      </c>
      <c r="BC17" t="s">
        <v>346</v>
      </c>
      <c r="BD17">
        <v>552.17999999999995</v>
      </c>
      <c r="BE17">
        <f t="shared" ref="BE17:BE28" si="34">AT17-BD17</f>
        <v>541.09</v>
      </c>
      <c r="BF17">
        <f t="shared" ref="BF17:BF28" si="35">(AT17-AS17)/(AT17-BD17)</f>
        <v>0.54952030378767125</v>
      </c>
      <c r="BG17">
        <f t="shared" ref="BG17:BG28" si="36">(AN17-AT17)/(AN17-BD17)</f>
        <v>0.81835363786209925</v>
      </c>
      <c r="BH17">
        <f t="shared" ref="BH17:BH28" si="37">(AT17-AS17)/(AT17-AM17)</f>
        <v>0.58999463087248416</v>
      </c>
      <c r="BI17">
        <f t="shared" ref="BI17:BI28" si="38">(AN17-AT17)/(AN17-AM17)</f>
        <v>0.82867994674530887</v>
      </c>
      <c r="BJ17">
        <v>8025</v>
      </c>
      <c r="BK17">
        <v>300</v>
      </c>
      <c r="BL17">
        <v>300</v>
      </c>
      <c r="BM17">
        <v>300</v>
      </c>
      <c r="BN17">
        <v>10289.299999999999</v>
      </c>
      <c r="BO17">
        <v>1020.79</v>
      </c>
      <c r="BP17">
        <v>-7.0404300000000003E-3</v>
      </c>
      <c r="BQ17">
        <v>6.5896600000000003</v>
      </c>
      <c r="BR17" t="s">
        <v>347</v>
      </c>
      <c r="BS17" t="s">
        <v>347</v>
      </c>
      <c r="BT17" t="s">
        <v>347</v>
      </c>
      <c r="BU17" t="s">
        <v>347</v>
      </c>
      <c r="BV17" t="s">
        <v>347</v>
      </c>
      <c r="BW17" t="s">
        <v>347</v>
      </c>
      <c r="BX17" t="s">
        <v>347</v>
      </c>
      <c r="BY17" t="s">
        <v>347</v>
      </c>
      <c r="BZ17" t="s">
        <v>347</v>
      </c>
      <c r="CA17" t="s">
        <v>347</v>
      </c>
      <c r="CB17">
        <f t="shared" ref="CB17:CB28" si="39">$B$11*CT17+$C$11*CU17+$F$11*DH17</f>
        <v>1750.2</v>
      </c>
      <c r="CC17">
        <f t="shared" ref="CC17:CC28" si="40">CB17*CD17</f>
        <v>1471.3718998142765</v>
      </c>
      <c r="CD17">
        <f t="shared" ref="CD17:CD28" si="41">($B$11*$D$9+$C$11*$D$9+$F$11*((DU17+DM17)/MAX(DU17+DM17+DV17, 0.1)*$I$9+DV17/MAX(DU17+DM17+DV17, 0.1)*$J$9))/($B$11+$C$11+$F$11)</f>
        <v>0.84068786413797081</v>
      </c>
      <c r="CE17">
        <f t="shared" ref="CE17:CE28" si="42">($B$11*$K$9+$C$11*$K$9+$F$11*((DU17+DM17)/MAX(DU17+DM17+DV17, 0.1)*$P$9+DV17/MAX(DU17+DM17+DV17, 0.1)*$Q$9))/($B$11+$C$11+$F$11)</f>
        <v>0.19137572827594179</v>
      </c>
      <c r="CF17">
        <v>1565545673.5</v>
      </c>
      <c r="CG17">
        <v>384.95600000000002</v>
      </c>
      <c r="CH17">
        <v>400.01799999999997</v>
      </c>
      <c r="CI17">
        <v>17.897200000000002</v>
      </c>
      <c r="CJ17">
        <v>16.0503</v>
      </c>
      <c r="CK17">
        <v>499.98200000000003</v>
      </c>
      <c r="CL17">
        <v>99.181299999999993</v>
      </c>
      <c r="CM17">
        <v>0.100067</v>
      </c>
      <c r="CN17">
        <v>25.125399999999999</v>
      </c>
      <c r="CO17">
        <v>27.247599999999998</v>
      </c>
      <c r="CP17">
        <v>999.9</v>
      </c>
      <c r="CQ17">
        <v>0</v>
      </c>
      <c r="CR17">
        <v>0</v>
      </c>
      <c r="CS17">
        <v>9988.75</v>
      </c>
      <c r="CT17">
        <v>0</v>
      </c>
      <c r="CU17">
        <v>1732.04</v>
      </c>
      <c r="CV17">
        <v>-15.9901</v>
      </c>
      <c r="CW17">
        <v>391.03</v>
      </c>
      <c r="CX17">
        <v>406.54399999999998</v>
      </c>
      <c r="CY17">
        <v>1.8559699999999999</v>
      </c>
      <c r="CZ17">
        <v>380.51400000000001</v>
      </c>
      <c r="DA17">
        <v>400.01799999999997</v>
      </c>
      <c r="DB17">
        <v>17.427199999999999</v>
      </c>
      <c r="DC17">
        <v>16.0503</v>
      </c>
      <c r="DD17">
        <v>1.77596</v>
      </c>
      <c r="DE17">
        <v>1.59189</v>
      </c>
      <c r="DF17">
        <v>15.5768</v>
      </c>
      <c r="DG17">
        <v>13.8805</v>
      </c>
      <c r="DH17">
        <v>1750.2</v>
      </c>
      <c r="DI17">
        <v>0.97700699999999996</v>
      </c>
      <c r="DJ17">
        <v>2.2992800000000001E-2</v>
      </c>
      <c r="DK17">
        <v>0</v>
      </c>
      <c r="DL17">
        <v>795.50099999999998</v>
      </c>
      <c r="DM17">
        <v>5.0002700000000004</v>
      </c>
      <c r="DN17">
        <v>18633</v>
      </c>
      <c r="DO17">
        <v>14147.3</v>
      </c>
      <c r="DP17">
        <v>49.436999999999998</v>
      </c>
      <c r="DQ17">
        <v>52</v>
      </c>
      <c r="DR17">
        <v>50.561999999999998</v>
      </c>
      <c r="DS17">
        <v>51.125</v>
      </c>
      <c r="DT17">
        <v>50.625</v>
      </c>
      <c r="DU17">
        <v>1705.07</v>
      </c>
      <c r="DV17">
        <v>40.130000000000003</v>
      </c>
      <c r="DW17">
        <v>0</v>
      </c>
      <c r="DX17">
        <v>724.90000009536698</v>
      </c>
      <c r="DY17">
        <v>795.93005882352895</v>
      </c>
      <c r="DZ17">
        <v>-6.0058823453186303</v>
      </c>
      <c r="EA17">
        <v>3.99509775247384</v>
      </c>
      <c r="EB17">
        <v>18625.3882352941</v>
      </c>
      <c r="EC17">
        <v>10</v>
      </c>
      <c r="ED17">
        <v>1565545697</v>
      </c>
      <c r="EE17" t="s">
        <v>348</v>
      </c>
      <c r="EF17">
        <v>30</v>
      </c>
      <c r="EG17">
        <v>4.4420000000000002</v>
      </c>
      <c r="EH17">
        <v>0.47</v>
      </c>
      <c r="EI17">
        <v>400</v>
      </c>
      <c r="EJ17">
        <v>16</v>
      </c>
      <c r="EK17">
        <v>0.12</v>
      </c>
      <c r="EL17">
        <v>0.12</v>
      </c>
      <c r="EM17">
        <v>12.637821699842901</v>
      </c>
      <c r="EN17">
        <v>7.9088673852965696E-2</v>
      </c>
      <c r="EO17">
        <v>4.8635713582892599E-2</v>
      </c>
      <c r="EP17">
        <v>1</v>
      </c>
      <c r="EQ17">
        <v>8.3007959816452898E-2</v>
      </c>
      <c r="ER17">
        <v>3.8136195248937802E-3</v>
      </c>
      <c r="ES17">
        <v>4.1415667582750003E-4</v>
      </c>
      <c r="ET17">
        <v>1</v>
      </c>
      <c r="EU17">
        <v>2</v>
      </c>
      <c r="EV17">
        <v>2</v>
      </c>
      <c r="EW17" t="s">
        <v>349</v>
      </c>
      <c r="EX17">
        <v>2.9480499999999998</v>
      </c>
      <c r="EY17">
        <v>2.77738</v>
      </c>
      <c r="EZ17">
        <v>8.99649E-2</v>
      </c>
      <c r="FA17">
        <v>9.1071799999999994E-2</v>
      </c>
      <c r="FB17">
        <v>8.9265899999999995E-2</v>
      </c>
      <c r="FC17">
        <v>8.0010499999999998E-2</v>
      </c>
      <c r="FD17">
        <v>21761.5</v>
      </c>
      <c r="FE17">
        <v>21915.599999999999</v>
      </c>
      <c r="FF17">
        <v>22493.4</v>
      </c>
      <c r="FG17">
        <v>26455.9</v>
      </c>
      <c r="FH17">
        <v>29285.7</v>
      </c>
      <c r="FI17">
        <v>38208.5</v>
      </c>
      <c r="FJ17">
        <v>32130.6</v>
      </c>
      <c r="FK17">
        <v>42152.800000000003</v>
      </c>
      <c r="FL17">
        <v>1.9254500000000001</v>
      </c>
      <c r="FM17">
        <v>1.8134300000000001</v>
      </c>
      <c r="FN17">
        <v>2.8945499999999999E-2</v>
      </c>
      <c r="FO17">
        <v>0</v>
      </c>
      <c r="FP17">
        <v>26.7743</v>
      </c>
      <c r="FQ17">
        <v>999.9</v>
      </c>
      <c r="FR17">
        <v>42.058</v>
      </c>
      <c r="FS17">
        <v>41.482999999999997</v>
      </c>
      <c r="FT17">
        <v>34.014600000000002</v>
      </c>
      <c r="FU17">
        <v>61.820700000000002</v>
      </c>
      <c r="FV17">
        <v>46.286099999999998</v>
      </c>
      <c r="FW17">
        <v>1</v>
      </c>
      <c r="FX17">
        <v>0.68052800000000002</v>
      </c>
      <c r="FY17">
        <v>9.2810500000000005</v>
      </c>
      <c r="FZ17">
        <v>20.0214</v>
      </c>
      <c r="GA17">
        <v>5.2249299999999996</v>
      </c>
      <c r="GB17">
        <v>11.962</v>
      </c>
      <c r="GC17">
        <v>4.9714999999999998</v>
      </c>
      <c r="GD17">
        <v>3.29433</v>
      </c>
      <c r="GE17">
        <v>9999</v>
      </c>
      <c r="GF17">
        <v>9999</v>
      </c>
      <c r="GG17">
        <v>503.7</v>
      </c>
      <c r="GH17">
        <v>9999</v>
      </c>
      <c r="GI17">
        <v>1.8660000000000001</v>
      </c>
      <c r="GJ17">
        <v>1.8653900000000001</v>
      </c>
      <c r="GK17">
        <v>1.8655900000000001</v>
      </c>
      <c r="GL17">
        <v>1.86859</v>
      </c>
      <c r="GM17">
        <v>1.8628199999999999</v>
      </c>
      <c r="GN17">
        <v>1.8609800000000001</v>
      </c>
      <c r="GO17">
        <v>1.8572200000000001</v>
      </c>
      <c r="GP17">
        <v>1.86337</v>
      </c>
      <c r="GQ17" t="s">
        <v>350</v>
      </c>
      <c r="GR17" t="s">
        <v>19</v>
      </c>
      <c r="GS17" t="s">
        <v>19</v>
      </c>
      <c r="GT17" t="s">
        <v>19</v>
      </c>
      <c r="GU17" t="s">
        <v>351</v>
      </c>
      <c r="GV17" t="s">
        <v>352</v>
      </c>
      <c r="GW17" t="s">
        <v>353</v>
      </c>
      <c r="GX17" t="s">
        <v>353</v>
      </c>
      <c r="GY17" t="s">
        <v>353</v>
      </c>
      <c r="GZ17" t="s">
        <v>353</v>
      </c>
      <c r="HA17">
        <v>0</v>
      </c>
      <c r="HB17">
        <v>100</v>
      </c>
      <c r="HC17">
        <v>100</v>
      </c>
      <c r="HD17">
        <v>4.4420000000000002</v>
      </c>
      <c r="HE17">
        <v>0.47</v>
      </c>
      <c r="HF17">
        <v>2</v>
      </c>
      <c r="HG17">
        <v>503.33300000000003</v>
      </c>
      <c r="HH17">
        <v>468.47699999999998</v>
      </c>
      <c r="HI17">
        <v>18.2605</v>
      </c>
      <c r="HJ17">
        <v>35.558399999999999</v>
      </c>
      <c r="HK17">
        <v>29.9999</v>
      </c>
      <c r="HL17">
        <v>35.4803</v>
      </c>
      <c r="HM17">
        <v>35.4636</v>
      </c>
      <c r="HN17">
        <v>21.055900000000001</v>
      </c>
      <c r="HO17">
        <v>55.575699999999998</v>
      </c>
      <c r="HP17">
        <v>0</v>
      </c>
      <c r="HQ17">
        <v>16.077100000000002</v>
      </c>
      <c r="HR17">
        <v>400</v>
      </c>
      <c r="HS17">
        <v>15.934100000000001</v>
      </c>
      <c r="HT17">
        <v>98.905600000000007</v>
      </c>
      <c r="HU17">
        <v>102.773</v>
      </c>
    </row>
    <row r="18" spans="1:229" x14ac:dyDescent="0.35">
      <c r="A18">
        <v>2</v>
      </c>
      <c r="B18">
        <v>1565545788</v>
      </c>
      <c r="C18">
        <v>114.5</v>
      </c>
      <c r="D18" t="s">
        <v>354</v>
      </c>
      <c r="E18" t="s">
        <v>355</v>
      </c>
      <c r="G18">
        <v>1565545788</v>
      </c>
      <c r="H18">
        <f t="shared" si="0"/>
        <v>1.7811575900567105E-3</v>
      </c>
      <c r="I18">
        <f t="shared" si="1"/>
        <v>9.5767587368103655</v>
      </c>
      <c r="J18">
        <f t="shared" si="2"/>
        <v>287.91699999999997</v>
      </c>
      <c r="K18">
        <f t="shared" si="3"/>
        <v>120.53649464147476</v>
      </c>
      <c r="L18">
        <f t="shared" si="4"/>
        <v>11.967534552173467</v>
      </c>
      <c r="M18">
        <f t="shared" si="5"/>
        <v>28.586003400106595</v>
      </c>
      <c r="N18">
        <f t="shared" si="6"/>
        <v>9.6967466525824497E-2</v>
      </c>
      <c r="O18">
        <f t="shared" si="7"/>
        <v>2.2493264021529127</v>
      </c>
      <c r="P18">
        <f t="shared" si="8"/>
        <v>9.4703602503289394E-2</v>
      </c>
      <c r="Q18">
        <f t="shared" si="9"/>
        <v>5.9388748627571222E-2</v>
      </c>
      <c r="R18">
        <f t="shared" si="10"/>
        <v>281.55877121778275</v>
      </c>
      <c r="S18">
        <f t="shared" si="11"/>
        <v>26.486950108971563</v>
      </c>
      <c r="T18">
        <f t="shared" si="12"/>
        <v>26.977399999999999</v>
      </c>
      <c r="U18">
        <f t="shared" si="13"/>
        <v>3.5744116324855182</v>
      </c>
      <c r="V18">
        <f t="shared" si="14"/>
        <v>55.406826644823184</v>
      </c>
      <c r="W18">
        <f t="shared" si="15"/>
        <v>1.7572155856622795</v>
      </c>
      <c r="X18">
        <f t="shared" si="16"/>
        <v>3.17147848391794</v>
      </c>
      <c r="Y18">
        <f t="shared" si="17"/>
        <v>1.8171960468232387</v>
      </c>
      <c r="Z18">
        <f t="shared" si="18"/>
        <v>-78.549049721500936</v>
      </c>
      <c r="AA18">
        <f t="shared" si="19"/>
        <v>-245.04156966508779</v>
      </c>
      <c r="AB18">
        <f t="shared" si="20"/>
        <v>-23.268770224601486</v>
      </c>
      <c r="AC18">
        <f t="shared" si="21"/>
        <v>-65.300618393407461</v>
      </c>
      <c r="AD18">
        <v>-4.1165615551616297E-2</v>
      </c>
      <c r="AE18">
        <v>4.6212009762679897E-2</v>
      </c>
      <c r="AF18">
        <v>3.4540165034350201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52850.767171166917</v>
      </c>
      <c r="AL18" t="s">
        <v>344</v>
      </c>
      <c r="AM18">
        <v>589.29941176470595</v>
      </c>
      <c r="AN18">
        <v>3530.99</v>
      </c>
      <c r="AO18">
        <f t="shared" si="25"/>
        <v>2941.6905882352939</v>
      </c>
      <c r="AP18">
        <f t="shared" si="26"/>
        <v>0.83310646256015852</v>
      </c>
      <c r="AQ18">
        <v>1.42453575549529</v>
      </c>
      <c r="AR18" t="s">
        <v>356</v>
      </c>
      <c r="AS18">
        <v>784.66947058823496</v>
      </c>
      <c r="AT18">
        <v>1067.28</v>
      </c>
      <c r="AU18">
        <f t="shared" si="27"/>
        <v>0.26479511413290324</v>
      </c>
      <c r="AV18">
        <v>0.5</v>
      </c>
      <c r="AW18">
        <f t="shared" si="28"/>
        <v>1471.237199814306</v>
      </c>
      <c r="AX18">
        <f t="shared" si="29"/>
        <v>9.5767587368103655</v>
      </c>
      <c r="AY18">
        <f t="shared" si="30"/>
        <v>194.78821112070108</v>
      </c>
      <c r="AZ18">
        <f t="shared" si="31"/>
        <v>0.48377183119706163</v>
      </c>
      <c r="BA18">
        <f t="shared" si="32"/>
        <v>5.541066377565778E-3</v>
      </c>
      <c r="BB18">
        <f t="shared" si="33"/>
        <v>2.3084007945431377</v>
      </c>
      <c r="BC18" t="s">
        <v>357</v>
      </c>
      <c r="BD18">
        <v>550.96</v>
      </c>
      <c r="BE18">
        <f t="shared" si="34"/>
        <v>516.31999999999994</v>
      </c>
      <c r="BF18">
        <f t="shared" si="35"/>
        <v>0.54735537924497413</v>
      </c>
      <c r="BG18">
        <f t="shared" si="36"/>
        <v>0.82673999926175246</v>
      </c>
      <c r="BH18">
        <f t="shared" si="37"/>
        <v>0.59125942845328527</v>
      </c>
      <c r="BI18">
        <f t="shared" si="38"/>
        <v>0.83751500237758447</v>
      </c>
      <c r="BJ18">
        <v>8027</v>
      </c>
      <c r="BK18">
        <v>300</v>
      </c>
      <c r="BL18">
        <v>300</v>
      </c>
      <c r="BM18">
        <v>300</v>
      </c>
      <c r="BN18">
        <v>10294.700000000001</v>
      </c>
      <c r="BO18">
        <v>1004.16</v>
      </c>
      <c r="BP18">
        <v>-7.0436199999999996E-3</v>
      </c>
      <c r="BQ18">
        <v>7.2381599999999997</v>
      </c>
      <c r="BR18" t="s">
        <v>347</v>
      </c>
      <c r="BS18" t="s">
        <v>347</v>
      </c>
      <c r="BT18" t="s">
        <v>347</v>
      </c>
      <c r="BU18" t="s">
        <v>347</v>
      </c>
      <c r="BV18" t="s">
        <v>347</v>
      </c>
      <c r="BW18" t="s">
        <v>347</v>
      </c>
      <c r="BX18" t="s">
        <v>347</v>
      </c>
      <c r="BY18" t="s">
        <v>347</v>
      </c>
      <c r="BZ18" t="s">
        <v>347</v>
      </c>
      <c r="CA18" t="s">
        <v>347</v>
      </c>
      <c r="CB18">
        <f t="shared" si="39"/>
        <v>1750.04</v>
      </c>
      <c r="CC18">
        <f t="shared" si="40"/>
        <v>1471.237199814306</v>
      </c>
      <c r="CD18">
        <f t="shared" si="41"/>
        <v>0.84068775560233255</v>
      </c>
      <c r="CE18">
        <f t="shared" si="42"/>
        <v>0.19137551120466503</v>
      </c>
      <c r="CF18">
        <v>1565545788</v>
      </c>
      <c r="CG18">
        <v>287.91699999999997</v>
      </c>
      <c r="CH18">
        <v>300.02300000000002</v>
      </c>
      <c r="CI18">
        <v>17.698599999999999</v>
      </c>
      <c r="CJ18">
        <v>15.599299999999999</v>
      </c>
      <c r="CK18">
        <v>500.06200000000001</v>
      </c>
      <c r="CL18">
        <v>99.185599999999994</v>
      </c>
      <c r="CM18">
        <v>9.9969799999999998E-2</v>
      </c>
      <c r="CN18">
        <v>24.956700000000001</v>
      </c>
      <c r="CO18">
        <v>26.977399999999999</v>
      </c>
      <c r="CP18">
        <v>999.9</v>
      </c>
      <c r="CQ18">
        <v>0</v>
      </c>
      <c r="CR18">
        <v>0</v>
      </c>
      <c r="CS18">
        <v>10008.799999999999</v>
      </c>
      <c r="CT18">
        <v>0</v>
      </c>
      <c r="CU18">
        <v>1751.77</v>
      </c>
      <c r="CV18">
        <v>-11.9948</v>
      </c>
      <c r="CW18">
        <v>293.21699999999998</v>
      </c>
      <c r="CX18">
        <v>304.77699999999999</v>
      </c>
      <c r="CY18">
        <v>2.09822</v>
      </c>
      <c r="CZ18">
        <v>283.58600000000001</v>
      </c>
      <c r="DA18">
        <v>300.02300000000002</v>
      </c>
      <c r="DB18">
        <v>17.227599999999999</v>
      </c>
      <c r="DC18">
        <v>15.599299999999999</v>
      </c>
      <c r="DD18">
        <v>1.7553399999999999</v>
      </c>
      <c r="DE18">
        <v>1.5472300000000001</v>
      </c>
      <c r="DF18">
        <v>15.3947</v>
      </c>
      <c r="DG18">
        <v>13.443099999999999</v>
      </c>
      <c r="DH18">
        <v>1750.04</v>
      </c>
      <c r="DI18">
        <v>0.97701099999999996</v>
      </c>
      <c r="DJ18">
        <v>2.2989300000000001E-2</v>
      </c>
      <c r="DK18">
        <v>0</v>
      </c>
      <c r="DL18">
        <v>784.28099999999995</v>
      </c>
      <c r="DM18">
        <v>5.0002700000000004</v>
      </c>
      <c r="DN18">
        <v>18384</v>
      </c>
      <c r="DO18">
        <v>14146</v>
      </c>
      <c r="DP18">
        <v>48.686999999999998</v>
      </c>
      <c r="DQ18">
        <v>51.061999999999998</v>
      </c>
      <c r="DR18">
        <v>49.686999999999998</v>
      </c>
      <c r="DS18">
        <v>50</v>
      </c>
      <c r="DT18">
        <v>49.75</v>
      </c>
      <c r="DU18">
        <v>1704.92</v>
      </c>
      <c r="DV18">
        <v>40.119999999999997</v>
      </c>
      <c r="DW18">
        <v>0</v>
      </c>
      <c r="DX18">
        <v>114</v>
      </c>
      <c r="DY18">
        <v>784.66947058823496</v>
      </c>
      <c r="DZ18">
        <v>-2.9301470696880401</v>
      </c>
      <c r="EA18">
        <v>37.598040427493203</v>
      </c>
      <c r="EB18">
        <v>18396.029411764699</v>
      </c>
      <c r="EC18">
        <v>10</v>
      </c>
      <c r="ED18">
        <v>1565545810.5</v>
      </c>
      <c r="EE18" t="s">
        <v>358</v>
      </c>
      <c r="EF18">
        <v>31</v>
      </c>
      <c r="EG18">
        <v>4.3310000000000004</v>
      </c>
      <c r="EH18">
        <v>0.47099999999999997</v>
      </c>
      <c r="EI18">
        <v>300</v>
      </c>
      <c r="EJ18">
        <v>16</v>
      </c>
      <c r="EK18">
        <v>0.15</v>
      </c>
      <c r="EL18">
        <v>0.1</v>
      </c>
      <c r="EM18">
        <v>9.3112477413074899</v>
      </c>
      <c r="EN18">
        <v>0.83014280418228203</v>
      </c>
      <c r="EO18">
        <v>8.5107532104640199E-2</v>
      </c>
      <c r="EP18">
        <v>0</v>
      </c>
      <c r="EQ18">
        <v>9.6085977534649702E-2</v>
      </c>
      <c r="ER18">
        <v>3.59072316432717E-3</v>
      </c>
      <c r="ES18">
        <v>4.36228461964979E-4</v>
      </c>
      <c r="ET18">
        <v>1</v>
      </c>
      <c r="EU18">
        <v>1</v>
      </c>
      <c r="EV18">
        <v>2</v>
      </c>
      <c r="EW18" t="s">
        <v>359</v>
      </c>
      <c r="EX18">
        <v>2.9482599999999999</v>
      </c>
      <c r="EY18">
        <v>2.77746</v>
      </c>
      <c r="EZ18">
        <v>7.10538E-2</v>
      </c>
      <c r="FA18">
        <v>7.2518700000000005E-2</v>
      </c>
      <c r="FB18">
        <v>8.8528300000000004E-2</v>
      </c>
      <c r="FC18">
        <v>7.8367800000000001E-2</v>
      </c>
      <c r="FD18">
        <v>22213.7</v>
      </c>
      <c r="FE18">
        <v>22362.9</v>
      </c>
      <c r="FF18">
        <v>22493.5</v>
      </c>
      <c r="FG18">
        <v>26455.7</v>
      </c>
      <c r="FH18">
        <v>29308.6</v>
      </c>
      <c r="FI18">
        <v>38275.699999999997</v>
      </c>
      <c r="FJ18">
        <v>32130</v>
      </c>
      <c r="FK18">
        <v>42151.9</v>
      </c>
      <c r="FL18">
        <v>1.9260999999999999</v>
      </c>
      <c r="FM18">
        <v>1.8126199999999999</v>
      </c>
      <c r="FN18">
        <v>1.9744000000000001E-2</v>
      </c>
      <c r="FO18">
        <v>0</v>
      </c>
      <c r="FP18">
        <v>26.654399999999999</v>
      </c>
      <c r="FQ18">
        <v>999.9</v>
      </c>
      <c r="FR18">
        <v>41.79</v>
      </c>
      <c r="FS18">
        <v>41.512999999999998</v>
      </c>
      <c r="FT18">
        <v>33.850099999999998</v>
      </c>
      <c r="FU18">
        <v>61.720799999999997</v>
      </c>
      <c r="FV18">
        <v>46.209899999999998</v>
      </c>
      <c r="FW18">
        <v>1</v>
      </c>
      <c r="FX18">
        <v>0.68045199999999995</v>
      </c>
      <c r="FY18">
        <v>9.2810500000000005</v>
      </c>
      <c r="FZ18">
        <v>20.021100000000001</v>
      </c>
      <c r="GA18">
        <v>5.2235800000000001</v>
      </c>
      <c r="GB18">
        <v>11.962</v>
      </c>
      <c r="GC18">
        <v>4.9721000000000002</v>
      </c>
      <c r="GD18">
        <v>3.2949999999999999</v>
      </c>
      <c r="GE18">
        <v>9999</v>
      </c>
      <c r="GF18">
        <v>9999</v>
      </c>
      <c r="GG18">
        <v>503.7</v>
      </c>
      <c r="GH18">
        <v>9999</v>
      </c>
      <c r="GI18">
        <v>1.8660000000000001</v>
      </c>
      <c r="GJ18">
        <v>1.8653999999999999</v>
      </c>
      <c r="GK18">
        <v>1.8656299999999999</v>
      </c>
      <c r="GL18">
        <v>1.86859</v>
      </c>
      <c r="GM18">
        <v>1.8628100000000001</v>
      </c>
      <c r="GN18">
        <v>1.8609800000000001</v>
      </c>
      <c r="GO18">
        <v>1.8572299999999999</v>
      </c>
      <c r="GP18">
        <v>1.86338</v>
      </c>
      <c r="GQ18" t="s">
        <v>350</v>
      </c>
      <c r="GR18" t="s">
        <v>19</v>
      </c>
      <c r="GS18" t="s">
        <v>19</v>
      </c>
      <c r="GT18" t="s">
        <v>19</v>
      </c>
      <c r="GU18" t="s">
        <v>351</v>
      </c>
      <c r="GV18" t="s">
        <v>352</v>
      </c>
      <c r="GW18" t="s">
        <v>353</v>
      </c>
      <c r="GX18" t="s">
        <v>353</v>
      </c>
      <c r="GY18" t="s">
        <v>353</v>
      </c>
      <c r="GZ18" t="s">
        <v>353</v>
      </c>
      <c r="HA18">
        <v>0</v>
      </c>
      <c r="HB18">
        <v>100</v>
      </c>
      <c r="HC18">
        <v>100</v>
      </c>
      <c r="HD18">
        <v>4.3310000000000004</v>
      </c>
      <c r="HE18">
        <v>0.47099999999999997</v>
      </c>
      <c r="HF18">
        <v>2</v>
      </c>
      <c r="HG18">
        <v>503.60300000000001</v>
      </c>
      <c r="HH18">
        <v>467.79</v>
      </c>
      <c r="HI18">
        <v>18.249500000000001</v>
      </c>
      <c r="HJ18">
        <v>35.544899999999998</v>
      </c>
      <c r="HK18">
        <v>30.000299999999999</v>
      </c>
      <c r="HL18">
        <v>35.457799999999999</v>
      </c>
      <c r="HM18">
        <v>35.442700000000002</v>
      </c>
      <c r="HN18">
        <v>16.6798</v>
      </c>
      <c r="HO18">
        <v>56.2376</v>
      </c>
      <c r="HP18">
        <v>0</v>
      </c>
      <c r="HQ18">
        <v>18.249700000000001</v>
      </c>
      <c r="HR18">
        <v>300</v>
      </c>
      <c r="HS18">
        <v>15.545400000000001</v>
      </c>
      <c r="HT18">
        <v>98.904600000000002</v>
      </c>
      <c r="HU18">
        <v>102.771</v>
      </c>
    </row>
    <row r="19" spans="1:229" x14ac:dyDescent="0.35">
      <c r="A19">
        <v>3</v>
      </c>
      <c r="B19">
        <v>1565545901.5</v>
      </c>
      <c r="C19">
        <v>228</v>
      </c>
      <c r="D19" t="s">
        <v>360</v>
      </c>
      <c r="E19" t="s">
        <v>361</v>
      </c>
      <c r="G19">
        <v>1565545901.5</v>
      </c>
      <c r="H19">
        <f t="shared" si="0"/>
        <v>2.2162193916326453E-3</v>
      </c>
      <c r="I19">
        <f t="shared" si="1"/>
        <v>6.7658278230741971</v>
      </c>
      <c r="J19">
        <f t="shared" si="2"/>
        <v>191.38800000000001</v>
      </c>
      <c r="K19">
        <f t="shared" si="3"/>
        <v>95.796098647364175</v>
      </c>
      <c r="L19">
        <f t="shared" si="4"/>
        <v>9.5115049695484544</v>
      </c>
      <c r="M19">
        <f t="shared" si="5"/>
        <v>19.002735380832</v>
      </c>
      <c r="N19">
        <f t="shared" si="6"/>
        <v>0.12161749088385192</v>
      </c>
      <c r="O19">
        <f t="shared" si="7"/>
        <v>2.247651377715703</v>
      </c>
      <c r="P19">
        <f t="shared" si="8"/>
        <v>0.11807640367597569</v>
      </c>
      <c r="Q19">
        <f t="shared" si="9"/>
        <v>7.4107316697642783E-2</v>
      </c>
      <c r="R19">
        <f t="shared" si="10"/>
        <v>281.55829887810182</v>
      </c>
      <c r="S19">
        <f t="shared" si="11"/>
        <v>26.508669263924162</v>
      </c>
      <c r="T19">
        <f t="shared" si="12"/>
        <v>27.030200000000001</v>
      </c>
      <c r="U19">
        <f t="shared" si="13"/>
        <v>3.5855130394540309</v>
      </c>
      <c r="V19">
        <f t="shared" si="14"/>
        <v>55.330503361240289</v>
      </c>
      <c r="W19">
        <f t="shared" si="15"/>
        <v>1.7722005744296001</v>
      </c>
      <c r="X19">
        <f t="shared" si="16"/>
        <v>3.2029359336554468</v>
      </c>
      <c r="Y19">
        <f t="shared" si="17"/>
        <v>1.8133124650244308</v>
      </c>
      <c r="Z19">
        <f t="shared" si="18"/>
        <v>-97.735275170999657</v>
      </c>
      <c r="AA19">
        <f t="shared" si="19"/>
        <v>-231.19050955377298</v>
      </c>
      <c r="AB19">
        <f t="shared" si="20"/>
        <v>-21.99391069560296</v>
      </c>
      <c r="AC19">
        <f t="shared" si="21"/>
        <v>-69.361396542273781</v>
      </c>
      <c r="AD19">
        <v>-4.1120548835088103E-2</v>
      </c>
      <c r="AE19">
        <v>4.6161418425315799E-2</v>
      </c>
      <c r="AF19">
        <v>3.45102262522698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52766.023470645465</v>
      </c>
      <c r="AL19" t="s">
        <v>344</v>
      </c>
      <c r="AM19">
        <v>589.29941176470595</v>
      </c>
      <c r="AN19">
        <v>3530.99</v>
      </c>
      <c r="AO19">
        <f t="shared" si="25"/>
        <v>2941.6905882352939</v>
      </c>
      <c r="AP19">
        <f t="shared" si="26"/>
        <v>0.83310646256015852</v>
      </c>
      <c r="AQ19">
        <v>1.42453575549529</v>
      </c>
      <c r="AR19" t="s">
        <v>362</v>
      </c>
      <c r="AS19">
        <v>780.07435294117602</v>
      </c>
      <c r="AT19">
        <v>1052.04</v>
      </c>
      <c r="AU19">
        <f t="shared" si="27"/>
        <v>0.25851264881451652</v>
      </c>
      <c r="AV19">
        <v>0.5</v>
      </c>
      <c r="AW19">
        <f t="shared" si="28"/>
        <v>1471.2293998142122</v>
      </c>
      <c r="AX19">
        <f t="shared" si="29"/>
        <v>6.7658278230741971</v>
      </c>
      <c r="AY19">
        <f t="shared" si="30"/>
        <v>190.16570457988169</v>
      </c>
      <c r="AZ19">
        <f t="shared" si="31"/>
        <v>0.47296680734572827</v>
      </c>
      <c r="BA19">
        <f t="shared" si="32"/>
        <v>3.630495739313943E-3</v>
      </c>
      <c r="BB19">
        <f t="shared" si="33"/>
        <v>2.3563267556366676</v>
      </c>
      <c r="BC19" t="s">
        <v>363</v>
      </c>
      <c r="BD19">
        <v>554.46</v>
      </c>
      <c r="BE19">
        <f t="shared" si="34"/>
        <v>497.57999999999993</v>
      </c>
      <c r="BF19">
        <f t="shared" si="35"/>
        <v>0.54657672546891756</v>
      </c>
      <c r="BG19">
        <f t="shared" si="36"/>
        <v>0.83283219050370738</v>
      </c>
      <c r="BH19">
        <f t="shared" si="37"/>
        <v>0.58772810073996584</v>
      </c>
      <c r="BI19">
        <f t="shared" si="38"/>
        <v>0.84269569679220069</v>
      </c>
      <c r="BJ19">
        <v>8029</v>
      </c>
      <c r="BK19">
        <v>300</v>
      </c>
      <c r="BL19">
        <v>300</v>
      </c>
      <c r="BM19">
        <v>300</v>
      </c>
      <c r="BN19">
        <v>10300.299999999999</v>
      </c>
      <c r="BO19">
        <v>990.40499999999997</v>
      </c>
      <c r="BP19">
        <v>-7.0473599999999999E-3</v>
      </c>
      <c r="BQ19">
        <v>7.0723900000000004</v>
      </c>
      <c r="BR19" t="s">
        <v>347</v>
      </c>
      <c r="BS19" t="s">
        <v>347</v>
      </c>
      <c r="BT19" t="s">
        <v>347</v>
      </c>
      <c r="BU19" t="s">
        <v>347</v>
      </c>
      <c r="BV19" t="s">
        <v>347</v>
      </c>
      <c r="BW19" t="s">
        <v>347</v>
      </c>
      <c r="BX19" t="s">
        <v>347</v>
      </c>
      <c r="BY19" t="s">
        <v>347</v>
      </c>
      <c r="BZ19" t="s">
        <v>347</v>
      </c>
      <c r="CA19" t="s">
        <v>347</v>
      </c>
      <c r="CB19">
        <f t="shared" si="39"/>
        <v>1750.03</v>
      </c>
      <c r="CC19">
        <f t="shared" si="40"/>
        <v>1471.2293998142122</v>
      </c>
      <c r="CD19">
        <f t="shared" si="41"/>
        <v>0.84068810238350899</v>
      </c>
      <c r="CE19">
        <f t="shared" si="42"/>
        <v>0.19137620476701811</v>
      </c>
      <c r="CF19">
        <v>1565545901.5</v>
      </c>
      <c r="CG19">
        <v>191.38800000000001</v>
      </c>
      <c r="CH19">
        <v>200.01599999999999</v>
      </c>
      <c r="CI19">
        <v>17.8489</v>
      </c>
      <c r="CJ19">
        <v>15.2369</v>
      </c>
      <c r="CK19">
        <v>499.99900000000002</v>
      </c>
      <c r="CL19">
        <v>99.188999999999993</v>
      </c>
      <c r="CM19">
        <v>0.100064</v>
      </c>
      <c r="CN19">
        <v>25.122299999999999</v>
      </c>
      <c r="CO19">
        <v>27.030200000000001</v>
      </c>
      <c r="CP19">
        <v>999.9</v>
      </c>
      <c r="CQ19">
        <v>0</v>
      </c>
      <c r="CR19">
        <v>0</v>
      </c>
      <c r="CS19">
        <v>9997.5</v>
      </c>
      <c r="CT19">
        <v>0</v>
      </c>
      <c r="CU19">
        <v>1753.13</v>
      </c>
      <c r="CV19">
        <v>-8.5820600000000002</v>
      </c>
      <c r="CW19">
        <v>194.91399999999999</v>
      </c>
      <c r="CX19">
        <v>203.11099999999999</v>
      </c>
      <c r="CY19">
        <v>2.6169899999999999</v>
      </c>
      <c r="CZ19">
        <v>187.10300000000001</v>
      </c>
      <c r="DA19">
        <v>200.01599999999999</v>
      </c>
      <c r="DB19">
        <v>17.382899999999999</v>
      </c>
      <c r="DC19">
        <v>15.2369</v>
      </c>
      <c r="DD19">
        <v>1.77091</v>
      </c>
      <c r="DE19">
        <v>1.5113300000000001</v>
      </c>
      <c r="DF19">
        <v>15.532400000000001</v>
      </c>
      <c r="DG19">
        <v>13.083299999999999</v>
      </c>
      <c r="DH19">
        <v>1750.03</v>
      </c>
      <c r="DI19">
        <v>0.97699899999999995</v>
      </c>
      <c r="DJ19">
        <v>2.3001000000000001E-2</v>
      </c>
      <c r="DK19">
        <v>0</v>
      </c>
      <c r="DL19">
        <v>780.00900000000001</v>
      </c>
      <c r="DM19">
        <v>5.0002700000000004</v>
      </c>
      <c r="DN19">
        <v>18240.400000000001</v>
      </c>
      <c r="DO19">
        <v>14145.9</v>
      </c>
      <c r="DP19">
        <v>47.875</v>
      </c>
      <c r="DQ19">
        <v>50.311999999999998</v>
      </c>
      <c r="DR19">
        <v>48.875</v>
      </c>
      <c r="DS19">
        <v>49.25</v>
      </c>
      <c r="DT19">
        <v>49</v>
      </c>
      <c r="DU19">
        <v>1704.89</v>
      </c>
      <c r="DV19">
        <v>40.14</v>
      </c>
      <c r="DW19">
        <v>0</v>
      </c>
      <c r="DX19">
        <v>113</v>
      </c>
      <c r="DY19">
        <v>780.07435294117602</v>
      </c>
      <c r="DZ19">
        <v>-1.2848039555061399</v>
      </c>
      <c r="EA19">
        <v>53.406862107970397</v>
      </c>
      <c r="EB19">
        <v>18228.864705882399</v>
      </c>
      <c r="EC19">
        <v>10</v>
      </c>
      <c r="ED19">
        <v>1565545923.5</v>
      </c>
      <c r="EE19" t="s">
        <v>364</v>
      </c>
      <c r="EF19">
        <v>32</v>
      </c>
      <c r="EG19">
        <v>4.2850000000000001</v>
      </c>
      <c r="EH19">
        <v>0.46600000000000003</v>
      </c>
      <c r="EI19">
        <v>200</v>
      </c>
      <c r="EJ19">
        <v>15</v>
      </c>
      <c r="EK19">
        <v>0.17</v>
      </c>
      <c r="EL19">
        <v>0.1</v>
      </c>
      <c r="EM19">
        <v>6.6189965181580401</v>
      </c>
      <c r="EN19">
        <v>0.664843135734423</v>
      </c>
      <c r="EO19">
        <v>6.9492970675523E-2</v>
      </c>
      <c r="EP19">
        <v>0</v>
      </c>
      <c r="EQ19">
        <v>0.117553998224338</v>
      </c>
      <c r="ER19">
        <v>2.45459959982707E-2</v>
      </c>
      <c r="ES19">
        <v>2.5180762714222199E-3</v>
      </c>
      <c r="ET19">
        <v>1</v>
      </c>
      <c r="EU19">
        <v>1</v>
      </c>
      <c r="EV19">
        <v>2</v>
      </c>
      <c r="EW19" t="s">
        <v>359</v>
      </c>
      <c r="EX19">
        <v>2.9480900000000001</v>
      </c>
      <c r="EY19">
        <v>2.77746</v>
      </c>
      <c r="EZ19">
        <v>4.9647700000000003E-2</v>
      </c>
      <c r="FA19">
        <v>5.1353799999999998E-2</v>
      </c>
      <c r="FB19">
        <v>8.9109400000000005E-2</v>
      </c>
      <c r="FC19">
        <v>7.7028200000000005E-2</v>
      </c>
      <c r="FD19">
        <v>22723.599999999999</v>
      </c>
      <c r="FE19">
        <v>22869.599999999999</v>
      </c>
      <c r="FF19">
        <v>22492</v>
      </c>
      <c r="FG19">
        <v>26451.7</v>
      </c>
      <c r="FH19">
        <v>29288</v>
      </c>
      <c r="FI19">
        <v>38326.300000000003</v>
      </c>
      <c r="FJ19">
        <v>32128.1</v>
      </c>
      <c r="FK19">
        <v>42146.7</v>
      </c>
      <c r="FL19">
        <v>1.9257500000000001</v>
      </c>
      <c r="FM19">
        <v>1.8112699999999999</v>
      </c>
      <c r="FN19">
        <v>1.4018299999999999E-2</v>
      </c>
      <c r="FO19">
        <v>0</v>
      </c>
      <c r="FP19">
        <v>26.800899999999999</v>
      </c>
      <c r="FQ19">
        <v>999.9</v>
      </c>
      <c r="FR19">
        <v>41.539000000000001</v>
      </c>
      <c r="FS19">
        <v>41.573</v>
      </c>
      <c r="FT19">
        <v>33.752699999999997</v>
      </c>
      <c r="FU19">
        <v>61.700800000000001</v>
      </c>
      <c r="FV19">
        <v>46.310099999999998</v>
      </c>
      <c r="FW19">
        <v>1</v>
      </c>
      <c r="FX19">
        <v>0.68293999999999999</v>
      </c>
      <c r="FY19">
        <v>9.2810500000000005</v>
      </c>
      <c r="FZ19">
        <v>20.018899999999999</v>
      </c>
      <c r="GA19">
        <v>5.22837</v>
      </c>
      <c r="GB19">
        <v>11.962</v>
      </c>
      <c r="GC19">
        <v>4.9717500000000001</v>
      </c>
      <c r="GD19">
        <v>3.2949999999999999</v>
      </c>
      <c r="GE19">
        <v>9999</v>
      </c>
      <c r="GF19">
        <v>9999</v>
      </c>
      <c r="GG19">
        <v>503.7</v>
      </c>
      <c r="GH19">
        <v>9999</v>
      </c>
      <c r="GI19">
        <v>1.8660000000000001</v>
      </c>
      <c r="GJ19">
        <v>1.8653900000000001</v>
      </c>
      <c r="GK19">
        <v>1.86561</v>
      </c>
      <c r="GL19">
        <v>1.86859</v>
      </c>
      <c r="GM19">
        <v>1.8628</v>
      </c>
      <c r="GN19">
        <v>1.8609599999999999</v>
      </c>
      <c r="GO19">
        <v>1.8572</v>
      </c>
      <c r="GP19">
        <v>1.86337</v>
      </c>
      <c r="GQ19" t="s">
        <v>350</v>
      </c>
      <c r="GR19" t="s">
        <v>19</v>
      </c>
      <c r="GS19" t="s">
        <v>19</v>
      </c>
      <c r="GT19" t="s">
        <v>19</v>
      </c>
      <c r="GU19" t="s">
        <v>351</v>
      </c>
      <c r="GV19" t="s">
        <v>352</v>
      </c>
      <c r="GW19" t="s">
        <v>353</v>
      </c>
      <c r="GX19" t="s">
        <v>353</v>
      </c>
      <c r="GY19" t="s">
        <v>353</v>
      </c>
      <c r="GZ19" t="s">
        <v>353</v>
      </c>
      <c r="HA19">
        <v>0</v>
      </c>
      <c r="HB19">
        <v>100</v>
      </c>
      <c r="HC19">
        <v>100</v>
      </c>
      <c r="HD19">
        <v>4.2850000000000001</v>
      </c>
      <c r="HE19">
        <v>0.46600000000000003</v>
      </c>
      <c r="HF19">
        <v>2</v>
      </c>
      <c r="HG19">
        <v>503.46499999999997</v>
      </c>
      <c r="HH19">
        <v>466.983</v>
      </c>
      <c r="HI19">
        <v>18.482700000000001</v>
      </c>
      <c r="HJ19">
        <v>35.559600000000003</v>
      </c>
      <c r="HK19">
        <v>30.0001</v>
      </c>
      <c r="HL19">
        <v>35.4709</v>
      </c>
      <c r="HM19">
        <v>35.4557</v>
      </c>
      <c r="HN19">
        <v>12.111499999999999</v>
      </c>
      <c r="HO19">
        <v>57.400799999999997</v>
      </c>
      <c r="HP19">
        <v>0</v>
      </c>
      <c r="HQ19">
        <v>18.4453</v>
      </c>
      <c r="HR19">
        <v>200</v>
      </c>
      <c r="HS19">
        <v>15.1282</v>
      </c>
      <c r="HT19">
        <v>98.898499999999999</v>
      </c>
      <c r="HU19">
        <v>102.75700000000001</v>
      </c>
    </row>
    <row r="20" spans="1:229" x14ac:dyDescent="0.35">
      <c r="A20">
        <v>4</v>
      </c>
      <c r="B20">
        <v>1565546014.5</v>
      </c>
      <c r="C20">
        <v>341</v>
      </c>
      <c r="D20" t="s">
        <v>365</v>
      </c>
      <c r="E20" t="s">
        <v>366</v>
      </c>
      <c r="G20">
        <v>1565546014.5</v>
      </c>
      <c r="H20">
        <f t="shared" si="0"/>
        <v>2.7577185724045866E-3</v>
      </c>
      <c r="I20">
        <f t="shared" si="1"/>
        <v>2.7026857464033385</v>
      </c>
      <c r="J20">
        <f t="shared" si="2"/>
        <v>96.451700000000002</v>
      </c>
      <c r="K20">
        <f t="shared" si="3"/>
        <v>65.201986891504021</v>
      </c>
      <c r="L20">
        <f t="shared" si="4"/>
        <v>6.4733875094795295</v>
      </c>
      <c r="M20">
        <f t="shared" si="5"/>
        <v>9.575923370050301</v>
      </c>
      <c r="N20">
        <f t="shared" si="6"/>
        <v>0.15468334950739471</v>
      </c>
      <c r="O20">
        <f t="shared" si="7"/>
        <v>2.2472559717011746</v>
      </c>
      <c r="P20">
        <f t="shared" si="8"/>
        <v>0.14900240278395679</v>
      </c>
      <c r="Q20">
        <f t="shared" si="9"/>
        <v>9.3619529355843473E-2</v>
      </c>
      <c r="R20">
        <f t="shared" si="10"/>
        <v>281.5316393785871</v>
      </c>
      <c r="S20">
        <f t="shared" si="11"/>
        <v>26.503678085107911</v>
      </c>
      <c r="T20">
        <f t="shared" si="12"/>
        <v>26.965699999999998</v>
      </c>
      <c r="U20">
        <f t="shared" si="13"/>
        <v>3.5719557266391004</v>
      </c>
      <c r="V20">
        <f t="shared" si="14"/>
        <v>55.121307769440399</v>
      </c>
      <c r="W20">
        <f t="shared" si="15"/>
        <v>1.7840191745828002</v>
      </c>
      <c r="X20">
        <f t="shared" si="16"/>
        <v>3.2365327434627225</v>
      </c>
      <c r="Y20">
        <f t="shared" si="17"/>
        <v>1.7879365520563002</v>
      </c>
      <c r="Z20">
        <f t="shared" si="18"/>
        <v>-121.61538904304227</v>
      </c>
      <c r="AA20">
        <f t="shared" si="19"/>
        <v>-202.09709406891253</v>
      </c>
      <c r="AB20">
        <f t="shared" si="20"/>
        <v>-19.240183487491251</v>
      </c>
      <c r="AC20">
        <f t="shared" si="21"/>
        <v>-61.421027220858974</v>
      </c>
      <c r="AD20">
        <v>-4.1109914811042599E-2</v>
      </c>
      <c r="AE20">
        <v>4.6149480801732999E-2</v>
      </c>
      <c r="AF20">
        <v>3.4503160200883101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52721.781397843988</v>
      </c>
      <c r="AL20" t="s">
        <v>344</v>
      </c>
      <c r="AM20">
        <v>589.29941176470595</v>
      </c>
      <c r="AN20">
        <v>3530.99</v>
      </c>
      <c r="AO20">
        <f t="shared" si="25"/>
        <v>2941.6905882352939</v>
      </c>
      <c r="AP20">
        <f t="shared" si="26"/>
        <v>0.83310646256015852</v>
      </c>
      <c r="AQ20">
        <v>1.42453575549529</v>
      </c>
      <c r="AR20" t="s">
        <v>367</v>
      </c>
      <c r="AS20">
        <v>781.38488235294096</v>
      </c>
      <c r="AT20">
        <v>1025.6199999999999</v>
      </c>
      <c r="AU20">
        <f t="shared" si="27"/>
        <v>0.23813412145537227</v>
      </c>
      <c r="AV20">
        <v>0.5</v>
      </c>
      <c r="AW20">
        <f t="shared" si="28"/>
        <v>1471.0943998142877</v>
      </c>
      <c r="AX20">
        <f t="shared" si="29"/>
        <v>2.7026857464033385</v>
      </c>
      <c r="AY20">
        <f t="shared" si="30"/>
        <v>175.15888623884678</v>
      </c>
      <c r="AZ20">
        <f t="shared" si="31"/>
        <v>0.45176576119810452</v>
      </c>
      <c r="BA20">
        <f t="shared" si="32"/>
        <v>8.6884294513622188E-4</v>
      </c>
      <c r="BB20">
        <f t="shared" si="33"/>
        <v>2.4427858271094558</v>
      </c>
      <c r="BC20" t="s">
        <v>368</v>
      </c>
      <c r="BD20">
        <v>562.28</v>
      </c>
      <c r="BE20">
        <f t="shared" si="34"/>
        <v>463.33999999999992</v>
      </c>
      <c r="BF20">
        <f t="shared" si="35"/>
        <v>0.52711856875525309</v>
      </c>
      <c r="BG20">
        <f t="shared" si="36"/>
        <v>0.84392547604851931</v>
      </c>
      <c r="BH20">
        <f t="shared" si="37"/>
        <v>0.55976069943174589</v>
      </c>
      <c r="BI20">
        <f t="shared" si="38"/>
        <v>0.85167692687318253</v>
      </c>
      <c r="BJ20">
        <v>8031</v>
      </c>
      <c r="BK20">
        <v>300</v>
      </c>
      <c r="BL20">
        <v>300</v>
      </c>
      <c r="BM20">
        <v>300</v>
      </c>
      <c r="BN20">
        <v>10305.200000000001</v>
      </c>
      <c r="BO20">
        <v>972.13099999999997</v>
      </c>
      <c r="BP20">
        <v>-7.0506900000000001E-3</v>
      </c>
      <c r="BQ20">
        <v>5.7762500000000001</v>
      </c>
      <c r="BR20" t="s">
        <v>347</v>
      </c>
      <c r="BS20" t="s">
        <v>347</v>
      </c>
      <c r="BT20" t="s">
        <v>347</v>
      </c>
      <c r="BU20" t="s">
        <v>347</v>
      </c>
      <c r="BV20" t="s">
        <v>347</v>
      </c>
      <c r="BW20" t="s">
        <v>347</v>
      </c>
      <c r="BX20" t="s">
        <v>347</v>
      </c>
      <c r="BY20" t="s">
        <v>347</v>
      </c>
      <c r="BZ20" t="s">
        <v>347</v>
      </c>
      <c r="CA20" t="s">
        <v>347</v>
      </c>
      <c r="CB20">
        <f t="shared" si="39"/>
        <v>1749.87</v>
      </c>
      <c r="CC20">
        <f t="shared" si="40"/>
        <v>1471.0943998142877</v>
      </c>
      <c r="CD20">
        <f t="shared" si="41"/>
        <v>0.8406878224178298</v>
      </c>
      <c r="CE20">
        <f t="shared" si="42"/>
        <v>0.19137564483565972</v>
      </c>
      <c r="CF20">
        <v>1565546014.5</v>
      </c>
      <c r="CG20">
        <v>96.451700000000002</v>
      </c>
      <c r="CH20">
        <v>100.014</v>
      </c>
      <c r="CI20">
        <v>17.969200000000001</v>
      </c>
      <c r="CJ20">
        <v>14.7195</v>
      </c>
      <c r="CK20">
        <v>500.01499999999999</v>
      </c>
      <c r="CL20">
        <v>99.182000000000002</v>
      </c>
      <c r="CM20">
        <v>0.100059</v>
      </c>
      <c r="CN20">
        <v>25.297599999999999</v>
      </c>
      <c r="CO20">
        <v>26.965699999999998</v>
      </c>
      <c r="CP20">
        <v>999.9</v>
      </c>
      <c r="CQ20">
        <v>0</v>
      </c>
      <c r="CR20">
        <v>0</v>
      </c>
      <c r="CS20">
        <v>9995.6200000000008</v>
      </c>
      <c r="CT20">
        <v>0</v>
      </c>
      <c r="CU20">
        <v>1756.05</v>
      </c>
      <c r="CV20">
        <v>-3.4430999999999998</v>
      </c>
      <c r="CW20">
        <v>98.337999999999994</v>
      </c>
      <c r="CX20">
        <v>101.508</v>
      </c>
      <c r="CY20">
        <v>3.2517</v>
      </c>
      <c r="CZ20">
        <v>92.285700000000006</v>
      </c>
      <c r="DA20">
        <v>100.014</v>
      </c>
      <c r="DB20">
        <v>17.505199999999999</v>
      </c>
      <c r="DC20">
        <v>14.7195</v>
      </c>
      <c r="DD20">
        <v>1.7824199999999999</v>
      </c>
      <c r="DE20">
        <v>1.45991</v>
      </c>
      <c r="DF20">
        <v>15.6334</v>
      </c>
      <c r="DG20">
        <v>12.554600000000001</v>
      </c>
      <c r="DH20">
        <v>1749.87</v>
      </c>
      <c r="DI20">
        <v>0.97700600000000004</v>
      </c>
      <c r="DJ20">
        <v>2.2993599999999999E-2</v>
      </c>
      <c r="DK20">
        <v>0</v>
      </c>
      <c r="DL20">
        <v>781.64499999999998</v>
      </c>
      <c r="DM20">
        <v>5.0002700000000004</v>
      </c>
      <c r="DN20">
        <v>18202.900000000001</v>
      </c>
      <c r="DO20">
        <v>14144.6</v>
      </c>
      <c r="DP20">
        <v>47.125</v>
      </c>
      <c r="DQ20">
        <v>49.686999999999998</v>
      </c>
      <c r="DR20">
        <v>48.125</v>
      </c>
      <c r="DS20">
        <v>48.625</v>
      </c>
      <c r="DT20">
        <v>48.375</v>
      </c>
      <c r="DU20">
        <v>1704.75</v>
      </c>
      <c r="DV20">
        <v>40.119999999999997</v>
      </c>
      <c r="DW20">
        <v>0</v>
      </c>
      <c r="DX20">
        <v>112.40000009536701</v>
      </c>
      <c r="DY20">
        <v>781.38488235294096</v>
      </c>
      <c r="DZ20">
        <v>3.25857841256409</v>
      </c>
      <c r="EA20">
        <v>-7.03431367297447</v>
      </c>
      <c r="EB20">
        <v>18204.129411764701</v>
      </c>
      <c r="EC20">
        <v>10</v>
      </c>
      <c r="ED20">
        <v>1565546039</v>
      </c>
      <c r="EE20" t="s">
        <v>369</v>
      </c>
      <c r="EF20">
        <v>33</v>
      </c>
      <c r="EG20">
        <v>4.1660000000000004</v>
      </c>
      <c r="EH20">
        <v>0.46400000000000002</v>
      </c>
      <c r="EI20">
        <v>100</v>
      </c>
      <c r="EJ20">
        <v>15</v>
      </c>
      <c r="EK20">
        <v>0.43</v>
      </c>
      <c r="EL20">
        <v>0.05</v>
      </c>
      <c r="EM20">
        <v>2.51194541624132</v>
      </c>
      <c r="EN20">
        <v>0.33804811762923698</v>
      </c>
      <c r="EO20">
        <v>3.9592851634678301E-2</v>
      </c>
      <c r="EP20">
        <v>0</v>
      </c>
      <c r="EQ20">
        <v>0.153019342764427</v>
      </c>
      <c r="ER20">
        <v>1.13886272512454E-2</v>
      </c>
      <c r="ES20">
        <v>1.26136219720754E-3</v>
      </c>
      <c r="ET20">
        <v>1</v>
      </c>
      <c r="EU20">
        <v>1</v>
      </c>
      <c r="EV20">
        <v>2</v>
      </c>
      <c r="EW20" t="s">
        <v>359</v>
      </c>
      <c r="EX20">
        <v>2.9481799999999998</v>
      </c>
      <c r="EY20">
        <v>2.7774399999999999</v>
      </c>
      <c r="EZ20">
        <v>2.56774E-2</v>
      </c>
      <c r="FA20">
        <v>2.70449E-2</v>
      </c>
      <c r="FB20">
        <v>8.9566199999999999E-2</v>
      </c>
      <c r="FC20">
        <v>7.5095899999999993E-2</v>
      </c>
      <c r="FD20">
        <v>23298.2</v>
      </c>
      <c r="FE20">
        <v>23458.2</v>
      </c>
      <c r="FF20">
        <v>22494.1</v>
      </c>
      <c r="FG20">
        <v>26454.9</v>
      </c>
      <c r="FH20">
        <v>29275.4</v>
      </c>
      <c r="FI20">
        <v>38410.400000000001</v>
      </c>
      <c r="FJ20">
        <v>32130.7</v>
      </c>
      <c r="FK20">
        <v>42151.199999999997</v>
      </c>
      <c r="FL20">
        <v>1.9273499999999999</v>
      </c>
      <c r="FM20">
        <v>1.81027</v>
      </c>
      <c r="FN20">
        <v>5.9492900000000003E-3</v>
      </c>
      <c r="FO20">
        <v>0</v>
      </c>
      <c r="FP20">
        <v>26.868400000000001</v>
      </c>
      <c r="FQ20">
        <v>999.9</v>
      </c>
      <c r="FR20">
        <v>41.198</v>
      </c>
      <c r="FS20">
        <v>41.643999999999998</v>
      </c>
      <c r="FT20">
        <v>33.602400000000003</v>
      </c>
      <c r="FU20">
        <v>61.530799999999999</v>
      </c>
      <c r="FV20">
        <v>46.265999999999998</v>
      </c>
      <c r="FW20">
        <v>1</v>
      </c>
      <c r="FX20">
        <v>0.67669500000000005</v>
      </c>
      <c r="FY20">
        <v>8.5243099999999998</v>
      </c>
      <c r="FZ20">
        <v>20.053100000000001</v>
      </c>
      <c r="GA20">
        <v>5.2234299999999996</v>
      </c>
      <c r="GB20">
        <v>11.962</v>
      </c>
      <c r="GC20">
        <v>4.9718</v>
      </c>
      <c r="GD20">
        <v>3.2949999999999999</v>
      </c>
      <c r="GE20">
        <v>9999</v>
      </c>
      <c r="GF20">
        <v>9999</v>
      </c>
      <c r="GG20">
        <v>503.8</v>
      </c>
      <c r="GH20">
        <v>9999</v>
      </c>
      <c r="GI20">
        <v>1.8660000000000001</v>
      </c>
      <c r="GJ20">
        <v>1.8653900000000001</v>
      </c>
      <c r="GK20">
        <v>1.86565</v>
      </c>
      <c r="GL20">
        <v>1.8686</v>
      </c>
      <c r="GM20">
        <v>1.86283</v>
      </c>
      <c r="GN20">
        <v>1.8609899999999999</v>
      </c>
      <c r="GO20">
        <v>1.8572</v>
      </c>
      <c r="GP20">
        <v>1.86338</v>
      </c>
      <c r="GQ20" t="s">
        <v>350</v>
      </c>
      <c r="GR20" t="s">
        <v>19</v>
      </c>
      <c r="GS20" t="s">
        <v>19</v>
      </c>
      <c r="GT20" t="s">
        <v>19</v>
      </c>
      <c r="GU20" t="s">
        <v>351</v>
      </c>
      <c r="GV20" t="s">
        <v>352</v>
      </c>
      <c r="GW20" t="s">
        <v>353</v>
      </c>
      <c r="GX20" t="s">
        <v>353</v>
      </c>
      <c r="GY20" t="s">
        <v>353</v>
      </c>
      <c r="GZ20" t="s">
        <v>353</v>
      </c>
      <c r="HA20">
        <v>0</v>
      </c>
      <c r="HB20">
        <v>100</v>
      </c>
      <c r="HC20">
        <v>100</v>
      </c>
      <c r="HD20">
        <v>4.1660000000000004</v>
      </c>
      <c r="HE20">
        <v>0.46400000000000002</v>
      </c>
      <c r="HF20">
        <v>2</v>
      </c>
      <c r="HG20">
        <v>504.291</v>
      </c>
      <c r="HH20">
        <v>466.05900000000003</v>
      </c>
      <c r="HI20">
        <v>18.888300000000001</v>
      </c>
      <c r="HJ20">
        <v>35.498899999999999</v>
      </c>
      <c r="HK20">
        <v>29.999300000000002</v>
      </c>
      <c r="HL20">
        <v>35.436300000000003</v>
      </c>
      <c r="HM20">
        <v>35.419899999999998</v>
      </c>
      <c r="HN20">
        <v>7.3989599999999998</v>
      </c>
      <c r="HO20">
        <v>58.8643</v>
      </c>
      <c r="HP20">
        <v>0</v>
      </c>
      <c r="HQ20">
        <v>19.111000000000001</v>
      </c>
      <c r="HR20">
        <v>100</v>
      </c>
      <c r="HS20">
        <v>14.7013</v>
      </c>
      <c r="HT20">
        <v>98.9071</v>
      </c>
      <c r="HU20">
        <v>102.76900000000001</v>
      </c>
    </row>
    <row r="21" spans="1:229" x14ac:dyDescent="0.35">
      <c r="A21">
        <v>5</v>
      </c>
      <c r="B21">
        <v>1565546118</v>
      </c>
      <c r="C21">
        <v>444.5</v>
      </c>
      <c r="D21" t="s">
        <v>370</v>
      </c>
      <c r="E21" t="s">
        <v>371</v>
      </c>
      <c r="G21">
        <v>1565546118</v>
      </c>
      <c r="H21">
        <f t="shared" si="0"/>
        <v>3.3792844847900546E-3</v>
      </c>
      <c r="I21">
        <f t="shared" si="1"/>
        <v>0.21008667027747374</v>
      </c>
      <c r="J21">
        <f t="shared" si="2"/>
        <v>49.568399999999997</v>
      </c>
      <c r="K21">
        <f t="shared" si="3"/>
        <v>46.360771509335869</v>
      </c>
      <c r="L21">
        <f t="shared" si="4"/>
        <v>4.6024068524918169</v>
      </c>
      <c r="M21">
        <f t="shared" si="5"/>
        <v>4.9208401068372005</v>
      </c>
      <c r="N21">
        <f t="shared" si="6"/>
        <v>0.19321577977379012</v>
      </c>
      <c r="O21">
        <f t="shared" si="7"/>
        <v>2.2462653216633681</v>
      </c>
      <c r="P21">
        <f t="shared" si="8"/>
        <v>0.18443466832261271</v>
      </c>
      <c r="Q21">
        <f t="shared" si="9"/>
        <v>0.11602735535640166</v>
      </c>
      <c r="R21">
        <f t="shared" si="10"/>
        <v>281.55135309042134</v>
      </c>
      <c r="S21">
        <f t="shared" si="11"/>
        <v>26.523300855827465</v>
      </c>
      <c r="T21">
        <f t="shared" si="12"/>
        <v>26.968800000000002</v>
      </c>
      <c r="U21">
        <f t="shared" si="13"/>
        <v>3.5726062932548999</v>
      </c>
      <c r="V21">
        <f t="shared" si="14"/>
        <v>54.962044006279854</v>
      </c>
      <c r="W21">
        <f t="shared" si="15"/>
        <v>1.8029201923863001</v>
      </c>
      <c r="X21">
        <f t="shared" si="16"/>
        <v>3.2803004782360388</v>
      </c>
      <c r="Y21">
        <f t="shared" si="17"/>
        <v>1.7696861008685998</v>
      </c>
      <c r="Z21">
        <f t="shared" si="18"/>
        <v>-149.02644577924141</v>
      </c>
      <c r="AA21">
        <f t="shared" si="19"/>
        <v>-175.01466808229461</v>
      </c>
      <c r="AB21">
        <f t="shared" si="20"/>
        <v>-16.688337299103718</v>
      </c>
      <c r="AC21">
        <f t="shared" si="21"/>
        <v>-59.178098070218368</v>
      </c>
      <c r="AD21">
        <v>-4.1083279733691198E-2</v>
      </c>
      <c r="AE21">
        <v>4.6119580594045202E-2</v>
      </c>
      <c r="AF21">
        <v>3.4485459085119801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52648.940457947167</v>
      </c>
      <c r="AL21" t="s">
        <v>344</v>
      </c>
      <c r="AM21">
        <v>589.29941176470595</v>
      </c>
      <c r="AN21">
        <v>3530.99</v>
      </c>
      <c r="AO21">
        <f t="shared" si="25"/>
        <v>2941.6905882352939</v>
      </c>
      <c r="AP21">
        <f t="shared" si="26"/>
        <v>0.83310646256015852</v>
      </c>
      <c r="AQ21">
        <v>1.42453575549529</v>
      </c>
      <c r="AR21" t="s">
        <v>372</v>
      </c>
      <c r="AS21">
        <v>782.75523529411805</v>
      </c>
      <c r="AT21">
        <v>1002.04</v>
      </c>
      <c r="AU21">
        <f t="shared" si="27"/>
        <v>0.21883833450349477</v>
      </c>
      <c r="AV21">
        <v>0.5</v>
      </c>
      <c r="AW21">
        <f t="shared" si="28"/>
        <v>1471.1954998142544</v>
      </c>
      <c r="AX21">
        <f t="shared" si="29"/>
        <v>0.21008667027747374</v>
      </c>
      <c r="AY21">
        <f t="shared" si="30"/>
        <v>160.97698645419399</v>
      </c>
      <c r="AZ21">
        <f t="shared" si="31"/>
        <v>0.43363538381701328</v>
      </c>
      <c r="BA21">
        <f t="shared" si="32"/>
        <v>-8.2548450248192469E-4</v>
      </c>
      <c r="BB21">
        <f t="shared" si="33"/>
        <v>2.5238014450520936</v>
      </c>
      <c r="BC21" t="s">
        <v>373</v>
      </c>
      <c r="BD21">
        <v>567.52</v>
      </c>
      <c r="BE21">
        <f t="shared" si="34"/>
        <v>434.52</v>
      </c>
      <c r="BF21">
        <f t="shared" si="35"/>
        <v>0.50465977332661771</v>
      </c>
      <c r="BG21">
        <f t="shared" si="36"/>
        <v>0.85337459127306836</v>
      </c>
      <c r="BH21">
        <f t="shared" si="37"/>
        <v>0.53128955803317468</v>
      </c>
      <c r="BI21">
        <f t="shared" si="38"/>
        <v>0.85969272571154565</v>
      </c>
      <c r="BJ21">
        <v>8033</v>
      </c>
      <c r="BK21">
        <v>300</v>
      </c>
      <c r="BL21">
        <v>300</v>
      </c>
      <c r="BM21">
        <v>300</v>
      </c>
      <c r="BN21">
        <v>10308.1</v>
      </c>
      <c r="BO21">
        <v>957.322</v>
      </c>
      <c r="BP21">
        <v>-7.0526299999999998E-3</v>
      </c>
      <c r="BQ21">
        <v>7.7241200000000001</v>
      </c>
      <c r="BR21" t="s">
        <v>347</v>
      </c>
      <c r="BS21" t="s">
        <v>347</v>
      </c>
      <c r="BT21" t="s">
        <v>347</v>
      </c>
      <c r="BU21" t="s">
        <v>347</v>
      </c>
      <c r="BV21" t="s">
        <v>347</v>
      </c>
      <c r="BW21" t="s">
        <v>347</v>
      </c>
      <c r="BX21" t="s">
        <v>347</v>
      </c>
      <c r="BY21" t="s">
        <v>347</v>
      </c>
      <c r="BZ21" t="s">
        <v>347</v>
      </c>
      <c r="CA21" t="s">
        <v>347</v>
      </c>
      <c r="CB21">
        <f t="shared" si="39"/>
        <v>1749.99</v>
      </c>
      <c r="CC21">
        <f t="shared" si="40"/>
        <v>1471.1954998142544</v>
      </c>
      <c r="CD21">
        <f t="shared" si="41"/>
        <v>0.84068794668212643</v>
      </c>
      <c r="CE21">
        <f t="shared" si="42"/>
        <v>0.19137589336425281</v>
      </c>
      <c r="CF21">
        <v>1565546118</v>
      </c>
      <c r="CG21">
        <v>49.568399999999997</v>
      </c>
      <c r="CH21">
        <v>50.021500000000003</v>
      </c>
      <c r="CI21">
        <v>18.161100000000001</v>
      </c>
      <c r="CJ21">
        <v>14.1797</v>
      </c>
      <c r="CK21">
        <v>500.012</v>
      </c>
      <c r="CL21">
        <v>99.173500000000004</v>
      </c>
      <c r="CM21">
        <v>0.100233</v>
      </c>
      <c r="CN21">
        <v>25.523599999999998</v>
      </c>
      <c r="CO21">
        <v>26.968800000000002</v>
      </c>
      <c r="CP21">
        <v>999.9</v>
      </c>
      <c r="CQ21">
        <v>0</v>
      </c>
      <c r="CR21">
        <v>0</v>
      </c>
      <c r="CS21">
        <v>9990</v>
      </c>
      <c r="CT21">
        <v>0</v>
      </c>
      <c r="CU21">
        <v>1753.21</v>
      </c>
      <c r="CV21">
        <v>-0.36502499999999999</v>
      </c>
      <c r="CW21">
        <v>50.575299999999999</v>
      </c>
      <c r="CX21">
        <v>50.741</v>
      </c>
      <c r="CY21">
        <v>3.9874299999999998</v>
      </c>
      <c r="CZ21">
        <v>45.490400000000001</v>
      </c>
      <c r="DA21">
        <v>50.021500000000003</v>
      </c>
      <c r="DB21">
        <v>17.703099999999999</v>
      </c>
      <c r="DC21">
        <v>14.1797</v>
      </c>
      <c r="DD21">
        <v>1.8017000000000001</v>
      </c>
      <c r="DE21">
        <v>1.40625</v>
      </c>
      <c r="DF21">
        <v>15.801500000000001</v>
      </c>
      <c r="DG21">
        <v>11.985200000000001</v>
      </c>
      <c r="DH21">
        <v>1749.99</v>
      </c>
      <c r="DI21">
        <v>0.97700299999999995</v>
      </c>
      <c r="DJ21">
        <v>2.2997500000000001E-2</v>
      </c>
      <c r="DK21">
        <v>0</v>
      </c>
      <c r="DL21">
        <v>783.11099999999999</v>
      </c>
      <c r="DM21">
        <v>5.0002700000000004</v>
      </c>
      <c r="DN21">
        <v>18189.599999999999</v>
      </c>
      <c r="DO21">
        <v>14145.6</v>
      </c>
      <c r="DP21">
        <v>46.75</v>
      </c>
      <c r="DQ21">
        <v>49.311999999999998</v>
      </c>
      <c r="DR21">
        <v>47.686999999999998</v>
      </c>
      <c r="DS21">
        <v>48.25</v>
      </c>
      <c r="DT21">
        <v>48.061999999999998</v>
      </c>
      <c r="DU21">
        <v>1704.86</v>
      </c>
      <c r="DV21">
        <v>40.130000000000003</v>
      </c>
      <c r="DW21">
        <v>0</v>
      </c>
      <c r="DX21">
        <v>103.299999952316</v>
      </c>
      <c r="DY21">
        <v>782.75523529411805</v>
      </c>
      <c r="DZ21">
        <v>1.45098040155786</v>
      </c>
      <c r="EA21">
        <v>-83.553923370735902</v>
      </c>
      <c r="EB21">
        <v>18198.523529411799</v>
      </c>
      <c r="EC21">
        <v>10</v>
      </c>
      <c r="ED21">
        <v>1565546143</v>
      </c>
      <c r="EE21" t="s">
        <v>374</v>
      </c>
      <c r="EF21">
        <v>34</v>
      </c>
      <c r="EG21">
        <v>4.0780000000000003</v>
      </c>
      <c r="EH21">
        <v>0.45800000000000002</v>
      </c>
      <c r="EI21">
        <v>50</v>
      </c>
      <c r="EJ21">
        <v>14</v>
      </c>
      <c r="EK21">
        <v>0.53</v>
      </c>
      <c r="EL21">
        <v>0.06</v>
      </c>
      <c r="EM21">
        <v>0.11409880706709</v>
      </c>
      <c r="EN21">
        <v>8.0052791434349305E-2</v>
      </c>
      <c r="EO21">
        <v>2.6949243992427999E-2</v>
      </c>
      <c r="EP21">
        <v>1</v>
      </c>
      <c r="EQ21">
        <v>0.19106127760883601</v>
      </c>
      <c r="ER21">
        <v>2.5671916218324299E-2</v>
      </c>
      <c r="ES21">
        <v>2.8556625679583502E-3</v>
      </c>
      <c r="ET21">
        <v>1</v>
      </c>
      <c r="EU21">
        <v>2</v>
      </c>
      <c r="EV21">
        <v>2</v>
      </c>
      <c r="EW21" t="s">
        <v>349</v>
      </c>
      <c r="EX21">
        <v>2.9482300000000001</v>
      </c>
      <c r="EY21">
        <v>2.7775599999999998</v>
      </c>
      <c r="EZ21">
        <v>1.2850200000000001E-2</v>
      </c>
      <c r="FA21">
        <v>1.37567E-2</v>
      </c>
      <c r="FB21">
        <v>9.0302300000000002E-2</v>
      </c>
      <c r="FC21">
        <v>7.3051599999999994E-2</v>
      </c>
      <c r="FD21">
        <v>23606.400000000001</v>
      </c>
      <c r="FE21">
        <v>23780.799999999999</v>
      </c>
      <c r="FF21">
        <v>22496</v>
      </c>
      <c r="FG21">
        <v>26457.599999999999</v>
      </c>
      <c r="FH21">
        <v>29254</v>
      </c>
      <c r="FI21">
        <v>38498.5</v>
      </c>
      <c r="FJ21">
        <v>32133.3</v>
      </c>
      <c r="FK21">
        <v>42154.8</v>
      </c>
      <c r="FL21">
        <v>1.9298999999999999</v>
      </c>
      <c r="FM21">
        <v>1.80755</v>
      </c>
      <c r="FN21">
        <v>-1.1101399999999999E-3</v>
      </c>
      <c r="FO21">
        <v>0</v>
      </c>
      <c r="FP21">
        <v>26.986899999999999</v>
      </c>
      <c r="FQ21">
        <v>999.9</v>
      </c>
      <c r="FR21">
        <v>40.923000000000002</v>
      </c>
      <c r="FS21">
        <v>41.704000000000001</v>
      </c>
      <c r="FT21">
        <v>33.488700000000001</v>
      </c>
      <c r="FU21">
        <v>61.720799999999997</v>
      </c>
      <c r="FV21">
        <v>46.362200000000001</v>
      </c>
      <c r="FW21">
        <v>1</v>
      </c>
      <c r="FX21">
        <v>0.66991100000000003</v>
      </c>
      <c r="FY21">
        <v>8.2791300000000003</v>
      </c>
      <c r="FZ21">
        <v>20.063700000000001</v>
      </c>
      <c r="GA21">
        <v>5.22553</v>
      </c>
      <c r="GB21">
        <v>11.962</v>
      </c>
      <c r="GC21">
        <v>4.9714499999999999</v>
      </c>
      <c r="GD21">
        <v>3.2949999999999999</v>
      </c>
      <c r="GE21">
        <v>9999</v>
      </c>
      <c r="GF21">
        <v>9999</v>
      </c>
      <c r="GG21">
        <v>503.8</v>
      </c>
      <c r="GH21">
        <v>9999</v>
      </c>
      <c r="GI21">
        <v>1.8660000000000001</v>
      </c>
      <c r="GJ21">
        <v>1.8653999999999999</v>
      </c>
      <c r="GK21">
        <v>1.8656299999999999</v>
      </c>
      <c r="GL21">
        <v>1.86859</v>
      </c>
      <c r="GM21">
        <v>1.8628199999999999</v>
      </c>
      <c r="GN21">
        <v>1.8610100000000001</v>
      </c>
      <c r="GO21">
        <v>1.8572500000000001</v>
      </c>
      <c r="GP21">
        <v>1.86337</v>
      </c>
      <c r="GQ21" t="s">
        <v>350</v>
      </c>
      <c r="GR21" t="s">
        <v>19</v>
      </c>
      <c r="GS21" t="s">
        <v>19</v>
      </c>
      <c r="GT21" t="s">
        <v>19</v>
      </c>
      <c r="GU21" t="s">
        <v>351</v>
      </c>
      <c r="GV21" t="s">
        <v>352</v>
      </c>
      <c r="GW21" t="s">
        <v>353</v>
      </c>
      <c r="GX21" t="s">
        <v>353</v>
      </c>
      <c r="GY21" t="s">
        <v>353</v>
      </c>
      <c r="GZ21" t="s">
        <v>353</v>
      </c>
      <c r="HA21">
        <v>0</v>
      </c>
      <c r="HB21">
        <v>100</v>
      </c>
      <c r="HC21">
        <v>100</v>
      </c>
      <c r="HD21">
        <v>4.0780000000000003</v>
      </c>
      <c r="HE21">
        <v>0.45800000000000002</v>
      </c>
      <c r="HF21">
        <v>2</v>
      </c>
      <c r="HG21">
        <v>505.73700000000002</v>
      </c>
      <c r="HH21">
        <v>463.99099999999999</v>
      </c>
      <c r="HI21">
        <v>19.3568</v>
      </c>
      <c r="HJ21">
        <v>35.429200000000002</v>
      </c>
      <c r="HK21">
        <v>29.999199999999998</v>
      </c>
      <c r="HL21">
        <v>35.397500000000001</v>
      </c>
      <c r="HM21">
        <v>35.384099999999997</v>
      </c>
      <c r="HN21">
        <v>5.0520899999999997</v>
      </c>
      <c r="HO21">
        <v>59.857100000000003</v>
      </c>
      <c r="HP21">
        <v>0</v>
      </c>
      <c r="HQ21">
        <v>19.4757</v>
      </c>
      <c r="HR21">
        <v>50</v>
      </c>
      <c r="HS21">
        <v>14.269500000000001</v>
      </c>
      <c r="HT21">
        <v>98.915199999999999</v>
      </c>
      <c r="HU21">
        <v>102.77800000000001</v>
      </c>
    </row>
    <row r="22" spans="1:229" x14ac:dyDescent="0.35">
      <c r="A22">
        <v>6</v>
      </c>
      <c r="B22">
        <v>1565546212</v>
      </c>
      <c r="C22">
        <v>538.5</v>
      </c>
      <c r="D22" t="s">
        <v>375</v>
      </c>
      <c r="E22" t="s">
        <v>376</v>
      </c>
      <c r="G22">
        <v>1565546212</v>
      </c>
      <c r="H22">
        <f t="shared" si="0"/>
        <v>3.8193004363206119E-3</v>
      </c>
      <c r="I22">
        <f t="shared" si="1"/>
        <v>-2.3620358093324412</v>
      </c>
      <c r="J22">
        <f t="shared" si="2"/>
        <v>15.231400000000001</v>
      </c>
      <c r="K22">
        <f t="shared" si="3"/>
        <v>32.332859527373195</v>
      </c>
      <c r="L22">
        <f t="shared" si="4"/>
        <v>3.2095778026567241</v>
      </c>
      <c r="M22">
        <f t="shared" si="5"/>
        <v>1.5119715378715</v>
      </c>
      <c r="N22">
        <f t="shared" si="6"/>
        <v>0.2224642059543627</v>
      </c>
      <c r="O22">
        <f t="shared" si="7"/>
        <v>2.2468335811963955</v>
      </c>
      <c r="P22">
        <f t="shared" si="8"/>
        <v>0.21091152959864792</v>
      </c>
      <c r="Q22">
        <f t="shared" si="9"/>
        <v>0.13280765347039472</v>
      </c>
      <c r="R22">
        <f t="shared" si="10"/>
        <v>281.52957104853806</v>
      </c>
      <c r="S22">
        <f t="shared" si="11"/>
        <v>26.528547392182425</v>
      </c>
      <c r="T22">
        <f t="shared" si="12"/>
        <v>26.983499999999999</v>
      </c>
      <c r="U22">
        <f t="shared" si="13"/>
        <v>3.5756926465151371</v>
      </c>
      <c r="V22">
        <f t="shared" si="14"/>
        <v>55.196628804973791</v>
      </c>
      <c r="W22">
        <f t="shared" si="15"/>
        <v>1.8270342677617499</v>
      </c>
      <c r="X22">
        <f t="shared" si="16"/>
        <v>3.3100468403916636</v>
      </c>
      <c r="Y22">
        <f t="shared" si="17"/>
        <v>1.7486583787533871</v>
      </c>
      <c r="Z22">
        <f t="shared" si="18"/>
        <v>-168.43114924173898</v>
      </c>
      <c r="AA22">
        <f t="shared" si="19"/>
        <v>-158.41550371612794</v>
      </c>
      <c r="AB22">
        <f t="shared" si="20"/>
        <v>-15.114335308630009</v>
      </c>
      <c r="AC22">
        <f t="shared" si="21"/>
        <v>-60.431417217958881</v>
      </c>
      <c r="AD22">
        <v>-4.1098556930224503E-2</v>
      </c>
      <c r="AE22">
        <v>4.6136730585509697E-2</v>
      </c>
      <c r="AF22">
        <v>3.4495612471714199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52640.758323266091</v>
      </c>
      <c r="AL22" t="s">
        <v>344</v>
      </c>
      <c r="AM22">
        <v>589.29941176470595</v>
      </c>
      <c r="AN22">
        <v>3530.99</v>
      </c>
      <c r="AO22">
        <f t="shared" si="25"/>
        <v>2941.6905882352939</v>
      </c>
      <c r="AP22">
        <f t="shared" si="26"/>
        <v>0.83310646256015852</v>
      </c>
      <c r="AQ22">
        <v>1.42453575549529</v>
      </c>
      <c r="AR22" t="s">
        <v>377</v>
      </c>
      <c r="AS22">
        <v>786.99505882352901</v>
      </c>
      <c r="AT22">
        <v>983.32600000000002</v>
      </c>
      <c r="AU22">
        <f t="shared" si="27"/>
        <v>0.19966007323763535</v>
      </c>
      <c r="AV22">
        <v>0.5</v>
      </c>
      <c r="AW22">
        <f t="shared" si="28"/>
        <v>1471.0781998141929</v>
      </c>
      <c r="AX22">
        <f t="shared" si="29"/>
        <v>-2.3620358093324412</v>
      </c>
      <c r="AY22">
        <f t="shared" si="30"/>
        <v>146.85779055659526</v>
      </c>
      <c r="AZ22">
        <f t="shared" si="31"/>
        <v>0.41636852885004572</v>
      </c>
      <c r="BA22">
        <f t="shared" si="32"/>
        <v>-2.5740110656972555E-3</v>
      </c>
      <c r="BB22">
        <f t="shared" si="33"/>
        <v>2.5908640674608416</v>
      </c>
      <c r="BC22" t="s">
        <v>378</v>
      </c>
      <c r="BD22">
        <v>573.9</v>
      </c>
      <c r="BE22">
        <f t="shared" si="34"/>
        <v>409.42600000000004</v>
      </c>
      <c r="BF22">
        <f t="shared" si="35"/>
        <v>0.47952729229817109</v>
      </c>
      <c r="BG22">
        <f t="shared" si="36"/>
        <v>0.86154428847278919</v>
      </c>
      <c r="BH22">
        <f t="shared" si="37"/>
        <v>0.49826825660615431</v>
      </c>
      <c r="BI22">
        <f t="shared" si="38"/>
        <v>0.866054373695478</v>
      </c>
      <c r="BJ22">
        <v>8035</v>
      </c>
      <c r="BK22">
        <v>300</v>
      </c>
      <c r="BL22">
        <v>300</v>
      </c>
      <c r="BM22">
        <v>300</v>
      </c>
      <c r="BN22">
        <v>10310.700000000001</v>
      </c>
      <c r="BO22">
        <v>944.63</v>
      </c>
      <c r="BP22">
        <v>-7.0543699999999999E-3</v>
      </c>
      <c r="BQ22">
        <v>6.8469199999999999</v>
      </c>
      <c r="BR22" t="s">
        <v>347</v>
      </c>
      <c r="BS22" t="s">
        <v>347</v>
      </c>
      <c r="BT22" t="s">
        <v>347</v>
      </c>
      <c r="BU22" t="s">
        <v>347</v>
      </c>
      <c r="BV22" t="s">
        <v>347</v>
      </c>
      <c r="BW22" t="s">
        <v>347</v>
      </c>
      <c r="BX22" t="s">
        <v>347</v>
      </c>
      <c r="BY22" t="s">
        <v>347</v>
      </c>
      <c r="BZ22" t="s">
        <v>347</v>
      </c>
      <c r="CA22" t="s">
        <v>347</v>
      </c>
      <c r="CB22">
        <f t="shared" si="39"/>
        <v>1749.85</v>
      </c>
      <c r="CC22">
        <f t="shared" si="40"/>
        <v>1471.0781998141929</v>
      </c>
      <c r="CD22">
        <f t="shared" si="41"/>
        <v>0.84068817316581024</v>
      </c>
      <c r="CE22">
        <f t="shared" si="42"/>
        <v>0.19137634633162068</v>
      </c>
      <c r="CF22">
        <v>1565546212</v>
      </c>
      <c r="CG22">
        <v>15.231400000000001</v>
      </c>
      <c r="CH22">
        <v>12.4664</v>
      </c>
      <c r="CI22">
        <v>18.4053</v>
      </c>
      <c r="CJ22">
        <v>13.905900000000001</v>
      </c>
      <c r="CK22">
        <v>499.93400000000003</v>
      </c>
      <c r="CL22">
        <v>99.166899999999998</v>
      </c>
      <c r="CM22">
        <v>9.9847500000000006E-2</v>
      </c>
      <c r="CN22">
        <v>25.675699999999999</v>
      </c>
      <c r="CO22">
        <v>26.983499999999999</v>
      </c>
      <c r="CP22">
        <v>999.9</v>
      </c>
      <c r="CQ22">
        <v>0</v>
      </c>
      <c r="CR22">
        <v>0</v>
      </c>
      <c r="CS22">
        <v>9994.3799999999992</v>
      </c>
      <c r="CT22">
        <v>0</v>
      </c>
      <c r="CU22">
        <v>1761.23</v>
      </c>
      <c r="CV22">
        <v>2.68296</v>
      </c>
      <c r="CW22">
        <v>15.4335</v>
      </c>
      <c r="CX22">
        <v>12.642200000000001</v>
      </c>
      <c r="CY22">
        <v>4.5024100000000002</v>
      </c>
      <c r="CZ22">
        <v>11.071400000000001</v>
      </c>
      <c r="DA22">
        <v>12.4664</v>
      </c>
      <c r="DB22">
        <v>17.950299999999999</v>
      </c>
      <c r="DC22">
        <v>13.905900000000001</v>
      </c>
      <c r="DD22">
        <v>1.8254900000000001</v>
      </c>
      <c r="DE22">
        <v>1.379</v>
      </c>
      <c r="DF22">
        <v>16.006799999999998</v>
      </c>
      <c r="DG22">
        <v>11.688700000000001</v>
      </c>
      <c r="DH22">
        <v>1749.85</v>
      </c>
      <c r="DI22">
        <v>0.97699499999999995</v>
      </c>
      <c r="DJ22">
        <v>2.3005299999999999E-2</v>
      </c>
      <c r="DK22">
        <v>0</v>
      </c>
      <c r="DL22">
        <v>787.01599999999996</v>
      </c>
      <c r="DM22">
        <v>5.0002700000000004</v>
      </c>
      <c r="DN22">
        <v>18260.099999999999</v>
      </c>
      <c r="DO22">
        <v>14144.4</v>
      </c>
      <c r="DP22">
        <v>46.375</v>
      </c>
      <c r="DQ22">
        <v>49</v>
      </c>
      <c r="DR22">
        <v>47.311999999999998</v>
      </c>
      <c r="DS22">
        <v>47.875</v>
      </c>
      <c r="DT22">
        <v>47.686999999999998</v>
      </c>
      <c r="DU22">
        <v>1704.71</v>
      </c>
      <c r="DV22">
        <v>40.14</v>
      </c>
      <c r="DW22">
        <v>0</v>
      </c>
      <c r="DX22">
        <v>93.700000047683702</v>
      </c>
      <c r="DY22">
        <v>786.99505882352901</v>
      </c>
      <c r="DZ22">
        <v>2.42181373887757</v>
      </c>
      <c r="EA22">
        <v>153.92156756738001</v>
      </c>
      <c r="EB22">
        <v>18236</v>
      </c>
      <c r="EC22">
        <v>10</v>
      </c>
      <c r="ED22">
        <v>1565546241</v>
      </c>
      <c r="EE22" t="s">
        <v>379</v>
      </c>
      <c r="EF22">
        <v>35</v>
      </c>
      <c r="EG22">
        <v>4.16</v>
      </c>
      <c r="EH22">
        <v>0.45500000000000002</v>
      </c>
      <c r="EI22">
        <v>12</v>
      </c>
      <c r="EJ22">
        <v>14</v>
      </c>
      <c r="EK22">
        <v>0.32</v>
      </c>
      <c r="EL22">
        <v>0.04</v>
      </c>
      <c r="EM22">
        <v>-2.2662885729101099</v>
      </c>
      <c r="EN22">
        <v>9.4959477559490801E-2</v>
      </c>
      <c r="EO22">
        <v>2.5341328972119499E-2</v>
      </c>
      <c r="EP22">
        <v>1</v>
      </c>
      <c r="EQ22">
        <v>0.219656063819644</v>
      </c>
      <c r="ER22">
        <v>1.9412470201978501E-2</v>
      </c>
      <c r="ES22">
        <v>2.0381177032859198E-3</v>
      </c>
      <c r="ET22">
        <v>1</v>
      </c>
      <c r="EU22">
        <v>2</v>
      </c>
      <c r="EV22">
        <v>2</v>
      </c>
      <c r="EW22" t="s">
        <v>349</v>
      </c>
      <c r="EX22">
        <v>2.94808</v>
      </c>
      <c r="EY22">
        <v>2.7772100000000002</v>
      </c>
      <c r="EZ22">
        <v>3.1450499999999999E-3</v>
      </c>
      <c r="FA22">
        <v>3.4494E-3</v>
      </c>
      <c r="FB22">
        <v>9.1219900000000007E-2</v>
      </c>
      <c r="FC22">
        <v>7.2006700000000007E-2</v>
      </c>
      <c r="FD22">
        <v>23839.599999999999</v>
      </c>
      <c r="FE22">
        <v>24031.4</v>
      </c>
      <c r="FF22">
        <v>22497.4</v>
      </c>
      <c r="FG22">
        <v>26460</v>
      </c>
      <c r="FH22">
        <v>29226</v>
      </c>
      <c r="FI22">
        <v>38544.800000000003</v>
      </c>
      <c r="FJ22">
        <v>32135</v>
      </c>
      <c r="FK22">
        <v>42158</v>
      </c>
      <c r="FL22">
        <v>1.9289000000000001</v>
      </c>
      <c r="FM22">
        <v>1.81087</v>
      </c>
      <c r="FN22">
        <v>-3.75509E-3</v>
      </c>
      <c r="FO22">
        <v>0</v>
      </c>
      <c r="FP22">
        <v>27.044899999999998</v>
      </c>
      <c r="FQ22">
        <v>999.9</v>
      </c>
      <c r="FR22">
        <v>40.728000000000002</v>
      </c>
      <c r="FS22">
        <v>41.744999999999997</v>
      </c>
      <c r="FT22">
        <v>33.403599999999997</v>
      </c>
      <c r="FU22">
        <v>61.770800000000001</v>
      </c>
      <c r="FV22">
        <v>46.398200000000003</v>
      </c>
      <c r="FW22">
        <v>1</v>
      </c>
      <c r="FX22">
        <v>0.66024899999999997</v>
      </c>
      <c r="FY22">
        <v>7.4319499999999996</v>
      </c>
      <c r="FZ22">
        <v>20.101400000000002</v>
      </c>
      <c r="GA22">
        <v>5.2195400000000003</v>
      </c>
      <c r="GB22">
        <v>11.962</v>
      </c>
      <c r="GC22">
        <v>4.9703499999999998</v>
      </c>
      <c r="GD22">
        <v>3.2942</v>
      </c>
      <c r="GE22">
        <v>9999</v>
      </c>
      <c r="GF22">
        <v>9999</v>
      </c>
      <c r="GG22">
        <v>503.8</v>
      </c>
      <c r="GH22">
        <v>9999</v>
      </c>
      <c r="GI22">
        <v>1.8660099999999999</v>
      </c>
      <c r="GJ22">
        <v>1.8654200000000001</v>
      </c>
      <c r="GK22">
        <v>1.86565</v>
      </c>
      <c r="GL22">
        <v>1.8686100000000001</v>
      </c>
      <c r="GM22">
        <v>1.86283</v>
      </c>
      <c r="GN22">
        <v>1.8609899999999999</v>
      </c>
      <c r="GO22">
        <v>1.85727</v>
      </c>
      <c r="GP22">
        <v>1.8633999999999999</v>
      </c>
      <c r="GQ22" t="s">
        <v>350</v>
      </c>
      <c r="GR22" t="s">
        <v>19</v>
      </c>
      <c r="GS22" t="s">
        <v>19</v>
      </c>
      <c r="GT22" t="s">
        <v>19</v>
      </c>
      <c r="GU22" t="s">
        <v>351</v>
      </c>
      <c r="GV22" t="s">
        <v>352</v>
      </c>
      <c r="GW22" t="s">
        <v>353</v>
      </c>
      <c r="GX22" t="s">
        <v>353</v>
      </c>
      <c r="GY22" t="s">
        <v>353</v>
      </c>
      <c r="GZ22" t="s">
        <v>353</v>
      </c>
      <c r="HA22">
        <v>0</v>
      </c>
      <c r="HB22">
        <v>100</v>
      </c>
      <c r="HC22">
        <v>100</v>
      </c>
      <c r="HD22">
        <v>4.16</v>
      </c>
      <c r="HE22">
        <v>0.45500000000000002</v>
      </c>
      <c r="HF22">
        <v>2</v>
      </c>
      <c r="HG22">
        <v>504.697</v>
      </c>
      <c r="HH22">
        <v>465.863</v>
      </c>
      <c r="HI22">
        <v>19.7834</v>
      </c>
      <c r="HJ22">
        <v>35.362499999999997</v>
      </c>
      <c r="HK22">
        <v>29.9983</v>
      </c>
      <c r="HL22">
        <v>35.351900000000001</v>
      </c>
      <c r="HM22">
        <v>35.337299999999999</v>
      </c>
      <c r="HN22">
        <v>3.3284400000000001</v>
      </c>
      <c r="HO22">
        <v>60.816099999999999</v>
      </c>
      <c r="HP22">
        <v>0</v>
      </c>
      <c r="HQ22">
        <v>19.864999999999998</v>
      </c>
      <c r="HR22">
        <v>12.5</v>
      </c>
      <c r="HS22">
        <v>13.8317</v>
      </c>
      <c r="HT22">
        <v>98.9208</v>
      </c>
      <c r="HU22">
        <v>102.78700000000001</v>
      </c>
    </row>
    <row r="23" spans="1:229" x14ac:dyDescent="0.35">
      <c r="A23">
        <v>8</v>
      </c>
      <c r="B23">
        <v>1565546438</v>
      </c>
      <c r="C23">
        <v>764.5</v>
      </c>
      <c r="D23" t="s">
        <v>380</v>
      </c>
      <c r="E23" t="s">
        <v>381</v>
      </c>
      <c r="G23">
        <v>1565546438</v>
      </c>
      <c r="H23">
        <f t="shared" si="0"/>
        <v>3.4886196659122681E-3</v>
      </c>
      <c r="I23">
        <f t="shared" si="1"/>
        <v>21.418334524082805</v>
      </c>
      <c r="J23">
        <f t="shared" si="2"/>
        <v>372.70499999999998</v>
      </c>
      <c r="K23">
        <f t="shared" si="3"/>
        <v>185.60642737564888</v>
      </c>
      <c r="L23">
        <f t="shared" si="4"/>
        <v>18.423438568713834</v>
      </c>
      <c r="M23">
        <f t="shared" si="5"/>
        <v>36.994988637195</v>
      </c>
      <c r="N23">
        <f t="shared" si="6"/>
        <v>0.19955428923011181</v>
      </c>
      <c r="O23">
        <f t="shared" si="7"/>
        <v>2.2467380129859484</v>
      </c>
      <c r="P23">
        <f t="shared" si="8"/>
        <v>0.19020444523662669</v>
      </c>
      <c r="Q23">
        <f t="shared" si="9"/>
        <v>0.1196813119556186</v>
      </c>
      <c r="R23">
        <f t="shared" si="10"/>
        <v>281.53970881751775</v>
      </c>
      <c r="S23">
        <f t="shared" si="11"/>
        <v>26.847453122211387</v>
      </c>
      <c r="T23">
        <f t="shared" si="12"/>
        <v>27.116</v>
      </c>
      <c r="U23">
        <f t="shared" si="13"/>
        <v>3.6036170218657895</v>
      </c>
      <c r="V23">
        <f t="shared" si="14"/>
        <v>54.691821681750973</v>
      </c>
      <c r="W23">
        <f t="shared" si="15"/>
        <v>1.8328899885465999</v>
      </c>
      <c r="X23">
        <f t="shared" si="16"/>
        <v>3.3513054277330472</v>
      </c>
      <c r="Y23">
        <f t="shared" si="17"/>
        <v>1.7707270333191896</v>
      </c>
      <c r="Z23">
        <f t="shared" si="18"/>
        <v>-153.84812726673101</v>
      </c>
      <c r="AA23">
        <f t="shared" si="19"/>
        <v>-149.14261588168415</v>
      </c>
      <c r="AB23">
        <f t="shared" si="20"/>
        <v>-14.254578122126697</v>
      </c>
      <c r="AC23">
        <f t="shared" si="21"/>
        <v>-35.705612453024116</v>
      </c>
      <c r="AD23">
        <v>-4.1095987413047201E-2</v>
      </c>
      <c r="AE23">
        <v>4.6133846077376202E-2</v>
      </c>
      <c r="AF23">
        <v>3.4493904833913902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52600.659570501593</v>
      </c>
      <c r="AL23" t="s">
        <v>344</v>
      </c>
      <c r="AM23">
        <v>589.29941176470595</v>
      </c>
      <c r="AN23">
        <v>3530.99</v>
      </c>
      <c r="AO23">
        <f t="shared" si="25"/>
        <v>2941.6905882352939</v>
      </c>
      <c r="AP23">
        <f t="shared" si="26"/>
        <v>0.83310646256015852</v>
      </c>
      <c r="AQ23">
        <v>1.42453575549529</v>
      </c>
      <c r="AR23" t="s">
        <v>382</v>
      </c>
      <c r="AS23">
        <v>762.70970588235298</v>
      </c>
      <c r="AT23">
        <v>1124.57</v>
      </c>
      <c r="AU23">
        <f t="shared" si="27"/>
        <v>0.32177658493259376</v>
      </c>
      <c r="AV23">
        <v>0.5</v>
      </c>
      <c r="AW23">
        <f t="shared" si="28"/>
        <v>1471.1288998141531</v>
      </c>
      <c r="AX23">
        <f t="shared" si="29"/>
        <v>21.418334524082805</v>
      </c>
      <c r="AY23">
        <f t="shared" si="30"/>
        <v>236.68741668892102</v>
      </c>
      <c r="AZ23">
        <f t="shared" si="31"/>
        <v>0.53233680428963959</v>
      </c>
      <c r="BA23">
        <f t="shared" si="32"/>
        <v>1.3590786484524451E-2</v>
      </c>
      <c r="BB23">
        <f t="shared" si="33"/>
        <v>2.1398579012422529</v>
      </c>
      <c r="BC23" t="s">
        <v>383</v>
      </c>
      <c r="BD23">
        <v>525.91999999999996</v>
      </c>
      <c r="BE23">
        <f t="shared" si="34"/>
        <v>598.65</v>
      </c>
      <c r="BF23">
        <f t="shared" si="35"/>
        <v>0.60446052638043424</v>
      </c>
      <c r="BG23">
        <f t="shared" si="36"/>
        <v>0.80078667052680974</v>
      </c>
      <c r="BH23">
        <f t="shared" si="37"/>
        <v>0.67603246296540509</v>
      </c>
      <c r="BI23">
        <f t="shared" si="38"/>
        <v>0.81803980664179909</v>
      </c>
      <c r="BJ23">
        <v>8039</v>
      </c>
      <c r="BK23">
        <v>300</v>
      </c>
      <c r="BL23">
        <v>300</v>
      </c>
      <c r="BM23">
        <v>300</v>
      </c>
      <c r="BN23">
        <v>10314.6</v>
      </c>
      <c r="BO23">
        <v>1036.54</v>
      </c>
      <c r="BP23">
        <v>-7.0576800000000002E-3</v>
      </c>
      <c r="BQ23">
        <v>6.7293700000000003</v>
      </c>
      <c r="BR23" t="s">
        <v>347</v>
      </c>
      <c r="BS23" t="s">
        <v>347</v>
      </c>
      <c r="BT23" t="s">
        <v>347</v>
      </c>
      <c r="BU23" t="s">
        <v>347</v>
      </c>
      <c r="BV23" t="s">
        <v>347</v>
      </c>
      <c r="BW23" t="s">
        <v>347</v>
      </c>
      <c r="BX23" t="s">
        <v>347</v>
      </c>
      <c r="BY23" t="s">
        <v>347</v>
      </c>
      <c r="BZ23" t="s">
        <v>347</v>
      </c>
      <c r="CA23" t="s">
        <v>347</v>
      </c>
      <c r="CB23">
        <f t="shared" si="39"/>
        <v>1749.91</v>
      </c>
      <c r="CC23">
        <f t="shared" si="40"/>
        <v>1471.1288998141531</v>
      </c>
      <c r="CD23">
        <f t="shared" si="41"/>
        <v>0.84068832100745361</v>
      </c>
      <c r="CE23">
        <f t="shared" si="42"/>
        <v>0.19137664201490739</v>
      </c>
      <c r="CF23">
        <v>1565546438</v>
      </c>
      <c r="CG23">
        <v>372.70499999999998</v>
      </c>
      <c r="CH23">
        <v>399.96699999999998</v>
      </c>
      <c r="CI23">
        <v>18.465399999999999</v>
      </c>
      <c r="CJ23">
        <v>14.356400000000001</v>
      </c>
      <c r="CK23">
        <v>500.005</v>
      </c>
      <c r="CL23">
        <v>99.160700000000006</v>
      </c>
      <c r="CM23">
        <v>0.100079</v>
      </c>
      <c r="CN23">
        <v>25.884699999999999</v>
      </c>
      <c r="CO23">
        <v>27.116</v>
      </c>
      <c r="CP23">
        <v>999.9</v>
      </c>
      <c r="CQ23">
        <v>0</v>
      </c>
      <c r="CR23">
        <v>0</v>
      </c>
      <c r="CS23">
        <v>9994.3799999999992</v>
      </c>
      <c r="CT23">
        <v>0</v>
      </c>
      <c r="CU23">
        <v>1749.92</v>
      </c>
      <c r="CV23">
        <v>-27.276399999999999</v>
      </c>
      <c r="CW23">
        <v>379.69600000000003</v>
      </c>
      <c r="CX23">
        <v>405.79300000000001</v>
      </c>
      <c r="CY23">
        <v>4.0939500000000004</v>
      </c>
      <c r="CZ23">
        <v>368.14600000000002</v>
      </c>
      <c r="DA23">
        <v>399.96699999999998</v>
      </c>
      <c r="DB23">
        <v>18.010400000000001</v>
      </c>
      <c r="DC23">
        <v>14.356400000000001</v>
      </c>
      <c r="DD23">
        <v>1.82955</v>
      </c>
      <c r="DE23">
        <v>1.4235899999999999</v>
      </c>
      <c r="DF23">
        <v>16.041599999999999</v>
      </c>
      <c r="DG23">
        <v>12.1713</v>
      </c>
      <c r="DH23">
        <v>1749.91</v>
      </c>
      <c r="DI23">
        <v>0.97699100000000005</v>
      </c>
      <c r="DJ23">
        <v>2.30093E-2</v>
      </c>
      <c r="DK23">
        <v>0</v>
      </c>
      <c r="DL23">
        <v>762.60500000000002</v>
      </c>
      <c r="DM23">
        <v>5.0002700000000004</v>
      </c>
      <c r="DN23">
        <v>17831.3</v>
      </c>
      <c r="DO23">
        <v>14144.9</v>
      </c>
      <c r="DP23">
        <v>45.811999999999998</v>
      </c>
      <c r="DQ23">
        <v>48</v>
      </c>
      <c r="DR23">
        <v>46.561999999999998</v>
      </c>
      <c r="DS23">
        <v>47.25</v>
      </c>
      <c r="DT23">
        <v>47.125</v>
      </c>
      <c r="DU23">
        <v>1704.76</v>
      </c>
      <c r="DV23">
        <v>40.15</v>
      </c>
      <c r="DW23">
        <v>0</v>
      </c>
      <c r="DX23">
        <v>120.700000047684</v>
      </c>
      <c r="DY23">
        <v>762.70970588235298</v>
      </c>
      <c r="DZ23">
        <v>-1.5710784636289199</v>
      </c>
      <c r="EA23">
        <v>-47.303922904903402</v>
      </c>
      <c r="EB23">
        <v>17836.023529411799</v>
      </c>
      <c r="EC23">
        <v>10</v>
      </c>
      <c r="ED23">
        <v>1565546465.5</v>
      </c>
      <c r="EE23" t="s">
        <v>384</v>
      </c>
      <c r="EF23">
        <v>37</v>
      </c>
      <c r="EG23">
        <v>4.5590000000000002</v>
      </c>
      <c r="EH23">
        <v>0.45500000000000002</v>
      </c>
      <c r="EI23">
        <v>400</v>
      </c>
      <c r="EJ23">
        <v>14</v>
      </c>
      <c r="EK23">
        <v>0.05</v>
      </c>
      <c r="EL23">
        <v>0.05</v>
      </c>
      <c r="EM23">
        <v>21.8881728602252</v>
      </c>
      <c r="EN23">
        <v>-2.3639167291879</v>
      </c>
      <c r="EO23">
        <v>0.24243338269384801</v>
      </c>
      <c r="EP23">
        <v>0</v>
      </c>
      <c r="EQ23">
        <v>0.20508540052430299</v>
      </c>
      <c r="ER23">
        <v>-4.6959390989296301E-2</v>
      </c>
      <c r="ES23">
        <v>4.8794286476427197E-3</v>
      </c>
      <c r="ET23">
        <v>1</v>
      </c>
      <c r="EU23">
        <v>1</v>
      </c>
      <c r="EV23">
        <v>2</v>
      </c>
      <c r="EW23" t="s">
        <v>359</v>
      </c>
      <c r="EX23">
        <v>2.9483299999999999</v>
      </c>
      <c r="EY23">
        <v>2.7774399999999999</v>
      </c>
      <c r="EZ23">
        <v>8.7710499999999997E-2</v>
      </c>
      <c r="FA23">
        <v>9.1078000000000006E-2</v>
      </c>
      <c r="FB23">
        <v>9.1455499999999995E-2</v>
      </c>
      <c r="FC23">
        <v>7.3738600000000001E-2</v>
      </c>
      <c r="FD23">
        <v>21821.3</v>
      </c>
      <c r="FE23">
        <v>21922.3</v>
      </c>
      <c r="FF23">
        <v>22498.7</v>
      </c>
      <c r="FG23">
        <v>26462.6</v>
      </c>
      <c r="FH23">
        <v>29221.200000000001</v>
      </c>
      <c r="FI23">
        <v>38477.1</v>
      </c>
      <c r="FJ23">
        <v>32137.1</v>
      </c>
      <c r="FK23">
        <v>42161.4</v>
      </c>
      <c r="FL23">
        <v>1.9297500000000001</v>
      </c>
      <c r="FM23">
        <v>1.8131299999999999</v>
      </c>
      <c r="FN23">
        <v>-1.489E-2</v>
      </c>
      <c r="FO23">
        <v>0</v>
      </c>
      <c r="FP23">
        <v>27.359400000000001</v>
      </c>
      <c r="FQ23">
        <v>999.9</v>
      </c>
      <c r="FR23">
        <v>40.482999999999997</v>
      </c>
      <c r="FS23">
        <v>41.825000000000003</v>
      </c>
      <c r="FT23">
        <v>33.3459</v>
      </c>
      <c r="FU23">
        <v>61.790900000000001</v>
      </c>
      <c r="FV23">
        <v>46.342100000000002</v>
      </c>
      <c r="FW23">
        <v>1</v>
      </c>
      <c r="FX23">
        <v>0.66317099999999995</v>
      </c>
      <c r="FY23">
        <v>9.2810500000000005</v>
      </c>
      <c r="FZ23">
        <v>20.0185</v>
      </c>
      <c r="GA23">
        <v>5.2241799999999996</v>
      </c>
      <c r="GB23">
        <v>11.962</v>
      </c>
      <c r="GC23">
        <v>4.9712500000000004</v>
      </c>
      <c r="GD23">
        <v>3.2942499999999999</v>
      </c>
      <c r="GE23">
        <v>9999</v>
      </c>
      <c r="GF23">
        <v>9999</v>
      </c>
      <c r="GG23">
        <v>503.9</v>
      </c>
      <c r="GH23">
        <v>9999</v>
      </c>
      <c r="GI23">
        <v>1.8660099999999999</v>
      </c>
      <c r="GJ23">
        <v>1.8653900000000001</v>
      </c>
      <c r="GK23">
        <v>1.8655999999999999</v>
      </c>
      <c r="GL23">
        <v>1.86859</v>
      </c>
      <c r="GM23">
        <v>1.8628</v>
      </c>
      <c r="GN23">
        <v>1.8609899999999999</v>
      </c>
      <c r="GO23">
        <v>1.8571899999999999</v>
      </c>
      <c r="GP23">
        <v>1.8633999999999999</v>
      </c>
      <c r="GQ23" t="s">
        <v>350</v>
      </c>
      <c r="GR23" t="s">
        <v>19</v>
      </c>
      <c r="GS23" t="s">
        <v>19</v>
      </c>
      <c r="GT23" t="s">
        <v>19</v>
      </c>
      <c r="GU23" t="s">
        <v>351</v>
      </c>
      <c r="GV23" t="s">
        <v>352</v>
      </c>
      <c r="GW23" t="s">
        <v>353</v>
      </c>
      <c r="GX23" t="s">
        <v>353</v>
      </c>
      <c r="GY23" t="s">
        <v>353</v>
      </c>
      <c r="GZ23" t="s">
        <v>353</v>
      </c>
      <c r="HA23">
        <v>0</v>
      </c>
      <c r="HB23">
        <v>100</v>
      </c>
      <c r="HC23">
        <v>100</v>
      </c>
      <c r="HD23">
        <v>4.5590000000000002</v>
      </c>
      <c r="HE23">
        <v>0.45500000000000002</v>
      </c>
      <c r="HF23">
        <v>2</v>
      </c>
      <c r="HG23">
        <v>504.55700000000002</v>
      </c>
      <c r="HH23">
        <v>466.714</v>
      </c>
      <c r="HI23">
        <v>19.2027</v>
      </c>
      <c r="HJ23">
        <v>35.2746</v>
      </c>
      <c r="HK23">
        <v>30.000399999999999</v>
      </c>
      <c r="HL23">
        <v>35.259099999999997</v>
      </c>
      <c r="HM23">
        <v>35.247900000000001</v>
      </c>
      <c r="HN23">
        <v>21.031700000000001</v>
      </c>
      <c r="HO23">
        <v>59.084299999999999</v>
      </c>
      <c r="HP23">
        <v>0</v>
      </c>
      <c r="HQ23">
        <v>18.991499999999998</v>
      </c>
      <c r="HR23">
        <v>400</v>
      </c>
      <c r="HS23">
        <v>14.4786</v>
      </c>
      <c r="HT23">
        <v>98.927000000000007</v>
      </c>
      <c r="HU23">
        <v>102.79600000000001</v>
      </c>
    </row>
    <row r="24" spans="1:229" x14ac:dyDescent="0.35">
      <c r="A24">
        <v>9</v>
      </c>
      <c r="B24">
        <v>1565546556.5</v>
      </c>
      <c r="C24">
        <v>883</v>
      </c>
      <c r="D24" t="s">
        <v>385</v>
      </c>
      <c r="E24" t="s">
        <v>386</v>
      </c>
      <c r="G24">
        <v>1565546556.5</v>
      </c>
      <c r="H24">
        <f t="shared" si="0"/>
        <v>2.5363839885196582E-3</v>
      </c>
      <c r="I24">
        <f t="shared" si="1"/>
        <v>22.419174488863593</v>
      </c>
      <c r="J24">
        <f t="shared" si="2"/>
        <v>471.72800000000001</v>
      </c>
      <c r="K24">
        <f t="shared" si="3"/>
        <v>198.74737403350341</v>
      </c>
      <c r="L24">
        <f t="shared" si="4"/>
        <v>19.727447473431003</v>
      </c>
      <c r="M24">
        <f t="shared" si="5"/>
        <v>46.823206530406402</v>
      </c>
      <c r="N24">
        <f t="shared" si="6"/>
        <v>0.14043147095461958</v>
      </c>
      <c r="O24">
        <f t="shared" si="7"/>
        <v>2.2477577002845051</v>
      </c>
      <c r="P24">
        <f t="shared" si="8"/>
        <v>0.13573303738708617</v>
      </c>
      <c r="Q24">
        <f t="shared" si="9"/>
        <v>8.5242188555231566E-2</v>
      </c>
      <c r="R24">
        <f t="shared" si="10"/>
        <v>281.58541783204163</v>
      </c>
      <c r="S24">
        <f t="shared" si="11"/>
        <v>26.73576230789519</v>
      </c>
      <c r="T24">
        <f t="shared" si="12"/>
        <v>27.103999999999999</v>
      </c>
      <c r="U24">
        <f t="shared" si="13"/>
        <v>3.6010802068782843</v>
      </c>
      <c r="V24">
        <f t="shared" si="14"/>
        <v>54.99263663216594</v>
      </c>
      <c r="W24">
        <f t="shared" si="15"/>
        <v>1.7967053599705598</v>
      </c>
      <c r="X24">
        <f t="shared" si="16"/>
        <v>3.267174425529622</v>
      </c>
      <c r="Y24">
        <f t="shared" si="17"/>
        <v>1.8043748469077245</v>
      </c>
      <c r="Z24">
        <f t="shared" si="18"/>
        <v>-111.85453389371692</v>
      </c>
      <c r="AA24">
        <f t="shared" si="19"/>
        <v>-199.69435633967882</v>
      </c>
      <c r="AB24">
        <f t="shared" si="20"/>
        <v>-19.035491721737479</v>
      </c>
      <c r="AC24">
        <f t="shared" si="21"/>
        <v>-48.998964123091554</v>
      </c>
      <c r="AD24">
        <v>-4.1123408555164297E-2</v>
      </c>
      <c r="AE24">
        <v>4.6164628711626597E-2</v>
      </c>
      <c r="AF24">
        <v>3.4512126360006601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52709.877384876978</v>
      </c>
      <c r="AL24" t="s">
        <v>344</v>
      </c>
      <c r="AM24">
        <v>589.29941176470595</v>
      </c>
      <c r="AN24">
        <v>3530.99</v>
      </c>
      <c r="AO24">
        <f t="shared" si="25"/>
        <v>2941.6905882352939</v>
      </c>
      <c r="AP24">
        <f t="shared" si="26"/>
        <v>0.83310646256015852</v>
      </c>
      <c r="AQ24">
        <v>1.42453575549529</v>
      </c>
      <c r="AR24" t="s">
        <v>387</v>
      </c>
      <c r="AS24">
        <v>767.696941176471</v>
      </c>
      <c r="AT24">
        <v>1151.54</v>
      </c>
      <c r="AU24">
        <f t="shared" si="27"/>
        <v>0.33333020027400606</v>
      </c>
      <c r="AV24">
        <v>0.5</v>
      </c>
      <c r="AW24">
        <f t="shared" si="28"/>
        <v>1471.3721929339151</v>
      </c>
      <c r="AX24">
        <f t="shared" si="29"/>
        <v>22.419174488863593</v>
      </c>
      <c r="AY24">
        <f t="shared" si="30"/>
        <v>245.2263938741327</v>
      </c>
      <c r="AZ24">
        <f t="shared" si="31"/>
        <v>0.54144884241971625</v>
      </c>
      <c r="BA24">
        <f t="shared" si="32"/>
        <v>1.4268747794876434E-2</v>
      </c>
      <c r="BB24">
        <f t="shared" si="33"/>
        <v>2.0663198846761728</v>
      </c>
      <c r="BC24" t="s">
        <v>388</v>
      </c>
      <c r="BD24">
        <v>528.04</v>
      </c>
      <c r="BE24">
        <f t="shared" si="34"/>
        <v>623.5</v>
      </c>
      <c r="BF24">
        <f t="shared" si="35"/>
        <v>0.6156263974715781</v>
      </c>
      <c r="BG24">
        <f t="shared" si="36"/>
        <v>0.79237083534524388</v>
      </c>
      <c r="BH24">
        <f t="shared" si="37"/>
        <v>0.6827025064631107</v>
      </c>
      <c r="BI24">
        <f t="shared" si="38"/>
        <v>0.8088716092427044</v>
      </c>
      <c r="BJ24">
        <v>8041</v>
      </c>
      <c r="BK24">
        <v>300</v>
      </c>
      <c r="BL24">
        <v>300</v>
      </c>
      <c r="BM24">
        <v>300</v>
      </c>
      <c r="BN24">
        <v>10310.1</v>
      </c>
      <c r="BO24">
        <v>1057.4000000000001</v>
      </c>
      <c r="BP24">
        <v>-7.0550099999999996E-3</v>
      </c>
      <c r="BQ24">
        <v>6.4954799999999997</v>
      </c>
      <c r="BR24" t="s">
        <v>347</v>
      </c>
      <c r="BS24" t="s">
        <v>347</v>
      </c>
      <c r="BT24" t="s">
        <v>347</v>
      </c>
      <c r="BU24" t="s">
        <v>347</v>
      </c>
      <c r="BV24" t="s">
        <v>347</v>
      </c>
      <c r="BW24" t="s">
        <v>347</v>
      </c>
      <c r="BX24" t="s">
        <v>347</v>
      </c>
      <c r="BY24" t="s">
        <v>347</v>
      </c>
      <c r="BZ24" t="s">
        <v>347</v>
      </c>
      <c r="CA24" t="s">
        <v>347</v>
      </c>
      <c r="CB24">
        <f t="shared" si="39"/>
        <v>1750.2</v>
      </c>
      <c r="CC24">
        <f t="shared" si="40"/>
        <v>1471.3721929339151</v>
      </c>
      <c r="CD24">
        <f t="shared" si="41"/>
        <v>0.84068803161576688</v>
      </c>
      <c r="CE24">
        <f t="shared" si="42"/>
        <v>0.19137606323153389</v>
      </c>
      <c r="CF24">
        <v>1565546556.5</v>
      </c>
      <c r="CG24">
        <v>471.72800000000001</v>
      </c>
      <c r="CH24">
        <v>500.06900000000002</v>
      </c>
      <c r="CI24">
        <v>18.101199999999999</v>
      </c>
      <c r="CJ24">
        <v>15.112399999999999</v>
      </c>
      <c r="CK24">
        <v>499.96100000000001</v>
      </c>
      <c r="CL24">
        <v>99.159199999999998</v>
      </c>
      <c r="CM24">
        <v>9.97088E-2</v>
      </c>
      <c r="CN24">
        <v>25.456099999999999</v>
      </c>
      <c r="CO24">
        <v>27.103999999999999</v>
      </c>
      <c r="CP24">
        <v>999.9</v>
      </c>
      <c r="CQ24">
        <v>0</v>
      </c>
      <c r="CR24">
        <v>0</v>
      </c>
      <c r="CS24">
        <v>10001.200000000001</v>
      </c>
      <c r="CT24">
        <v>0</v>
      </c>
      <c r="CU24">
        <v>1756.97</v>
      </c>
      <c r="CV24">
        <v>-28.551100000000002</v>
      </c>
      <c r="CW24">
        <v>480.20699999999999</v>
      </c>
      <c r="CX24">
        <v>507.74200000000002</v>
      </c>
      <c r="CY24">
        <v>2.9828000000000001</v>
      </c>
      <c r="CZ24">
        <v>466.95800000000003</v>
      </c>
      <c r="DA24">
        <v>500.06900000000002</v>
      </c>
      <c r="DB24">
        <v>17.6402</v>
      </c>
      <c r="DC24">
        <v>15.112399999999999</v>
      </c>
      <c r="DD24">
        <v>1.7943100000000001</v>
      </c>
      <c r="DE24">
        <v>1.49854</v>
      </c>
      <c r="DF24">
        <v>15.737299999999999</v>
      </c>
      <c r="DG24">
        <v>12.953200000000001</v>
      </c>
      <c r="DH24">
        <v>1750.2</v>
      </c>
      <c r="DI24">
        <v>0.97700299999999995</v>
      </c>
      <c r="DJ24">
        <v>2.2997500000000001E-2</v>
      </c>
      <c r="DK24">
        <v>0</v>
      </c>
      <c r="DL24">
        <v>767.678</v>
      </c>
      <c r="DM24">
        <v>5.0002700000000004</v>
      </c>
      <c r="DN24">
        <v>18010.3</v>
      </c>
      <c r="DO24">
        <v>14147.3</v>
      </c>
      <c r="DP24">
        <v>46.5</v>
      </c>
      <c r="DQ24">
        <v>49</v>
      </c>
      <c r="DR24">
        <v>47.436999999999998</v>
      </c>
      <c r="DS24">
        <v>48.436999999999998</v>
      </c>
      <c r="DT24">
        <v>48</v>
      </c>
      <c r="DU24">
        <v>1705.07</v>
      </c>
      <c r="DV24">
        <v>40.14</v>
      </c>
      <c r="DW24">
        <v>0</v>
      </c>
      <c r="DX24">
        <v>117.700000047684</v>
      </c>
      <c r="DY24">
        <v>767.696941176471</v>
      </c>
      <c r="DZ24">
        <v>-1.44313725127287</v>
      </c>
      <c r="EA24">
        <v>-327.818628172133</v>
      </c>
      <c r="EB24">
        <v>18038.2352941176</v>
      </c>
      <c r="EC24">
        <v>10</v>
      </c>
      <c r="ED24">
        <v>1565546580.5</v>
      </c>
      <c r="EE24" t="s">
        <v>389</v>
      </c>
      <c r="EF24">
        <v>38</v>
      </c>
      <c r="EG24">
        <v>4.7699999999999996</v>
      </c>
      <c r="EH24">
        <v>0.46100000000000002</v>
      </c>
      <c r="EI24">
        <v>500</v>
      </c>
      <c r="EJ24">
        <v>15</v>
      </c>
      <c r="EK24">
        <v>0.11</v>
      </c>
      <c r="EL24">
        <v>0.09</v>
      </c>
      <c r="EM24">
        <v>22.779060686378799</v>
      </c>
      <c r="EN24">
        <v>-1.3919359161926199</v>
      </c>
      <c r="EO24">
        <v>0.14730210516063799</v>
      </c>
      <c r="EP24">
        <v>0</v>
      </c>
      <c r="EQ24">
        <v>0.14251863026145301</v>
      </c>
      <c r="ER24">
        <v>-9.7963146382981803E-3</v>
      </c>
      <c r="ES24">
        <v>1.43005245159436E-3</v>
      </c>
      <c r="ET24">
        <v>1</v>
      </c>
      <c r="EU24">
        <v>1</v>
      </c>
      <c r="EV24">
        <v>2</v>
      </c>
      <c r="EW24" t="s">
        <v>359</v>
      </c>
      <c r="EX24">
        <v>2.9481099999999998</v>
      </c>
      <c r="EY24">
        <v>2.7771300000000001</v>
      </c>
      <c r="EZ24">
        <v>0.105127</v>
      </c>
      <c r="FA24">
        <v>0.107636</v>
      </c>
      <c r="FB24">
        <v>9.0073399999999998E-2</v>
      </c>
      <c r="FC24">
        <v>7.6570299999999994E-2</v>
      </c>
      <c r="FD24">
        <v>21401.4</v>
      </c>
      <c r="FE24">
        <v>21518.9</v>
      </c>
      <c r="FF24">
        <v>22495.7</v>
      </c>
      <c r="FG24">
        <v>26458.9</v>
      </c>
      <c r="FH24">
        <v>29262</v>
      </c>
      <c r="FI24">
        <v>38354.9</v>
      </c>
      <c r="FJ24">
        <v>32133</v>
      </c>
      <c r="FK24">
        <v>42156.3</v>
      </c>
      <c r="FL24">
        <v>1.9279200000000001</v>
      </c>
      <c r="FM24">
        <v>1.81345</v>
      </c>
      <c r="FN24">
        <v>-1.12578E-2</v>
      </c>
      <c r="FO24">
        <v>0</v>
      </c>
      <c r="FP24">
        <v>27.2881</v>
      </c>
      <c r="FQ24">
        <v>999.9</v>
      </c>
      <c r="FR24">
        <v>40.354999999999997</v>
      </c>
      <c r="FS24">
        <v>41.875999999999998</v>
      </c>
      <c r="FT24">
        <v>33.328400000000002</v>
      </c>
      <c r="FU24">
        <v>61.540900000000001</v>
      </c>
      <c r="FV24">
        <v>46.193899999999999</v>
      </c>
      <c r="FW24">
        <v>1</v>
      </c>
      <c r="FX24">
        <v>0.67242100000000005</v>
      </c>
      <c r="FY24">
        <v>9.2810500000000005</v>
      </c>
      <c r="FZ24">
        <v>20.021899999999999</v>
      </c>
      <c r="GA24">
        <v>5.2241799999999996</v>
      </c>
      <c r="GB24">
        <v>11.962</v>
      </c>
      <c r="GC24">
        <v>4.9710999999999999</v>
      </c>
      <c r="GD24">
        <v>3.2942499999999999</v>
      </c>
      <c r="GE24">
        <v>9999</v>
      </c>
      <c r="GF24">
        <v>9999</v>
      </c>
      <c r="GG24">
        <v>503.9</v>
      </c>
      <c r="GH24">
        <v>9999</v>
      </c>
      <c r="GI24">
        <v>1.8660099999999999</v>
      </c>
      <c r="GJ24">
        <v>1.8653999999999999</v>
      </c>
      <c r="GK24">
        <v>1.8656299999999999</v>
      </c>
      <c r="GL24">
        <v>1.86859</v>
      </c>
      <c r="GM24">
        <v>1.8628100000000001</v>
      </c>
      <c r="GN24">
        <v>1.861</v>
      </c>
      <c r="GO24">
        <v>1.8572299999999999</v>
      </c>
      <c r="GP24">
        <v>1.86338</v>
      </c>
      <c r="GQ24" t="s">
        <v>350</v>
      </c>
      <c r="GR24" t="s">
        <v>19</v>
      </c>
      <c r="GS24" t="s">
        <v>19</v>
      </c>
      <c r="GT24" t="s">
        <v>19</v>
      </c>
      <c r="GU24" t="s">
        <v>351</v>
      </c>
      <c r="GV24" t="s">
        <v>352</v>
      </c>
      <c r="GW24" t="s">
        <v>353</v>
      </c>
      <c r="GX24" t="s">
        <v>353</v>
      </c>
      <c r="GY24" t="s">
        <v>353</v>
      </c>
      <c r="GZ24" t="s">
        <v>353</v>
      </c>
      <c r="HA24">
        <v>0</v>
      </c>
      <c r="HB24">
        <v>100</v>
      </c>
      <c r="HC24">
        <v>100</v>
      </c>
      <c r="HD24">
        <v>4.7699999999999996</v>
      </c>
      <c r="HE24">
        <v>0.46100000000000002</v>
      </c>
      <c r="HF24">
        <v>2</v>
      </c>
      <c r="HG24">
        <v>503.74599999999998</v>
      </c>
      <c r="HH24">
        <v>467.32799999999997</v>
      </c>
      <c r="HI24">
        <v>18.851199999999999</v>
      </c>
      <c r="HJ24">
        <v>35.412300000000002</v>
      </c>
      <c r="HK24">
        <v>30.000399999999999</v>
      </c>
      <c r="HL24">
        <v>35.315300000000001</v>
      </c>
      <c r="HM24">
        <v>35.302900000000001</v>
      </c>
      <c r="HN24">
        <v>25.262599999999999</v>
      </c>
      <c r="HO24">
        <v>56.343699999999998</v>
      </c>
      <c r="HP24">
        <v>0</v>
      </c>
      <c r="HQ24">
        <v>16.913900000000002</v>
      </c>
      <c r="HR24">
        <v>500</v>
      </c>
      <c r="HS24">
        <v>15.1473</v>
      </c>
      <c r="HT24">
        <v>98.914299999999997</v>
      </c>
      <c r="HU24">
        <v>102.783</v>
      </c>
    </row>
    <row r="25" spans="1:229" x14ac:dyDescent="0.35">
      <c r="A25">
        <v>10</v>
      </c>
      <c r="B25">
        <v>1565546671.5</v>
      </c>
      <c r="C25">
        <v>998</v>
      </c>
      <c r="D25" t="s">
        <v>390</v>
      </c>
      <c r="E25" t="s">
        <v>391</v>
      </c>
      <c r="G25">
        <v>1565546671.5</v>
      </c>
      <c r="H25">
        <f t="shared" si="0"/>
        <v>2.2946638582615848E-3</v>
      </c>
      <c r="I25">
        <f t="shared" si="1"/>
        <v>25.71243367920437</v>
      </c>
      <c r="J25">
        <f t="shared" si="2"/>
        <v>567.53599999999994</v>
      </c>
      <c r="K25">
        <f t="shared" si="3"/>
        <v>222.84962889888382</v>
      </c>
      <c r="L25">
        <f t="shared" si="4"/>
        <v>22.12108506688649</v>
      </c>
      <c r="M25">
        <f t="shared" si="5"/>
        <v>56.336248781535993</v>
      </c>
      <c r="N25">
        <f t="shared" si="6"/>
        <v>0.1268739344135211</v>
      </c>
      <c r="O25">
        <f t="shared" si="7"/>
        <v>2.2483301147016457</v>
      </c>
      <c r="P25">
        <f t="shared" si="8"/>
        <v>0.12302647079470719</v>
      </c>
      <c r="Q25">
        <f t="shared" si="9"/>
        <v>7.7227504709657432E-2</v>
      </c>
      <c r="R25">
        <f t="shared" si="10"/>
        <v>281.54130480804412</v>
      </c>
      <c r="S25">
        <f t="shared" si="11"/>
        <v>26.614619117341615</v>
      </c>
      <c r="T25">
        <f t="shared" si="12"/>
        <v>27.007400000000001</v>
      </c>
      <c r="U25">
        <f t="shared" si="13"/>
        <v>3.5807155634142296</v>
      </c>
      <c r="V25">
        <f t="shared" si="14"/>
        <v>55.113121349778723</v>
      </c>
      <c r="W25">
        <f t="shared" si="15"/>
        <v>1.7792390093491997</v>
      </c>
      <c r="X25">
        <f t="shared" si="16"/>
        <v>3.2283401225946773</v>
      </c>
      <c r="Y25">
        <f t="shared" si="17"/>
        <v>1.8014765540650299</v>
      </c>
      <c r="Z25">
        <f t="shared" si="18"/>
        <v>-101.19467614933589</v>
      </c>
      <c r="AA25">
        <f t="shared" si="19"/>
        <v>-212.41186173718674</v>
      </c>
      <c r="AB25">
        <f t="shared" si="20"/>
        <v>-20.212440826322634</v>
      </c>
      <c r="AC25">
        <f t="shared" si="21"/>
        <v>-52.277673904801134</v>
      </c>
      <c r="AD25">
        <v>-4.11388066772298E-2</v>
      </c>
      <c r="AE25">
        <v>4.6181914452594702E-2</v>
      </c>
      <c r="AF25">
        <v>3.4522356683663502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52764.476057681757</v>
      </c>
      <c r="AL25" t="s">
        <v>344</v>
      </c>
      <c r="AM25">
        <v>589.29941176470595</v>
      </c>
      <c r="AN25">
        <v>3530.99</v>
      </c>
      <c r="AO25">
        <f t="shared" si="25"/>
        <v>2941.6905882352939</v>
      </c>
      <c r="AP25">
        <f t="shared" si="26"/>
        <v>0.83310646256015852</v>
      </c>
      <c r="AQ25">
        <v>1.42453575549529</v>
      </c>
      <c r="AR25" t="s">
        <v>392</v>
      </c>
      <c r="AS25">
        <v>776.08417647058798</v>
      </c>
      <c r="AT25">
        <v>1195.22</v>
      </c>
      <c r="AU25">
        <f t="shared" si="27"/>
        <v>0.35067671519001697</v>
      </c>
      <c r="AV25">
        <v>0.5</v>
      </c>
      <c r="AW25">
        <f t="shared" si="28"/>
        <v>1471.1372998141542</v>
      </c>
      <c r="AX25">
        <f t="shared" si="29"/>
        <v>25.71243367920437</v>
      </c>
      <c r="AY25">
        <f t="shared" si="30"/>
        <v>257.9467979461694</v>
      </c>
      <c r="AZ25">
        <f t="shared" si="31"/>
        <v>0.5558307257241345</v>
      </c>
      <c r="BA25">
        <f t="shared" si="32"/>
        <v>1.6509606497488252E-2</v>
      </c>
      <c r="BB25">
        <f t="shared" si="33"/>
        <v>1.9542594668763906</v>
      </c>
      <c r="BC25" t="s">
        <v>393</v>
      </c>
      <c r="BD25">
        <v>530.88</v>
      </c>
      <c r="BE25">
        <f t="shared" si="34"/>
        <v>664.34</v>
      </c>
      <c r="BF25">
        <f t="shared" si="35"/>
        <v>0.63090559582354222</v>
      </c>
      <c r="BG25">
        <f t="shared" si="36"/>
        <v>0.7785614527467325</v>
      </c>
      <c r="BH25">
        <f t="shared" si="37"/>
        <v>0.69173391970409681</v>
      </c>
      <c r="BI25">
        <f t="shared" si="38"/>
        <v>0.79402300477876453</v>
      </c>
      <c r="BJ25">
        <v>8043</v>
      </c>
      <c r="BK25">
        <v>300</v>
      </c>
      <c r="BL25">
        <v>300</v>
      </c>
      <c r="BM25">
        <v>300</v>
      </c>
      <c r="BN25">
        <v>10306.1</v>
      </c>
      <c r="BO25">
        <v>1090.45</v>
      </c>
      <c r="BP25">
        <v>-7.0523799999999996E-3</v>
      </c>
      <c r="BQ25">
        <v>6.52271</v>
      </c>
      <c r="BR25" t="s">
        <v>347</v>
      </c>
      <c r="BS25" t="s">
        <v>347</v>
      </c>
      <c r="BT25" t="s">
        <v>347</v>
      </c>
      <c r="BU25" t="s">
        <v>347</v>
      </c>
      <c r="BV25" t="s">
        <v>347</v>
      </c>
      <c r="BW25" t="s">
        <v>347</v>
      </c>
      <c r="BX25" t="s">
        <v>347</v>
      </c>
      <c r="BY25" t="s">
        <v>347</v>
      </c>
      <c r="BZ25" t="s">
        <v>347</v>
      </c>
      <c r="CA25" t="s">
        <v>347</v>
      </c>
      <c r="CB25">
        <f t="shared" si="39"/>
        <v>1749.92</v>
      </c>
      <c r="CC25">
        <f t="shared" si="40"/>
        <v>1471.1372998141542</v>
      </c>
      <c r="CD25">
        <f t="shared" si="41"/>
        <v>0.84068831707401148</v>
      </c>
      <c r="CE25">
        <f t="shared" si="42"/>
        <v>0.19137663414802322</v>
      </c>
      <c r="CF25">
        <v>1565546671.5</v>
      </c>
      <c r="CG25">
        <v>567.53599999999994</v>
      </c>
      <c r="CH25">
        <v>599.952</v>
      </c>
      <c r="CI25">
        <v>17.924199999999999</v>
      </c>
      <c r="CJ25">
        <v>15.2201</v>
      </c>
      <c r="CK25">
        <v>500.02600000000001</v>
      </c>
      <c r="CL25">
        <v>99.164599999999993</v>
      </c>
      <c r="CM25">
        <v>0.100026</v>
      </c>
      <c r="CN25">
        <v>25.254999999999999</v>
      </c>
      <c r="CO25">
        <v>27.007400000000001</v>
      </c>
      <c r="CP25">
        <v>999.9</v>
      </c>
      <c r="CQ25">
        <v>0</v>
      </c>
      <c r="CR25">
        <v>0</v>
      </c>
      <c r="CS25">
        <v>10004.4</v>
      </c>
      <c r="CT25">
        <v>0</v>
      </c>
      <c r="CU25">
        <v>1757.08</v>
      </c>
      <c r="CV25">
        <v>-32.5045</v>
      </c>
      <c r="CW25">
        <v>577.80399999999997</v>
      </c>
      <c r="CX25">
        <v>609.22400000000005</v>
      </c>
      <c r="CY25">
        <v>2.7040899999999999</v>
      </c>
      <c r="CZ25">
        <v>562.67700000000002</v>
      </c>
      <c r="DA25">
        <v>599.952</v>
      </c>
      <c r="DB25">
        <v>17.463200000000001</v>
      </c>
      <c r="DC25">
        <v>15.2201</v>
      </c>
      <c r="DD25">
        <v>1.7774399999999999</v>
      </c>
      <c r="DE25">
        <v>1.50929</v>
      </c>
      <c r="DF25">
        <v>15.5898</v>
      </c>
      <c r="DG25">
        <v>13.0626</v>
      </c>
      <c r="DH25">
        <v>1749.92</v>
      </c>
      <c r="DI25">
        <v>0.97699100000000005</v>
      </c>
      <c r="DJ25">
        <v>2.3008799999999999E-2</v>
      </c>
      <c r="DK25">
        <v>0</v>
      </c>
      <c r="DL25">
        <v>776.14700000000005</v>
      </c>
      <c r="DM25">
        <v>5.0002700000000004</v>
      </c>
      <c r="DN25">
        <v>18213.099999999999</v>
      </c>
      <c r="DO25">
        <v>14145</v>
      </c>
      <c r="DP25">
        <v>47.125</v>
      </c>
      <c r="DQ25">
        <v>49.686999999999998</v>
      </c>
      <c r="DR25">
        <v>48.061999999999998</v>
      </c>
      <c r="DS25">
        <v>49.186999999999998</v>
      </c>
      <c r="DT25">
        <v>48.561999999999998</v>
      </c>
      <c r="DU25">
        <v>1704.77</v>
      </c>
      <c r="DV25">
        <v>40.15</v>
      </c>
      <c r="DW25">
        <v>0</v>
      </c>
      <c r="DX25">
        <v>114.700000047684</v>
      </c>
      <c r="DY25">
        <v>776.08417647058798</v>
      </c>
      <c r="DZ25">
        <v>-0.677696056739162</v>
      </c>
      <c r="EA25">
        <v>77.549018552123997</v>
      </c>
      <c r="EB25">
        <v>18205.170588235302</v>
      </c>
      <c r="EC25">
        <v>10</v>
      </c>
      <c r="ED25">
        <v>1565546697.5</v>
      </c>
      <c r="EE25" t="s">
        <v>394</v>
      </c>
      <c r="EF25">
        <v>39</v>
      </c>
      <c r="EG25">
        <v>4.859</v>
      </c>
      <c r="EH25">
        <v>0.46100000000000002</v>
      </c>
      <c r="EI25">
        <v>600</v>
      </c>
      <c r="EJ25">
        <v>15</v>
      </c>
      <c r="EK25">
        <v>0.06</v>
      </c>
      <c r="EL25">
        <v>0.09</v>
      </c>
      <c r="EM25">
        <v>25.8880653822192</v>
      </c>
      <c r="EN25">
        <v>-0.50446609810797705</v>
      </c>
      <c r="EO25">
        <v>6.0812094963055299E-2</v>
      </c>
      <c r="EP25">
        <v>0</v>
      </c>
      <c r="EQ25">
        <v>0.127795930061047</v>
      </c>
      <c r="ER25">
        <v>-1.4032484768919801E-3</v>
      </c>
      <c r="ES25">
        <v>2.0821177842363201E-4</v>
      </c>
      <c r="ET25">
        <v>1</v>
      </c>
      <c r="EU25">
        <v>1</v>
      </c>
      <c r="EV25">
        <v>2</v>
      </c>
      <c r="EW25" t="s">
        <v>359</v>
      </c>
      <c r="EX25">
        <v>2.94815</v>
      </c>
      <c r="EY25">
        <v>2.7774800000000002</v>
      </c>
      <c r="EZ25">
        <v>0.120375</v>
      </c>
      <c r="FA25">
        <v>0.122598</v>
      </c>
      <c r="FB25">
        <v>8.9399500000000007E-2</v>
      </c>
      <c r="FC25">
        <v>7.6957899999999996E-2</v>
      </c>
      <c r="FD25">
        <v>21030.6</v>
      </c>
      <c r="FE25">
        <v>21151.3</v>
      </c>
      <c r="FF25">
        <v>22489.9</v>
      </c>
      <c r="FG25">
        <v>26452</v>
      </c>
      <c r="FH25">
        <v>29277.200000000001</v>
      </c>
      <c r="FI25">
        <v>38330.5</v>
      </c>
      <c r="FJ25">
        <v>32125.599999999999</v>
      </c>
      <c r="FK25">
        <v>42147.199999999997</v>
      </c>
      <c r="FL25">
        <v>1.92605</v>
      </c>
      <c r="FM25">
        <v>1.81148</v>
      </c>
      <c r="FN25">
        <v>-1.34856E-2</v>
      </c>
      <c r="FO25">
        <v>0</v>
      </c>
      <c r="FP25">
        <v>27.227900000000002</v>
      </c>
      <c r="FQ25">
        <v>999.9</v>
      </c>
      <c r="FR25">
        <v>40.183999999999997</v>
      </c>
      <c r="FS25">
        <v>41.896000000000001</v>
      </c>
      <c r="FT25">
        <v>33.222099999999998</v>
      </c>
      <c r="FU25">
        <v>61.560899999999997</v>
      </c>
      <c r="FV25">
        <v>46.342100000000002</v>
      </c>
      <c r="FW25">
        <v>1</v>
      </c>
      <c r="FX25">
        <v>0.68365900000000002</v>
      </c>
      <c r="FY25">
        <v>9.2810500000000005</v>
      </c>
      <c r="FZ25">
        <v>20.023299999999999</v>
      </c>
      <c r="GA25">
        <v>5.22837</v>
      </c>
      <c r="GB25">
        <v>11.962</v>
      </c>
      <c r="GC25">
        <v>4.9716500000000003</v>
      </c>
      <c r="GD25">
        <v>3.2949999999999999</v>
      </c>
      <c r="GE25">
        <v>9999</v>
      </c>
      <c r="GF25">
        <v>9999</v>
      </c>
      <c r="GG25">
        <v>503.9</v>
      </c>
      <c r="GH25">
        <v>9999</v>
      </c>
      <c r="GI25">
        <v>1.8660000000000001</v>
      </c>
      <c r="GJ25">
        <v>1.8653999999999999</v>
      </c>
      <c r="GK25">
        <v>1.8656600000000001</v>
      </c>
      <c r="GL25">
        <v>1.8686199999999999</v>
      </c>
      <c r="GM25">
        <v>1.8628100000000001</v>
      </c>
      <c r="GN25">
        <v>1.86103</v>
      </c>
      <c r="GO25">
        <v>1.85727</v>
      </c>
      <c r="GP25">
        <v>1.8633999999999999</v>
      </c>
      <c r="GQ25" t="s">
        <v>350</v>
      </c>
      <c r="GR25" t="s">
        <v>19</v>
      </c>
      <c r="GS25" t="s">
        <v>19</v>
      </c>
      <c r="GT25" t="s">
        <v>19</v>
      </c>
      <c r="GU25" t="s">
        <v>351</v>
      </c>
      <c r="GV25" t="s">
        <v>352</v>
      </c>
      <c r="GW25" t="s">
        <v>353</v>
      </c>
      <c r="GX25" t="s">
        <v>353</v>
      </c>
      <c r="GY25" t="s">
        <v>353</v>
      </c>
      <c r="GZ25" t="s">
        <v>353</v>
      </c>
      <c r="HA25">
        <v>0</v>
      </c>
      <c r="HB25">
        <v>100</v>
      </c>
      <c r="HC25">
        <v>100</v>
      </c>
      <c r="HD25">
        <v>4.859</v>
      </c>
      <c r="HE25">
        <v>0.46100000000000002</v>
      </c>
      <c r="HF25">
        <v>2</v>
      </c>
      <c r="HG25">
        <v>503.20299999999997</v>
      </c>
      <c r="HH25">
        <v>466.68099999999998</v>
      </c>
      <c r="HI25">
        <v>18.805199999999999</v>
      </c>
      <c r="HJ25">
        <v>35.569800000000001</v>
      </c>
      <c r="HK25">
        <v>30.000699999999998</v>
      </c>
      <c r="HL25">
        <v>35.410600000000002</v>
      </c>
      <c r="HM25">
        <v>35.395499999999998</v>
      </c>
      <c r="HN25">
        <v>29.356999999999999</v>
      </c>
      <c r="HO25">
        <v>55.7637</v>
      </c>
      <c r="HP25">
        <v>0</v>
      </c>
      <c r="HQ25">
        <v>18.799800000000001</v>
      </c>
      <c r="HR25">
        <v>600</v>
      </c>
      <c r="HS25">
        <v>15.254099999999999</v>
      </c>
      <c r="HT25">
        <v>98.890299999999996</v>
      </c>
      <c r="HU25">
        <v>102.759</v>
      </c>
    </row>
    <row r="26" spans="1:229" x14ac:dyDescent="0.35">
      <c r="A26">
        <v>11</v>
      </c>
      <c r="B26">
        <v>1565546784.5</v>
      </c>
      <c r="C26">
        <v>1111</v>
      </c>
      <c r="D26" t="s">
        <v>395</v>
      </c>
      <c r="E26" t="s">
        <v>396</v>
      </c>
      <c r="G26">
        <v>1565546784.5</v>
      </c>
      <c r="H26">
        <f t="shared" si="0"/>
        <v>2.0817943992877757E-3</v>
      </c>
      <c r="I26">
        <f t="shared" si="1"/>
        <v>32.209804636898568</v>
      </c>
      <c r="J26">
        <f t="shared" si="2"/>
        <v>759.67100000000005</v>
      </c>
      <c r="K26">
        <f t="shared" si="3"/>
        <v>280.61943203343202</v>
      </c>
      <c r="L26">
        <f t="shared" si="4"/>
        <v>27.857339506465866</v>
      </c>
      <c r="M26">
        <f t="shared" si="5"/>
        <v>75.413212858670505</v>
      </c>
      <c r="N26">
        <f t="shared" si="6"/>
        <v>0.11387101056527631</v>
      </c>
      <c r="O26">
        <f t="shared" si="7"/>
        <v>2.2467025198725254</v>
      </c>
      <c r="P26">
        <f t="shared" si="8"/>
        <v>0.1107591724092015</v>
      </c>
      <c r="Q26">
        <f t="shared" si="9"/>
        <v>6.9496985837528696E-2</v>
      </c>
      <c r="R26">
        <f t="shared" si="10"/>
        <v>281.54393496331568</v>
      </c>
      <c r="S26">
        <f t="shared" si="11"/>
        <v>26.75696995829675</v>
      </c>
      <c r="T26">
        <f t="shared" si="12"/>
        <v>27.085699999999999</v>
      </c>
      <c r="U26">
        <f t="shared" si="13"/>
        <v>3.5972145651968823</v>
      </c>
      <c r="V26">
        <f t="shared" si="14"/>
        <v>54.963964983264688</v>
      </c>
      <c r="W26">
        <f t="shared" si="15"/>
        <v>1.7819024676364499</v>
      </c>
      <c r="X26">
        <f t="shared" si="16"/>
        <v>3.2419467339719752</v>
      </c>
      <c r="Y26">
        <f t="shared" si="17"/>
        <v>1.8153120975604324</v>
      </c>
      <c r="Z26">
        <f t="shared" si="18"/>
        <v>-91.80713300859091</v>
      </c>
      <c r="AA26">
        <f t="shared" si="19"/>
        <v>-213.17863820240677</v>
      </c>
      <c r="AB26">
        <f t="shared" si="20"/>
        <v>-20.315273055851115</v>
      </c>
      <c r="AC26">
        <f t="shared" si="21"/>
        <v>-43.757109303533099</v>
      </c>
      <c r="AD26">
        <v>-4.1095033144167001E-2</v>
      </c>
      <c r="AE26">
        <v>4.6132774826959599E-2</v>
      </c>
      <c r="AF26">
        <v>3.44932706410078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52698.26907218367</v>
      </c>
      <c r="AL26" t="s">
        <v>344</v>
      </c>
      <c r="AM26">
        <v>589.29941176470595</v>
      </c>
      <c r="AN26">
        <v>3530.99</v>
      </c>
      <c r="AO26">
        <f t="shared" si="25"/>
        <v>2941.6905882352939</v>
      </c>
      <c r="AP26">
        <f t="shared" si="26"/>
        <v>0.83310646256015852</v>
      </c>
      <c r="AQ26">
        <v>1.42453575549529</v>
      </c>
      <c r="AR26" t="s">
        <v>397</v>
      </c>
      <c r="AS26">
        <v>795.647352941176</v>
      </c>
      <c r="AT26">
        <v>1269.0899999999999</v>
      </c>
      <c r="AU26">
        <f t="shared" si="27"/>
        <v>0.37305679428474259</v>
      </c>
      <c r="AV26">
        <v>0.5</v>
      </c>
      <c r="AW26">
        <f t="shared" si="28"/>
        <v>1471.1537998142028</v>
      </c>
      <c r="AX26">
        <f t="shared" si="29"/>
        <v>32.209804636898568</v>
      </c>
      <c r="AY26">
        <f t="shared" si="30"/>
        <v>274.4119602292522</v>
      </c>
      <c r="AZ26">
        <f t="shared" si="31"/>
        <v>0.58069167671323541</v>
      </c>
      <c r="BA26">
        <f t="shared" si="32"/>
        <v>2.0925935062188098E-2</v>
      </c>
      <c r="BB26">
        <f t="shared" si="33"/>
        <v>1.782300703653799</v>
      </c>
      <c r="BC26" t="s">
        <v>398</v>
      </c>
      <c r="BD26">
        <v>532.14</v>
      </c>
      <c r="BE26">
        <f t="shared" si="34"/>
        <v>736.94999999999993</v>
      </c>
      <c r="BF26">
        <f t="shared" si="35"/>
        <v>0.64243523584886897</v>
      </c>
      <c r="BG26">
        <f t="shared" si="36"/>
        <v>0.75425579805592136</v>
      </c>
      <c r="BH26">
        <f t="shared" si="37"/>
        <v>0.69645366566174427</v>
      </c>
      <c r="BI26">
        <f t="shared" si="38"/>
        <v>0.76891159425332445</v>
      </c>
      <c r="BJ26">
        <v>8045</v>
      </c>
      <c r="BK26">
        <v>300</v>
      </c>
      <c r="BL26">
        <v>300</v>
      </c>
      <c r="BM26">
        <v>300</v>
      </c>
      <c r="BN26">
        <v>10302.700000000001</v>
      </c>
      <c r="BO26">
        <v>1149.82</v>
      </c>
      <c r="BP26">
        <v>-7.0501499999999998E-3</v>
      </c>
      <c r="BQ26">
        <v>6.46692</v>
      </c>
      <c r="BR26" t="s">
        <v>347</v>
      </c>
      <c r="BS26" t="s">
        <v>347</v>
      </c>
      <c r="BT26" t="s">
        <v>347</v>
      </c>
      <c r="BU26" t="s">
        <v>347</v>
      </c>
      <c r="BV26" t="s">
        <v>347</v>
      </c>
      <c r="BW26" t="s">
        <v>347</v>
      </c>
      <c r="BX26" t="s">
        <v>347</v>
      </c>
      <c r="BY26" t="s">
        <v>347</v>
      </c>
      <c r="BZ26" t="s">
        <v>347</v>
      </c>
      <c r="CA26" t="s">
        <v>347</v>
      </c>
      <c r="CB26">
        <f t="shared" si="39"/>
        <v>1749.94</v>
      </c>
      <c r="CC26">
        <f t="shared" si="40"/>
        <v>1471.1537998142028</v>
      </c>
      <c r="CD26">
        <f t="shared" si="41"/>
        <v>0.84068813777283946</v>
      </c>
      <c r="CE26">
        <f t="shared" si="42"/>
        <v>0.19137627554567907</v>
      </c>
      <c r="CF26">
        <v>1565546784.5</v>
      </c>
      <c r="CG26">
        <v>759.67100000000005</v>
      </c>
      <c r="CH26">
        <v>800.22199999999998</v>
      </c>
      <c r="CI26">
        <v>17.9499</v>
      </c>
      <c r="CJ26">
        <v>15.496499999999999</v>
      </c>
      <c r="CK26">
        <v>499.98200000000003</v>
      </c>
      <c r="CL26">
        <v>99.170900000000003</v>
      </c>
      <c r="CM26">
        <v>9.9985500000000005E-2</v>
      </c>
      <c r="CN26">
        <v>25.325700000000001</v>
      </c>
      <c r="CO26">
        <v>27.085699999999999</v>
      </c>
      <c r="CP26">
        <v>999.9</v>
      </c>
      <c r="CQ26">
        <v>0</v>
      </c>
      <c r="CR26">
        <v>0</v>
      </c>
      <c r="CS26">
        <v>9993.1200000000008</v>
      </c>
      <c r="CT26">
        <v>0</v>
      </c>
      <c r="CU26">
        <v>1708.67</v>
      </c>
      <c r="CV26">
        <v>-40.719900000000003</v>
      </c>
      <c r="CW26">
        <v>773.38199999999995</v>
      </c>
      <c r="CX26">
        <v>812.81700000000001</v>
      </c>
      <c r="CY26">
        <v>2.45044</v>
      </c>
      <c r="CZ26">
        <v>754.64300000000003</v>
      </c>
      <c r="DA26">
        <v>800.22199999999998</v>
      </c>
      <c r="DB26">
        <v>17.485900000000001</v>
      </c>
      <c r="DC26">
        <v>15.496499999999999</v>
      </c>
      <c r="DD26">
        <v>1.7798099999999999</v>
      </c>
      <c r="DE26">
        <v>1.5367999999999999</v>
      </c>
      <c r="DF26">
        <v>15.6106</v>
      </c>
      <c r="DG26">
        <v>13.3393</v>
      </c>
      <c r="DH26">
        <v>1749.94</v>
      </c>
      <c r="DI26">
        <v>0.97699899999999995</v>
      </c>
      <c r="DJ26">
        <v>2.3001000000000001E-2</v>
      </c>
      <c r="DK26">
        <v>0</v>
      </c>
      <c r="DL26">
        <v>795.27599999999995</v>
      </c>
      <c r="DM26">
        <v>5.0002700000000004</v>
      </c>
      <c r="DN26">
        <v>18438.7</v>
      </c>
      <c r="DO26">
        <v>14145.2</v>
      </c>
      <c r="DP26">
        <v>47.686999999999998</v>
      </c>
      <c r="DQ26">
        <v>50.375</v>
      </c>
      <c r="DR26">
        <v>48.686999999999998</v>
      </c>
      <c r="DS26">
        <v>49.75</v>
      </c>
      <c r="DT26">
        <v>49.061999999999998</v>
      </c>
      <c r="DU26">
        <v>1704.8</v>
      </c>
      <c r="DV26">
        <v>40.14</v>
      </c>
      <c r="DW26">
        <v>0</v>
      </c>
      <c r="DX26">
        <v>112.299999952316</v>
      </c>
      <c r="DY26">
        <v>795.647352941176</v>
      </c>
      <c r="DZ26">
        <v>-7.08823525765178</v>
      </c>
      <c r="EA26">
        <v>14.240196594613</v>
      </c>
      <c r="EB26">
        <v>18460.0058823529</v>
      </c>
      <c r="EC26">
        <v>10</v>
      </c>
      <c r="ED26">
        <v>1565546809</v>
      </c>
      <c r="EE26" t="s">
        <v>399</v>
      </c>
      <c r="EF26">
        <v>40</v>
      </c>
      <c r="EG26">
        <v>5.0279999999999996</v>
      </c>
      <c r="EH26">
        <v>0.46400000000000002</v>
      </c>
      <c r="EI26">
        <v>800</v>
      </c>
      <c r="EJ26">
        <v>15</v>
      </c>
      <c r="EK26">
        <v>7.0000000000000007E-2</v>
      </c>
      <c r="EL26">
        <v>0.09</v>
      </c>
      <c r="EM26">
        <v>32.347430469717096</v>
      </c>
      <c r="EN26">
        <v>9.4216471251037603E-2</v>
      </c>
      <c r="EO26">
        <v>0.128459287306356</v>
      </c>
      <c r="EP26">
        <v>1</v>
      </c>
      <c r="EQ26">
        <v>0.116184268456361</v>
      </c>
      <c r="ER26">
        <v>-4.3456063092493002E-2</v>
      </c>
      <c r="ES26">
        <v>4.8642783309278603E-3</v>
      </c>
      <c r="ET26">
        <v>1</v>
      </c>
      <c r="EU26">
        <v>2</v>
      </c>
      <c r="EV26">
        <v>2</v>
      </c>
      <c r="EW26" t="s">
        <v>349</v>
      </c>
      <c r="EX26">
        <v>2.9479199999999999</v>
      </c>
      <c r="EY26">
        <v>2.7773400000000001</v>
      </c>
      <c r="EZ26">
        <v>0.14741799999999999</v>
      </c>
      <c r="FA26">
        <v>0.149168</v>
      </c>
      <c r="FB26">
        <v>8.9463600000000004E-2</v>
      </c>
      <c r="FC26">
        <v>7.7962900000000002E-2</v>
      </c>
      <c r="FD26">
        <v>20377.400000000001</v>
      </c>
      <c r="FE26">
        <v>20502</v>
      </c>
      <c r="FF26">
        <v>22484.1</v>
      </c>
      <c r="FG26">
        <v>26443.3</v>
      </c>
      <c r="FH26">
        <v>29268.1</v>
      </c>
      <c r="FI26">
        <v>38278.800000000003</v>
      </c>
      <c r="FJ26">
        <v>32117.599999999999</v>
      </c>
      <c r="FK26">
        <v>42136.1</v>
      </c>
      <c r="FL26">
        <v>1.9242300000000001</v>
      </c>
      <c r="FM26">
        <v>1.8099799999999999</v>
      </c>
      <c r="FN26">
        <v>-1.14962E-2</v>
      </c>
      <c r="FO26">
        <v>0</v>
      </c>
      <c r="FP26">
        <v>27.273599999999998</v>
      </c>
      <c r="FQ26">
        <v>999.9</v>
      </c>
      <c r="FR26">
        <v>39.988999999999997</v>
      </c>
      <c r="FS26">
        <v>41.945999999999998</v>
      </c>
      <c r="FT26">
        <v>33.148800000000001</v>
      </c>
      <c r="FU26">
        <v>61.570999999999998</v>
      </c>
      <c r="FV26">
        <v>46.258000000000003</v>
      </c>
      <c r="FW26">
        <v>1</v>
      </c>
      <c r="FX26">
        <v>0.69533800000000001</v>
      </c>
      <c r="FY26">
        <v>9.2810500000000005</v>
      </c>
      <c r="FZ26">
        <v>20.022099999999998</v>
      </c>
      <c r="GA26">
        <v>5.2276199999999999</v>
      </c>
      <c r="GB26">
        <v>11.962</v>
      </c>
      <c r="GC26">
        <v>4.9718</v>
      </c>
      <c r="GD26">
        <v>3.2949999999999999</v>
      </c>
      <c r="GE26">
        <v>9999</v>
      </c>
      <c r="GF26">
        <v>9999</v>
      </c>
      <c r="GG26">
        <v>504</v>
      </c>
      <c r="GH26">
        <v>9999</v>
      </c>
      <c r="GI26">
        <v>1.8660000000000001</v>
      </c>
      <c r="GJ26">
        <v>1.8654200000000001</v>
      </c>
      <c r="GK26">
        <v>1.8656299999999999</v>
      </c>
      <c r="GL26">
        <v>1.8686</v>
      </c>
      <c r="GM26">
        <v>1.8628</v>
      </c>
      <c r="GN26">
        <v>1.8609899999999999</v>
      </c>
      <c r="GO26">
        <v>1.8572299999999999</v>
      </c>
      <c r="GP26">
        <v>1.8633999999999999</v>
      </c>
      <c r="GQ26" t="s">
        <v>350</v>
      </c>
      <c r="GR26" t="s">
        <v>19</v>
      </c>
      <c r="GS26" t="s">
        <v>19</v>
      </c>
      <c r="GT26" t="s">
        <v>19</v>
      </c>
      <c r="GU26" t="s">
        <v>351</v>
      </c>
      <c r="GV26" t="s">
        <v>352</v>
      </c>
      <c r="GW26" t="s">
        <v>353</v>
      </c>
      <c r="GX26" t="s">
        <v>353</v>
      </c>
      <c r="GY26" t="s">
        <v>353</v>
      </c>
      <c r="GZ26" t="s">
        <v>353</v>
      </c>
      <c r="HA26">
        <v>0</v>
      </c>
      <c r="HB26">
        <v>100</v>
      </c>
      <c r="HC26">
        <v>100</v>
      </c>
      <c r="HD26">
        <v>5.0279999999999996</v>
      </c>
      <c r="HE26">
        <v>0.46400000000000002</v>
      </c>
      <c r="HF26">
        <v>2</v>
      </c>
      <c r="HG26">
        <v>502.92399999999998</v>
      </c>
      <c r="HH26">
        <v>466.57600000000002</v>
      </c>
      <c r="HI26">
        <v>18.8797</v>
      </c>
      <c r="HJ26">
        <v>35.723399999999998</v>
      </c>
      <c r="HK26">
        <v>30.000499999999999</v>
      </c>
      <c r="HL26">
        <v>35.535899999999998</v>
      </c>
      <c r="HM26">
        <v>35.519399999999997</v>
      </c>
      <c r="HN26">
        <v>37.189599999999999</v>
      </c>
      <c r="HO26">
        <v>55.562800000000003</v>
      </c>
      <c r="HP26">
        <v>0</v>
      </c>
      <c r="HQ26">
        <v>18.324200000000001</v>
      </c>
      <c r="HR26">
        <v>800</v>
      </c>
      <c r="HS26">
        <v>15.4069</v>
      </c>
      <c r="HT26">
        <v>98.865200000000002</v>
      </c>
      <c r="HU26">
        <v>102.729</v>
      </c>
    </row>
    <row r="27" spans="1:229" x14ac:dyDescent="0.35">
      <c r="A27">
        <v>12</v>
      </c>
      <c r="B27">
        <v>1565546900</v>
      </c>
      <c r="C27">
        <v>1226.5</v>
      </c>
      <c r="D27" t="s">
        <v>400</v>
      </c>
      <c r="E27" t="s">
        <v>401</v>
      </c>
      <c r="G27">
        <v>1565546900</v>
      </c>
      <c r="H27">
        <f t="shared" si="0"/>
        <v>1.7582218522346051E-3</v>
      </c>
      <c r="I27">
        <f t="shared" si="1"/>
        <v>38.651078949604788</v>
      </c>
      <c r="J27">
        <f t="shared" si="2"/>
        <v>1151.223</v>
      </c>
      <c r="K27">
        <f t="shared" si="3"/>
        <v>456.95167096250367</v>
      </c>
      <c r="L27">
        <f t="shared" si="4"/>
        <v>45.361256516969583</v>
      </c>
      <c r="M27">
        <f t="shared" si="5"/>
        <v>114.281061061095</v>
      </c>
      <c r="N27">
        <f t="shared" si="6"/>
        <v>9.4170857428756888E-2</v>
      </c>
      <c r="O27">
        <f t="shared" si="7"/>
        <v>2.2462923617055592</v>
      </c>
      <c r="P27">
        <f t="shared" si="8"/>
        <v>9.2031327784438427E-2</v>
      </c>
      <c r="Q27">
        <f t="shared" si="9"/>
        <v>5.7707759485757473E-2</v>
      </c>
      <c r="R27">
        <f t="shared" si="10"/>
        <v>281.57688893902036</v>
      </c>
      <c r="S27">
        <f t="shared" si="11"/>
        <v>26.809691102236375</v>
      </c>
      <c r="T27">
        <f t="shared" si="12"/>
        <v>27.1722</v>
      </c>
      <c r="U27">
        <f t="shared" si="13"/>
        <v>3.6155185431556629</v>
      </c>
      <c r="V27">
        <f t="shared" si="14"/>
        <v>54.791835616463466</v>
      </c>
      <c r="W27">
        <f t="shared" si="15"/>
        <v>1.7704673412750001</v>
      </c>
      <c r="X27">
        <f t="shared" si="16"/>
        <v>3.2312612296256455</v>
      </c>
      <c r="Y27">
        <f t="shared" si="17"/>
        <v>1.8450512018806629</v>
      </c>
      <c r="Z27">
        <f t="shared" si="18"/>
        <v>-77.537583683546089</v>
      </c>
      <c r="AA27">
        <f t="shared" si="19"/>
        <v>-230.33622045572187</v>
      </c>
      <c r="AB27">
        <f t="shared" si="20"/>
        <v>-21.957790219373948</v>
      </c>
      <c r="AC27">
        <f t="shared" si="21"/>
        <v>-48.254705419621502</v>
      </c>
      <c r="AD27">
        <v>-4.1084006604460502E-2</v>
      </c>
      <c r="AE27">
        <v>4.6120396570161197E-2</v>
      </c>
      <c r="AF27">
        <v>3.44859422004517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52694.468557938679</v>
      </c>
      <c r="AL27" t="s">
        <v>344</v>
      </c>
      <c r="AM27">
        <v>589.29941176470595</v>
      </c>
      <c r="AN27">
        <v>3530.99</v>
      </c>
      <c r="AO27">
        <f t="shared" si="25"/>
        <v>2941.6905882352939</v>
      </c>
      <c r="AP27">
        <f t="shared" si="26"/>
        <v>0.83310646256015852</v>
      </c>
      <c r="AQ27">
        <v>1.42453575549529</v>
      </c>
      <c r="AR27" t="s">
        <v>402</v>
      </c>
      <c r="AS27">
        <v>808.810235294118</v>
      </c>
      <c r="AT27">
        <v>1314.12</v>
      </c>
      <c r="AU27">
        <f t="shared" si="27"/>
        <v>0.38452330434502324</v>
      </c>
      <c r="AV27">
        <v>0.5</v>
      </c>
      <c r="AW27">
        <f t="shared" si="28"/>
        <v>1471.3298998142714</v>
      </c>
      <c r="AX27">
        <f t="shared" si="29"/>
        <v>38.651078949604788</v>
      </c>
      <c r="AY27">
        <f t="shared" si="30"/>
        <v>282.88031742910783</v>
      </c>
      <c r="AZ27">
        <f t="shared" si="31"/>
        <v>0.59404011810184754</v>
      </c>
      <c r="BA27">
        <f t="shared" si="32"/>
        <v>2.5301289125442682E-2</v>
      </c>
      <c r="BB27">
        <f t="shared" si="33"/>
        <v>1.6869616168995221</v>
      </c>
      <c r="BC27" t="s">
        <v>403</v>
      </c>
      <c r="BD27">
        <v>533.48</v>
      </c>
      <c r="BE27">
        <f t="shared" si="34"/>
        <v>780.63999999999987</v>
      </c>
      <c r="BF27">
        <f t="shared" si="35"/>
        <v>0.64730191215654076</v>
      </c>
      <c r="BG27">
        <f t="shared" si="36"/>
        <v>0.73957051019012454</v>
      </c>
      <c r="BH27">
        <f t="shared" si="37"/>
        <v>0.69715150605220721</v>
      </c>
      <c r="BI27">
        <f t="shared" si="38"/>
        <v>0.75360407000856255</v>
      </c>
      <c r="BJ27">
        <v>8047</v>
      </c>
      <c r="BK27">
        <v>300</v>
      </c>
      <c r="BL27">
        <v>300</v>
      </c>
      <c r="BM27">
        <v>300</v>
      </c>
      <c r="BN27">
        <v>10300.1</v>
      </c>
      <c r="BO27">
        <v>1191.83</v>
      </c>
      <c r="BP27">
        <v>-7.0484500000000004E-3</v>
      </c>
      <c r="BQ27">
        <v>8.7112999999999996</v>
      </c>
      <c r="BR27" t="s">
        <v>347</v>
      </c>
      <c r="BS27" t="s">
        <v>347</v>
      </c>
      <c r="BT27" t="s">
        <v>347</v>
      </c>
      <c r="BU27" t="s">
        <v>347</v>
      </c>
      <c r="BV27" t="s">
        <v>347</v>
      </c>
      <c r="BW27" t="s">
        <v>347</v>
      </c>
      <c r="BX27" t="s">
        <v>347</v>
      </c>
      <c r="BY27" t="s">
        <v>347</v>
      </c>
      <c r="BZ27" t="s">
        <v>347</v>
      </c>
      <c r="CA27" t="s">
        <v>347</v>
      </c>
      <c r="CB27">
        <f t="shared" si="39"/>
        <v>1750.15</v>
      </c>
      <c r="CC27">
        <f t="shared" si="40"/>
        <v>1471.3298998142714</v>
      </c>
      <c r="CD27">
        <f t="shared" si="41"/>
        <v>0.84068788378954451</v>
      </c>
      <c r="CE27">
        <f t="shared" si="42"/>
        <v>0.19137576757908906</v>
      </c>
      <c r="CF27">
        <v>1565546900</v>
      </c>
      <c r="CG27">
        <v>1151.223</v>
      </c>
      <c r="CH27">
        <v>1200.03</v>
      </c>
      <c r="CI27">
        <v>17.835000000000001</v>
      </c>
      <c r="CJ27">
        <v>15.7629</v>
      </c>
      <c r="CK27">
        <v>500.03300000000002</v>
      </c>
      <c r="CL27">
        <v>99.1691</v>
      </c>
      <c r="CM27">
        <v>0.100165</v>
      </c>
      <c r="CN27">
        <v>25.270199999999999</v>
      </c>
      <c r="CO27">
        <v>27.1722</v>
      </c>
      <c r="CP27">
        <v>999.9</v>
      </c>
      <c r="CQ27">
        <v>0</v>
      </c>
      <c r="CR27">
        <v>0</v>
      </c>
      <c r="CS27">
        <v>9990.6200000000008</v>
      </c>
      <c r="CT27">
        <v>0</v>
      </c>
      <c r="CU27">
        <v>1763</v>
      </c>
      <c r="CV27">
        <v>-48.489100000000001</v>
      </c>
      <c r="CW27">
        <v>1172.45</v>
      </c>
      <c r="CX27">
        <v>1219.25</v>
      </c>
      <c r="CY27">
        <v>2.0690400000000002</v>
      </c>
      <c r="CZ27">
        <v>1146.51</v>
      </c>
      <c r="DA27">
        <v>1200.03</v>
      </c>
      <c r="DB27">
        <v>17.367999999999999</v>
      </c>
      <c r="DC27">
        <v>15.7629</v>
      </c>
      <c r="DD27">
        <v>1.7683800000000001</v>
      </c>
      <c r="DE27">
        <v>1.5631900000000001</v>
      </c>
      <c r="DF27">
        <v>15.51</v>
      </c>
      <c r="DG27">
        <v>13.6007</v>
      </c>
      <c r="DH27">
        <v>1750.15</v>
      </c>
      <c r="DI27">
        <v>0.97700299999999995</v>
      </c>
      <c r="DJ27">
        <v>2.2997099999999999E-2</v>
      </c>
      <c r="DK27">
        <v>0</v>
      </c>
      <c r="DL27">
        <v>807.7</v>
      </c>
      <c r="DM27">
        <v>5.0002700000000004</v>
      </c>
      <c r="DN27">
        <v>18861.099999999999</v>
      </c>
      <c r="DO27">
        <v>14146.9</v>
      </c>
      <c r="DP27">
        <v>48.125</v>
      </c>
      <c r="DQ27">
        <v>50.811999999999998</v>
      </c>
      <c r="DR27">
        <v>49.186999999999998</v>
      </c>
      <c r="DS27">
        <v>50.061999999999998</v>
      </c>
      <c r="DT27">
        <v>49.436999999999998</v>
      </c>
      <c r="DU27">
        <v>1705.02</v>
      </c>
      <c r="DV27">
        <v>40.130000000000003</v>
      </c>
      <c r="DW27">
        <v>0</v>
      </c>
      <c r="DX27">
        <v>115.10000014305101</v>
      </c>
      <c r="DY27">
        <v>808.810235294118</v>
      </c>
      <c r="DZ27">
        <v>-12.2017157064562</v>
      </c>
      <c r="EA27">
        <v>41.323530487037502</v>
      </c>
      <c r="EB27">
        <v>18844.2764705882</v>
      </c>
      <c r="EC27">
        <v>10</v>
      </c>
      <c r="ED27">
        <v>1565546923.5</v>
      </c>
      <c r="EE27" t="s">
        <v>404</v>
      </c>
      <c r="EF27">
        <v>41</v>
      </c>
      <c r="EG27">
        <v>4.7110000000000003</v>
      </c>
      <c r="EH27">
        <v>0.46700000000000003</v>
      </c>
      <c r="EI27">
        <v>1200</v>
      </c>
      <c r="EJ27">
        <v>16</v>
      </c>
      <c r="EK27">
        <v>7.0000000000000007E-2</v>
      </c>
      <c r="EL27">
        <v>0.1</v>
      </c>
      <c r="EM27">
        <v>38.868011709334098</v>
      </c>
      <c r="EN27">
        <v>-2.6375350432740499</v>
      </c>
      <c r="EO27">
        <v>0.282547572884017</v>
      </c>
      <c r="EP27">
        <v>0</v>
      </c>
      <c r="EQ27">
        <v>9.5770273361020605E-2</v>
      </c>
      <c r="ER27">
        <v>-8.3829941206355306E-3</v>
      </c>
      <c r="ES27">
        <v>9.09528487657493E-4</v>
      </c>
      <c r="ET27">
        <v>1</v>
      </c>
      <c r="EU27">
        <v>1</v>
      </c>
      <c r="EV27">
        <v>2</v>
      </c>
      <c r="EW27" t="s">
        <v>359</v>
      </c>
      <c r="EX27">
        <v>2.9479899999999999</v>
      </c>
      <c r="EY27">
        <v>2.7774999999999999</v>
      </c>
      <c r="EZ27">
        <v>0.19304099999999999</v>
      </c>
      <c r="FA27">
        <v>0.19323199999999999</v>
      </c>
      <c r="FB27">
        <v>8.9004899999999998E-2</v>
      </c>
      <c r="FC27">
        <v>7.8925800000000004E-2</v>
      </c>
      <c r="FD27">
        <v>19281</v>
      </c>
      <c r="FE27">
        <v>19434.099999999999</v>
      </c>
      <c r="FF27">
        <v>22480.9</v>
      </c>
      <c r="FG27">
        <v>26440.6</v>
      </c>
      <c r="FH27">
        <v>29279.4</v>
      </c>
      <c r="FI27">
        <v>38236</v>
      </c>
      <c r="FJ27">
        <v>32113.3</v>
      </c>
      <c r="FK27">
        <v>42132.5</v>
      </c>
      <c r="FL27">
        <v>1.9231799999999999</v>
      </c>
      <c r="FM27">
        <v>1.81057</v>
      </c>
      <c r="FN27">
        <v>-3.9786099999999996E-3</v>
      </c>
      <c r="FO27">
        <v>0</v>
      </c>
      <c r="FP27">
        <v>27.237200000000001</v>
      </c>
      <c r="FQ27">
        <v>999.9</v>
      </c>
      <c r="FR27">
        <v>39.738999999999997</v>
      </c>
      <c r="FS27">
        <v>42.017000000000003</v>
      </c>
      <c r="FT27">
        <v>33.061500000000002</v>
      </c>
      <c r="FU27">
        <v>61.640999999999998</v>
      </c>
      <c r="FV27">
        <v>46.033700000000003</v>
      </c>
      <c r="FW27">
        <v>1</v>
      </c>
      <c r="FX27">
        <v>0.70047000000000004</v>
      </c>
      <c r="FY27">
        <v>9.2810500000000005</v>
      </c>
      <c r="FZ27">
        <v>20.022500000000001</v>
      </c>
      <c r="GA27">
        <v>5.2285199999999996</v>
      </c>
      <c r="GB27">
        <v>11.962</v>
      </c>
      <c r="GC27">
        <v>4.9717500000000001</v>
      </c>
      <c r="GD27">
        <v>3.2949999999999999</v>
      </c>
      <c r="GE27">
        <v>9999</v>
      </c>
      <c r="GF27">
        <v>9999</v>
      </c>
      <c r="GG27">
        <v>504</v>
      </c>
      <c r="GH27">
        <v>9999</v>
      </c>
      <c r="GI27">
        <v>1.8660000000000001</v>
      </c>
      <c r="GJ27">
        <v>1.8653999999999999</v>
      </c>
      <c r="GK27">
        <v>1.8656900000000001</v>
      </c>
      <c r="GL27">
        <v>1.86863</v>
      </c>
      <c r="GM27">
        <v>1.8628400000000001</v>
      </c>
      <c r="GN27">
        <v>1.8609899999999999</v>
      </c>
      <c r="GO27">
        <v>1.8572500000000001</v>
      </c>
      <c r="GP27">
        <v>1.86338</v>
      </c>
      <c r="GQ27" t="s">
        <v>350</v>
      </c>
      <c r="GR27" t="s">
        <v>19</v>
      </c>
      <c r="GS27" t="s">
        <v>19</v>
      </c>
      <c r="GT27" t="s">
        <v>19</v>
      </c>
      <c r="GU27" t="s">
        <v>351</v>
      </c>
      <c r="GV27" t="s">
        <v>352</v>
      </c>
      <c r="GW27" t="s">
        <v>353</v>
      </c>
      <c r="GX27" t="s">
        <v>353</v>
      </c>
      <c r="GY27" t="s">
        <v>353</v>
      </c>
      <c r="GZ27" t="s">
        <v>353</v>
      </c>
      <c r="HA27">
        <v>0</v>
      </c>
      <c r="HB27">
        <v>100</v>
      </c>
      <c r="HC27">
        <v>100</v>
      </c>
      <c r="HD27">
        <v>4.7110000000000003</v>
      </c>
      <c r="HE27">
        <v>0.46700000000000003</v>
      </c>
      <c r="HF27">
        <v>2</v>
      </c>
      <c r="HG27">
        <v>502.83600000000001</v>
      </c>
      <c r="HH27">
        <v>467.55200000000002</v>
      </c>
      <c r="HI27">
        <v>18.7242</v>
      </c>
      <c r="HJ27">
        <v>35.797899999999998</v>
      </c>
      <c r="HK27">
        <v>30.000399999999999</v>
      </c>
      <c r="HL27">
        <v>35.6175</v>
      </c>
      <c r="HM27">
        <v>35.599499999999999</v>
      </c>
      <c r="HN27">
        <v>51.849899999999998</v>
      </c>
      <c r="HO27">
        <v>54.470399999999998</v>
      </c>
      <c r="HP27">
        <v>0</v>
      </c>
      <c r="HQ27">
        <v>17.217199999999998</v>
      </c>
      <c r="HR27">
        <v>1200</v>
      </c>
      <c r="HS27">
        <v>15.862500000000001</v>
      </c>
      <c r="HT27">
        <v>98.851699999999994</v>
      </c>
      <c r="HU27">
        <v>102.71899999999999</v>
      </c>
    </row>
    <row r="28" spans="1:229" x14ac:dyDescent="0.35">
      <c r="A28">
        <v>13</v>
      </c>
      <c r="B28">
        <v>1565547014.5</v>
      </c>
      <c r="C28">
        <v>1341</v>
      </c>
      <c r="D28" t="s">
        <v>405</v>
      </c>
      <c r="E28" t="s">
        <v>406</v>
      </c>
      <c r="G28">
        <v>1565547014.5</v>
      </c>
      <c r="H28">
        <f t="shared" si="0"/>
        <v>1.4021817704037026E-3</v>
      </c>
      <c r="I28">
        <f t="shared" si="1"/>
        <v>41.043764070879135</v>
      </c>
      <c r="J28">
        <f t="shared" si="2"/>
        <v>1548.201</v>
      </c>
      <c r="K28">
        <f t="shared" si="3"/>
        <v>619.71321352166831</v>
      </c>
      <c r="L28">
        <f t="shared" si="4"/>
        <v>61.519852281815844</v>
      </c>
      <c r="M28">
        <f t="shared" si="5"/>
        <v>153.69221559970708</v>
      </c>
      <c r="N28">
        <f t="shared" si="6"/>
        <v>7.4501746506683411E-2</v>
      </c>
      <c r="O28">
        <f t="shared" si="7"/>
        <v>2.2484365113074714</v>
      </c>
      <c r="P28">
        <f t="shared" si="8"/>
        <v>7.3157005966673697E-2</v>
      </c>
      <c r="Q28">
        <f t="shared" si="9"/>
        <v>4.5841926609846727E-2</v>
      </c>
      <c r="R28">
        <f t="shared" si="10"/>
        <v>281.53642735020776</v>
      </c>
      <c r="S28">
        <f t="shared" si="11"/>
        <v>26.842230274110133</v>
      </c>
      <c r="T28">
        <f t="shared" si="12"/>
        <v>27.188300000000002</v>
      </c>
      <c r="U28">
        <f t="shared" si="13"/>
        <v>3.6189343695302392</v>
      </c>
      <c r="V28">
        <f t="shared" si="14"/>
        <v>54.985915495843194</v>
      </c>
      <c r="W28">
        <f t="shared" si="15"/>
        <v>1.76784649657422</v>
      </c>
      <c r="X28">
        <f t="shared" si="16"/>
        <v>3.2150896836624732</v>
      </c>
      <c r="Y28">
        <f t="shared" si="17"/>
        <v>1.8510878729560192</v>
      </c>
      <c r="Z28">
        <f t="shared" si="18"/>
        <v>-61.836216074803282</v>
      </c>
      <c r="AA28">
        <f t="shared" si="19"/>
        <v>-242.72634089729124</v>
      </c>
      <c r="AB28">
        <f t="shared" si="20"/>
        <v>-23.108988887012544</v>
      </c>
      <c r="AC28">
        <f t="shared" si="21"/>
        <v>-46.135118508899268</v>
      </c>
      <c r="AD28">
        <v>-4.1141669168139501E-2</v>
      </c>
      <c r="AE28">
        <v>4.6185127849408897E-2</v>
      </c>
      <c r="AF28">
        <v>3.4524258342640399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52780.375684843195</v>
      </c>
      <c r="AL28" t="s">
        <v>344</v>
      </c>
      <c r="AM28">
        <v>589.29941176470595</v>
      </c>
      <c r="AN28">
        <v>3530.99</v>
      </c>
      <c r="AO28">
        <f t="shared" si="25"/>
        <v>2941.6905882352939</v>
      </c>
      <c r="AP28">
        <f t="shared" si="26"/>
        <v>0.83310646256015852</v>
      </c>
      <c r="AQ28">
        <v>1.42453575549529</v>
      </c>
      <c r="AR28" t="s">
        <v>407</v>
      </c>
      <c r="AS28">
        <v>806.51541176470596</v>
      </c>
      <c r="AT28">
        <v>1308.6400000000001</v>
      </c>
      <c r="AU28">
        <f t="shared" si="27"/>
        <v>0.38369955697158431</v>
      </c>
      <c r="AV28">
        <v>0.5</v>
      </c>
      <c r="AW28">
        <f t="shared" si="28"/>
        <v>1471.1195998142914</v>
      </c>
      <c r="AX28">
        <f t="shared" si="29"/>
        <v>41.043764070879135</v>
      </c>
      <c r="AY28">
        <f t="shared" si="30"/>
        <v>282.23396935047901</v>
      </c>
      <c r="AZ28">
        <f t="shared" si="31"/>
        <v>0.59220259200391256</v>
      </c>
      <c r="BA28">
        <f t="shared" si="32"/>
        <v>2.693134420912156E-2</v>
      </c>
      <c r="BB28">
        <f t="shared" si="33"/>
        <v>1.6982134123976032</v>
      </c>
      <c r="BC28" t="s">
        <v>408</v>
      </c>
      <c r="BD28">
        <v>533.66</v>
      </c>
      <c r="BE28">
        <f t="shared" si="34"/>
        <v>774.98000000000013</v>
      </c>
      <c r="BF28">
        <f t="shared" si="35"/>
        <v>0.64791941499818584</v>
      </c>
      <c r="BG28">
        <f t="shared" si="36"/>
        <v>0.7414432177971727</v>
      </c>
      <c r="BH28">
        <f t="shared" si="37"/>
        <v>0.69803455615804999</v>
      </c>
      <c r="BI28">
        <f t="shared" si="38"/>
        <v>0.75546694437812256</v>
      </c>
      <c r="BJ28">
        <v>8049</v>
      </c>
      <c r="BK28">
        <v>300</v>
      </c>
      <c r="BL28">
        <v>300</v>
      </c>
      <c r="BM28">
        <v>300</v>
      </c>
      <c r="BN28">
        <v>10298.1</v>
      </c>
      <c r="BO28">
        <v>1188.1300000000001</v>
      </c>
      <c r="BP28">
        <v>-7.0470300000000001E-3</v>
      </c>
      <c r="BQ28">
        <v>7.2783199999999999</v>
      </c>
      <c r="BR28" t="s">
        <v>347</v>
      </c>
      <c r="BS28" t="s">
        <v>347</v>
      </c>
      <c r="BT28" t="s">
        <v>347</v>
      </c>
      <c r="BU28" t="s">
        <v>347</v>
      </c>
      <c r="BV28" t="s">
        <v>347</v>
      </c>
      <c r="BW28" t="s">
        <v>347</v>
      </c>
      <c r="BX28" t="s">
        <v>347</v>
      </c>
      <c r="BY28" t="s">
        <v>347</v>
      </c>
      <c r="BZ28" t="s">
        <v>347</v>
      </c>
      <c r="CA28" t="s">
        <v>347</v>
      </c>
      <c r="CB28">
        <f t="shared" si="39"/>
        <v>1749.9</v>
      </c>
      <c r="CC28">
        <f t="shared" si="40"/>
        <v>1471.1195998142914</v>
      </c>
      <c r="CD28">
        <f t="shared" si="41"/>
        <v>0.84068781062591647</v>
      </c>
      <c r="CE28">
        <f t="shared" si="42"/>
        <v>0.19137562125183286</v>
      </c>
      <c r="CF28">
        <v>1565547014.5</v>
      </c>
      <c r="CG28">
        <v>1548.201</v>
      </c>
      <c r="CH28">
        <v>1600.06</v>
      </c>
      <c r="CI28">
        <v>17.808199999999999</v>
      </c>
      <c r="CJ28">
        <v>16.1555</v>
      </c>
      <c r="CK28">
        <v>499.98599999999999</v>
      </c>
      <c r="CL28">
        <v>99.171499999999995</v>
      </c>
      <c r="CM28">
        <v>9.9987099999999995E-2</v>
      </c>
      <c r="CN28">
        <v>25.1859</v>
      </c>
      <c r="CO28">
        <v>27.188300000000002</v>
      </c>
      <c r="CP28">
        <v>999.9</v>
      </c>
      <c r="CQ28">
        <v>0</v>
      </c>
      <c r="CR28">
        <v>0</v>
      </c>
      <c r="CS28">
        <v>10004.4</v>
      </c>
      <c r="CT28">
        <v>0</v>
      </c>
      <c r="CU28">
        <v>1725.49</v>
      </c>
      <c r="CV28">
        <v>-50.9679</v>
      </c>
      <c r="CW28">
        <v>1577.18</v>
      </c>
      <c r="CX28">
        <v>1626.34</v>
      </c>
      <c r="CY28">
        <v>1.6507000000000001</v>
      </c>
      <c r="CZ28">
        <v>1544.38</v>
      </c>
      <c r="DA28">
        <v>1600.06</v>
      </c>
      <c r="DB28">
        <v>17.339200000000002</v>
      </c>
      <c r="DC28">
        <v>16.1555</v>
      </c>
      <c r="DD28">
        <v>1.7658700000000001</v>
      </c>
      <c r="DE28">
        <v>1.6021700000000001</v>
      </c>
      <c r="DF28">
        <v>15.4879</v>
      </c>
      <c r="DG28">
        <v>13.979699999999999</v>
      </c>
      <c r="DH28">
        <v>1749.9</v>
      </c>
      <c r="DI28">
        <v>0.97700699999999996</v>
      </c>
      <c r="DJ28">
        <v>2.2993199999999998E-2</v>
      </c>
      <c r="DK28">
        <v>0</v>
      </c>
      <c r="DL28">
        <v>805.50199999999995</v>
      </c>
      <c r="DM28">
        <v>5.0002700000000004</v>
      </c>
      <c r="DN28">
        <v>18725.2</v>
      </c>
      <c r="DO28">
        <v>14144.9</v>
      </c>
      <c r="DP28">
        <v>48.375</v>
      </c>
      <c r="DQ28">
        <v>51.125</v>
      </c>
      <c r="DR28">
        <v>49.5</v>
      </c>
      <c r="DS28">
        <v>50.25</v>
      </c>
      <c r="DT28">
        <v>49.686999999999998</v>
      </c>
      <c r="DU28">
        <v>1704.78</v>
      </c>
      <c r="DV28">
        <v>40.119999999999997</v>
      </c>
      <c r="DW28">
        <v>0</v>
      </c>
      <c r="DX28">
        <v>114.10000014305101</v>
      </c>
      <c r="DY28">
        <v>806.51541176470596</v>
      </c>
      <c r="DZ28">
        <v>-13.5700979941283</v>
      </c>
      <c r="EA28">
        <v>155.220588648101</v>
      </c>
      <c r="EB28">
        <v>18744.464705882401</v>
      </c>
      <c r="EC28">
        <v>10</v>
      </c>
      <c r="ED28">
        <v>1565547054</v>
      </c>
      <c r="EE28" t="s">
        <v>409</v>
      </c>
      <c r="EF28">
        <v>42</v>
      </c>
      <c r="EG28">
        <v>3.8220000000000001</v>
      </c>
      <c r="EH28">
        <v>0.46899999999999997</v>
      </c>
      <c r="EI28">
        <v>1600</v>
      </c>
      <c r="EJ28">
        <v>16</v>
      </c>
      <c r="EK28">
        <v>0.12</v>
      </c>
      <c r="EL28">
        <v>0.12</v>
      </c>
      <c r="EM28">
        <v>40.590338805442499</v>
      </c>
      <c r="EN28">
        <v>-1.48233206373773</v>
      </c>
      <c r="EO28">
        <v>0.219460184148247</v>
      </c>
      <c r="EP28">
        <v>0</v>
      </c>
      <c r="EQ28">
        <v>7.4528622954370599E-2</v>
      </c>
      <c r="ER28">
        <v>-8.9332348298350201E-3</v>
      </c>
      <c r="ES28">
        <v>1.68088105924343E-3</v>
      </c>
      <c r="ET28">
        <v>1</v>
      </c>
      <c r="EU28">
        <v>1</v>
      </c>
      <c r="EV28">
        <v>2</v>
      </c>
      <c r="EW28" t="s">
        <v>359</v>
      </c>
      <c r="EX28">
        <v>2.9478399999999998</v>
      </c>
      <c r="EY28">
        <v>2.7774399999999999</v>
      </c>
      <c r="EZ28">
        <v>0.23116999999999999</v>
      </c>
      <c r="FA28">
        <v>0.22975699999999999</v>
      </c>
      <c r="FB28">
        <v>8.88877E-2</v>
      </c>
      <c r="FC28">
        <v>8.0349199999999996E-2</v>
      </c>
      <c r="FD28">
        <v>18363.599999999999</v>
      </c>
      <c r="FE28">
        <v>18548</v>
      </c>
      <c r="FF28">
        <v>22478.2</v>
      </c>
      <c r="FG28">
        <v>26438.3</v>
      </c>
      <c r="FH28">
        <v>29281.4</v>
      </c>
      <c r="FI28">
        <v>38174.6</v>
      </c>
      <c r="FJ28">
        <v>32110.9</v>
      </c>
      <c r="FK28">
        <v>42129.599999999999</v>
      </c>
      <c r="FL28">
        <v>1.9222999999999999</v>
      </c>
      <c r="FM28">
        <v>1.8118700000000001</v>
      </c>
      <c r="FN28">
        <v>6.0312400000000002E-3</v>
      </c>
      <c r="FO28">
        <v>0</v>
      </c>
      <c r="FP28">
        <v>27.089700000000001</v>
      </c>
      <c r="FQ28">
        <v>999.9</v>
      </c>
      <c r="FR28">
        <v>39.518999999999998</v>
      </c>
      <c r="FS28">
        <v>42.046999999999997</v>
      </c>
      <c r="FT28">
        <v>32.9315</v>
      </c>
      <c r="FU28">
        <v>61.731000000000002</v>
      </c>
      <c r="FV28">
        <v>45.973599999999998</v>
      </c>
      <c r="FW28">
        <v>1</v>
      </c>
      <c r="FX28">
        <v>0.704121</v>
      </c>
      <c r="FY28">
        <v>9.2810500000000005</v>
      </c>
      <c r="FZ28">
        <v>20.0214</v>
      </c>
      <c r="GA28">
        <v>5.2277699999999996</v>
      </c>
      <c r="GB28">
        <v>11.962</v>
      </c>
      <c r="GC28">
        <v>4.9717000000000002</v>
      </c>
      <c r="GD28">
        <v>3.2949999999999999</v>
      </c>
      <c r="GE28">
        <v>9999</v>
      </c>
      <c r="GF28">
        <v>9999</v>
      </c>
      <c r="GG28">
        <v>504</v>
      </c>
      <c r="GH28">
        <v>9999</v>
      </c>
      <c r="GI28">
        <v>1.8660000000000001</v>
      </c>
      <c r="GJ28">
        <v>1.8653999999999999</v>
      </c>
      <c r="GK28">
        <v>1.86568</v>
      </c>
      <c r="GL28">
        <v>1.8686100000000001</v>
      </c>
      <c r="GM28">
        <v>1.86283</v>
      </c>
      <c r="GN28">
        <v>1.8610100000000001</v>
      </c>
      <c r="GO28">
        <v>1.8572500000000001</v>
      </c>
      <c r="GP28">
        <v>1.86338</v>
      </c>
      <c r="GQ28" t="s">
        <v>350</v>
      </c>
      <c r="GR28" t="s">
        <v>19</v>
      </c>
      <c r="GS28" t="s">
        <v>19</v>
      </c>
      <c r="GT28" t="s">
        <v>19</v>
      </c>
      <c r="GU28" t="s">
        <v>351</v>
      </c>
      <c r="GV28" t="s">
        <v>352</v>
      </c>
      <c r="GW28" t="s">
        <v>353</v>
      </c>
      <c r="GX28" t="s">
        <v>353</v>
      </c>
      <c r="GY28" t="s">
        <v>353</v>
      </c>
      <c r="GZ28" t="s">
        <v>353</v>
      </c>
      <c r="HA28">
        <v>0</v>
      </c>
      <c r="HB28">
        <v>100</v>
      </c>
      <c r="HC28">
        <v>100</v>
      </c>
      <c r="HD28">
        <v>3.8220000000000001</v>
      </c>
      <c r="HE28">
        <v>0.46899999999999997</v>
      </c>
      <c r="HF28">
        <v>2</v>
      </c>
      <c r="HG28">
        <v>502.67899999999997</v>
      </c>
      <c r="HH28">
        <v>468.80399999999997</v>
      </c>
      <c r="HI28">
        <v>18.5304</v>
      </c>
      <c r="HJ28">
        <v>35.836300000000001</v>
      </c>
      <c r="HK28">
        <v>29.9998</v>
      </c>
      <c r="HL28">
        <v>35.674700000000001</v>
      </c>
      <c r="HM28">
        <v>35.652299999999997</v>
      </c>
      <c r="HN28">
        <v>65.455100000000002</v>
      </c>
      <c r="HO28">
        <v>53.150700000000001</v>
      </c>
      <c r="HP28">
        <v>0</v>
      </c>
      <c r="HQ28">
        <v>15.9879</v>
      </c>
      <c r="HR28">
        <v>1600</v>
      </c>
      <c r="HS28">
        <v>16.2347</v>
      </c>
      <c r="HT28">
        <v>98.842399999999998</v>
      </c>
      <c r="HU28">
        <v>102.712</v>
      </c>
    </row>
  </sheetData>
  <sortState xmlns:xlrd2="http://schemas.microsoft.com/office/spreadsheetml/2017/richdata2" ref="J33:L45">
    <sortCondition ref="J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2019-08-10T13:24:57Z</dcterms:created>
  <dcterms:modified xsi:type="dcterms:W3CDTF">2019-08-28T03:07:51Z</dcterms:modified>
</cp:coreProperties>
</file>