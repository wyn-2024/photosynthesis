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190803_De Kauwe\A-Ci\raw\"/>
    </mc:Choice>
  </mc:AlternateContent>
  <xr:revisionPtr revIDLastSave="0" documentId="13_ncr:1_{EAE92686-7CFF-4FB6-A54B-FBC925477078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E28" i="1" l="1"/>
  <c r="CD28" i="1"/>
  <c r="CB28" i="1"/>
  <c r="BI28" i="1"/>
  <c r="BH28" i="1"/>
  <c r="BG28" i="1"/>
  <c r="BF28" i="1"/>
  <c r="BE28" i="1"/>
  <c r="AZ28" i="1" s="1"/>
  <c r="BB28" i="1"/>
  <c r="AU28" i="1"/>
  <c r="AO28" i="1"/>
  <c r="AP28" i="1" s="1"/>
  <c r="AK28" i="1"/>
  <c r="AI28" i="1" s="1"/>
  <c r="J28" i="1" s="1"/>
  <c r="X28" i="1"/>
  <c r="W28" i="1"/>
  <c r="V28" i="1" s="1"/>
  <c r="O28" i="1"/>
  <c r="H28" i="1"/>
  <c r="Z28" i="1" s="1"/>
  <c r="CE27" i="1"/>
  <c r="CD27" i="1"/>
  <c r="CB27" i="1"/>
  <c r="BI27" i="1"/>
  <c r="BH27" i="1"/>
  <c r="BG27" i="1"/>
  <c r="BF27" i="1"/>
  <c r="BE27" i="1"/>
  <c r="AZ27" i="1" s="1"/>
  <c r="BB27" i="1"/>
  <c r="AU27" i="1"/>
  <c r="AO27" i="1"/>
  <c r="AP27" i="1" s="1"/>
  <c r="AK27" i="1"/>
  <c r="AI27" i="1" s="1"/>
  <c r="H27" i="1" s="1"/>
  <c r="X27" i="1"/>
  <c r="W27" i="1"/>
  <c r="V27" i="1" s="1"/>
  <c r="O27" i="1"/>
  <c r="CE26" i="1"/>
  <c r="CD26" i="1"/>
  <c r="CB26" i="1"/>
  <c r="BI26" i="1"/>
  <c r="BH26" i="1"/>
  <c r="BG26" i="1"/>
  <c r="BF26" i="1"/>
  <c r="BE26" i="1"/>
  <c r="AZ26" i="1" s="1"/>
  <c r="BB26" i="1"/>
  <c r="AX26" i="1"/>
  <c r="AU26" i="1"/>
  <c r="AO26" i="1"/>
  <c r="AP26" i="1" s="1"/>
  <c r="AK26" i="1"/>
  <c r="AJ26" i="1"/>
  <c r="AI26" i="1"/>
  <c r="H26" i="1" s="1"/>
  <c r="Z26" i="1" s="1"/>
  <c r="X26" i="1"/>
  <c r="W26" i="1"/>
  <c r="V26" i="1" s="1"/>
  <c r="O26" i="1"/>
  <c r="J26" i="1"/>
  <c r="I26" i="1"/>
  <c r="CE25" i="1"/>
  <c r="CD25" i="1"/>
  <c r="CB25" i="1"/>
  <c r="BI25" i="1"/>
  <c r="BH25" i="1"/>
  <c r="BG25" i="1"/>
  <c r="BF25" i="1"/>
  <c r="BE25" i="1"/>
  <c r="AZ25" i="1" s="1"/>
  <c r="BB25" i="1"/>
  <c r="AU25" i="1"/>
  <c r="AO25" i="1"/>
  <c r="AP25" i="1" s="1"/>
  <c r="AK25" i="1"/>
  <c r="AI25" i="1" s="1"/>
  <c r="X25" i="1"/>
  <c r="W25" i="1"/>
  <c r="V25" i="1" s="1"/>
  <c r="O25" i="1"/>
  <c r="H25" i="1"/>
  <c r="Z25" i="1" s="1"/>
  <c r="CE24" i="1"/>
  <c r="CD24" i="1"/>
  <c r="CB24" i="1"/>
  <c r="BI24" i="1"/>
  <c r="BH24" i="1"/>
  <c r="BG24" i="1"/>
  <c r="BF24" i="1"/>
  <c r="BE24" i="1"/>
  <c r="AZ24" i="1" s="1"/>
  <c r="BB24" i="1"/>
  <c r="AU24" i="1"/>
  <c r="AO24" i="1"/>
  <c r="AP24" i="1" s="1"/>
  <c r="AK24" i="1"/>
  <c r="AI24" i="1" s="1"/>
  <c r="J24" i="1" s="1"/>
  <c r="X24" i="1"/>
  <c r="W24" i="1"/>
  <c r="V24" i="1" s="1"/>
  <c r="O24" i="1"/>
  <c r="H24" i="1"/>
  <c r="Z24" i="1" s="1"/>
  <c r="CE23" i="1"/>
  <c r="CD23" i="1"/>
  <c r="CB23" i="1"/>
  <c r="BI23" i="1"/>
  <c r="BH23" i="1"/>
  <c r="BG23" i="1"/>
  <c r="BF23" i="1"/>
  <c r="BE23" i="1"/>
  <c r="AZ23" i="1" s="1"/>
  <c r="BB23" i="1"/>
  <c r="AU23" i="1"/>
  <c r="AP23" i="1"/>
  <c r="AO23" i="1"/>
  <c r="AK23" i="1"/>
  <c r="AI23" i="1" s="1"/>
  <c r="H23" i="1" s="1"/>
  <c r="X23" i="1"/>
  <c r="W23" i="1"/>
  <c r="O23" i="1"/>
  <c r="CE22" i="1"/>
  <c r="CD22" i="1"/>
  <c r="CC22" i="1" s="1"/>
  <c r="CB22" i="1"/>
  <c r="BI22" i="1"/>
  <c r="BH22" i="1"/>
  <c r="BG22" i="1"/>
  <c r="BF22" i="1"/>
  <c r="BE22" i="1"/>
  <c r="AZ22" i="1" s="1"/>
  <c r="BB22" i="1"/>
  <c r="AW22" i="1"/>
  <c r="AY22" i="1" s="1"/>
  <c r="AU22" i="1"/>
  <c r="AO22" i="1"/>
  <c r="AP22" i="1" s="1"/>
  <c r="AK22" i="1"/>
  <c r="AI22" i="1" s="1"/>
  <c r="H22" i="1" s="1"/>
  <c r="Z22" i="1" s="1"/>
  <c r="X22" i="1"/>
  <c r="W22" i="1"/>
  <c r="V22" i="1"/>
  <c r="O22" i="1"/>
  <c r="CE21" i="1"/>
  <c r="CD21" i="1"/>
  <c r="CB21" i="1"/>
  <c r="BI21" i="1"/>
  <c r="BH21" i="1"/>
  <c r="BG21" i="1"/>
  <c r="BF21" i="1"/>
  <c r="BE21" i="1"/>
  <c r="BB21" i="1"/>
  <c r="AZ21" i="1"/>
  <c r="AU21" i="1"/>
  <c r="AO21" i="1"/>
  <c r="AP21" i="1" s="1"/>
  <c r="AK21" i="1"/>
  <c r="AI21" i="1" s="1"/>
  <c r="J21" i="1" s="1"/>
  <c r="AJ21" i="1"/>
  <c r="X21" i="1"/>
  <c r="W21" i="1"/>
  <c r="O21" i="1"/>
  <c r="M21" i="1"/>
  <c r="CE20" i="1"/>
  <c r="CD20" i="1"/>
  <c r="CB20" i="1"/>
  <c r="BI20" i="1"/>
  <c r="BH20" i="1"/>
  <c r="BG20" i="1"/>
  <c r="BF20" i="1"/>
  <c r="BE20" i="1"/>
  <c r="BB20" i="1"/>
  <c r="AZ20" i="1"/>
  <c r="AU20" i="1"/>
  <c r="AO20" i="1"/>
  <c r="AP20" i="1" s="1"/>
  <c r="AK20" i="1"/>
  <c r="AI20" i="1" s="1"/>
  <c r="H20" i="1" s="1"/>
  <c r="X20" i="1"/>
  <c r="W20" i="1"/>
  <c r="O20" i="1"/>
  <c r="CE19" i="1"/>
  <c r="CD19" i="1"/>
  <c r="CB19" i="1"/>
  <c r="BI19" i="1"/>
  <c r="BH19" i="1"/>
  <c r="BG19" i="1"/>
  <c r="BF19" i="1"/>
  <c r="BE19" i="1"/>
  <c r="AZ19" i="1" s="1"/>
  <c r="BB19" i="1"/>
  <c r="AU19" i="1"/>
  <c r="AO19" i="1"/>
  <c r="AP19" i="1" s="1"/>
  <c r="AK19" i="1"/>
  <c r="AI19" i="1" s="1"/>
  <c r="X19" i="1"/>
  <c r="W19" i="1"/>
  <c r="V19" i="1" s="1"/>
  <c r="O19" i="1"/>
  <c r="CE18" i="1"/>
  <c r="CD18" i="1"/>
  <c r="CC18" i="1" s="1"/>
  <c r="AW18" i="1" s="1"/>
  <c r="CB18" i="1"/>
  <c r="BI18" i="1"/>
  <c r="BH18" i="1"/>
  <c r="BG18" i="1"/>
  <c r="BF18" i="1"/>
  <c r="BE18" i="1"/>
  <c r="AZ18" i="1" s="1"/>
  <c r="BB18" i="1"/>
  <c r="AU18" i="1"/>
  <c r="AO18" i="1"/>
  <c r="AP18" i="1" s="1"/>
  <c r="AK18" i="1"/>
  <c r="AI18" i="1" s="1"/>
  <c r="X18" i="1"/>
  <c r="W18" i="1"/>
  <c r="V18" i="1" s="1"/>
  <c r="O18" i="1"/>
  <c r="H18" i="1"/>
  <c r="CE17" i="1"/>
  <c r="CD17" i="1"/>
  <c r="CB17" i="1"/>
  <c r="BI17" i="1"/>
  <c r="BH17" i="1"/>
  <c r="BG17" i="1"/>
  <c r="BF17" i="1"/>
  <c r="BE17" i="1"/>
  <c r="AZ17" i="1" s="1"/>
  <c r="BB17" i="1"/>
  <c r="AU17" i="1"/>
  <c r="AP17" i="1"/>
  <c r="AO17" i="1"/>
  <c r="AK17" i="1"/>
  <c r="AI17" i="1" s="1"/>
  <c r="X17" i="1"/>
  <c r="W17" i="1"/>
  <c r="V17" i="1" s="1"/>
  <c r="O17" i="1"/>
  <c r="H19" i="1" l="1"/>
  <c r="Z19" i="1" s="1"/>
  <c r="AJ19" i="1"/>
  <c r="M19" i="1"/>
  <c r="J19" i="1"/>
  <c r="I19" i="1"/>
  <c r="AX19" i="1" s="1"/>
  <c r="CC17" i="1"/>
  <c r="CC23" i="1"/>
  <c r="AW23" i="1" s="1"/>
  <c r="AY23" i="1" s="1"/>
  <c r="I24" i="1"/>
  <c r="AX24" i="1" s="1"/>
  <c r="CC24" i="1"/>
  <c r="CC25" i="1"/>
  <c r="M26" i="1"/>
  <c r="CC27" i="1"/>
  <c r="AW27" i="1" s="1"/>
  <c r="AY27" i="1" s="1"/>
  <c r="I28" i="1"/>
  <c r="AX28" i="1" s="1"/>
  <c r="BA28" i="1" s="1"/>
  <c r="CC28" i="1"/>
  <c r="R28" i="1" s="1"/>
  <c r="CC19" i="1"/>
  <c r="H21" i="1"/>
  <c r="V21" i="1"/>
  <c r="M24" i="1"/>
  <c r="AJ24" i="1"/>
  <c r="M28" i="1"/>
  <c r="AJ28" i="1"/>
  <c r="AY18" i="1"/>
  <c r="CC20" i="1"/>
  <c r="I21" i="1"/>
  <c r="AX21" i="1" s="1"/>
  <c r="CC21" i="1"/>
  <c r="AW21" i="1" s="1"/>
  <c r="R22" i="1"/>
  <c r="V23" i="1"/>
  <c r="AY26" i="1"/>
  <c r="CC26" i="1"/>
  <c r="AW26" i="1" s="1"/>
  <c r="BA26" i="1" s="1"/>
  <c r="R27" i="1"/>
  <c r="AW17" i="1"/>
  <c r="AY17" i="1" s="1"/>
  <c r="R17" i="1"/>
  <c r="S27" i="1"/>
  <c r="T27" i="1" s="1"/>
  <c r="AJ18" i="1"/>
  <c r="J18" i="1"/>
  <c r="I18" i="1"/>
  <c r="AX18" i="1" s="1"/>
  <c r="BA18" i="1" s="1"/>
  <c r="Z20" i="1"/>
  <c r="S22" i="1"/>
  <c r="T22" i="1" s="1"/>
  <c r="AJ25" i="1"/>
  <c r="J25" i="1"/>
  <c r="I25" i="1"/>
  <c r="AX25" i="1" s="1"/>
  <c r="AA27" i="1"/>
  <c r="AW28" i="1"/>
  <c r="AY28" i="1" s="1"/>
  <c r="M17" i="1"/>
  <c r="I17" i="1"/>
  <c r="AX17" i="1" s="1"/>
  <c r="H17" i="1"/>
  <c r="M18" i="1"/>
  <c r="R18" i="1"/>
  <c r="Z18" i="1"/>
  <c r="M20" i="1"/>
  <c r="I20" i="1"/>
  <c r="AX20" i="1" s="1"/>
  <c r="AJ20" i="1"/>
  <c r="J20" i="1"/>
  <c r="Z21" i="1"/>
  <c r="P22" i="1"/>
  <c r="N22" i="1" s="1"/>
  <c r="Q22" i="1" s="1"/>
  <c r="AJ22" i="1"/>
  <c r="J22" i="1"/>
  <c r="I22" i="1"/>
  <c r="AX22" i="1" s="1"/>
  <c r="BA22" i="1" s="1"/>
  <c r="R24" i="1"/>
  <c r="AW24" i="1"/>
  <c r="BA24" i="1" s="1"/>
  <c r="M25" i="1"/>
  <c r="J17" i="1"/>
  <c r="AJ17" i="1"/>
  <c r="V20" i="1"/>
  <c r="R21" i="1"/>
  <c r="M22" i="1"/>
  <c r="P27" i="1"/>
  <c r="N27" i="1" s="1"/>
  <c r="Q27" i="1" s="1"/>
  <c r="M23" i="1"/>
  <c r="I23" i="1"/>
  <c r="AX23" i="1" s="1"/>
  <c r="AY24" i="1"/>
  <c r="M27" i="1"/>
  <c r="I27" i="1"/>
  <c r="AX27" i="1" s="1"/>
  <c r="BA27" i="1" s="1"/>
  <c r="AA22" i="1"/>
  <c r="J23" i="1"/>
  <c r="Z23" i="1"/>
  <c r="AJ23" i="1"/>
  <c r="J27" i="1"/>
  <c r="Z27" i="1"/>
  <c r="AJ27" i="1"/>
  <c r="AY21" i="1" l="1"/>
  <c r="BA21" i="1"/>
  <c r="R23" i="1"/>
  <c r="S23" i="1" s="1"/>
  <c r="T23" i="1" s="1"/>
  <c r="AA23" i="1" s="1"/>
  <c r="R25" i="1"/>
  <c r="S25" i="1" s="1"/>
  <c r="T25" i="1" s="1"/>
  <c r="AW25" i="1"/>
  <c r="AY25" i="1" s="1"/>
  <c r="BA23" i="1"/>
  <c r="BA17" i="1"/>
  <c r="AW20" i="1"/>
  <c r="AY20" i="1" s="1"/>
  <c r="R20" i="1"/>
  <c r="S20" i="1" s="1"/>
  <c r="T20" i="1" s="1"/>
  <c r="AW19" i="1"/>
  <c r="AY19" i="1" s="1"/>
  <c r="R19" i="1"/>
  <c r="S19" i="1" s="1"/>
  <c r="T19" i="1" s="1"/>
  <c r="P19" i="1" s="1"/>
  <c r="N19" i="1" s="1"/>
  <c r="Q19" i="1" s="1"/>
  <c r="K19" i="1" s="1"/>
  <c r="L19" i="1" s="1"/>
  <c r="K27" i="1"/>
  <c r="L27" i="1" s="1"/>
  <c r="K22" i="1"/>
  <c r="L22" i="1" s="1"/>
  <c r="BA25" i="1"/>
  <c r="R26" i="1"/>
  <c r="S26" i="1" s="1"/>
  <c r="T26" i="1" s="1"/>
  <c r="P26" i="1" s="1"/>
  <c r="N26" i="1" s="1"/>
  <c r="Q26" i="1" s="1"/>
  <c r="K26" i="1" s="1"/>
  <c r="L26" i="1" s="1"/>
  <c r="BA19" i="1"/>
  <c r="U20" i="1"/>
  <c r="Y20" i="1" s="1"/>
  <c r="AB20" i="1"/>
  <c r="Z17" i="1"/>
  <c r="S28" i="1"/>
  <c r="T28" i="1" s="1"/>
  <c r="U22" i="1"/>
  <c r="Y22" i="1" s="1"/>
  <c r="AB22" i="1"/>
  <c r="AC22" i="1" s="1"/>
  <c r="AA20" i="1"/>
  <c r="U23" i="1"/>
  <c r="Y23" i="1" s="1"/>
  <c r="AB23" i="1"/>
  <c r="AC23" i="1" s="1"/>
  <c r="AB19" i="1"/>
  <c r="U19" i="1"/>
  <c r="Y19" i="1" s="1"/>
  <c r="S24" i="1"/>
  <c r="T24" i="1" s="1"/>
  <c r="S18" i="1"/>
  <c r="T18" i="1" s="1"/>
  <c r="U25" i="1"/>
  <c r="Y25" i="1" s="1"/>
  <c r="U27" i="1"/>
  <c r="Y27" i="1" s="1"/>
  <c r="AB27" i="1"/>
  <c r="AC27" i="1" s="1"/>
  <c r="S17" i="1"/>
  <c r="T17" i="1" s="1"/>
  <c r="S21" i="1"/>
  <c r="T21" i="1" s="1"/>
  <c r="P20" i="1"/>
  <c r="N20" i="1" s="1"/>
  <c r="Q20" i="1" s="1"/>
  <c r="K20" i="1" s="1"/>
  <c r="L20" i="1" s="1"/>
  <c r="P23" i="1"/>
  <c r="N23" i="1" s="1"/>
  <c r="Q23" i="1" s="1"/>
  <c r="K23" i="1" s="1"/>
  <c r="L23" i="1" s="1"/>
  <c r="AA26" i="1" l="1"/>
  <c r="U26" i="1"/>
  <c r="Y26" i="1" s="1"/>
  <c r="P25" i="1"/>
  <c r="N25" i="1" s="1"/>
  <c r="Q25" i="1" s="1"/>
  <c r="K25" i="1" s="1"/>
  <c r="L25" i="1" s="1"/>
  <c r="AA25" i="1"/>
  <c r="AC20" i="1"/>
  <c r="AB26" i="1"/>
  <c r="AC26" i="1" s="1"/>
  <c r="BA20" i="1"/>
  <c r="AB25" i="1"/>
  <c r="AA19" i="1"/>
  <c r="AC19" i="1" s="1"/>
  <c r="U17" i="1"/>
  <c r="Y17" i="1" s="1"/>
  <c r="AB17" i="1"/>
  <c r="AA17" i="1"/>
  <c r="U18" i="1"/>
  <c r="Y18" i="1" s="1"/>
  <c r="AB18" i="1"/>
  <c r="P18" i="1"/>
  <c r="N18" i="1" s="1"/>
  <c r="Q18" i="1" s="1"/>
  <c r="K18" i="1" s="1"/>
  <c r="L18" i="1" s="1"/>
  <c r="AA18" i="1"/>
  <c r="U24" i="1"/>
  <c r="Y24" i="1" s="1"/>
  <c r="AB24" i="1"/>
  <c r="AA24" i="1"/>
  <c r="P24" i="1"/>
  <c r="N24" i="1" s="1"/>
  <c r="Q24" i="1" s="1"/>
  <c r="K24" i="1" s="1"/>
  <c r="L24" i="1" s="1"/>
  <c r="P17" i="1"/>
  <c r="N17" i="1" s="1"/>
  <c r="Q17" i="1" s="1"/>
  <c r="K17" i="1" s="1"/>
  <c r="L17" i="1" s="1"/>
  <c r="U28" i="1"/>
  <c r="Y28" i="1" s="1"/>
  <c r="AB28" i="1"/>
  <c r="AA28" i="1"/>
  <c r="P28" i="1"/>
  <c r="N28" i="1" s="1"/>
  <c r="Q28" i="1" s="1"/>
  <c r="K28" i="1" s="1"/>
  <c r="L28" i="1" s="1"/>
  <c r="U21" i="1"/>
  <c r="Y21" i="1" s="1"/>
  <c r="AB21" i="1"/>
  <c r="P21" i="1"/>
  <c r="N21" i="1" s="1"/>
  <c r="Q21" i="1" s="1"/>
  <c r="K21" i="1" s="1"/>
  <c r="L21" i="1" s="1"/>
  <c r="AA21" i="1"/>
  <c r="AC25" i="1" l="1"/>
  <c r="AC21" i="1"/>
  <c r="AC28" i="1"/>
  <c r="AC17" i="1"/>
  <c r="AC24" i="1"/>
  <c r="AC18" i="1"/>
</calcChain>
</file>

<file path=xl/sharedStrings.xml><?xml version="1.0" encoding="utf-8"?>
<sst xmlns="http://schemas.openxmlformats.org/spreadsheetml/2006/main" count="1019" uniqueCount="410">
  <si>
    <t>File opened</t>
  </si>
  <si>
    <t>2019-08-10 15:27:47</t>
  </si>
  <si>
    <t>Console s/n</t>
  </si>
  <si>
    <t>68C-831448</t>
  </si>
  <si>
    <t>Console ver</t>
  </si>
  <si>
    <t>Bluestem v.1.3.17</t>
  </si>
  <si>
    <t>Scripts ver</t>
  </si>
  <si>
    <t>2018.12  1.3.16, Nov 2018</t>
  </si>
  <si>
    <t>Head s/n</t>
  </si>
  <si>
    <t>68H-581448</t>
  </si>
  <si>
    <t>Head ver</t>
  </si>
  <si>
    <t>1.3.1</t>
  </si>
  <si>
    <t>Head cal</t>
  </si>
  <si>
    <t>{"co2bspan2": "-0.029811", "co2bspanconc2": "296.4", "h2oaspan2b": "0.0689295", "co2bspan1": "1.00063", "h2oaspanconc2": "0", "flowmeterzero": "1.01484", "h2obspan2b": "0.0966582", "co2bspan2b": "0.290353", "h2oazero": "0.99813", "tazero": "-0.075655", "h2obspan2": "0", "h2obspanconc1": "20", "co2aspanconc2": "296.4", "co2bspan2a": "0.292725", "ssa_ref": "27614.2", "co2bspanconc1": "2500", "ssb_ref": "33378.8", "h2obspanconc2": "0", "co2aspanconc1": "2500", "oxygen": "21", "h2obzero": "1.01301", "h2obspan2a": "-0.0693626", "chamberpressurezero": "2.62898", "h2oaspan2a": "0.0687344", "tbzero": "-0.00914764", "co2azero": "0.936047", "h2oaspan1": "1.00284", "h2oaspan2": "0", "co2aspan2b": "0.298132", "flowazero": "0.30339", "h2obspan1": "1", "flowbzero": "0.2519", "co2aspan2": "-0.0275709", "h2oaspanconc1": "12.25", "co2aspan1": "1.00019", "co2aspan2a": "0.300565", "co2bzero": "1.08871"}</t>
  </si>
  <si>
    <t>Chamber type</t>
  </si>
  <si>
    <t>6800-01A</t>
  </si>
  <si>
    <t>Chamber s/n</t>
  </si>
  <si>
    <t>MPF-651357</t>
  </si>
  <si>
    <t>Chamber rev</t>
  </si>
  <si>
    <t>0</t>
  </si>
  <si>
    <t>Chamber cal</t>
  </si>
  <si>
    <t>Fluorometer</t>
  </si>
  <si>
    <t>Flr. Version</t>
  </si>
  <si>
    <t>15:27:47</t>
  </si>
  <si>
    <t>Stability Definition:	A (GasEx): Slp&lt;0.1 Std&lt;1 Per=15	gsw (GasEx): Slp&lt;0.1 Std&lt;1 Per=15</t>
  </si>
  <si>
    <t>SysConst</t>
  </si>
  <si>
    <t>AvgTime</t>
  </si>
  <si>
    <t>Oxygen</t>
  </si>
  <si>
    <t>Chamber</t>
  </si>
  <si>
    <t>6800-01A 6 cm²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</si>
  <si>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</si>
  <si>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</si>
  <si>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</si>
  <si>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</si>
  <si>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</si>
  <si>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</si>
  <si>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</si>
  <si>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</si>
  <si>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</si>
  <si>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</si>
  <si>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</si>
  <si>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</si>
  <si>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</si>
  <si>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</si>
  <si>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</si>
  <si>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</si>
  <si>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</si>
  <si>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</si>
  <si>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</si>
  <si>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</si>
  <si>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</si>
  <si>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</si>
  <si>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</si>
  <si>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</si>
  <si>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</si>
  <si>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</si>
  <si>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</si>
  <si>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</si>
  <si>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</si>
  <si>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</si>
  <si>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</si>
  <si>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</si>
  <si>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</si>
  <si>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</si>
  <si>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</si>
  <si>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</si>
  <si>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</si>
  <si>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</si>
  <si>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</si>
  <si>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</si>
  <si>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</si>
  <si>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</si>
  <si>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2.27505 85.6935 378.414 623.837 873.05 1080.45 1248.65 1433.3</t>
  </si>
  <si>
    <t>Fs_true</t>
  </si>
  <si>
    <t>0.0487186 103.87 402.965 601.332 802.409 1002.24 1200.35 1401.56</t>
  </si>
  <si>
    <t>leak_wt</t>
  </si>
  <si>
    <t>Sys</t>
  </si>
  <si>
    <t>UserDefVar</t>
  </si>
  <si>
    <t>GasEx</t>
  </si>
  <si>
    <t>Leak</t>
  </si>
  <si>
    <t>FLR</t>
  </si>
  <si>
    <t>MPF</t>
  </si>
  <si>
    <t>FastKntcs</t>
  </si>
  <si>
    <t>LeafQ</t>
  </si>
  <si>
    <t>Meas</t>
  </si>
  <si>
    <t>Meas2</t>
  </si>
  <si>
    <t>FlrLS</t>
  </si>
  <si>
    <t>FlrStats</t>
  </si>
  <si>
    <t>Match</t>
  </si>
  <si>
    <t>Stability</t>
  </si>
  <si>
    <t>Raw</t>
  </si>
  <si>
    <t>Status2</t>
  </si>
  <si>
    <t>Auxiliary</t>
  </si>
  <si>
    <t>Status</t>
  </si>
  <si>
    <t>obs</t>
  </si>
  <si>
    <t>time</t>
  </si>
  <si>
    <t>elapsed</t>
  </si>
  <si>
    <t>date</t>
  </si>
  <si>
    <t>hhmmss</t>
  </si>
  <si>
    <t>plant ID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</si>
  <si>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</si>
  <si>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</si>
  <si>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</si>
  <si>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</si>
  <si>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</si>
  <si>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</si>
  <si>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</si>
  <si>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</si>
  <si>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</si>
  <si>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</si>
  <si>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</si>
  <si>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</si>
  <si>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</si>
  <si>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</si>
  <si>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</si>
  <si>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</si>
  <si>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</si>
  <si>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</si>
  <si>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</si>
  <si>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</si>
  <si>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</si>
  <si>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</si>
  <si>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</si>
  <si>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</si>
  <si>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</si>
  <si>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</si>
  <si>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</si>
  <si>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</si>
  <si>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</si>
  <si>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</si>
  <si>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</si>
  <si>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</si>
  <si>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</si>
  <si>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</si>
  <si>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</si>
  <si>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</si>
  <si>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</si>
  <si>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</si>
  <si>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</si>
  <si>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</si>
  <si>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</si>
  <si>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</si>
  <si>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</si>
  <si>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</si>
  <si>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</si>
  <si>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</si>
  <si>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</si>
  <si>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</si>
  <si>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</si>
  <si>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</si>
  <si>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</si>
  <si>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</si>
  <si>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</si>
  <si>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</si>
  <si>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</si>
  <si>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</si>
  <si>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</si>
  <si>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</si>
  <si>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</si>
  <si>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</si>
  <si>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</si>
  <si>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</si>
  <si>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Duration</t>
  </si>
  <si>
    <t>F1</t>
  </si>
  <si>
    <t>F2</t>
  </si>
  <si>
    <t>Fmax</t>
  </si>
  <si>
    <t>T@HIR</t>
  </si>
  <si>
    <t>T@F1</t>
  </si>
  <si>
    <t>T@F2</t>
  </si>
  <si>
    <t>T@Fmax</t>
  </si>
  <si>
    <t>Qin</t>
  </si>
  <si>
    <t>Qabs</t>
  </si>
  <si>
    <t>alpha</t>
  </si>
  <si>
    <t>convert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</si>
  <si>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</si>
  <si>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</si>
  <si>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</si>
  <si>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</si>
  <si>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</si>
  <si>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</si>
  <si>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</si>
  <si>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</si>
  <si>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</si>
  <si>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</si>
  <si>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</si>
  <si>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</si>
  <si>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</si>
  <si>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</si>
  <si>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</si>
  <si>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</si>
  <si>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</si>
  <si>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</si>
  <si>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</si>
  <si>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CO2_a</t>
  </si>
  <si>
    <t>CO2_b</t>
  </si>
  <si>
    <t>H2O_a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</si>
  <si>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</si>
  <si>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</si>
  <si>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</si>
  <si>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</si>
  <si>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</si>
  <si>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</si>
  <si>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</si>
  <si>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</si>
  <si>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</si>
  <si>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</si>
  <si>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</si>
  <si>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</si>
  <si>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</si>
  <si>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</si>
  <si>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</si>
  <si>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</si>
  <si>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</si>
  <si>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</si>
  <si>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</si>
  <si>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</si>
  <si>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</si>
  <si>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</si>
  <si>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</si>
  <si>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</si>
  <si>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</si>
  <si>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</si>
  <si>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</si>
  <si>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</si>
  <si>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</si>
  <si>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</si>
  <si>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</si>
  <si>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</si>
  <si>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</si>
  <si>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</si>
  <si>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</si>
  <si>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</si>
  <si>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</si>
  <si>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</si>
  <si>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</si>
  <si>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</si>
  <si>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</si>
  <si>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</si>
  <si>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</si>
  <si>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</si>
  <si>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</si>
  <si>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</si>
  <si>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</si>
  <si>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</si>
  <si>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</si>
  <si>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</si>
  <si>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</si>
  <si>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</si>
  <si>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</si>
  <si>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</si>
  <si>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</si>
  <si>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</si>
  <si>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</si>
  <si>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</si>
  <si>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</si>
  <si>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</si>
  <si>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</si>
  <si>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</si>
  <si>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</si>
  <si>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</si>
  <si>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</si>
  <si>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</si>
  <si>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</si>
  <si>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</si>
  <si>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</si>
  <si>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</si>
  <si>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</si>
  <si>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</si>
  <si>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</si>
  <si>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</si>
  <si>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</si>
  <si>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</si>
  <si>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</si>
  <si>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</si>
  <si>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</si>
  <si>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AccCO2_soda</t>
  </si>
  <si>
    <t>CO2_hrs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</si>
  <si>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</si>
  <si>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</si>
  <si>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</si>
  <si>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</si>
  <si>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</si>
  <si>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</si>
  <si>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</si>
  <si>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</si>
  <si>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</si>
  <si>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</si>
  <si>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</si>
  <si>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</si>
  <si>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</si>
  <si>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</si>
  <si>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</si>
  <si>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</si>
  <si>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</si>
  <si>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</si>
  <si>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</si>
  <si>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</si>
  <si>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</si>
  <si>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</si>
  <si>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</si>
  <si>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</si>
  <si>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</si>
  <si>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</si>
  <si>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</si>
  <si>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</si>
  <si>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</si>
  <si>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</si>
  <si>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</si>
  <si>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</si>
  <si>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</si>
  <si>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</si>
  <si>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</si>
  <si>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</si>
  <si>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</si>
  <si>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</si>
  <si>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</si>
  <si>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</si>
  <si>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</si>
  <si>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</si>
  <si>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</si>
  <si>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</si>
  <si>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</si>
  <si>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</si>
  <si>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</si>
  <si>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</si>
  <si>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</si>
  <si>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</si>
  <si>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</si>
  <si>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</si>
  <si>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</si>
  <si>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</si>
  <si>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</si>
  <si>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</si>
  <si>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</si>
  <si>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</si>
  <si>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</si>
  <si>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</si>
  <si>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</si>
  <si>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</si>
  <si>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</si>
  <si>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</si>
  <si>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</si>
  <si>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20190811 15:47:55</t>
  </si>
  <si>
    <t>15:47:55</t>
  </si>
  <si>
    <t>MPF-7966-20190811-05_11_28</t>
  </si>
  <si>
    <t>MPF-8103-20190811-15_48_36</t>
  </si>
  <si>
    <t>DARK-8104-20190811-15_48_38</t>
  </si>
  <si>
    <t>-</t>
  </si>
  <si>
    <t>15:48:26</t>
  </si>
  <si>
    <t>2/2</t>
  </si>
  <si>
    <t>5</t>
  </si>
  <si>
    <t>11111111</t>
  </si>
  <si>
    <t>oooooooo</t>
  </si>
  <si>
    <t>off</t>
  </si>
  <si>
    <t>20190811 15:49:43</t>
  </si>
  <si>
    <t>15:49:43</t>
  </si>
  <si>
    <t>MPF-8105-20190811-15_50_23</t>
  </si>
  <si>
    <t>DARK-8106-20190811-15_50_25</t>
  </si>
  <si>
    <t>15:50:09</t>
  </si>
  <si>
    <t>20190811 15:51:26</t>
  </si>
  <si>
    <t>15:51:26</t>
  </si>
  <si>
    <t>MPF-8107-20190811-15_52_06</t>
  </si>
  <si>
    <t>DARK-8108-20190811-15_52_08</t>
  </si>
  <si>
    <t>15:51:53</t>
  </si>
  <si>
    <t>20190811 15:53:24</t>
  </si>
  <si>
    <t>15:53:24</t>
  </si>
  <si>
    <t>MPF-8109-20190811-15_54_04</t>
  </si>
  <si>
    <t>DARK-8110-20190811-15_54_06</t>
  </si>
  <si>
    <t>15:53:50</t>
  </si>
  <si>
    <t>1/2</t>
  </si>
  <si>
    <t>20190811 15:55:04</t>
  </si>
  <si>
    <t>15:55:04</t>
  </si>
  <si>
    <t>MPF-8111-20190811-15_55_44</t>
  </si>
  <si>
    <t>DARK-8112-20190811-15_55_46</t>
  </si>
  <si>
    <t>15:55:29</t>
  </si>
  <si>
    <t>20190811 15:56:41</t>
  </si>
  <si>
    <t>15:56:41</t>
  </si>
  <si>
    <t>MPF-8113-20190811-15_57_21</t>
  </si>
  <si>
    <t>DARK-8114-20190811-15_57_23</t>
  </si>
  <si>
    <t>15:57:07</t>
  </si>
  <si>
    <t>20190811 15:59:46</t>
  </si>
  <si>
    <t>15:59:46</t>
  </si>
  <si>
    <t>MPF-8117-20190811-16_00_27</t>
  </si>
  <si>
    <t>DARK-8118-20190811-16_00_29</t>
  </si>
  <si>
    <t>16:00:12</t>
  </si>
  <si>
    <t>20190811 16:01:43</t>
  </si>
  <si>
    <t>16:01:43</t>
  </si>
  <si>
    <t>MPF-8119-20190811-16_02_24</t>
  </si>
  <si>
    <t>DARK-8120-20190811-16_02_25</t>
  </si>
  <si>
    <t>16:02:08</t>
  </si>
  <si>
    <t>20190811 16:03:39</t>
  </si>
  <si>
    <t>16:03:39</t>
  </si>
  <si>
    <t>MPF-8121-20190811-16_04_19</t>
  </si>
  <si>
    <t>DARK-8122-20190811-16_04_21</t>
  </si>
  <si>
    <t>16:04:02</t>
  </si>
  <si>
    <t>20190811 16:05:18</t>
  </si>
  <si>
    <t>16:05:18</t>
  </si>
  <si>
    <t>MPF-8123-20190811-16_05_59</t>
  </si>
  <si>
    <t>DARK-8124-20190811-16_06_01</t>
  </si>
  <si>
    <t>16:05:51</t>
  </si>
  <si>
    <t>20190811 16:07:22</t>
  </si>
  <si>
    <t>16:07:22</t>
  </si>
  <si>
    <t>MPF-8125-20190811-16_08_03</t>
  </si>
  <si>
    <t>DARK-8126-20190811-16_08_05</t>
  </si>
  <si>
    <t>16:07:45</t>
  </si>
  <si>
    <t>20190811 16:09:16</t>
  </si>
  <si>
    <t>16:09:16</t>
  </si>
  <si>
    <t>MPF-8127-20190811-16_09_57</t>
  </si>
  <si>
    <t>DARK-8128-20190811-16_09_59</t>
  </si>
  <si>
    <t>16:09:41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</si>
</sst>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U28"/>
  <sheetViews>
    <sheetView tabSelected="1" topLeftCell="A11" workbookViewId="0">
      <selection activeCell="A23" sqref="A23:XFD23"/>
    </sheetView>
  </sheetViews>
  <sheetFormatPr defaultRowHeight="14.5" x14ac:dyDescent="0.35"/>
  <sheetData>
    <row r="2" spans="1:229" x14ac:dyDescent="0.35">
      <c r="A2" t="s">
        <v>25</v>
      </c>
      <c r="B2" t="s">
        <v>26</v>
      </c>
      <c r="C2" t="s">
        <v>27</v>
      </c>
      <c r="D2" t="s">
        <v>28</v>
      </c>
    </row>
    <row r="3" spans="1:229" x14ac:dyDescent="0.35">
      <c r="B3">
        <v>4</v>
      </c>
      <c r="C3">
        <v>21</v>
      </c>
      <c r="D3" t="s">
        <v>29</v>
      </c>
    </row>
    <row r="4" spans="1:229" x14ac:dyDescent="0.35">
      <c r="A4" t="s">
        <v>30</v>
      </c>
      <c r="B4" t="s">
        <v>31</v>
      </c>
      <c r="C4" t="s">
        <v>32</v>
      </c>
      <c r="D4" t="s">
        <v>33</v>
      </c>
      <c r="E4" t="s">
        <v>35</v>
      </c>
    </row>
    <row r="5" spans="1:229" x14ac:dyDescent="0.35">
      <c r="B5">
        <v>6</v>
      </c>
      <c r="C5">
        <v>0.5</v>
      </c>
      <c r="D5" t="s">
        <v>34</v>
      </c>
      <c r="E5">
        <v>2</v>
      </c>
    </row>
    <row r="6" spans="1:229" x14ac:dyDescent="0.35">
      <c r="A6" t="s">
        <v>36</v>
      </c>
      <c r="B6" t="s">
        <v>37</v>
      </c>
      <c r="C6" t="s">
        <v>38</v>
      </c>
      <c r="D6" t="s">
        <v>39</v>
      </c>
      <c r="E6" t="s">
        <v>40</v>
      </c>
    </row>
    <row r="7" spans="1:229" x14ac:dyDescent="0.35">
      <c r="B7">
        <v>0</v>
      </c>
      <c r="C7">
        <v>1</v>
      </c>
      <c r="D7">
        <v>0</v>
      </c>
      <c r="E7">
        <v>0</v>
      </c>
    </row>
    <row r="8" spans="1:229" x14ac:dyDescent="0.35">
      <c r="A8" t="s">
        <v>41</v>
      </c>
      <c r="B8" t="s">
        <v>42</v>
      </c>
      <c r="C8" t="s">
        <v>44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  <c r="M8" t="s">
        <v>55</v>
      </c>
      <c r="N8" t="s">
        <v>56</v>
      </c>
      <c r="O8" t="s">
        <v>57</v>
      </c>
      <c r="P8" t="s">
        <v>58</v>
      </c>
      <c r="Q8" t="s">
        <v>59</v>
      </c>
    </row>
    <row r="9" spans="1:229" x14ac:dyDescent="0.35">
      <c r="B9" t="s">
        <v>43</v>
      </c>
      <c r="C9" t="s">
        <v>45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29" x14ac:dyDescent="0.3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</row>
    <row r="11" spans="1:229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229" x14ac:dyDescent="0.3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73</v>
      </c>
      <c r="H12" t="s">
        <v>75</v>
      </c>
    </row>
    <row r="13" spans="1:229" x14ac:dyDescent="0.35">
      <c r="B13">
        <v>-6276</v>
      </c>
      <c r="C13">
        <v>6.6</v>
      </c>
      <c r="D13">
        <v>1.7090000000000001E-5</v>
      </c>
      <c r="E13">
        <v>3.11</v>
      </c>
      <c r="F13" t="s">
        <v>72</v>
      </c>
      <c r="G13" t="s">
        <v>74</v>
      </c>
      <c r="H13">
        <v>0</v>
      </c>
    </row>
    <row r="14" spans="1:229" x14ac:dyDescent="0.35">
      <c r="A14" t="s">
        <v>76</v>
      </c>
      <c r="B14" t="s">
        <v>76</v>
      </c>
      <c r="C14" t="s">
        <v>76</v>
      </c>
      <c r="D14" t="s">
        <v>76</v>
      </c>
      <c r="E14" t="s">
        <v>76</v>
      </c>
      <c r="F14" t="s">
        <v>77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79</v>
      </c>
      <c r="AH14" t="s">
        <v>79</v>
      </c>
      <c r="AI14" t="s">
        <v>79</v>
      </c>
      <c r="AJ14" t="s">
        <v>79</v>
      </c>
      <c r="AK14" t="s">
        <v>79</v>
      </c>
      <c r="AL14" t="s">
        <v>80</v>
      </c>
      <c r="AM14" t="s">
        <v>80</v>
      </c>
      <c r="AN14" t="s">
        <v>80</v>
      </c>
      <c r="AO14" t="s">
        <v>80</v>
      </c>
      <c r="AP14" t="s">
        <v>80</v>
      </c>
      <c r="AQ14" t="s">
        <v>80</v>
      </c>
      <c r="AR14" t="s">
        <v>80</v>
      </c>
      <c r="AS14" t="s">
        <v>80</v>
      </c>
      <c r="AT14" t="s">
        <v>80</v>
      </c>
      <c r="AU14" t="s">
        <v>80</v>
      </c>
      <c r="AV14" t="s">
        <v>80</v>
      </c>
      <c r="AW14" t="s">
        <v>80</v>
      </c>
      <c r="AX14" t="s">
        <v>80</v>
      </c>
      <c r="AY14" t="s">
        <v>80</v>
      </c>
      <c r="AZ14" t="s">
        <v>80</v>
      </c>
      <c r="BA14" t="s">
        <v>80</v>
      </c>
      <c r="BB14" t="s">
        <v>80</v>
      </c>
      <c r="BC14" t="s">
        <v>80</v>
      </c>
      <c r="BD14" t="s">
        <v>80</v>
      </c>
      <c r="BE14" t="s">
        <v>80</v>
      </c>
      <c r="BF14" t="s">
        <v>80</v>
      </c>
      <c r="BG14" t="s">
        <v>80</v>
      </c>
      <c r="BH14" t="s">
        <v>80</v>
      </c>
      <c r="BI14" t="s">
        <v>80</v>
      </c>
      <c r="BJ14" t="s">
        <v>81</v>
      </c>
      <c r="BK14" t="s">
        <v>81</v>
      </c>
      <c r="BL14" t="s">
        <v>81</v>
      </c>
      <c r="BM14" t="s">
        <v>81</v>
      </c>
      <c r="BN14" t="s">
        <v>81</v>
      </c>
      <c r="BO14" t="s">
        <v>81</v>
      </c>
      <c r="BP14" t="s">
        <v>81</v>
      </c>
      <c r="BQ14" t="s">
        <v>81</v>
      </c>
      <c r="BR14" t="s">
        <v>82</v>
      </c>
      <c r="BS14" t="s">
        <v>82</v>
      </c>
      <c r="BT14" t="s">
        <v>82</v>
      </c>
      <c r="BU14" t="s">
        <v>82</v>
      </c>
      <c r="BV14" t="s">
        <v>82</v>
      </c>
      <c r="BW14" t="s">
        <v>82</v>
      </c>
      <c r="BX14" t="s">
        <v>82</v>
      </c>
      <c r="BY14" t="s">
        <v>82</v>
      </c>
      <c r="BZ14" t="s">
        <v>82</v>
      </c>
      <c r="CA14" t="s">
        <v>82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85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85</v>
      </c>
      <c r="DC14" t="s">
        <v>85</v>
      </c>
      <c r="DD14" t="s">
        <v>85</v>
      </c>
      <c r="DE14" t="s">
        <v>85</v>
      </c>
      <c r="DF14" t="s">
        <v>85</v>
      </c>
      <c r="DG14" t="s">
        <v>85</v>
      </c>
      <c r="DH14" t="s">
        <v>86</v>
      </c>
      <c r="DI14" t="s">
        <v>86</v>
      </c>
      <c r="DJ14" t="s">
        <v>86</v>
      </c>
      <c r="DK14" t="s">
        <v>86</v>
      </c>
      <c r="DL14" t="s">
        <v>86</v>
      </c>
      <c r="DM14" t="s">
        <v>86</v>
      </c>
      <c r="DN14" t="s">
        <v>86</v>
      </c>
      <c r="DO14" t="s">
        <v>86</v>
      </c>
      <c r="DP14" t="s">
        <v>86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87</v>
      </c>
      <c r="DZ14" t="s">
        <v>87</v>
      </c>
      <c r="EA14" t="s">
        <v>87</v>
      </c>
      <c r="EB14" t="s">
        <v>87</v>
      </c>
      <c r="EC14" t="s">
        <v>87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89</v>
      </c>
      <c r="EN14" t="s">
        <v>89</v>
      </c>
      <c r="EO14" t="s">
        <v>89</v>
      </c>
      <c r="EP14" t="s">
        <v>89</v>
      </c>
      <c r="EQ14" t="s">
        <v>89</v>
      </c>
      <c r="ER14" t="s">
        <v>89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90</v>
      </c>
      <c r="EY14" t="s">
        <v>90</v>
      </c>
      <c r="EZ14" t="s">
        <v>90</v>
      </c>
      <c r="FA14" t="s">
        <v>90</v>
      </c>
      <c r="FB14" t="s">
        <v>90</v>
      </c>
      <c r="FC14" t="s">
        <v>90</v>
      </c>
      <c r="FD14" t="s">
        <v>90</v>
      </c>
      <c r="FE14" t="s">
        <v>90</v>
      </c>
      <c r="FF14" t="s">
        <v>90</v>
      </c>
      <c r="FG14" t="s">
        <v>90</v>
      </c>
      <c r="FH14" t="s">
        <v>90</v>
      </c>
      <c r="FI14" t="s">
        <v>90</v>
      </c>
      <c r="FJ14" t="s">
        <v>90</v>
      </c>
      <c r="FK14" t="s">
        <v>90</v>
      </c>
      <c r="FL14" t="s">
        <v>90</v>
      </c>
      <c r="FM14" t="s">
        <v>90</v>
      </c>
      <c r="FN14" t="s">
        <v>90</v>
      </c>
      <c r="FO14" t="s">
        <v>90</v>
      </c>
      <c r="FP14" t="s">
        <v>91</v>
      </c>
      <c r="FQ14" t="s">
        <v>91</v>
      </c>
      <c r="FR14" t="s">
        <v>91</v>
      </c>
      <c r="FS14" t="s">
        <v>91</v>
      </c>
      <c r="FT14" t="s">
        <v>91</v>
      </c>
      <c r="FU14" t="s">
        <v>91</v>
      </c>
      <c r="FV14" t="s">
        <v>91</v>
      </c>
      <c r="FW14" t="s">
        <v>91</v>
      </c>
      <c r="FX14" t="s">
        <v>91</v>
      </c>
      <c r="FY14" t="s">
        <v>91</v>
      </c>
      <c r="FZ14" t="s">
        <v>91</v>
      </c>
      <c r="GA14" t="s">
        <v>91</v>
      </c>
      <c r="GB14" t="s">
        <v>91</v>
      </c>
      <c r="GC14" t="s">
        <v>91</v>
      </c>
      <c r="GD14" t="s">
        <v>91</v>
      </c>
      <c r="GE14" t="s">
        <v>91</v>
      </c>
      <c r="GF14" t="s">
        <v>91</v>
      </c>
      <c r="GG14" t="s">
        <v>91</v>
      </c>
      <c r="GH14" t="s">
        <v>91</v>
      </c>
      <c r="GI14" t="s">
        <v>92</v>
      </c>
      <c r="GJ14" t="s">
        <v>92</v>
      </c>
      <c r="GK14" t="s">
        <v>92</v>
      </c>
      <c r="GL14" t="s">
        <v>92</v>
      </c>
      <c r="GM14" t="s">
        <v>92</v>
      </c>
      <c r="GN14" t="s">
        <v>92</v>
      </c>
      <c r="GO14" t="s">
        <v>92</v>
      </c>
      <c r="GP14" t="s">
        <v>92</v>
      </c>
      <c r="GQ14" t="s">
        <v>92</v>
      </c>
      <c r="GR14" t="s">
        <v>92</v>
      </c>
      <c r="GS14" t="s">
        <v>92</v>
      </c>
      <c r="GT14" t="s">
        <v>92</v>
      </c>
      <c r="GU14" t="s">
        <v>92</v>
      </c>
      <c r="GV14" t="s">
        <v>92</v>
      </c>
      <c r="GW14" t="s">
        <v>92</v>
      </c>
      <c r="GX14" t="s">
        <v>92</v>
      </c>
      <c r="GY14" t="s">
        <v>92</v>
      </c>
      <c r="GZ14" t="s">
        <v>92</v>
      </c>
      <c r="HA14" t="s">
        <v>92</v>
      </c>
      <c r="HB14" t="s">
        <v>93</v>
      </c>
      <c r="HC14" t="s">
        <v>93</v>
      </c>
      <c r="HD14" t="s">
        <v>93</v>
      </c>
      <c r="HE14" t="s">
        <v>93</v>
      </c>
      <c r="HF14" t="s">
        <v>93</v>
      </c>
      <c r="HG14" t="s">
        <v>93</v>
      </c>
      <c r="HH14" t="s">
        <v>93</v>
      </c>
      <c r="HI14" t="s">
        <v>93</v>
      </c>
      <c r="HJ14" t="s">
        <v>93</v>
      </c>
      <c r="HK14" t="s">
        <v>93</v>
      </c>
      <c r="HL14" t="s">
        <v>93</v>
      </c>
      <c r="HM14" t="s">
        <v>93</v>
      </c>
      <c r="HN14" t="s">
        <v>93</v>
      </c>
      <c r="HO14" t="s">
        <v>93</v>
      </c>
      <c r="HP14" t="s">
        <v>93</v>
      </c>
      <c r="HQ14" t="s">
        <v>93</v>
      </c>
      <c r="HR14" t="s">
        <v>93</v>
      </c>
      <c r="HS14" t="s">
        <v>93</v>
      </c>
      <c r="HT14" t="s">
        <v>93</v>
      </c>
      <c r="HU14" t="s">
        <v>93</v>
      </c>
    </row>
    <row r="15" spans="1:229" x14ac:dyDescent="0.3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  <c r="I15" t="s">
        <v>102</v>
      </c>
      <c r="J15" t="s">
        <v>103</v>
      </c>
      <c r="K15" t="s">
        <v>104</v>
      </c>
      <c r="L15" t="s">
        <v>105</v>
      </c>
      <c r="M15" t="s">
        <v>106</v>
      </c>
      <c r="N15" t="s">
        <v>107</v>
      </c>
      <c r="O15" t="s">
        <v>108</v>
      </c>
      <c r="P15" t="s">
        <v>109</v>
      </c>
      <c r="Q15" t="s">
        <v>110</v>
      </c>
      <c r="R15" t="s">
        <v>111</v>
      </c>
      <c r="S15" t="s">
        <v>112</v>
      </c>
      <c r="T15" t="s">
        <v>113</v>
      </c>
      <c r="U15" t="s">
        <v>114</v>
      </c>
      <c r="V15" t="s">
        <v>115</v>
      </c>
      <c r="W15" t="s">
        <v>116</v>
      </c>
      <c r="X15" t="s">
        <v>117</v>
      </c>
      <c r="Y15" t="s">
        <v>118</v>
      </c>
      <c r="Z15" t="s">
        <v>119</v>
      </c>
      <c r="AA15" t="s">
        <v>120</v>
      </c>
      <c r="AB15" t="s">
        <v>121</v>
      </c>
      <c r="AC15" t="s">
        <v>122</v>
      </c>
      <c r="AD15" t="s">
        <v>123</v>
      </c>
      <c r="AE15" t="s">
        <v>124</v>
      </c>
      <c r="AF15" t="s">
        <v>125</v>
      </c>
      <c r="AG15" t="s">
        <v>79</v>
      </c>
      <c r="AH15" t="s">
        <v>126</v>
      </c>
      <c r="AI15" t="s">
        <v>127</v>
      </c>
      <c r="AJ15" t="s">
        <v>128</v>
      </c>
      <c r="AK15" t="s">
        <v>129</v>
      </c>
      <c r="AL15" t="s">
        <v>130</v>
      </c>
      <c r="AM15" t="s">
        <v>131</v>
      </c>
      <c r="AN15" t="s">
        <v>132</v>
      </c>
      <c r="AO15" t="s">
        <v>133</v>
      </c>
      <c r="AP15" t="s">
        <v>134</v>
      </c>
      <c r="AQ15" t="s">
        <v>135</v>
      </c>
      <c r="AR15" t="s">
        <v>136</v>
      </c>
      <c r="AS15" t="s">
        <v>137</v>
      </c>
      <c r="AT15" t="s">
        <v>138</v>
      </c>
      <c r="AU15" t="s">
        <v>139</v>
      </c>
      <c r="AV15" t="s">
        <v>140</v>
      </c>
      <c r="AW15" t="s">
        <v>141</v>
      </c>
      <c r="AX15" t="s">
        <v>142</v>
      </c>
      <c r="AY15" t="s">
        <v>143</v>
      </c>
      <c r="AZ15" t="s">
        <v>144</v>
      </c>
      <c r="BA15" t="s">
        <v>145</v>
      </c>
      <c r="BB15" t="s">
        <v>146</v>
      </c>
      <c r="BC15" t="s">
        <v>147</v>
      </c>
      <c r="BD15" t="s">
        <v>148</v>
      </c>
      <c r="BE15" t="s">
        <v>149</v>
      </c>
      <c r="BF15" t="s">
        <v>150</v>
      </c>
      <c r="BG15" t="s">
        <v>151</v>
      </c>
      <c r="BH15" t="s">
        <v>152</v>
      </c>
      <c r="BI15" t="s">
        <v>153</v>
      </c>
      <c r="BJ15" t="s">
        <v>154</v>
      </c>
      <c r="BK15" t="s">
        <v>155</v>
      </c>
      <c r="BL15" t="s">
        <v>156</v>
      </c>
      <c r="BM15" t="s">
        <v>157</v>
      </c>
      <c r="BN15" t="s">
        <v>158</v>
      </c>
      <c r="BO15" t="s">
        <v>159</v>
      </c>
      <c r="BP15" t="s">
        <v>160</v>
      </c>
      <c r="BQ15" t="s">
        <v>161</v>
      </c>
      <c r="BR15" t="s">
        <v>154</v>
      </c>
      <c r="BS15" t="s">
        <v>162</v>
      </c>
      <c r="BT15" t="s">
        <v>131</v>
      </c>
      <c r="BU15" t="s">
        <v>163</v>
      </c>
      <c r="BV15" t="s">
        <v>164</v>
      </c>
      <c r="BW15" t="s">
        <v>165</v>
      </c>
      <c r="BX15" t="s">
        <v>166</v>
      </c>
      <c r="BY15" t="s">
        <v>167</v>
      </c>
      <c r="BZ15" t="s">
        <v>168</v>
      </c>
      <c r="CA15" t="s">
        <v>169</v>
      </c>
      <c r="CB15" t="s">
        <v>170</v>
      </c>
      <c r="CC15" t="s">
        <v>171</v>
      </c>
      <c r="CD15" t="s">
        <v>172</v>
      </c>
      <c r="CE15" t="s">
        <v>173</v>
      </c>
      <c r="CF15" t="s">
        <v>100</v>
      </c>
      <c r="CG15" t="s">
        <v>174</v>
      </c>
      <c r="CH15" t="s">
        <v>175</v>
      </c>
      <c r="CI15" t="s">
        <v>176</v>
      </c>
      <c r="CJ15" t="s">
        <v>177</v>
      </c>
      <c r="CK15" t="s">
        <v>178</v>
      </c>
      <c r="CL15" t="s">
        <v>179</v>
      </c>
      <c r="CM15" t="s">
        <v>180</v>
      </c>
      <c r="CN15" t="s">
        <v>181</v>
      </c>
      <c r="CO15" t="s">
        <v>182</v>
      </c>
      <c r="CP15" t="s">
        <v>183</v>
      </c>
      <c r="CQ15" t="s">
        <v>184</v>
      </c>
      <c r="CR15" t="s">
        <v>185</v>
      </c>
      <c r="CS15" t="s">
        <v>186</v>
      </c>
      <c r="CT15" t="s">
        <v>187</v>
      </c>
      <c r="CU15" t="s">
        <v>188</v>
      </c>
      <c r="CV15" t="s">
        <v>189</v>
      </c>
      <c r="CW15" t="s">
        <v>190</v>
      </c>
      <c r="CX15" t="s">
        <v>191</v>
      </c>
      <c r="CY15" t="s">
        <v>192</v>
      </c>
      <c r="CZ15" t="s">
        <v>193</v>
      </c>
      <c r="DA15" t="s">
        <v>194</v>
      </c>
      <c r="DB15" t="s">
        <v>195</v>
      </c>
      <c r="DC15" t="s">
        <v>196</v>
      </c>
      <c r="DD15" t="s">
        <v>197</v>
      </c>
      <c r="DE15" t="s">
        <v>198</v>
      </c>
      <c r="DF15" t="s">
        <v>199</v>
      </c>
      <c r="DG15" t="s">
        <v>200</v>
      </c>
      <c r="DH15" t="s">
        <v>201</v>
      </c>
      <c r="DI15" t="s">
        <v>202</v>
      </c>
      <c r="DJ15" t="s">
        <v>203</v>
      </c>
      <c r="DK15" t="s">
        <v>204</v>
      </c>
      <c r="DL15" t="s">
        <v>205</v>
      </c>
      <c r="DM15" t="s">
        <v>206</v>
      </c>
      <c r="DN15" t="s">
        <v>207</v>
      </c>
      <c r="DO15" t="s">
        <v>208</v>
      </c>
      <c r="DP15" t="s">
        <v>209</v>
      </c>
      <c r="DQ15" t="s">
        <v>210</v>
      </c>
      <c r="DR15" t="s">
        <v>211</v>
      </c>
      <c r="DS15" t="s">
        <v>212</v>
      </c>
      <c r="DT15" t="s">
        <v>213</v>
      </c>
      <c r="DU15" t="s">
        <v>214</v>
      </c>
      <c r="DV15" t="s">
        <v>215</v>
      </c>
      <c r="DW15" t="s">
        <v>216</v>
      </c>
      <c r="DX15" t="s">
        <v>217</v>
      </c>
      <c r="DY15" t="s">
        <v>218</v>
      </c>
      <c r="DZ15" t="s">
        <v>219</v>
      </c>
      <c r="EA15" t="s">
        <v>220</v>
      </c>
      <c r="EB15" t="s">
        <v>221</v>
      </c>
      <c r="EC15" t="s">
        <v>222</v>
      </c>
      <c r="ED15" t="s">
        <v>95</v>
      </c>
      <c r="EE15" t="s">
        <v>98</v>
      </c>
      <c r="EF15" t="s">
        <v>223</v>
      </c>
      <c r="EG15" t="s">
        <v>224</v>
      </c>
      <c r="EH15" t="s">
        <v>225</v>
      </c>
      <c r="EI15" t="s">
        <v>226</v>
      </c>
      <c r="EJ15" t="s">
        <v>227</v>
      </c>
      <c r="EK15" t="s">
        <v>228</v>
      </c>
      <c r="EL15" t="s">
        <v>229</v>
      </c>
      <c r="EM15" t="s">
        <v>230</v>
      </c>
      <c r="EN15" t="s">
        <v>231</v>
      </c>
      <c r="EO15" t="s">
        <v>232</v>
      </c>
      <c r="EP15" t="s">
        <v>233</v>
      </c>
      <c r="EQ15" t="s">
        <v>234</v>
      </c>
      <c r="ER15" t="s">
        <v>235</v>
      </c>
      <c r="ES15" t="s">
        <v>236</v>
      </c>
      <c r="ET15" t="s">
        <v>237</v>
      </c>
      <c r="EU15" t="s">
        <v>238</v>
      </c>
      <c r="EV15" t="s">
        <v>239</v>
      </c>
      <c r="EW15" t="s">
        <v>240</v>
      </c>
      <c r="EX15" t="s">
        <v>241</v>
      </c>
      <c r="EY15" t="s">
        <v>242</v>
      </c>
      <c r="EZ15" t="s">
        <v>243</v>
      </c>
      <c r="FA15" t="s">
        <v>244</v>
      </c>
      <c r="FB15" t="s">
        <v>245</v>
      </c>
      <c r="FC15" t="s">
        <v>246</v>
      </c>
      <c r="FD15" t="s">
        <v>247</v>
      </c>
      <c r="FE15" t="s">
        <v>248</v>
      </c>
      <c r="FF15" t="s">
        <v>249</v>
      </c>
      <c r="FG15" t="s">
        <v>250</v>
      </c>
      <c r="FH15" t="s">
        <v>251</v>
      </c>
      <c r="FI15" t="s">
        <v>252</v>
      </c>
      <c r="FJ15" t="s">
        <v>253</v>
      </c>
      <c r="FK15" t="s">
        <v>254</v>
      </c>
      <c r="FL15" t="s">
        <v>255</v>
      </c>
      <c r="FM15" t="s">
        <v>256</v>
      </c>
      <c r="FN15" t="s">
        <v>257</v>
      </c>
      <c r="FO15" t="s">
        <v>258</v>
      </c>
      <c r="FP15" t="s">
        <v>259</v>
      </c>
      <c r="FQ15" t="s">
        <v>260</v>
      </c>
      <c r="FR15" t="s">
        <v>261</v>
      </c>
      <c r="FS15" t="s">
        <v>262</v>
      </c>
      <c r="FT15" t="s">
        <v>263</v>
      </c>
      <c r="FU15" t="s">
        <v>264</v>
      </c>
      <c r="FV15" t="s">
        <v>265</v>
      </c>
      <c r="FW15" t="s">
        <v>266</v>
      </c>
      <c r="FX15" t="s">
        <v>267</v>
      </c>
      <c r="FY15" t="s">
        <v>268</v>
      </c>
      <c r="FZ15" t="s">
        <v>269</v>
      </c>
      <c r="GA15" t="s">
        <v>270</v>
      </c>
      <c r="GB15" t="s">
        <v>271</v>
      </c>
      <c r="GC15" t="s">
        <v>272</v>
      </c>
      <c r="GD15" t="s">
        <v>273</v>
      </c>
      <c r="GE15" t="s">
        <v>274</v>
      </c>
      <c r="GF15" t="s">
        <v>275</v>
      </c>
      <c r="GG15" t="s">
        <v>276</v>
      </c>
      <c r="GH15" t="s">
        <v>277</v>
      </c>
      <c r="GI15" t="s">
        <v>278</v>
      </c>
      <c r="GJ15" t="s">
        <v>279</v>
      </c>
      <c r="GK15" t="s">
        <v>280</v>
      </c>
      <c r="GL15" t="s">
        <v>281</v>
      </c>
      <c r="GM15" t="s">
        <v>282</v>
      </c>
      <c r="GN15" t="s">
        <v>283</v>
      </c>
      <c r="GO15" t="s">
        <v>284</v>
      </c>
      <c r="GP15" t="s">
        <v>285</v>
      </c>
      <c r="GQ15" t="s">
        <v>286</v>
      </c>
      <c r="GR15" t="s">
        <v>287</v>
      </c>
      <c r="GS15" t="s">
        <v>288</v>
      </c>
      <c r="GT15" t="s">
        <v>289</v>
      </c>
      <c r="GU15" t="s">
        <v>290</v>
      </c>
      <c r="GV15" t="s">
        <v>291</v>
      </c>
      <c r="GW15" t="s">
        <v>292</v>
      </c>
      <c r="GX15" t="s">
        <v>293</v>
      </c>
      <c r="GY15" t="s">
        <v>294</v>
      </c>
      <c r="GZ15" t="s">
        <v>295</v>
      </c>
      <c r="HA15" t="s">
        <v>296</v>
      </c>
      <c r="HB15" t="s">
        <v>297</v>
      </c>
      <c r="HC15" t="s">
        <v>298</v>
      </c>
      <c r="HD15" t="s">
        <v>299</v>
      </c>
      <c r="HE15" t="s">
        <v>300</v>
      </c>
      <c r="HF15" t="s">
        <v>301</v>
      </c>
      <c r="HG15" t="s">
        <v>302</v>
      </c>
      <c r="HH15" t="s">
        <v>303</v>
      </c>
      <c r="HI15" t="s">
        <v>304</v>
      </c>
      <c r="HJ15" t="s">
        <v>305</v>
      </c>
      <c r="HK15" t="s">
        <v>306</v>
      </c>
      <c r="HL15" t="s">
        <v>307</v>
      </c>
      <c r="HM15" t="s">
        <v>308</v>
      </c>
      <c r="HN15" t="s">
        <v>309</v>
      </c>
      <c r="HO15" t="s">
        <v>310</v>
      </c>
      <c r="HP15" t="s">
        <v>311</v>
      </c>
      <c r="HQ15" t="s">
        <v>312</v>
      </c>
      <c r="HR15" t="s">
        <v>313</v>
      </c>
      <c r="HS15" t="s">
        <v>314</v>
      </c>
      <c r="HT15" t="s">
        <v>315</v>
      </c>
      <c r="HU15" t="s">
        <v>316</v>
      </c>
    </row>
    <row r="16" spans="1:229" x14ac:dyDescent="0.35">
      <c r="B16" t="s">
        <v>317</v>
      </c>
      <c r="C16" t="s">
        <v>317</v>
      </c>
      <c r="G16" t="s">
        <v>317</v>
      </c>
      <c r="H16" t="s">
        <v>318</v>
      </c>
      <c r="I16" t="s">
        <v>319</v>
      </c>
      <c r="J16" t="s">
        <v>320</v>
      </c>
      <c r="K16" t="s">
        <v>320</v>
      </c>
      <c r="L16" t="s">
        <v>179</v>
      </c>
      <c r="M16" t="s">
        <v>179</v>
      </c>
      <c r="N16" t="s">
        <v>318</v>
      </c>
      <c r="O16" t="s">
        <v>318</v>
      </c>
      <c r="P16" t="s">
        <v>318</v>
      </c>
      <c r="Q16" t="s">
        <v>318</v>
      </c>
      <c r="R16" t="s">
        <v>321</v>
      </c>
      <c r="S16" t="s">
        <v>322</v>
      </c>
      <c r="T16" t="s">
        <v>322</v>
      </c>
      <c r="U16" t="s">
        <v>323</v>
      </c>
      <c r="V16" t="s">
        <v>324</v>
      </c>
      <c r="W16" t="s">
        <v>323</v>
      </c>
      <c r="X16" t="s">
        <v>323</v>
      </c>
      <c r="Y16" t="s">
        <v>323</v>
      </c>
      <c r="Z16" t="s">
        <v>321</v>
      </c>
      <c r="AA16" t="s">
        <v>321</v>
      </c>
      <c r="AB16" t="s">
        <v>321</v>
      </c>
      <c r="AC16" t="s">
        <v>321</v>
      </c>
      <c r="AG16" t="s">
        <v>325</v>
      </c>
      <c r="AH16" t="s">
        <v>324</v>
      </c>
      <c r="AJ16" t="s">
        <v>324</v>
      </c>
      <c r="AK16" t="s">
        <v>325</v>
      </c>
      <c r="AQ16" t="s">
        <v>319</v>
      </c>
      <c r="AW16" t="s">
        <v>319</v>
      </c>
      <c r="AX16" t="s">
        <v>319</v>
      </c>
      <c r="AY16" t="s">
        <v>319</v>
      </c>
      <c r="BA16" t="s">
        <v>326</v>
      </c>
      <c r="BK16" t="s">
        <v>327</v>
      </c>
      <c r="BL16" t="s">
        <v>327</v>
      </c>
      <c r="BM16" t="s">
        <v>327</v>
      </c>
      <c r="BN16" t="s">
        <v>319</v>
      </c>
      <c r="BP16" t="s">
        <v>328</v>
      </c>
      <c r="BS16" t="s">
        <v>327</v>
      </c>
      <c r="BX16" t="s">
        <v>317</v>
      </c>
      <c r="BY16" t="s">
        <v>317</v>
      </c>
      <c r="BZ16" t="s">
        <v>317</v>
      </c>
      <c r="CA16" t="s">
        <v>317</v>
      </c>
      <c r="CB16" t="s">
        <v>319</v>
      </c>
      <c r="CC16" t="s">
        <v>319</v>
      </c>
      <c r="CE16" t="s">
        <v>329</v>
      </c>
      <c r="CF16" t="s">
        <v>317</v>
      </c>
      <c r="CG16" t="s">
        <v>320</v>
      </c>
      <c r="CH16" t="s">
        <v>320</v>
      </c>
      <c r="CI16" t="s">
        <v>330</v>
      </c>
      <c r="CJ16" t="s">
        <v>330</v>
      </c>
      <c r="CK16" t="s">
        <v>325</v>
      </c>
      <c r="CL16" t="s">
        <v>323</v>
      </c>
      <c r="CM16" t="s">
        <v>323</v>
      </c>
      <c r="CN16" t="s">
        <v>322</v>
      </c>
      <c r="CO16" t="s">
        <v>322</v>
      </c>
      <c r="CP16" t="s">
        <v>322</v>
      </c>
      <c r="CQ16" t="s">
        <v>322</v>
      </c>
      <c r="CR16" t="s">
        <v>322</v>
      </c>
      <c r="CS16" t="s">
        <v>331</v>
      </c>
      <c r="CT16" t="s">
        <v>319</v>
      </c>
      <c r="CU16" t="s">
        <v>319</v>
      </c>
      <c r="CV16" t="s">
        <v>320</v>
      </c>
      <c r="CW16" t="s">
        <v>320</v>
      </c>
      <c r="CX16" t="s">
        <v>320</v>
      </c>
      <c r="CY16" t="s">
        <v>330</v>
      </c>
      <c r="CZ16" t="s">
        <v>320</v>
      </c>
      <c r="DA16" t="s">
        <v>320</v>
      </c>
      <c r="DB16" t="s">
        <v>330</v>
      </c>
      <c r="DC16" t="s">
        <v>330</v>
      </c>
      <c r="DD16" t="s">
        <v>323</v>
      </c>
      <c r="DE16" t="s">
        <v>323</v>
      </c>
      <c r="DF16" t="s">
        <v>322</v>
      </c>
      <c r="DG16" t="s">
        <v>322</v>
      </c>
      <c r="DH16" t="s">
        <v>319</v>
      </c>
      <c r="DM16" t="s">
        <v>319</v>
      </c>
      <c r="DP16" t="s">
        <v>322</v>
      </c>
      <c r="DQ16" t="s">
        <v>322</v>
      </c>
      <c r="DR16" t="s">
        <v>322</v>
      </c>
      <c r="DS16" t="s">
        <v>322</v>
      </c>
      <c r="DT16" t="s">
        <v>322</v>
      </c>
      <c r="DU16" t="s">
        <v>319</v>
      </c>
      <c r="DV16" t="s">
        <v>319</v>
      </c>
      <c r="DW16" t="s">
        <v>319</v>
      </c>
      <c r="DX16" t="s">
        <v>317</v>
      </c>
      <c r="DZ16" t="s">
        <v>332</v>
      </c>
      <c r="EA16" t="s">
        <v>332</v>
      </c>
      <c r="EC16" t="s">
        <v>317</v>
      </c>
      <c r="ED16" t="s">
        <v>333</v>
      </c>
      <c r="EG16" t="s">
        <v>334</v>
      </c>
      <c r="EH16" t="s">
        <v>335</v>
      </c>
      <c r="EI16" t="s">
        <v>334</v>
      </c>
      <c r="EJ16" t="s">
        <v>335</v>
      </c>
      <c r="EK16" t="s">
        <v>324</v>
      </c>
      <c r="EL16" t="s">
        <v>324</v>
      </c>
      <c r="EM16" t="s">
        <v>319</v>
      </c>
      <c r="EN16" t="s">
        <v>336</v>
      </c>
      <c r="EO16" t="s">
        <v>319</v>
      </c>
      <c r="EQ16" t="s">
        <v>318</v>
      </c>
      <c r="ER16" t="s">
        <v>337</v>
      </c>
      <c r="ES16" t="s">
        <v>318</v>
      </c>
      <c r="EX16" t="s">
        <v>338</v>
      </c>
      <c r="EY16" t="s">
        <v>338</v>
      </c>
      <c r="FL16" t="s">
        <v>338</v>
      </c>
      <c r="FM16" t="s">
        <v>338</v>
      </c>
      <c r="FN16" t="s">
        <v>339</v>
      </c>
      <c r="FO16" t="s">
        <v>339</v>
      </c>
      <c r="FP16" t="s">
        <v>322</v>
      </c>
      <c r="FQ16" t="s">
        <v>322</v>
      </c>
      <c r="FR16" t="s">
        <v>324</v>
      </c>
      <c r="FS16" t="s">
        <v>322</v>
      </c>
      <c r="FT16" t="s">
        <v>330</v>
      </c>
      <c r="FU16" t="s">
        <v>324</v>
      </c>
      <c r="FV16" t="s">
        <v>324</v>
      </c>
      <c r="FX16" t="s">
        <v>338</v>
      </c>
      <c r="FY16" t="s">
        <v>338</v>
      </c>
      <c r="FZ16" t="s">
        <v>338</v>
      </c>
      <c r="GA16" t="s">
        <v>338</v>
      </c>
      <c r="GB16" t="s">
        <v>338</v>
      </c>
      <c r="GC16" t="s">
        <v>338</v>
      </c>
      <c r="GD16" t="s">
        <v>338</v>
      </c>
      <c r="GE16" t="s">
        <v>340</v>
      </c>
      <c r="GF16" t="s">
        <v>340</v>
      </c>
      <c r="GG16" t="s">
        <v>341</v>
      </c>
      <c r="GH16" t="s">
        <v>340</v>
      </c>
      <c r="GI16" t="s">
        <v>338</v>
      </c>
      <c r="GJ16" t="s">
        <v>338</v>
      </c>
      <c r="GK16" t="s">
        <v>338</v>
      </c>
      <c r="GL16" t="s">
        <v>338</v>
      </c>
      <c r="GM16" t="s">
        <v>338</v>
      </c>
      <c r="GN16" t="s">
        <v>338</v>
      </c>
      <c r="GO16" t="s">
        <v>338</v>
      </c>
      <c r="GP16" t="s">
        <v>338</v>
      </c>
      <c r="GQ16" t="s">
        <v>338</v>
      </c>
      <c r="GR16" t="s">
        <v>338</v>
      </c>
      <c r="GS16" t="s">
        <v>338</v>
      </c>
      <c r="GT16" t="s">
        <v>338</v>
      </c>
      <c r="HA16" t="s">
        <v>338</v>
      </c>
      <c r="HB16" t="s">
        <v>324</v>
      </c>
      <c r="HC16" t="s">
        <v>324</v>
      </c>
      <c r="HD16" t="s">
        <v>334</v>
      </c>
      <c r="HE16" t="s">
        <v>335</v>
      </c>
      <c r="HG16" t="s">
        <v>325</v>
      </c>
      <c r="HH16" t="s">
        <v>325</v>
      </c>
      <c r="HI16" t="s">
        <v>322</v>
      </c>
      <c r="HJ16" t="s">
        <v>322</v>
      </c>
      <c r="HK16" t="s">
        <v>322</v>
      </c>
      <c r="HL16" t="s">
        <v>322</v>
      </c>
      <c r="HM16" t="s">
        <v>322</v>
      </c>
      <c r="HN16" t="s">
        <v>324</v>
      </c>
      <c r="HO16" t="s">
        <v>324</v>
      </c>
      <c r="HP16" t="s">
        <v>324</v>
      </c>
      <c r="HQ16" t="s">
        <v>322</v>
      </c>
      <c r="HR16" t="s">
        <v>320</v>
      </c>
      <c r="HS16" t="s">
        <v>330</v>
      </c>
      <c r="HT16" t="s">
        <v>324</v>
      </c>
      <c r="HU16" t="s">
        <v>324</v>
      </c>
    </row>
    <row r="17" spans="1:229" x14ac:dyDescent="0.35">
      <c r="A17">
        <v>1</v>
      </c>
      <c r="B17">
        <v>1565556475.5</v>
      </c>
      <c r="C17">
        <v>0</v>
      </c>
      <c r="D17" t="s">
        <v>342</v>
      </c>
      <c r="E17" t="s">
        <v>343</v>
      </c>
      <c r="G17">
        <v>1565556475.5</v>
      </c>
      <c r="H17">
        <f t="shared" ref="H17:H28" si="0">CK17*AI17*(CI17-CJ17)/(100*$B$5*(1000-AI17*CI17))</f>
        <v>2.3545040391995649E-3</v>
      </c>
      <c r="I17">
        <f t="shared" ref="I17:I28" si="1">CK17*AI17*(CH17-CG17*(1000-AI17*CJ17)/(1000-AI17*CI17))/(100*$B$5)</f>
        <v>16.437215270578985</v>
      </c>
      <c r="J17">
        <f t="shared" ref="J17:J28" si="2">CG17 - IF(AI17&gt;1, I17*$B$5*100/(AK17*CS17), 0)</f>
        <v>379.18099999999998</v>
      </c>
      <c r="K17">
        <f t="shared" ref="K17:K28" si="3">((Q17-H17/2)*J17-I17)/(Q17+H17/2)</f>
        <v>171.97300448158822</v>
      </c>
      <c r="L17">
        <f t="shared" ref="L17:L28" si="4">K17*(CL17+CM17)/1000</f>
        <v>17.06125346417846</v>
      </c>
      <c r="M17">
        <f t="shared" ref="M17:M28" si="5">(CG17 - IF(AI17&gt;1, I17*$B$5*100/(AK17*CS17), 0))*(CL17+CM17)/1000</f>
        <v>37.618131806805003</v>
      </c>
      <c r="N17">
        <f t="shared" ref="N17:N28" si="6">2/((1/P17-1/O17)+SIGN(P17)*SQRT((1/P17-1/O17)*(1/P17-1/O17) + 4*$C$5/(($C$5+1)*($C$5+1))*(2*1/P17*1/O17-1/O17*1/O17)))</f>
        <v>0.13571557017804903</v>
      </c>
      <c r="O17">
        <f t="shared" ref="O17:O28" si="7">AF17+AE17*$B$5+AD17*$B$5*$B$5</f>
        <v>2.247087462359493</v>
      </c>
      <c r="P17">
        <f t="shared" ref="P17:P28" si="8">H17*(1000-(1000*0.61365*EXP(17.502*T17/(240.97+T17))/(CL17+CM17)+CI17)/2)/(1000*0.61365*EXP(17.502*T17/(240.97+T17))/(CL17+CM17)-CI17)</f>
        <v>0.13132082186989943</v>
      </c>
      <c r="Q17">
        <f t="shared" ref="Q17:Q28" si="9">1/(($C$5+1)/(N17/1.6)+1/(O17/1.37)) + $C$5/(($C$5+1)/(N17/1.6) + $C$5/(O17/1.37))</f>
        <v>8.245850934814547E-2</v>
      </c>
      <c r="R17">
        <f t="shared" ref="R17:R28" si="10">(CC17*CE17)</f>
        <v>281.57369695794398</v>
      </c>
      <c r="S17">
        <f t="shared" ref="S17:S28" si="11">(CN17+(R17+2*0.95*0.0000000567*(((CN17+$B$7)+273)^4-(CN17+273)^4)-44100*H17)/(1.84*29.3*O17+8*0.95*0.0000000567*(CN17+273)^3))</f>
        <v>27.254776930756417</v>
      </c>
      <c r="T17">
        <f t="shared" ref="T17:T28" si="12">($C$7*CO17+$D$7*CP17+$E$7*S17)</f>
        <v>27.001899999999999</v>
      </c>
      <c r="U17">
        <f t="shared" ref="U17:U28" si="13">0.61365*EXP(17.502*T17/(240.97+T17))</f>
        <v>3.57955911675616</v>
      </c>
      <c r="V17">
        <f t="shared" ref="V17:V28" si="14">(W17/X17*100)</f>
        <v>55.088015501057221</v>
      </c>
      <c r="W17">
        <f t="shared" ref="W17:W28" si="15">CI17*(CL17+CM17)/1000</f>
        <v>1.8494722487909998</v>
      </c>
      <c r="X17">
        <f t="shared" ref="X17:X28" si="16">0.61365*EXP(17.502*CN17/(240.97+CN17))</f>
        <v>3.3573041830768178</v>
      </c>
      <c r="Y17">
        <f t="shared" ref="Y17:Y28" si="17">(U17-CI17*(CL17+CM17)/1000)</f>
        <v>1.7300868679651602</v>
      </c>
      <c r="Z17">
        <f t="shared" ref="Z17:Z28" si="18">(-H17*44100)</f>
        <v>-103.83362812870081</v>
      </c>
      <c r="AA17">
        <f t="shared" ref="AA17:AA28" si="19">2*29.3*O17*0.92*(CN17-T17)</f>
        <v>-131.68459246727801</v>
      </c>
      <c r="AB17">
        <f t="shared" ref="AB17:AB28" si="20">2*0.95*0.0000000567*(((CN17+$B$7)+273)^4-(T17+273)^4)</f>
        <v>-12.578739562166794</v>
      </c>
      <c r="AC17">
        <f t="shared" ref="AC17:AC28" si="21">R17+AB17+Z17+AA17</f>
        <v>33.476736799798374</v>
      </c>
      <c r="AD17">
        <v>-4.1105383443972202E-2</v>
      </c>
      <c r="AE17">
        <v>4.6144393945227E-2</v>
      </c>
      <c r="AF17">
        <v>3.4500149026711302</v>
      </c>
      <c r="AG17">
        <v>1</v>
      </c>
      <c r="AH17">
        <v>0</v>
      </c>
      <c r="AI17">
        <f t="shared" ref="AI17:AI28" si="22">IF(AG17*$H$13&gt;=AK17,1,(AK17/(AK17-AG17*$H$13)))</f>
        <v>1</v>
      </c>
      <c r="AJ17">
        <f t="shared" ref="AJ17:AJ28" si="23">(AI17-1)*100</f>
        <v>0</v>
      </c>
      <c r="AK17">
        <f t="shared" ref="AK17:AK28" si="24">MAX(0,($B$13+$C$13*CS17)/(1+$D$13*CS17)*CL17/(CN17+273)*$E$13)</f>
        <v>52605.754957755125</v>
      </c>
      <c r="AL17" t="s">
        <v>344</v>
      </c>
      <c r="AM17">
        <v>589.29941176470595</v>
      </c>
      <c r="AN17">
        <v>3530.99</v>
      </c>
      <c r="AO17">
        <f t="shared" ref="AO17:AO28" si="25">AN17-AM17</f>
        <v>2941.6905882352939</v>
      </c>
      <c r="AP17">
        <f t="shared" ref="AP17:AP28" si="26">AO17/AN17</f>
        <v>0.83310646256015852</v>
      </c>
      <c r="AQ17">
        <v>1.42453575549529</v>
      </c>
      <c r="AR17" t="s">
        <v>345</v>
      </c>
      <c r="AS17">
        <v>766.99570588235304</v>
      </c>
      <c r="AT17">
        <v>1122.33</v>
      </c>
      <c r="AU17">
        <f t="shared" ref="AU17:AU28" si="27">1-AS17/AT17</f>
        <v>0.31660411297715196</v>
      </c>
      <c r="AV17">
        <v>0.5</v>
      </c>
      <c r="AW17">
        <f t="shared" ref="AW17:AW28" si="28">CC17</f>
        <v>1471.3130998142692</v>
      </c>
      <c r="AX17">
        <f t="shared" ref="AX17:AX28" si="29">I17</f>
        <v>16.437215270578985</v>
      </c>
      <c r="AY17">
        <f t="shared" ref="AY17:AY28" si="30">AU17*AV17*AW17</f>
        <v>232.91188943918027</v>
      </c>
      <c r="AZ17">
        <f t="shared" ref="AZ17:AZ28" si="31">BE17/AT17</f>
        <v>0.51050047668689247</v>
      </c>
      <c r="BA17">
        <f t="shared" ref="BA17:BA28" si="32">(AX17-AQ17)/AW17</f>
        <v>1.0203592639105039E-2</v>
      </c>
      <c r="BB17">
        <f t="shared" ref="BB17:BB28" si="33">(AN17-AT17)/AT17</f>
        <v>2.146124580114583</v>
      </c>
      <c r="BC17" t="s">
        <v>346</v>
      </c>
      <c r="BD17">
        <v>549.38</v>
      </c>
      <c r="BE17">
        <f t="shared" ref="BE17:BE28" si="34">AT17-BD17</f>
        <v>572.94999999999993</v>
      </c>
      <c r="BF17">
        <f t="shared" ref="BF17:BF28" si="35">(AT17-AS17)/(AT17-BD17)</f>
        <v>0.62018377540386938</v>
      </c>
      <c r="BG17">
        <f t="shared" ref="BG17:BG28" si="36">(AN17-AT17)/(AN17-BD17)</f>
        <v>0.80783871800805607</v>
      </c>
      <c r="BH17">
        <f t="shared" ref="BH17:BH28" si="37">(AT17-AS17)/(AT17-AM17)</f>
        <v>0.66663021214983786</v>
      </c>
      <c r="BI17">
        <f t="shared" ref="BI17:BI28" si="38">(AN17-AT17)/(AN17-AM17)</f>
        <v>0.81880127353738563</v>
      </c>
      <c r="BJ17">
        <v>8103</v>
      </c>
      <c r="BK17">
        <v>300</v>
      </c>
      <c r="BL17">
        <v>300</v>
      </c>
      <c r="BM17">
        <v>300</v>
      </c>
      <c r="BN17">
        <v>10271.700000000001</v>
      </c>
      <c r="BO17">
        <v>1034.04</v>
      </c>
      <c r="BP17">
        <v>-7.0286200000000002E-3</v>
      </c>
      <c r="BQ17">
        <v>4.3089599999999999</v>
      </c>
      <c r="BR17" t="s">
        <v>347</v>
      </c>
      <c r="BS17" t="s">
        <v>347</v>
      </c>
      <c r="BT17" t="s">
        <v>347</v>
      </c>
      <c r="BU17" t="s">
        <v>347</v>
      </c>
      <c r="BV17" t="s">
        <v>347</v>
      </c>
      <c r="BW17" t="s">
        <v>347</v>
      </c>
      <c r="BX17" t="s">
        <v>347</v>
      </c>
      <c r="BY17" t="s">
        <v>347</v>
      </c>
      <c r="BZ17" t="s">
        <v>347</v>
      </c>
      <c r="CA17" t="s">
        <v>347</v>
      </c>
      <c r="CB17">
        <f t="shared" ref="CB17:CB28" si="39">$B$11*CT17+$C$11*CU17+$F$11*DH17</f>
        <v>1750.13</v>
      </c>
      <c r="CC17">
        <f t="shared" ref="CC17:CC28" si="40">CB17*CD17</f>
        <v>1471.3130998142692</v>
      </c>
      <c r="CD17">
        <f t="shared" ref="CD17:CD28" si="41">($B$11*$D$9+$C$11*$D$9+$F$11*((DU17+DM17)/MAX(DU17+DM17+DV17, 0.1)*$I$9+DV17/MAX(DU17+DM17+DV17, 0.1)*$J$9))/($B$11+$C$11+$F$11)</f>
        <v>0.84068789165048829</v>
      </c>
      <c r="CE17">
        <f t="shared" ref="CE17:CE28" si="42">($B$11*$K$9+$C$11*$K$9+$F$11*((DU17+DM17)/MAX(DU17+DM17+DV17, 0.1)*$P$9+DV17/MAX(DU17+DM17+DV17, 0.1)*$Q$9))/($B$11+$C$11+$F$11)</f>
        <v>0.19137578330097677</v>
      </c>
      <c r="CF17">
        <v>1565556475.5</v>
      </c>
      <c r="CG17">
        <v>379.18099999999998</v>
      </c>
      <c r="CH17">
        <v>399.976</v>
      </c>
      <c r="CI17">
        <v>18.642199999999999</v>
      </c>
      <c r="CJ17">
        <v>15.8696</v>
      </c>
      <c r="CK17">
        <v>500.024</v>
      </c>
      <c r="CL17">
        <v>99.108800000000002</v>
      </c>
      <c r="CM17">
        <v>0.100105</v>
      </c>
      <c r="CN17">
        <v>25.914899999999999</v>
      </c>
      <c r="CO17">
        <v>27.001899999999999</v>
      </c>
      <c r="CP17">
        <v>999.9</v>
      </c>
      <c r="CQ17">
        <v>0</v>
      </c>
      <c r="CR17">
        <v>0</v>
      </c>
      <c r="CS17">
        <v>10001.9</v>
      </c>
      <c r="CT17">
        <v>0</v>
      </c>
      <c r="CU17">
        <v>1443.22</v>
      </c>
      <c r="CV17">
        <v>-21.339600000000001</v>
      </c>
      <c r="CW17">
        <v>385.827</v>
      </c>
      <c r="CX17">
        <v>406.42599999999999</v>
      </c>
      <c r="CY17">
        <v>2.7655500000000002</v>
      </c>
      <c r="CZ17">
        <v>374.81099999999998</v>
      </c>
      <c r="DA17">
        <v>399.976</v>
      </c>
      <c r="DB17">
        <v>18.167200000000001</v>
      </c>
      <c r="DC17">
        <v>15.8696</v>
      </c>
      <c r="DD17">
        <v>1.8469100000000001</v>
      </c>
      <c r="DE17">
        <v>1.5728200000000001</v>
      </c>
      <c r="DF17">
        <v>16.189599999999999</v>
      </c>
      <c r="DG17">
        <v>13.695</v>
      </c>
      <c r="DH17">
        <v>1750.13</v>
      </c>
      <c r="DI17">
        <v>0.97700399999999998</v>
      </c>
      <c r="DJ17">
        <v>2.29959E-2</v>
      </c>
      <c r="DK17">
        <v>0</v>
      </c>
      <c r="DL17">
        <v>766.57799999999997</v>
      </c>
      <c r="DM17">
        <v>5.0002700000000004</v>
      </c>
      <c r="DN17">
        <v>18174.8</v>
      </c>
      <c r="DO17">
        <v>14146.7</v>
      </c>
      <c r="DP17">
        <v>49.375</v>
      </c>
      <c r="DQ17">
        <v>51.5</v>
      </c>
      <c r="DR17">
        <v>50.375</v>
      </c>
      <c r="DS17">
        <v>51.061999999999998</v>
      </c>
      <c r="DT17">
        <v>50.686999999999998</v>
      </c>
      <c r="DU17">
        <v>1705</v>
      </c>
      <c r="DV17">
        <v>40.130000000000003</v>
      </c>
      <c r="DW17">
        <v>0</v>
      </c>
      <c r="DX17">
        <v>2913.5999999046298</v>
      </c>
      <c r="DY17">
        <v>766.99570588235304</v>
      </c>
      <c r="DZ17">
        <v>-2.04632351368025</v>
      </c>
      <c r="EA17">
        <v>-526.54411722060604</v>
      </c>
      <c r="EB17">
        <v>18197.488235294099</v>
      </c>
      <c r="EC17">
        <v>10</v>
      </c>
      <c r="ED17">
        <v>1565556506.5</v>
      </c>
      <c r="EE17" t="s">
        <v>348</v>
      </c>
      <c r="EF17">
        <v>69</v>
      </c>
      <c r="EG17">
        <v>4.37</v>
      </c>
      <c r="EH17">
        <v>0.47499999999999998</v>
      </c>
      <c r="EI17">
        <v>400</v>
      </c>
      <c r="EJ17">
        <v>16</v>
      </c>
      <c r="EK17">
        <v>0.17</v>
      </c>
      <c r="EL17">
        <v>7.0000000000000007E-2</v>
      </c>
      <c r="EM17">
        <v>16.917041647477699</v>
      </c>
      <c r="EN17">
        <v>-3.9857394909024998E-2</v>
      </c>
      <c r="EO17">
        <v>4.6056773531808003E-2</v>
      </c>
      <c r="EP17">
        <v>1</v>
      </c>
      <c r="EQ17">
        <v>0.13552833065168399</v>
      </c>
      <c r="ER17">
        <v>5.5411664451010404E-4</v>
      </c>
      <c r="ES17">
        <v>1.7523183531493501E-4</v>
      </c>
      <c r="ET17">
        <v>1</v>
      </c>
      <c r="EU17">
        <v>2</v>
      </c>
      <c r="EV17">
        <v>2</v>
      </c>
      <c r="EW17" t="s">
        <v>349</v>
      </c>
      <c r="EX17">
        <v>2.94868</v>
      </c>
      <c r="EY17">
        <v>2.7775400000000001</v>
      </c>
      <c r="EZ17">
        <v>8.9004200000000006E-2</v>
      </c>
      <c r="FA17">
        <v>9.1147199999999998E-2</v>
      </c>
      <c r="FB17">
        <v>9.2080499999999996E-2</v>
      </c>
      <c r="FC17">
        <v>7.9418900000000001E-2</v>
      </c>
      <c r="FD17">
        <v>21815.200000000001</v>
      </c>
      <c r="FE17">
        <v>21957.599999999999</v>
      </c>
      <c r="FF17">
        <v>22523.3</v>
      </c>
      <c r="FG17">
        <v>26505.200000000001</v>
      </c>
      <c r="FH17">
        <v>29231.599999999999</v>
      </c>
      <c r="FI17">
        <v>38298.5</v>
      </c>
      <c r="FJ17">
        <v>32170.799999999999</v>
      </c>
      <c r="FK17">
        <v>42224.1</v>
      </c>
      <c r="FL17">
        <v>1.9236200000000001</v>
      </c>
      <c r="FM17">
        <v>1.82585</v>
      </c>
      <c r="FN17">
        <v>4.1201700000000003E-3</v>
      </c>
      <c r="FO17">
        <v>0</v>
      </c>
      <c r="FP17">
        <v>26.9345</v>
      </c>
      <c r="FQ17">
        <v>999.9</v>
      </c>
      <c r="FR17">
        <v>34.531999999999996</v>
      </c>
      <c r="FS17">
        <v>42.258000000000003</v>
      </c>
      <c r="FT17">
        <v>29.116599999999998</v>
      </c>
      <c r="FU17">
        <v>61.562899999999999</v>
      </c>
      <c r="FV17">
        <v>46.085700000000003</v>
      </c>
      <c r="FW17">
        <v>1</v>
      </c>
      <c r="FX17">
        <v>0.61413099999999998</v>
      </c>
      <c r="FY17">
        <v>7.3209900000000001</v>
      </c>
      <c r="FZ17">
        <v>20.112200000000001</v>
      </c>
      <c r="GA17">
        <v>5.2267200000000003</v>
      </c>
      <c r="GB17">
        <v>11.962</v>
      </c>
      <c r="GC17">
        <v>4.9715999999999996</v>
      </c>
      <c r="GD17">
        <v>3.2949999999999999</v>
      </c>
      <c r="GE17">
        <v>9999</v>
      </c>
      <c r="GF17">
        <v>9999</v>
      </c>
      <c r="GG17">
        <v>506.7</v>
      </c>
      <c r="GH17">
        <v>9999</v>
      </c>
      <c r="GI17">
        <v>1.8660000000000001</v>
      </c>
      <c r="GJ17">
        <v>1.8654500000000001</v>
      </c>
      <c r="GK17">
        <v>1.8656699999999999</v>
      </c>
      <c r="GL17">
        <v>1.86859</v>
      </c>
      <c r="GM17">
        <v>1.86287</v>
      </c>
      <c r="GN17">
        <v>1.8610599999999999</v>
      </c>
      <c r="GO17">
        <v>1.85724</v>
      </c>
      <c r="GP17">
        <v>1.8633999999999999</v>
      </c>
      <c r="GQ17" t="s">
        <v>350</v>
      </c>
      <c r="GR17" t="s">
        <v>19</v>
      </c>
      <c r="GS17" t="s">
        <v>19</v>
      </c>
      <c r="GT17" t="s">
        <v>19</v>
      </c>
      <c r="GU17" t="s">
        <v>351</v>
      </c>
      <c r="GV17" t="s">
        <v>352</v>
      </c>
      <c r="GW17" t="s">
        <v>353</v>
      </c>
      <c r="GX17" t="s">
        <v>353</v>
      </c>
      <c r="GY17" t="s">
        <v>353</v>
      </c>
      <c r="GZ17" t="s">
        <v>353</v>
      </c>
      <c r="HA17">
        <v>0</v>
      </c>
      <c r="HB17">
        <v>100</v>
      </c>
      <c r="HC17">
        <v>100</v>
      </c>
      <c r="HD17">
        <v>4.37</v>
      </c>
      <c r="HE17">
        <v>0.47499999999999998</v>
      </c>
      <c r="HF17">
        <v>2</v>
      </c>
      <c r="HG17">
        <v>496.94499999999999</v>
      </c>
      <c r="HH17">
        <v>471.916</v>
      </c>
      <c r="HI17">
        <v>19.95</v>
      </c>
      <c r="HJ17">
        <v>34.897500000000001</v>
      </c>
      <c r="HK17">
        <v>29.999500000000001</v>
      </c>
      <c r="HL17">
        <v>34.812399999999997</v>
      </c>
      <c r="HM17">
        <v>34.7971</v>
      </c>
      <c r="HN17">
        <v>21.142399999999999</v>
      </c>
      <c r="HO17">
        <v>51.508000000000003</v>
      </c>
      <c r="HP17">
        <v>0</v>
      </c>
      <c r="HQ17">
        <v>19.972200000000001</v>
      </c>
      <c r="HR17">
        <v>400</v>
      </c>
      <c r="HS17">
        <v>15.836499999999999</v>
      </c>
      <c r="HT17">
        <v>99.032700000000006</v>
      </c>
      <c r="HU17">
        <v>102.953</v>
      </c>
    </row>
    <row r="18" spans="1:229" x14ac:dyDescent="0.35">
      <c r="A18">
        <v>2</v>
      </c>
      <c r="B18">
        <v>1565556583</v>
      </c>
      <c r="C18">
        <v>107.5</v>
      </c>
      <c r="D18" t="s">
        <v>354</v>
      </c>
      <c r="E18" t="s">
        <v>355</v>
      </c>
      <c r="G18">
        <v>1565556583</v>
      </c>
      <c r="H18">
        <f t="shared" si="0"/>
        <v>2.2716807427420778E-3</v>
      </c>
      <c r="I18">
        <f t="shared" si="1"/>
        <v>11.468817751604234</v>
      </c>
      <c r="J18">
        <f t="shared" si="2"/>
        <v>285.47699999999998</v>
      </c>
      <c r="K18">
        <f t="shared" si="3"/>
        <v>135.02675965202113</v>
      </c>
      <c r="L18">
        <f t="shared" si="4"/>
        <v>13.394926231320916</v>
      </c>
      <c r="M18">
        <f t="shared" si="5"/>
        <v>28.319892779724</v>
      </c>
      <c r="N18">
        <f t="shared" si="6"/>
        <v>0.13055313083647072</v>
      </c>
      <c r="O18">
        <f t="shared" si="7"/>
        <v>2.2457366860941406</v>
      </c>
      <c r="P18">
        <f t="shared" si="8"/>
        <v>0.12647859837738618</v>
      </c>
      <c r="Q18">
        <f t="shared" si="9"/>
        <v>7.9404611587852447E-2</v>
      </c>
      <c r="R18">
        <f t="shared" si="10"/>
        <v>281.55557923669926</v>
      </c>
      <c r="S18">
        <f t="shared" si="11"/>
        <v>27.261351185580107</v>
      </c>
      <c r="T18">
        <f t="shared" si="12"/>
        <v>27.004100000000001</v>
      </c>
      <c r="U18">
        <f t="shared" si="13"/>
        <v>3.5800216562898814</v>
      </c>
      <c r="V18">
        <f t="shared" si="14"/>
        <v>55.084570505100864</v>
      </c>
      <c r="W18">
        <f t="shared" si="15"/>
        <v>1.8469926604220002</v>
      </c>
      <c r="X18">
        <f t="shared" si="16"/>
        <v>3.353012728402716</v>
      </c>
      <c r="Y18">
        <f t="shared" si="17"/>
        <v>1.7330289958678813</v>
      </c>
      <c r="Z18">
        <f t="shared" si="18"/>
        <v>-100.18112075492563</v>
      </c>
      <c r="AA18">
        <f t="shared" si="19"/>
        <v>-134.48695112996182</v>
      </c>
      <c r="AB18">
        <f t="shared" si="20"/>
        <v>-12.852905436830731</v>
      </c>
      <c r="AC18">
        <f t="shared" si="21"/>
        <v>34.034601914981067</v>
      </c>
      <c r="AD18">
        <v>-4.1069070917940098E-2</v>
      </c>
      <c r="AE18">
        <v>4.6103629953604001E-2</v>
      </c>
      <c r="AF18">
        <v>3.4476014594183599</v>
      </c>
      <c r="AG18">
        <v>1</v>
      </c>
      <c r="AH18">
        <v>0</v>
      </c>
      <c r="AI18">
        <f t="shared" si="22"/>
        <v>1</v>
      </c>
      <c r="AJ18">
        <f t="shared" si="23"/>
        <v>0</v>
      </c>
      <c r="AK18">
        <f t="shared" si="24"/>
        <v>52564.830383004977</v>
      </c>
      <c r="AL18" t="s">
        <v>344</v>
      </c>
      <c r="AM18">
        <v>589.29941176470595</v>
      </c>
      <c r="AN18">
        <v>3530.99</v>
      </c>
      <c r="AO18">
        <f t="shared" si="25"/>
        <v>2941.6905882352939</v>
      </c>
      <c r="AP18">
        <f t="shared" si="26"/>
        <v>0.83310646256015852</v>
      </c>
      <c r="AQ18">
        <v>1.42453575549529</v>
      </c>
      <c r="AR18" t="s">
        <v>356</v>
      </c>
      <c r="AS18">
        <v>758.26247058823503</v>
      </c>
      <c r="AT18">
        <v>1073.95</v>
      </c>
      <c r="AU18">
        <f t="shared" si="27"/>
        <v>0.29394993194447139</v>
      </c>
      <c r="AV18">
        <v>0.5</v>
      </c>
      <c r="AW18">
        <f t="shared" si="28"/>
        <v>1471.2203998143038</v>
      </c>
      <c r="AX18">
        <f t="shared" si="29"/>
        <v>11.468817751604234</v>
      </c>
      <c r="AY18">
        <f t="shared" si="30"/>
        <v>216.2325682003663</v>
      </c>
      <c r="AZ18">
        <f t="shared" si="31"/>
        <v>0.48550677405838266</v>
      </c>
      <c r="BA18">
        <f t="shared" si="32"/>
        <v>6.8271769460080383E-3</v>
      </c>
      <c r="BB18">
        <f t="shared" si="33"/>
        <v>2.2878532520135946</v>
      </c>
      <c r="BC18" t="s">
        <v>357</v>
      </c>
      <c r="BD18">
        <v>552.54</v>
      </c>
      <c r="BE18">
        <f t="shared" si="34"/>
        <v>521.41000000000008</v>
      </c>
      <c r="BF18">
        <f t="shared" si="35"/>
        <v>0.60544970255991437</v>
      </c>
      <c r="BG18">
        <f t="shared" si="36"/>
        <v>0.82493914620020481</v>
      </c>
      <c r="BH18">
        <f t="shared" si="37"/>
        <v>0.65137139430954571</v>
      </c>
      <c r="BI18">
        <f t="shared" si="38"/>
        <v>0.83524759871974386</v>
      </c>
      <c r="BJ18">
        <v>8105</v>
      </c>
      <c r="BK18">
        <v>300</v>
      </c>
      <c r="BL18">
        <v>300</v>
      </c>
      <c r="BM18">
        <v>300</v>
      </c>
      <c r="BN18">
        <v>10270.799999999999</v>
      </c>
      <c r="BO18">
        <v>999.11300000000006</v>
      </c>
      <c r="BP18">
        <v>-7.0278399999999996E-3</v>
      </c>
      <c r="BQ18">
        <v>4.8147599999999997</v>
      </c>
      <c r="BR18" t="s">
        <v>347</v>
      </c>
      <c r="BS18" t="s">
        <v>347</v>
      </c>
      <c r="BT18" t="s">
        <v>347</v>
      </c>
      <c r="BU18" t="s">
        <v>347</v>
      </c>
      <c r="BV18" t="s">
        <v>347</v>
      </c>
      <c r="BW18" t="s">
        <v>347</v>
      </c>
      <c r="BX18" t="s">
        <v>347</v>
      </c>
      <c r="BY18" t="s">
        <v>347</v>
      </c>
      <c r="BZ18" t="s">
        <v>347</v>
      </c>
      <c r="CA18" t="s">
        <v>347</v>
      </c>
      <c r="CB18">
        <f t="shared" si="39"/>
        <v>1750.02</v>
      </c>
      <c r="CC18">
        <f t="shared" si="40"/>
        <v>1471.2203998143038</v>
      </c>
      <c r="CD18">
        <f t="shared" si="41"/>
        <v>0.84068776346230545</v>
      </c>
      <c r="CE18">
        <f t="shared" si="42"/>
        <v>0.19137552692461099</v>
      </c>
      <c r="CF18">
        <v>1565556583</v>
      </c>
      <c r="CG18">
        <v>285.47699999999998</v>
      </c>
      <c r="CH18">
        <v>300.01799999999997</v>
      </c>
      <c r="CI18">
        <v>18.618500000000001</v>
      </c>
      <c r="CJ18">
        <v>15.943199999999999</v>
      </c>
      <c r="CK18">
        <v>499.99299999999999</v>
      </c>
      <c r="CL18">
        <v>99.102000000000004</v>
      </c>
      <c r="CM18">
        <v>0.100012</v>
      </c>
      <c r="CN18">
        <v>25.8933</v>
      </c>
      <c r="CO18">
        <v>27.004100000000001</v>
      </c>
      <c r="CP18">
        <v>999.9</v>
      </c>
      <c r="CQ18">
        <v>0</v>
      </c>
      <c r="CR18">
        <v>0</v>
      </c>
      <c r="CS18">
        <v>9993.75</v>
      </c>
      <c r="CT18">
        <v>0</v>
      </c>
      <c r="CU18">
        <v>968.96500000000003</v>
      </c>
      <c r="CV18">
        <v>-14.4209</v>
      </c>
      <c r="CW18">
        <v>291.01299999999998</v>
      </c>
      <c r="CX18">
        <v>304.87799999999999</v>
      </c>
      <c r="CY18">
        <v>2.6693099999999998</v>
      </c>
      <c r="CZ18">
        <v>281.22699999999998</v>
      </c>
      <c r="DA18">
        <v>300.01799999999997</v>
      </c>
      <c r="DB18">
        <v>18.137499999999999</v>
      </c>
      <c r="DC18">
        <v>15.943199999999999</v>
      </c>
      <c r="DD18">
        <v>1.84453</v>
      </c>
      <c r="DE18">
        <v>1.58</v>
      </c>
      <c r="DF18">
        <v>16.1694</v>
      </c>
      <c r="DG18">
        <v>13.7651</v>
      </c>
      <c r="DH18">
        <v>1750.02</v>
      </c>
      <c r="DI18">
        <v>0.97700799999999999</v>
      </c>
      <c r="DJ18">
        <v>2.2991999999999999E-2</v>
      </c>
      <c r="DK18">
        <v>0</v>
      </c>
      <c r="DL18">
        <v>758.01300000000003</v>
      </c>
      <c r="DM18">
        <v>5.0002700000000004</v>
      </c>
      <c r="DN18">
        <v>17869</v>
      </c>
      <c r="DO18">
        <v>14145.8</v>
      </c>
      <c r="DP18">
        <v>49.5</v>
      </c>
      <c r="DQ18">
        <v>51.625</v>
      </c>
      <c r="DR18">
        <v>50.5</v>
      </c>
      <c r="DS18">
        <v>51.125</v>
      </c>
      <c r="DT18">
        <v>50.811999999999998</v>
      </c>
      <c r="DU18">
        <v>1704.9</v>
      </c>
      <c r="DV18">
        <v>40.119999999999997</v>
      </c>
      <c r="DW18">
        <v>0</v>
      </c>
      <c r="DX18">
        <v>107</v>
      </c>
      <c r="DY18">
        <v>758.26247058823503</v>
      </c>
      <c r="DZ18">
        <v>-3.39215687044058</v>
      </c>
      <c r="EA18">
        <v>-959.63235337045796</v>
      </c>
      <c r="EB18">
        <v>17931.329411764698</v>
      </c>
      <c r="EC18">
        <v>10</v>
      </c>
      <c r="ED18">
        <v>1565556609.5</v>
      </c>
      <c r="EE18" t="s">
        <v>358</v>
      </c>
      <c r="EF18">
        <v>70</v>
      </c>
      <c r="EG18">
        <v>4.25</v>
      </c>
      <c r="EH18">
        <v>0.48099999999999998</v>
      </c>
      <c r="EI18">
        <v>300</v>
      </c>
      <c r="EJ18">
        <v>16</v>
      </c>
      <c r="EK18">
        <v>0.19</v>
      </c>
      <c r="EL18">
        <v>0.09</v>
      </c>
      <c r="EM18">
        <v>11.364406605637599</v>
      </c>
      <c r="EN18">
        <v>4.5581059472416502E-2</v>
      </c>
      <c r="EO18">
        <v>2.91352492203595E-2</v>
      </c>
      <c r="EP18">
        <v>1</v>
      </c>
      <c r="EQ18">
        <v>0.13077948451142901</v>
      </c>
      <c r="ER18">
        <v>-3.68565555334482E-3</v>
      </c>
      <c r="ES18">
        <v>4.0861644332230898E-4</v>
      </c>
      <c r="ET18">
        <v>1</v>
      </c>
      <c r="EU18">
        <v>2</v>
      </c>
      <c r="EV18">
        <v>2</v>
      </c>
      <c r="EW18" t="s">
        <v>349</v>
      </c>
      <c r="EX18">
        <v>2.94862</v>
      </c>
      <c r="EY18">
        <v>2.7773699999999999</v>
      </c>
      <c r="EZ18">
        <v>7.0638500000000007E-2</v>
      </c>
      <c r="FA18">
        <v>7.2590299999999996E-2</v>
      </c>
      <c r="FB18">
        <v>9.1974100000000003E-2</v>
      </c>
      <c r="FC18">
        <v>7.9690200000000003E-2</v>
      </c>
      <c r="FD18">
        <v>22258</v>
      </c>
      <c r="FE18">
        <v>22408.3</v>
      </c>
      <c r="FF18">
        <v>22526.3</v>
      </c>
      <c r="FG18">
        <v>26507.599999999999</v>
      </c>
      <c r="FH18">
        <v>29238.1</v>
      </c>
      <c r="FI18">
        <v>38289.699999999997</v>
      </c>
      <c r="FJ18">
        <v>32174.400000000001</v>
      </c>
      <c r="FK18">
        <v>42227.1</v>
      </c>
      <c r="FL18">
        <v>1.9240699999999999</v>
      </c>
      <c r="FM18">
        <v>1.8253699999999999</v>
      </c>
      <c r="FN18">
        <v>1.2516999999999999E-3</v>
      </c>
      <c r="FO18">
        <v>0</v>
      </c>
      <c r="FP18">
        <v>26.983599999999999</v>
      </c>
      <c r="FQ18">
        <v>999.9</v>
      </c>
      <c r="FR18">
        <v>34.409999999999997</v>
      </c>
      <c r="FS18">
        <v>42.359000000000002</v>
      </c>
      <c r="FT18">
        <v>29.168800000000001</v>
      </c>
      <c r="FU18">
        <v>61.622900000000001</v>
      </c>
      <c r="FV18">
        <v>46.105800000000002</v>
      </c>
      <c r="FW18">
        <v>1</v>
      </c>
      <c r="FX18">
        <v>0.61411800000000005</v>
      </c>
      <c r="FY18">
        <v>8.0256600000000002</v>
      </c>
      <c r="FZ18">
        <v>20.082899999999999</v>
      </c>
      <c r="GA18">
        <v>5.2232799999999999</v>
      </c>
      <c r="GB18">
        <v>11.962</v>
      </c>
      <c r="GC18">
        <v>4.9716500000000003</v>
      </c>
      <c r="GD18">
        <v>3.2949999999999999</v>
      </c>
      <c r="GE18">
        <v>9999</v>
      </c>
      <c r="GF18">
        <v>9999</v>
      </c>
      <c r="GG18">
        <v>506.7</v>
      </c>
      <c r="GH18">
        <v>9999</v>
      </c>
      <c r="GI18">
        <v>1.8660000000000001</v>
      </c>
      <c r="GJ18">
        <v>1.86548</v>
      </c>
      <c r="GK18">
        <v>1.8656699999999999</v>
      </c>
      <c r="GL18">
        <v>1.8686100000000001</v>
      </c>
      <c r="GM18">
        <v>1.8628499999999999</v>
      </c>
      <c r="GN18">
        <v>1.86104</v>
      </c>
      <c r="GO18">
        <v>1.85727</v>
      </c>
      <c r="GP18">
        <v>1.8633999999999999</v>
      </c>
      <c r="GQ18" t="s">
        <v>350</v>
      </c>
      <c r="GR18" t="s">
        <v>19</v>
      </c>
      <c r="GS18" t="s">
        <v>19</v>
      </c>
      <c r="GT18" t="s">
        <v>19</v>
      </c>
      <c r="GU18" t="s">
        <v>351</v>
      </c>
      <c r="GV18" t="s">
        <v>352</v>
      </c>
      <c r="GW18" t="s">
        <v>353</v>
      </c>
      <c r="GX18" t="s">
        <v>353</v>
      </c>
      <c r="GY18" t="s">
        <v>353</v>
      </c>
      <c r="GZ18" t="s">
        <v>353</v>
      </c>
      <c r="HA18">
        <v>0</v>
      </c>
      <c r="HB18">
        <v>100</v>
      </c>
      <c r="HC18">
        <v>100</v>
      </c>
      <c r="HD18">
        <v>4.25</v>
      </c>
      <c r="HE18">
        <v>0.48099999999999998</v>
      </c>
      <c r="HF18">
        <v>2</v>
      </c>
      <c r="HG18">
        <v>496.93</v>
      </c>
      <c r="HH18">
        <v>471.28800000000001</v>
      </c>
      <c r="HI18">
        <v>19.619700000000002</v>
      </c>
      <c r="HJ18">
        <v>34.8658</v>
      </c>
      <c r="HK18">
        <v>30</v>
      </c>
      <c r="HL18">
        <v>34.771099999999997</v>
      </c>
      <c r="HM18">
        <v>34.755099999999999</v>
      </c>
      <c r="HN18">
        <v>16.753399999999999</v>
      </c>
      <c r="HO18">
        <v>51.673099999999998</v>
      </c>
      <c r="HP18">
        <v>0</v>
      </c>
      <c r="HQ18">
        <v>19.617999999999999</v>
      </c>
      <c r="HR18">
        <v>300</v>
      </c>
      <c r="HS18">
        <v>15.8775</v>
      </c>
      <c r="HT18">
        <v>99.044700000000006</v>
      </c>
      <c r="HU18">
        <v>102.962</v>
      </c>
    </row>
    <row r="19" spans="1:229" x14ac:dyDescent="0.35">
      <c r="A19">
        <v>3</v>
      </c>
      <c r="B19">
        <v>1565556686</v>
      </c>
      <c r="C19">
        <v>210.5</v>
      </c>
      <c r="D19" t="s">
        <v>359</v>
      </c>
      <c r="E19" t="s">
        <v>360</v>
      </c>
      <c r="G19">
        <v>1565556686</v>
      </c>
      <c r="H19">
        <f t="shared" si="0"/>
        <v>2.2115865516243193E-3</v>
      </c>
      <c r="I19">
        <f t="shared" si="1"/>
        <v>6.6373175724311952</v>
      </c>
      <c r="J19">
        <f t="shared" si="2"/>
        <v>191.505</v>
      </c>
      <c r="K19">
        <f t="shared" si="3"/>
        <v>101.36531844146307</v>
      </c>
      <c r="L19">
        <f t="shared" si="4"/>
        <v>10.055613532279581</v>
      </c>
      <c r="M19">
        <f t="shared" si="5"/>
        <v>18.997624622579998</v>
      </c>
      <c r="N19">
        <f t="shared" si="6"/>
        <v>0.12687514363869931</v>
      </c>
      <c r="O19">
        <f t="shared" si="7"/>
        <v>2.2464001789624057</v>
      </c>
      <c r="P19">
        <f t="shared" si="8"/>
        <v>0.12302441036704953</v>
      </c>
      <c r="Q19">
        <f t="shared" si="9"/>
        <v>7.7226494268543971E-2</v>
      </c>
      <c r="R19">
        <f t="shared" si="10"/>
        <v>281.54440730291066</v>
      </c>
      <c r="S19">
        <f t="shared" si="11"/>
        <v>27.234737653949008</v>
      </c>
      <c r="T19">
        <f t="shared" si="12"/>
        <v>26.991499999999998</v>
      </c>
      <c r="U19">
        <f t="shared" si="13"/>
        <v>3.5773732723426357</v>
      </c>
      <c r="V19">
        <f t="shared" si="14"/>
        <v>55.10896813529498</v>
      </c>
      <c r="W19">
        <f t="shared" si="15"/>
        <v>1.8427611562444</v>
      </c>
      <c r="X19">
        <f t="shared" si="16"/>
        <v>3.343849864363889</v>
      </c>
      <c r="Y19">
        <f t="shared" si="17"/>
        <v>1.7346121160982357</v>
      </c>
      <c r="Z19">
        <f t="shared" si="18"/>
        <v>-97.530966926632487</v>
      </c>
      <c r="AA19">
        <f t="shared" si="19"/>
        <v>-138.59591102734407</v>
      </c>
      <c r="AB19">
        <f t="shared" si="20"/>
        <v>-13.23778912182676</v>
      </c>
      <c r="AC19">
        <f t="shared" si="21"/>
        <v>32.179740227107317</v>
      </c>
      <c r="AD19">
        <v>-4.1086904947933801E-2</v>
      </c>
      <c r="AE19">
        <v>4.6123650214618797E-2</v>
      </c>
      <c r="AF19">
        <v>3.4487868558003099</v>
      </c>
      <c r="AG19">
        <v>1</v>
      </c>
      <c r="AH19">
        <v>0</v>
      </c>
      <c r="AI19">
        <f t="shared" si="22"/>
        <v>1</v>
      </c>
      <c r="AJ19">
        <f t="shared" si="23"/>
        <v>0</v>
      </c>
      <c r="AK19">
        <f t="shared" si="24"/>
        <v>52594.848572643779</v>
      </c>
      <c r="AL19" t="s">
        <v>344</v>
      </c>
      <c r="AM19">
        <v>589.29941176470595</v>
      </c>
      <c r="AN19">
        <v>3530.99</v>
      </c>
      <c r="AO19">
        <f t="shared" si="25"/>
        <v>2941.6905882352939</v>
      </c>
      <c r="AP19">
        <f t="shared" si="26"/>
        <v>0.83310646256015852</v>
      </c>
      <c r="AQ19">
        <v>1.42453575549529</v>
      </c>
      <c r="AR19" t="s">
        <v>361</v>
      </c>
      <c r="AS19">
        <v>755.75270588235298</v>
      </c>
      <c r="AT19">
        <v>1037.43</v>
      </c>
      <c r="AU19">
        <f t="shared" si="27"/>
        <v>0.27151450615236405</v>
      </c>
      <c r="AV19">
        <v>0.5</v>
      </c>
      <c r="AW19">
        <f t="shared" si="28"/>
        <v>1471.1615998142966</v>
      </c>
      <c r="AX19">
        <f t="shared" si="29"/>
        <v>6.6373175724311952</v>
      </c>
      <c r="AY19">
        <f t="shared" si="30"/>
        <v>199.72085762195027</v>
      </c>
      <c r="AZ19">
        <f t="shared" si="31"/>
        <v>0.4643879587056477</v>
      </c>
      <c r="BA19">
        <f t="shared" si="32"/>
        <v>3.5433101418592696E-3</v>
      </c>
      <c r="BB19">
        <f t="shared" si="33"/>
        <v>2.4035934954647535</v>
      </c>
      <c r="BC19" t="s">
        <v>362</v>
      </c>
      <c r="BD19">
        <v>555.66</v>
      </c>
      <c r="BE19">
        <f t="shared" si="34"/>
        <v>481.7700000000001</v>
      </c>
      <c r="BF19">
        <f t="shared" si="35"/>
        <v>0.58467171911419769</v>
      </c>
      <c r="BG19">
        <f t="shared" si="36"/>
        <v>0.83807846524587171</v>
      </c>
      <c r="BH19">
        <f t="shared" si="37"/>
        <v>0.62856073991037287</v>
      </c>
      <c r="BI19">
        <f t="shared" si="38"/>
        <v>0.84766222864243312</v>
      </c>
      <c r="BJ19">
        <v>8107</v>
      </c>
      <c r="BK19">
        <v>300</v>
      </c>
      <c r="BL19">
        <v>300</v>
      </c>
      <c r="BM19">
        <v>300</v>
      </c>
      <c r="BN19">
        <v>10270</v>
      </c>
      <c r="BO19">
        <v>974.197</v>
      </c>
      <c r="BP19">
        <v>-7.0272599999999996E-3</v>
      </c>
      <c r="BQ19">
        <v>5.8851899999999997</v>
      </c>
      <c r="BR19" t="s">
        <v>347</v>
      </c>
      <c r="BS19" t="s">
        <v>347</v>
      </c>
      <c r="BT19" t="s">
        <v>347</v>
      </c>
      <c r="BU19" t="s">
        <v>347</v>
      </c>
      <c r="BV19" t="s">
        <v>347</v>
      </c>
      <c r="BW19" t="s">
        <v>347</v>
      </c>
      <c r="BX19" t="s">
        <v>347</v>
      </c>
      <c r="BY19" t="s">
        <v>347</v>
      </c>
      <c r="BZ19" t="s">
        <v>347</v>
      </c>
      <c r="CA19" t="s">
        <v>347</v>
      </c>
      <c r="CB19">
        <f t="shared" si="39"/>
        <v>1749.95</v>
      </c>
      <c r="CC19">
        <f t="shared" si="40"/>
        <v>1471.1615998142966</v>
      </c>
      <c r="CD19">
        <f t="shared" si="41"/>
        <v>0.84068779097362578</v>
      </c>
      <c r="CE19">
        <f t="shared" si="42"/>
        <v>0.19137558194725157</v>
      </c>
      <c r="CF19">
        <v>1565556686</v>
      </c>
      <c r="CG19">
        <v>191.505</v>
      </c>
      <c r="CH19">
        <v>199.97800000000001</v>
      </c>
      <c r="CI19">
        <v>18.575900000000001</v>
      </c>
      <c r="CJ19">
        <v>15.971299999999999</v>
      </c>
      <c r="CK19">
        <v>500.00099999999998</v>
      </c>
      <c r="CL19">
        <v>99.101699999999994</v>
      </c>
      <c r="CM19">
        <v>0.10001599999999999</v>
      </c>
      <c r="CN19">
        <v>25.847100000000001</v>
      </c>
      <c r="CO19">
        <v>26.991499999999998</v>
      </c>
      <c r="CP19">
        <v>999.9</v>
      </c>
      <c r="CQ19">
        <v>0</v>
      </c>
      <c r="CR19">
        <v>0</v>
      </c>
      <c r="CS19">
        <v>9998.1200000000008</v>
      </c>
      <c r="CT19">
        <v>0</v>
      </c>
      <c r="CU19">
        <v>779.92</v>
      </c>
      <c r="CV19">
        <v>-8.3652800000000003</v>
      </c>
      <c r="CW19">
        <v>195.239</v>
      </c>
      <c r="CX19">
        <v>203.22399999999999</v>
      </c>
      <c r="CY19">
        <v>2.6005199999999999</v>
      </c>
      <c r="CZ19">
        <v>187.363</v>
      </c>
      <c r="DA19">
        <v>199.97800000000001</v>
      </c>
      <c r="DB19">
        <v>18.090900000000001</v>
      </c>
      <c r="DC19">
        <v>15.971299999999999</v>
      </c>
      <c r="DD19">
        <v>1.8405</v>
      </c>
      <c r="DE19">
        <v>1.5827899999999999</v>
      </c>
      <c r="DF19">
        <v>16.135100000000001</v>
      </c>
      <c r="DG19">
        <v>13.792299999999999</v>
      </c>
      <c r="DH19">
        <v>1749.95</v>
      </c>
      <c r="DI19">
        <v>0.97700699999999996</v>
      </c>
      <c r="DJ19">
        <v>2.2992499999999999E-2</v>
      </c>
      <c r="DK19">
        <v>0</v>
      </c>
      <c r="DL19">
        <v>755.54300000000001</v>
      </c>
      <c r="DM19">
        <v>5.0002700000000004</v>
      </c>
      <c r="DN19">
        <v>17702.2</v>
      </c>
      <c r="DO19">
        <v>14145.2</v>
      </c>
      <c r="DP19">
        <v>49.561999999999998</v>
      </c>
      <c r="DQ19">
        <v>51.75</v>
      </c>
      <c r="DR19">
        <v>50.625</v>
      </c>
      <c r="DS19">
        <v>51.186999999999998</v>
      </c>
      <c r="DT19">
        <v>50.811999999999998</v>
      </c>
      <c r="DU19">
        <v>1704.83</v>
      </c>
      <c r="DV19">
        <v>40.119999999999997</v>
      </c>
      <c r="DW19">
        <v>0</v>
      </c>
      <c r="DX19">
        <v>102.700000047684</v>
      </c>
      <c r="DY19">
        <v>755.75270588235298</v>
      </c>
      <c r="DZ19">
        <v>-4.9887254526828402</v>
      </c>
      <c r="EA19">
        <v>544.50980329267304</v>
      </c>
      <c r="EB19">
        <v>17659.241176470601</v>
      </c>
      <c r="EC19">
        <v>10</v>
      </c>
      <c r="ED19">
        <v>1565556713</v>
      </c>
      <c r="EE19" t="s">
        <v>363</v>
      </c>
      <c r="EF19">
        <v>71</v>
      </c>
      <c r="EG19">
        <v>4.1420000000000003</v>
      </c>
      <c r="EH19">
        <v>0.48499999999999999</v>
      </c>
      <c r="EI19">
        <v>200</v>
      </c>
      <c r="EJ19">
        <v>16</v>
      </c>
      <c r="EK19">
        <v>0.3</v>
      </c>
      <c r="EL19">
        <v>0.1</v>
      </c>
      <c r="EM19">
        <v>6.5720831865292402</v>
      </c>
      <c r="EN19">
        <v>3.6635402138126098E-2</v>
      </c>
      <c r="EO19">
        <v>1.9971804155023299E-2</v>
      </c>
      <c r="EP19">
        <v>1</v>
      </c>
      <c r="EQ19">
        <v>0.127107201838175</v>
      </c>
      <c r="ER19">
        <v>-2.7498884914763E-3</v>
      </c>
      <c r="ES19">
        <v>3.3262180393089902E-4</v>
      </c>
      <c r="ET19">
        <v>1</v>
      </c>
      <c r="EU19">
        <v>2</v>
      </c>
      <c r="EV19">
        <v>2</v>
      </c>
      <c r="EW19" t="s">
        <v>349</v>
      </c>
      <c r="EX19">
        <v>2.9486400000000001</v>
      </c>
      <c r="EY19">
        <v>2.7774100000000002</v>
      </c>
      <c r="EZ19">
        <v>4.97692E-2</v>
      </c>
      <c r="FA19">
        <v>5.1405899999999997E-2</v>
      </c>
      <c r="FB19">
        <v>9.1804499999999997E-2</v>
      </c>
      <c r="FC19">
        <v>7.9794199999999996E-2</v>
      </c>
      <c r="FD19">
        <v>22757.200000000001</v>
      </c>
      <c r="FE19">
        <v>22920.3</v>
      </c>
      <c r="FF19">
        <v>22526.1</v>
      </c>
      <c r="FG19">
        <v>26508</v>
      </c>
      <c r="FH19">
        <v>29243</v>
      </c>
      <c r="FI19">
        <v>38286.199999999997</v>
      </c>
      <c r="FJ19">
        <v>32174.1</v>
      </c>
      <c r="FK19">
        <v>42228.2</v>
      </c>
      <c r="FL19">
        <v>1.9239299999999999</v>
      </c>
      <c r="FM19">
        <v>1.8244</v>
      </c>
      <c r="FN19">
        <v>3.2707999999999999E-3</v>
      </c>
      <c r="FO19">
        <v>0</v>
      </c>
      <c r="FP19">
        <v>26.937999999999999</v>
      </c>
      <c r="FQ19">
        <v>999.9</v>
      </c>
      <c r="FR19">
        <v>34.305999999999997</v>
      </c>
      <c r="FS19">
        <v>42.48</v>
      </c>
      <c r="FT19">
        <v>29.263999999999999</v>
      </c>
      <c r="FU19">
        <v>61.642899999999997</v>
      </c>
      <c r="FV19">
        <v>46.274000000000001</v>
      </c>
      <c r="FW19">
        <v>1</v>
      </c>
      <c r="FX19">
        <v>0.60990900000000003</v>
      </c>
      <c r="FY19">
        <v>7.2605700000000004</v>
      </c>
      <c r="FZ19">
        <v>20.115100000000002</v>
      </c>
      <c r="GA19">
        <v>5.2258300000000002</v>
      </c>
      <c r="GB19">
        <v>11.962</v>
      </c>
      <c r="GC19">
        <v>4.9717000000000002</v>
      </c>
      <c r="GD19">
        <v>3.2949999999999999</v>
      </c>
      <c r="GE19">
        <v>9999</v>
      </c>
      <c r="GF19">
        <v>9999</v>
      </c>
      <c r="GG19">
        <v>506.7</v>
      </c>
      <c r="GH19">
        <v>9999</v>
      </c>
      <c r="GI19">
        <v>1.8660000000000001</v>
      </c>
      <c r="GJ19">
        <v>1.8654900000000001</v>
      </c>
      <c r="GK19">
        <v>1.8656900000000001</v>
      </c>
      <c r="GL19">
        <v>1.86859</v>
      </c>
      <c r="GM19">
        <v>1.8628499999999999</v>
      </c>
      <c r="GN19">
        <v>1.86104</v>
      </c>
      <c r="GO19">
        <v>1.85727</v>
      </c>
      <c r="GP19">
        <v>1.8633999999999999</v>
      </c>
      <c r="GQ19" t="s">
        <v>350</v>
      </c>
      <c r="GR19" t="s">
        <v>19</v>
      </c>
      <c r="GS19" t="s">
        <v>19</v>
      </c>
      <c r="GT19" t="s">
        <v>19</v>
      </c>
      <c r="GU19" t="s">
        <v>351</v>
      </c>
      <c r="GV19" t="s">
        <v>352</v>
      </c>
      <c r="GW19" t="s">
        <v>353</v>
      </c>
      <c r="GX19" t="s">
        <v>353</v>
      </c>
      <c r="GY19" t="s">
        <v>353</v>
      </c>
      <c r="GZ19" t="s">
        <v>353</v>
      </c>
      <c r="HA19">
        <v>0</v>
      </c>
      <c r="HB19">
        <v>100</v>
      </c>
      <c r="HC19">
        <v>100</v>
      </c>
      <c r="HD19">
        <v>4.1420000000000003</v>
      </c>
      <c r="HE19">
        <v>0.48499999999999999</v>
      </c>
      <c r="HF19">
        <v>2</v>
      </c>
      <c r="HG19">
        <v>496.755</v>
      </c>
      <c r="HH19">
        <v>470.58100000000002</v>
      </c>
      <c r="HI19">
        <v>19.897400000000001</v>
      </c>
      <c r="HJ19">
        <v>34.869</v>
      </c>
      <c r="HK19">
        <v>30</v>
      </c>
      <c r="HL19">
        <v>34.761499999999998</v>
      </c>
      <c r="HM19">
        <v>34.747599999999998</v>
      </c>
      <c r="HN19">
        <v>12.170299999999999</v>
      </c>
      <c r="HO19">
        <v>51.784799999999997</v>
      </c>
      <c r="HP19">
        <v>0</v>
      </c>
      <c r="HQ19">
        <v>19.904</v>
      </c>
      <c r="HR19">
        <v>200</v>
      </c>
      <c r="HS19">
        <v>15.916700000000001</v>
      </c>
      <c r="HT19">
        <v>99.043700000000001</v>
      </c>
      <c r="HU19">
        <v>102.964</v>
      </c>
    </row>
    <row r="20" spans="1:229" x14ac:dyDescent="0.35">
      <c r="A20">
        <v>4</v>
      </c>
      <c r="B20">
        <v>1565556804</v>
      </c>
      <c r="C20">
        <v>328.5</v>
      </c>
      <c r="D20" t="s">
        <v>364</v>
      </c>
      <c r="E20" t="s">
        <v>365</v>
      </c>
      <c r="G20">
        <v>1565556804</v>
      </c>
      <c r="H20">
        <f t="shared" si="0"/>
        <v>2.4770244011110797E-3</v>
      </c>
      <c r="I20">
        <f t="shared" si="1"/>
        <v>2.3332823671551637</v>
      </c>
      <c r="J20">
        <f t="shared" si="2"/>
        <v>96.893600000000006</v>
      </c>
      <c r="K20">
        <f t="shared" si="3"/>
        <v>67.55075156493794</v>
      </c>
      <c r="L20">
        <f t="shared" si="4"/>
        <v>6.7011333211957069</v>
      </c>
      <c r="M20">
        <f t="shared" si="5"/>
        <v>9.61198678813256</v>
      </c>
      <c r="N20">
        <f t="shared" si="6"/>
        <v>0.14249440578259279</v>
      </c>
      <c r="O20">
        <f t="shared" si="7"/>
        <v>2.2485943540325661</v>
      </c>
      <c r="P20">
        <f t="shared" si="8"/>
        <v>0.13766120905601106</v>
      </c>
      <c r="Q20">
        <f t="shared" si="9"/>
        <v>8.6458842211424775E-2</v>
      </c>
      <c r="R20">
        <f t="shared" si="10"/>
        <v>281.54290079857054</v>
      </c>
      <c r="S20">
        <f t="shared" si="11"/>
        <v>27.207624760254898</v>
      </c>
      <c r="T20">
        <f t="shared" si="12"/>
        <v>27.0106</v>
      </c>
      <c r="U20">
        <f t="shared" si="13"/>
        <v>3.5813885551706033</v>
      </c>
      <c r="V20">
        <f t="shared" si="14"/>
        <v>54.978835116237022</v>
      </c>
      <c r="W20">
        <f t="shared" si="15"/>
        <v>1.8452166360834699</v>
      </c>
      <c r="X20">
        <f t="shared" si="16"/>
        <v>3.3562308699016397</v>
      </c>
      <c r="Y20">
        <f t="shared" si="17"/>
        <v>1.7361719190871334</v>
      </c>
      <c r="Z20">
        <f t="shared" si="18"/>
        <v>-109.23677608899861</v>
      </c>
      <c r="AA20">
        <f t="shared" si="19"/>
        <v>-133.48218953675999</v>
      </c>
      <c r="AB20">
        <f t="shared" si="20"/>
        <v>-12.742116163480908</v>
      </c>
      <c r="AC20">
        <f t="shared" si="21"/>
        <v>26.081819009331042</v>
      </c>
      <c r="AD20">
        <v>-4.1145915989007999E-2</v>
      </c>
      <c r="AE20">
        <v>4.6189895277875703E-2</v>
      </c>
      <c r="AF20">
        <v>3.4527079579695998</v>
      </c>
      <c r="AG20">
        <v>1</v>
      </c>
      <c r="AH20">
        <v>0</v>
      </c>
      <c r="AI20">
        <f t="shared" si="22"/>
        <v>1</v>
      </c>
      <c r="AJ20">
        <f t="shared" si="23"/>
        <v>0</v>
      </c>
      <c r="AK20">
        <f t="shared" si="24"/>
        <v>52656.289492445198</v>
      </c>
      <c r="AL20" t="s">
        <v>344</v>
      </c>
      <c r="AM20">
        <v>589.29941176470595</v>
      </c>
      <c r="AN20">
        <v>3530.99</v>
      </c>
      <c r="AO20">
        <f t="shared" si="25"/>
        <v>2941.6905882352939</v>
      </c>
      <c r="AP20">
        <f t="shared" si="26"/>
        <v>0.83310646256015852</v>
      </c>
      <c r="AQ20">
        <v>1.42453575549529</v>
      </c>
      <c r="AR20" t="s">
        <v>366</v>
      </c>
      <c r="AS20">
        <v>757.43617647058795</v>
      </c>
      <c r="AT20">
        <v>1005.3</v>
      </c>
      <c r="AU20">
        <f t="shared" si="27"/>
        <v>0.24655707105283198</v>
      </c>
      <c r="AV20">
        <v>0.5</v>
      </c>
      <c r="AW20">
        <f t="shared" si="28"/>
        <v>1471.1456998141553</v>
      </c>
      <c r="AX20">
        <f t="shared" si="29"/>
        <v>2.3332823671551637</v>
      </c>
      <c r="AY20">
        <f t="shared" si="30"/>
        <v>181.36068741907346</v>
      </c>
      <c r="AZ20">
        <f t="shared" si="31"/>
        <v>0.44165920620710236</v>
      </c>
      <c r="BA20">
        <f t="shared" si="32"/>
        <v>6.1771353563054457E-4</v>
      </c>
      <c r="BB20">
        <f t="shared" si="33"/>
        <v>2.5123744155973338</v>
      </c>
      <c r="BC20" t="s">
        <v>367</v>
      </c>
      <c r="BD20">
        <v>561.29999999999995</v>
      </c>
      <c r="BE20">
        <f t="shared" si="34"/>
        <v>444</v>
      </c>
      <c r="BF20">
        <f t="shared" si="35"/>
        <v>0.55825185479597295</v>
      </c>
      <c r="BG20">
        <f t="shared" si="36"/>
        <v>0.85048944502624846</v>
      </c>
      <c r="BH20">
        <f t="shared" si="37"/>
        <v>0.59582565635512463</v>
      </c>
      <c r="BI20">
        <f t="shared" si="38"/>
        <v>0.85858451942600422</v>
      </c>
      <c r="BJ20">
        <v>8109</v>
      </c>
      <c r="BK20">
        <v>300</v>
      </c>
      <c r="BL20">
        <v>300</v>
      </c>
      <c r="BM20">
        <v>300</v>
      </c>
      <c r="BN20">
        <v>10269.700000000001</v>
      </c>
      <c r="BO20">
        <v>950.5</v>
      </c>
      <c r="BP20">
        <v>-7.02689E-3</v>
      </c>
      <c r="BQ20">
        <v>4.2025800000000002</v>
      </c>
      <c r="BR20" t="s">
        <v>347</v>
      </c>
      <c r="BS20" t="s">
        <v>347</v>
      </c>
      <c r="BT20" t="s">
        <v>347</v>
      </c>
      <c r="BU20" t="s">
        <v>347</v>
      </c>
      <c r="BV20" t="s">
        <v>347</v>
      </c>
      <c r="BW20" t="s">
        <v>347</v>
      </c>
      <c r="BX20" t="s">
        <v>347</v>
      </c>
      <c r="BY20" t="s">
        <v>347</v>
      </c>
      <c r="BZ20" t="s">
        <v>347</v>
      </c>
      <c r="CA20" t="s">
        <v>347</v>
      </c>
      <c r="CB20">
        <f t="shared" si="39"/>
        <v>1749.93</v>
      </c>
      <c r="CC20">
        <f t="shared" si="40"/>
        <v>1471.1456998141553</v>
      </c>
      <c r="CD20">
        <f t="shared" si="41"/>
        <v>0.84068831314061432</v>
      </c>
      <c r="CE20">
        <f t="shared" si="42"/>
        <v>0.1913766262812289</v>
      </c>
      <c r="CF20">
        <v>1565556804</v>
      </c>
      <c r="CG20">
        <v>96.893600000000006</v>
      </c>
      <c r="CH20">
        <v>99.981399999999994</v>
      </c>
      <c r="CI20">
        <v>18.6007</v>
      </c>
      <c r="CJ20">
        <v>15.6837</v>
      </c>
      <c r="CK20">
        <v>500.024</v>
      </c>
      <c r="CL20">
        <v>99.101500000000001</v>
      </c>
      <c r="CM20">
        <v>9.9962099999999998E-2</v>
      </c>
      <c r="CN20">
        <v>25.909500000000001</v>
      </c>
      <c r="CO20">
        <v>27.0106</v>
      </c>
      <c r="CP20">
        <v>999.9</v>
      </c>
      <c r="CQ20">
        <v>0</v>
      </c>
      <c r="CR20">
        <v>0</v>
      </c>
      <c r="CS20">
        <v>10012.5</v>
      </c>
      <c r="CT20">
        <v>0</v>
      </c>
      <c r="CU20">
        <v>1384.51</v>
      </c>
      <c r="CV20">
        <v>-3.0108000000000001</v>
      </c>
      <c r="CW20">
        <v>98.808899999999994</v>
      </c>
      <c r="CX20">
        <v>101.574</v>
      </c>
      <c r="CY20">
        <v>2.9209900000000002</v>
      </c>
      <c r="CZ20">
        <v>92.828599999999994</v>
      </c>
      <c r="DA20">
        <v>99.981399999999994</v>
      </c>
      <c r="DB20">
        <v>18.119700000000002</v>
      </c>
      <c r="DC20">
        <v>15.6837</v>
      </c>
      <c r="DD20">
        <v>1.84375</v>
      </c>
      <c r="DE20">
        <v>1.5542800000000001</v>
      </c>
      <c r="DF20">
        <v>16.162800000000001</v>
      </c>
      <c r="DG20">
        <v>13.5128</v>
      </c>
      <c r="DH20">
        <v>1749.93</v>
      </c>
      <c r="DI20">
        <v>0.976989</v>
      </c>
      <c r="DJ20">
        <v>2.30111E-2</v>
      </c>
      <c r="DK20">
        <v>0</v>
      </c>
      <c r="DL20">
        <v>757.30700000000002</v>
      </c>
      <c r="DM20">
        <v>5.0002700000000004</v>
      </c>
      <c r="DN20">
        <v>17875.3</v>
      </c>
      <c r="DO20">
        <v>14145</v>
      </c>
      <c r="DP20">
        <v>49.561999999999998</v>
      </c>
      <c r="DQ20">
        <v>51.936999999999998</v>
      </c>
      <c r="DR20">
        <v>50.686999999999998</v>
      </c>
      <c r="DS20">
        <v>51.186999999999998</v>
      </c>
      <c r="DT20">
        <v>50.811999999999998</v>
      </c>
      <c r="DU20">
        <v>1704.78</v>
      </c>
      <c r="DV20">
        <v>40.15</v>
      </c>
      <c r="DW20">
        <v>0</v>
      </c>
      <c r="DX20">
        <v>117.799999952316</v>
      </c>
      <c r="DY20">
        <v>757.43617647058795</v>
      </c>
      <c r="DZ20">
        <v>-3.3634804018053899</v>
      </c>
      <c r="EA20">
        <v>-922.30392557407401</v>
      </c>
      <c r="EB20">
        <v>17932.188235294099</v>
      </c>
      <c r="EC20">
        <v>10</v>
      </c>
      <c r="ED20">
        <v>1565556830</v>
      </c>
      <c r="EE20" t="s">
        <v>368</v>
      </c>
      <c r="EF20">
        <v>72</v>
      </c>
      <c r="EG20">
        <v>4.0650000000000004</v>
      </c>
      <c r="EH20">
        <v>0.48099999999999998</v>
      </c>
      <c r="EI20">
        <v>100</v>
      </c>
      <c r="EJ20">
        <v>16</v>
      </c>
      <c r="EK20">
        <v>0.16</v>
      </c>
      <c r="EL20">
        <v>0.08</v>
      </c>
      <c r="EM20">
        <v>2.2619201959186799</v>
      </c>
      <c r="EN20">
        <v>0.23201513429824899</v>
      </c>
      <c r="EO20">
        <v>2.5546553422692499E-2</v>
      </c>
      <c r="EP20">
        <v>0</v>
      </c>
      <c r="EQ20">
        <v>0.14021140435441401</v>
      </c>
      <c r="ER20">
        <v>2.3773667205979999E-2</v>
      </c>
      <c r="ES20">
        <v>2.48188904720229E-3</v>
      </c>
      <c r="ET20">
        <v>1</v>
      </c>
      <c r="EU20">
        <v>1</v>
      </c>
      <c r="EV20">
        <v>2</v>
      </c>
      <c r="EW20" t="s">
        <v>369</v>
      </c>
      <c r="EX20">
        <v>2.9487199999999998</v>
      </c>
      <c r="EY20">
        <v>2.7774899999999998</v>
      </c>
      <c r="EZ20">
        <v>2.5858300000000001E-2</v>
      </c>
      <c r="FA20">
        <v>2.70736E-2</v>
      </c>
      <c r="FB20">
        <v>9.1915200000000002E-2</v>
      </c>
      <c r="FC20">
        <v>7.8745399999999993E-2</v>
      </c>
      <c r="FD20">
        <v>23330</v>
      </c>
      <c r="FE20">
        <v>23508.9</v>
      </c>
      <c r="FF20">
        <v>22527.1</v>
      </c>
      <c r="FG20">
        <v>26509.3</v>
      </c>
      <c r="FH20">
        <v>29240.3</v>
      </c>
      <c r="FI20">
        <v>38330.6</v>
      </c>
      <c r="FJ20">
        <v>32175.3</v>
      </c>
      <c r="FK20">
        <v>42229.4</v>
      </c>
      <c r="FL20">
        <v>1.9244699999999999</v>
      </c>
      <c r="FM20">
        <v>1.8230999999999999</v>
      </c>
      <c r="FN20">
        <v>3.0547399999999998E-3</v>
      </c>
      <c r="FO20">
        <v>0</v>
      </c>
      <c r="FP20">
        <v>26.960599999999999</v>
      </c>
      <c r="FQ20">
        <v>999.9</v>
      </c>
      <c r="FR20">
        <v>34.207999999999998</v>
      </c>
      <c r="FS20">
        <v>42.610999999999997</v>
      </c>
      <c r="FT20">
        <v>29.381699999999999</v>
      </c>
      <c r="FU20">
        <v>61.512900000000002</v>
      </c>
      <c r="FV20">
        <v>46.169899999999998</v>
      </c>
      <c r="FW20">
        <v>1</v>
      </c>
      <c r="FX20">
        <v>0.61072400000000004</v>
      </c>
      <c r="FY20">
        <v>7.7692199999999998</v>
      </c>
      <c r="FZ20">
        <v>20.093499999999999</v>
      </c>
      <c r="GA20">
        <v>5.2243300000000001</v>
      </c>
      <c r="GB20">
        <v>11.962</v>
      </c>
      <c r="GC20">
        <v>4.9716500000000003</v>
      </c>
      <c r="GD20">
        <v>3.2949999999999999</v>
      </c>
      <c r="GE20">
        <v>9999</v>
      </c>
      <c r="GF20">
        <v>9999</v>
      </c>
      <c r="GG20">
        <v>506.7</v>
      </c>
      <c r="GH20">
        <v>9999</v>
      </c>
      <c r="GI20">
        <v>1.8660000000000001</v>
      </c>
      <c r="GJ20">
        <v>1.8654900000000001</v>
      </c>
      <c r="GK20">
        <v>1.8656900000000001</v>
      </c>
      <c r="GL20">
        <v>1.8686</v>
      </c>
      <c r="GM20">
        <v>1.8629199999999999</v>
      </c>
      <c r="GN20">
        <v>1.8610599999999999</v>
      </c>
      <c r="GO20">
        <v>1.8573</v>
      </c>
      <c r="GP20">
        <v>1.8633999999999999</v>
      </c>
      <c r="GQ20" t="s">
        <v>350</v>
      </c>
      <c r="GR20" t="s">
        <v>19</v>
      </c>
      <c r="GS20" t="s">
        <v>19</v>
      </c>
      <c r="GT20" t="s">
        <v>19</v>
      </c>
      <c r="GU20" t="s">
        <v>351</v>
      </c>
      <c r="GV20" t="s">
        <v>352</v>
      </c>
      <c r="GW20" t="s">
        <v>353</v>
      </c>
      <c r="GX20" t="s">
        <v>353</v>
      </c>
      <c r="GY20" t="s">
        <v>353</v>
      </c>
      <c r="GZ20" t="s">
        <v>353</v>
      </c>
      <c r="HA20">
        <v>0</v>
      </c>
      <c r="HB20">
        <v>100</v>
      </c>
      <c r="HC20">
        <v>100</v>
      </c>
      <c r="HD20">
        <v>4.0650000000000004</v>
      </c>
      <c r="HE20">
        <v>0.48099999999999998</v>
      </c>
      <c r="HF20">
        <v>2</v>
      </c>
      <c r="HG20">
        <v>496.95400000000001</v>
      </c>
      <c r="HH20">
        <v>469.53500000000003</v>
      </c>
      <c r="HI20">
        <v>19.748799999999999</v>
      </c>
      <c r="HJ20">
        <v>34.844000000000001</v>
      </c>
      <c r="HK20">
        <v>30.0002</v>
      </c>
      <c r="HL20">
        <v>34.7393</v>
      </c>
      <c r="HM20">
        <v>34.723399999999998</v>
      </c>
      <c r="HN20">
        <v>7.4312399999999998</v>
      </c>
      <c r="HO20">
        <v>53.122300000000003</v>
      </c>
      <c r="HP20">
        <v>0</v>
      </c>
      <c r="HQ20">
        <v>19.738800000000001</v>
      </c>
      <c r="HR20">
        <v>100</v>
      </c>
      <c r="HS20">
        <v>15.681900000000001</v>
      </c>
      <c r="HT20">
        <v>99.047499999999999</v>
      </c>
      <c r="HU20">
        <v>102.968</v>
      </c>
    </row>
    <row r="21" spans="1:229" x14ac:dyDescent="0.35">
      <c r="A21">
        <v>5</v>
      </c>
      <c r="B21">
        <v>1565556904</v>
      </c>
      <c r="C21">
        <v>428.5</v>
      </c>
      <c r="D21" t="s">
        <v>370</v>
      </c>
      <c r="E21" t="s">
        <v>371</v>
      </c>
      <c r="G21">
        <v>1565556904</v>
      </c>
      <c r="H21">
        <f t="shared" si="0"/>
        <v>2.7517866996932131E-3</v>
      </c>
      <c r="I21">
        <f t="shared" si="1"/>
        <v>0.11780677715727675</v>
      </c>
      <c r="J21">
        <f t="shared" si="2"/>
        <v>49.698900000000002</v>
      </c>
      <c r="K21">
        <f t="shared" si="3"/>
        <v>47.113173386047755</v>
      </c>
      <c r="L21">
        <f t="shared" si="4"/>
        <v>4.6736431340331501</v>
      </c>
      <c r="M21">
        <f t="shared" si="5"/>
        <v>4.9301481106086307</v>
      </c>
      <c r="N21">
        <f t="shared" si="6"/>
        <v>0.16058445830490262</v>
      </c>
      <c r="O21">
        <f t="shared" si="7"/>
        <v>2.2479068125838606</v>
      </c>
      <c r="P21">
        <f t="shared" si="8"/>
        <v>0.15447270326751314</v>
      </c>
      <c r="Q21">
        <f t="shared" si="9"/>
        <v>9.7075175604252134E-2</v>
      </c>
      <c r="R21">
        <f t="shared" si="10"/>
        <v>281.53172886488778</v>
      </c>
      <c r="S21">
        <f t="shared" si="11"/>
        <v>27.095812002806323</v>
      </c>
      <c r="T21">
        <f t="shared" si="12"/>
        <v>26.931799999999999</v>
      </c>
      <c r="U21">
        <f t="shared" si="13"/>
        <v>3.5648482119273504</v>
      </c>
      <c r="V21">
        <f t="shared" si="14"/>
        <v>55.06639679634565</v>
      </c>
      <c r="W21">
        <f t="shared" si="15"/>
        <v>1.8458803712549201</v>
      </c>
      <c r="X21">
        <f t="shared" si="16"/>
        <v>3.3520994265915314</v>
      </c>
      <c r="Y21">
        <f t="shared" si="17"/>
        <v>1.7189678406724302</v>
      </c>
      <c r="Z21">
        <f t="shared" si="18"/>
        <v>-121.3537934564707</v>
      </c>
      <c r="AA21">
        <f t="shared" si="19"/>
        <v>-126.41240453466988</v>
      </c>
      <c r="AB21">
        <f t="shared" si="20"/>
        <v>-12.064904983764309</v>
      </c>
      <c r="AC21">
        <f t="shared" si="21"/>
        <v>21.700625889982874</v>
      </c>
      <c r="AD21">
        <v>-4.11274193807908E-2</v>
      </c>
      <c r="AE21">
        <v>4.61691312147599E-2</v>
      </c>
      <c r="AF21">
        <v>3.4514791230037698</v>
      </c>
      <c r="AG21">
        <v>1</v>
      </c>
      <c r="AH21">
        <v>0</v>
      </c>
      <c r="AI21">
        <f t="shared" si="22"/>
        <v>1</v>
      </c>
      <c r="AJ21">
        <f t="shared" si="23"/>
        <v>0</v>
      </c>
      <c r="AK21">
        <f t="shared" si="24"/>
        <v>52637.232688755263</v>
      </c>
      <c r="AL21" t="s">
        <v>344</v>
      </c>
      <c r="AM21">
        <v>589.29941176470595</v>
      </c>
      <c r="AN21">
        <v>3530.99</v>
      </c>
      <c r="AO21">
        <f t="shared" si="25"/>
        <v>2941.6905882352939</v>
      </c>
      <c r="AP21">
        <f t="shared" si="26"/>
        <v>0.83310646256015852</v>
      </c>
      <c r="AQ21">
        <v>1.42453575549529</v>
      </c>
      <c r="AR21" t="s">
        <v>372</v>
      </c>
      <c r="AS21">
        <v>759.24411764705906</v>
      </c>
      <c r="AT21">
        <v>982.93299999999999</v>
      </c>
      <c r="AU21">
        <f t="shared" si="27"/>
        <v>0.22757286849962399</v>
      </c>
      <c r="AV21">
        <v>0.5</v>
      </c>
      <c r="AW21">
        <f t="shared" si="28"/>
        <v>1471.0868998141477</v>
      </c>
      <c r="AX21">
        <f t="shared" si="29"/>
        <v>0.11780677715727675</v>
      </c>
      <c r="AY21">
        <f t="shared" si="30"/>
        <v>167.38973280146229</v>
      </c>
      <c r="AZ21">
        <f t="shared" si="31"/>
        <v>0.42903534625452594</v>
      </c>
      <c r="BA21">
        <f t="shared" si="32"/>
        <v>-8.882744986058274E-4</v>
      </c>
      <c r="BB21">
        <f t="shared" si="33"/>
        <v>2.5922997803512549</v>
      </c>
      <c r="BC21" t="s">
        <v>373</v>
      </c>
      <c r="BD21">
        <v>561.22</v>
      </c>
      <c r="BE21">
        <f t="shared" si="34"/>
        <v>421.71299999999997</v>
      </c>
      <c r="BF21">
        <f t="shared" si="35"/>
        <v>0.53042918371722225</v>
      </c>
      <c r="BG21">
        <f t="shared" si="36"/>
        <v>0.85799809412850159</v>
      </c>
      <c r="BH21">
        <f t="shared" si="37"/>
        <v>0.56826675628917911</v>
      </c>
      <c r="BI21">
        <f t="shared" si="38"/>
        <v>0.86618797034278405</v>
      </c>
      <c r="BJ21">
        <v>8111</v>
      </c>
      <c r="BK21">
        <v>300</v>
      </c>
      <c r="BL21">
        <v>300</v>
      </c>
      <c r="BM21">
        <v>300</v>
      </c>
      <c r="BN21">
        <v>10269.200000000001</v>
      </c>
      <c r="BO21">
        <v>934.21600000000001</v>
      </c>
      <c r="BP21">
        <v>-7.0264400000000001E-3</v>
      </c>
      <c r="BQ21">
        <v>4.7298600000000004</v>
      </c>
      <c r="BR21" t="s">
        <v>347</v>
      </c>
      <c r="BS21" t="s">
        <v>347</v>
      </c>
      <c r="BT21" t="s">
        <v>347</v>
      </c>
      <c r="BU21" t="s">
        <v>347</v>
      </c>
      <c r="BV21" t="s">
        <v>347</v>
      </c>
      <c r="BW21" t="s">
        <v>347</v>
      </c>
      <c r="BX21" t="s">
        <v>347</v>
      </c>
      <c r="BY21" t="s">
        <v>347</v>
      </c>
      <c r="BZ21" t="s">
        <v>347</v>
      </c>
      <c r="CA21" t="s">
        <v>347</v>
      </c>
      <c r="CB21">
        <f t="shared" si="39"/>
        <v>1749.86</v>
      </c>
      <c r="CC21">
        <f t="shared" si="40"/>
        <v>1471.0868998141477</v>
      </c>
      <c r="CD21">
        <f t="shared" si="41"/>
        <v>0.84068834067533849</v>
      </c>
      <c r="CE21">
        <f t="shared" si="42"/>
        <v>0.19137668135067723</v>
      </c>
      <c r="CF21">
        <v>1565556904</v>
      </c>
      <c r="CG21">
        <v>49.698900000000002</v>
      </c>
      <c r="CH21">
        <v>50.004399999999997</v>
      </c>
      <c r="CI21">
        <v>18.607600000000001</v>
      </c>
      <c r="CJ21">
        <v>15.3667</v>
      </c>
      <c r="CK21">
        <v>499.96899999999999</v>
      </c>
      <c r="CL21">
        <v>99.100499999999997</v>
      </c>
      <c r="CM21">
        <v>9.9846699999999997E-2</v>
      </c>
      <c r="CN21">
        <v>25.8887</v>
      </c>
      <c r="CO21">
        <v>26.931799999999999</v>
      </c>
      <c r="CP21">
        <v>999.9</v>
      </c>
      <c r="CQ21">
        <v>0</v>
      </c>
      <c r="CR21">
        <v>0</v>
      </c>
      <c r="CS21">
        <v>10008.1</v>
      </c>
      <c r="CT21">
        <v>0</v>
      </c>
      <c r="CU21">
        <v>1225.8800000000001</v>
      </c>
      <c r="CV21">
        <v>-0.256519</v>
      </c>
      <c r="CW21">
        <v>50.691299999999998</v>
      </c>
      <c r="CX21">
        <v>50.784799999999997</v>
      </c>
      <c r="CY21">
        <v>3.2438400000000001</v>
      </c>
      <c r="CZ21">
        <v>45.682899999999997</v>
      </c>
      <c r="DA21">
        <v>50.004399999999997</v>
      </c>
      <c r="DB21">
        <v>18.1296</v>
      </c>
      <c r="DC21">
        <v>15.3667</v>
      </c>
      <c r="DD21">
        <v>1.84432</v>
      </c>
      <c r="DE21">
        <v>1.52285</v>
      </c>
      <c r="DF21">
        <v>16.1675</v>
      </c>
      <c r="DG21">
        <v>13.1995</v>
      </c>
      <c r="DH21">
        <v>1749.86</v>
      </c>
      <c r="DI21">
        <v>0.976989</v>
      </c>
      <c r="DJ21">
        <v>2.30111E-2</v>
      </c>
      <c r="DK21">
        <v>0</v>
      </c>
      <c r="DL21">
        <v>759.08</v>
      </c>
      <c r="DM21">
        <v>5.0002700000000004</v>
      </c>
      <c r="DN21">
        <v>17479.2</v>
      </c>
      <c r="DO21">
        <v>14144.4</v>
      </c>
      <c r="DP21">
        <v>49.625</v>
      </c>
      <c r="DQ21">
        <v>51.936999999999998</v>
      </c>
      <c r="DR21">
        <v>50.686999999999998</v>
      </c>
      <c r="DS21">
        <v>51.25</v>
      </c>
      <c r="DT21">
        <v>50.875</v>
      </c>
      <c r="DU21">
        <v>1704.71</v>
      </c>
      <c r="DV21">
        <v>40.15</v>
      </c>
      <c r="DW21">
        <v>0</v>
      </c>
      <c r="DX21">
        <v>99.799999952316298</v>
      </c>
      <c r="DY21">
        <v>759.24411764705906</v>
      </c>
      <c r="DZ21">
        <v>-1.03995102152953</v>
      </c>
      <c r="EA21">
        <v>-36.029411356150199</v>
      </c>
      <c r="EB21">
        <v>17490.894117647102</v>
      </c>
      <c r="EC21">
        <v>10</v>
      </c>
      <c r="ED21">
        <v>1565556929</v>
      </c>
      <c r="EE21" t="s">
        <v>374</v>
      </c>
      <c r="EF21">
        <v>73</v>
      </c>
      <c r="EG21">
        <v>4.016</v>
      </c>
      <c r="EH21">
        <v>0.47799999999999998</v>
      </c>
      <c r="EI21">
        <v>50</v>
      </c>
      <c r="EJ21">
        <v>15</v>
      </c>
      <c r="EK21">
        <v>0.2</v>
      </c>
      <c r="EL21">
        <v>7.0000000000000007E-2</v>
      </c>
      <c r="EM21">
        <v>5.2787269060287099E-2</v>
      </c>
      <c r="EN21">
        <v>9.9787963771541893E-2</v>
      </c>
      <c r="EO21">
        <v>2.2788938210796E-2</v>
      </c>
      <c r="EP21">
        <v>1</v>
      </c>
      <c r="EQ21">
        <v>0.15886520045716901</v>
      </c>
      <c r="ER21">
        <v>1.8276295376933101E-2</v>
      </c>
      <c r="ES21">
        <v>2.0708890622134898E-3</v>
      </c>
      <c r="ET21">
        <v>1</v>
      </c>
      <c r="EU21">
        <v>2</v>
      </c>
      <c r="EV21">
        <v>2</v>
      </c>
      <c r="EW21" t="s">
        <v>349</v>
      </c>
      <c r="EX21">
        <v>2.9485700000000001</v>
      </c>
      <c r="EY21">
        <v>2.7773300000000001</v>
      </c>
      <c r="EZ21">
        <v>1.29216E-2</v>
      </c>
      <c r="FA21">
        <v>1.3770900000000001E-2</v>
      </c>
      <c r="FB21">
        <v>9.1949600000000006E-2</v>
      </c>
      <c r="FC21">
        <v>7.7574299999999999E-2</v>
      </c>
      <c r="FD21">
        <v>23638.799999999999</v>
      </c>
      <c r="FE21">
        <v>23828.799999999999</v>
      </c>
      <c r="FF21">
        <v>22526.7</v>
      </c>
      <c r="FG21">
        <v>26508.2</v>
      </c>
      <c r="FH21">
        <v>29238.7</v>
      </c>
      <c r="FI21">
        <v>38378.699999999997</v>
      </c>
      <c r="FJ21">
        <v>32174.9</v>
      </c>
      <c r="FK21">
        <v>42228.800000000003</v>
      </c>
      <c r="FL21">
        <v>1.9244699999999999</v>
      </c>
      <c r="FM21">
        <v>1.82145</v>
      </c>
      <c r="FN21">
        <v>2.2351699999999999E-3</v>
      </c>
      <c r="FO21">
        <v>0</v>
      </c>
      <c r="FP21">
        <v>26.895199999999999</v>
      </c>
      <c r="FQ21">
        <v>999.9</v>
      </c>
      <c r="FR21">
        <v>34.085999999999999</v>
      </c>
      <c r="FS21">
        <v>42.741999999999997</v>
      </c>
      <c r="FT21">
        <v>29.480799999999999</v>
      </c>
      <c r="FU21">
        <v>61.5929</v>
      </c>
      <c r="FV21">
        <v>46.27</v>
      </c>
      <c r="FW21">
        <v>1</v>
      </c>
      <c r="FX21">
        <v>0.60653999999999997</v>
      </c>
      <c r="FY21">
        <v>6.7251099999999999</v>
      </c>
      <c r="FZ21">
        <v>20.134899999999998</v>
      </c>
      <c r="GA21">
        <v>5.2238800000000003</v>
      </c>
      <c r="GB21">
        <v>11.962</v>
      </c>
      <c r="GC21">
        <v>4.9713500000000002</v>
      </c>
      <c r="GD21">
        <v>3.2949999999999999</v>
      </c>
      <c r="GE21">
        <v>9999</v>
      </c>
      <c r="GF21">
        <v>9999</v>
      </c>
      <c r="GG21">
        <v>506.8</v>
      </c>
      <c r="GH21">
        <v>9999</v>
      </c>
      <c r="GI21">
        <v>1.8660099999999999</v>
      </c>
      <c r="GJ21">
        <v>1.86551</v>
      </c>
      <c r="GK21">
        <v>1.8656900000000001</v>
      </c>
      <c r="GL21">
        <v>1.8686</v>
      </c>
      <c r="GM21">
        <v>1.8629</v>
      </c>
      <c r="GN21">
        <v>1.8610800000000001</v>
      </c>
      <c r="GO21">
        <v>1.8573</v>
      </c>
      <c r="GP21">
        <v>1.8633999999999999</v>
      </c>
      <c r="GQ21" t="s">
        <v>350</v>
      </c>
      <c r="GR21" t="s">
        <v>19</v>
      </c>
      <c r="GS21" t="s">
        <v>19</v>
      </c>
      <c r="GT21" t="s">
        <v>19</v>
      </c>
      <c r="GU21" t="s">
        <v>351</v>
      </c>
      <c r="GV21" t="s">
        <v>352</v>
      </c>
      <c r="GW21" t="s">
        <v>353</v>
      </c>
      <c r="GX21" t="s">
        <v>353</v>
      </c>
      <c r="GY21" t="s">
        <v>353</v>
      </c>
      <c r="GZ21" t="s">
        <v>353</v>
      </c>
      <c r="HA21">
        <v>0</v>
      </c>
      <c r="HB21">
        <v>100</v>
      </c>
      <c r="HC21">
        <v>100</v>
      </c>
      <c r="HD21">
        <v>4.016</v>
      </c>
      <c r="HE21">
        <v>0.47799999999999998</v>
      </c>
      <c r="HF21">
        <v>2</v>
      </c>
      <c r="HG21">
        <v>496.98700000000002</v>
      </c>
      <c r="HH21">
        <v>468.48099999999999</v>
      </c>
      <c r="HI21">
        <v>20.2059</v>
      </c>
      <c r="HJ21">
        <v>34.856200000000001</v>
      </c>
      <c r="HK21">
        <v>29.999700000000001</v>
      </c>
      <c r="HL21">
        <v>34.743600000000001</v>
      </c>
      <c r="HM21">
        <v>34.729700000000001</v>
      </c>
      <c r="HN21">
        <v>5.07029</v>
      </c>
      <c r="HO21">
        <v>54.491999999999997</v>
      </c>
      <c r="HP21">
        <v>0</v>
      </c>
      <c r="HQ21">
        <v>20.244399999999999</v>
      </c>
      <c r="HR21">
        <v>50</v>
      </c>
      <c r="HS21">
        <v>15.3826</v>
      </c>
      <c r="HT21">
        <v>99.046099999999996</v>
      </c>
      <c r="HU21">
        <v>102.965</v>
      </c>
    </row>
    <row r="22" spans="1:229" x14ac:dyDescent="0.35">
      <c r="A22">
        <v>6</v>
      </c>
      <c r="B22">
        <v>1565557001</v>
      </c>
      <c r="C22">
        <v>525.5</v>
      </c>
      <c r="D22" t="s">
        <v>375</v>
      </c>
      <c r="E22" t="s">
        <v>376</v>
      </c>
      <c r="G22">
        <v>1565557001</v>
      </c>
      <c r="H22">
        <f t="shared" si="0"/>
        <v>3.0979253173132374E-3</v>
      </c>
      <c r="I22">
        <f t="shared" si="1"/>
        <v>-2.0176936450569727</v>
      </c>
      <c r="J22">
        <f t="shared" si="2"/>
        <v>14.8706</v>
      </c>
      <c r="K22">
        <f t="shared" si="3"/>
        <v>32.670203681377927</v>
      </c>
      <c r="L22">
        <f t="shared" si="4"/>
        <v>3.2410091360515683</v>
      </c>
      <c r="M22">
        <f t="shared" si="5"/>
        <v>1.4752203851744001</v>
      </c>
      <c r="N22">
        <f t="shared" si="6"/>
        <v>0.18143956898543145</v>
      </c>
      <c r="O22">
        <f t="shared" si="7"/>
        <v>2.2480646661113712</v>
      </c>
      <c r="P22">
        <f t="shared" si="8"/>
        <v>0.17367903531615692</v>
      </c>
      <c r="Q22">
        <f t="shared" si="9"/>
        <v>0.10921898881523287</v>
      </c>
      <c r="R22">
        <f t="shared" si="10"/>
        <v>281.53802334074805</v>
      </c>
      <c r="S22">
        <f t="shared" si="11"/>
        <v>27.143298778461535</v>
      </c>
      <c r="T22">
        <f t="shared" si="12"/>
        <v>27.024000000000001</v>
      </c>
      <c r="U22">
        <f t="shared" si="13"/>
        <v>3.584207907538556</v>
      </c>
      <c r="V22">
        <f t="shared" si="14"/>
        <v>55.052937921336223</v>
      </c>
      <c r="W22">
        <f t="shared" si="15"/>
        <v>1.8632859038976</v>
      </c>
      <c r="X22">
        <f t="shared" si="16"/>
        <v>3.3845349117607548</v>
      </c>
      <c r="Y22">
        <f t="shared" si="17"/>
        <v>1.720922003640956</v>
      </c>
      <c r="Z22">
        <f t="shared" si="18"/>
        <v>-136.61850649351376</v>
      </c>
      <c r="AA22">
        <f t="shared" si="19"/>
        <v>-117.87684633294079</v>
      </c>
      <c r="AB22">
        <f t="shared" si="20"/>
        <v>-11.263841569457712</v>
      </c>
      <c r="AC22">
        <f t="shared" si="21"/>
        <v>15.77882894483578</v>
      </c>
      <c r="AD22">
        <v>-4.1131665589604398E-2</v>
      </c>
      <c r="AE22">
        <v>4.6173897956141602E-2</v>
      </c>
      <c r="AF22">
        <v>3.4517612396002799</v>
      </c>
      <c r="AG22">
        <v>1</v>
      </c>
      <c r="AH22">
        <v>0</v>
      </c>
      <c r="AI22">
        <f t="shared" si="22"/>
        <v>1</v>
      </c>
      <c r="AJ22">
        <f t="shared" si="23"/>
        <v>0</v>
      </c>
      <c r="AK22">
        <f t="shared" si="24"/>
        <v>52613.875641860948</v>
      </c>
      <c r="AL22" t="s">
        <v>344</v>
      </c>
      <c r="AM22">
        <v>589.29941176470595</v>
      </c>
      <c r="AN22">
        <v>3530.99</v>
      </c>
      <c r="AO22">
        <f t="shared" si="25"/>
        <v>2941.6905882352939</v>
      </c>
      <c r="AP22">
        <f t="shared" si="26"/>
        <v>0.83310646256015852</v>
      </c>
      <c r="AQ22">
        <v>1.42453575549529</v>
      </c>
      <c r="AR22" t="s">
        <v>377</v>
      </c>
      <c r="AS22">
        <v>762.76082352941205</v>
      </c>
      <c r="AT22">
        <v>966.13499999999999</v>
      </c>
      <c r="AU22">
        <f t="shared" si="27"/>
        <v>0.21050285567812776</v>
      </c>
      <c r="AV22">
        <v>0.5</v>
      </c>
      <c r="AW22">
        <f t="shared" si="28"/>
        <v>1471.1279998142923</v>
      </c>
      <c r="AX22">
        <f t="shared" si="29"/>
        <v>-2.0176936450569727</v>
      </c>
      <c r="AY22">
        <f t="shared" si="30"/>
        <v>154.83832251448035</v>
      </c>
      <c r="AZ22">
        <f t="shared" si="31"/>
        <v>0.41215254596924855</v>
      </c>
      <c r="BA22">
        <f t="shared" si="32"/>
        <v>-2.3398571714947935E-3</v>
      </c>
      <c r="BB22">
        <f t="shared" si="33"/>
        <v>2.6547583929782066</v>
      </c>
      <c r="BC22" t="s">
        <v>378</v>
      </c>
      <c r="BD22">
        <v>567.94000000000005</v>
      </c>
      <c r="BE22">
        <f t="shared" si="34"/>
        <v>398.19499999999994</v>
      </c>
      <c r="BF22">
        <f t="shared" si="35"/>
        <v>0.51074015613101109</v>
      </c>
      <c r="BG22">
        <f t="shared" si="36"/>
        <v>0.86561313511415594</v>
      </c>
      <c r="BH22">
        <f t="shared" si="37"/>
        <v>0.53968941050122432</v>
      </c>
      <c r="BI22">
        <f t="shared" si="38"/>
        <v>0.8718982921785271</v>
      </c>
      <c r="BJ22">
        <v>8113</v>
      </c>
      <c r="BK22">
        <v>300</v>
      </c>
      <c r="BL22">
        <v>300</v>
      </c>
      <c r="BM22">
        <v>300</v>
      </c>
      <c r="BN22">
        <v>10269.4</v>
      </c>
      <c r="BO22">
        <v>921.25099999999998</v>
      </c>
      <c r="BP22">
        <v>-7.0264300000000002E-3</v>
      </c>
      <c r="BQ22">
        <v>3.7621500000000001</v>
      </c>
      <c r="BR22" t="s">
        <v>347</v>
      </c>
      <c r="BS22" t="s">
        <v>347</v>
      </c>
      <c r="BT22" t="s">
        <v>347</v>
      </c>
      <c r="BU22" t="s">
        <v>347</v>
      </c>
      <c r="BV22" t="s">
        <v>347</v>
      </c>
      <c r="BW22" t="s">
        <v>347</v>
      </c>
      <c r="BX22" t="s">
        <v>347</v>
      </c>
      <c r="BY22" t="s">
        <v>347</v>
      </c>
      <c r="BZ22" t="s">
        <v>347</v>
      </c>
      <c r="CA22" t="s">
        <v>347</v>
      </c>
      <c r="CB22">
        <f t="shared" si="39"/>
        <v>1749.91</v>
      </c>
      <c r="CC22">
        <f t="shared" si="40"/>
        <v>1471.1279998142923</v>
      </c>
      <c r="CD22">
        <f t="shared" si="41"/>
        <v>0.84068780669536847</v>
      </c>
      <c r="CE22">
        <f t="shared" si="42"/>
        <v>0.19137561339073689</v>
      </c>
      <c r="CF22">
        <v>1565557001</v>
      </c>
      <c r="CG22">
        <v>14.8706</v>
      </c>
      <c r="CH22">
        <v>12.504899999999999</v>
      </c>
      <c r="CI22">
        <v>18.782399999999999</v>
      </c>
      <c r="CJ22">
        <v>15.1351</v>
      </c>
      <c r="CK22">
        <v>500.053</v>
      </c>
      <c r="CL22">
        <v>99.103800000000007</v>
      </c>
      <c r="CM22">
        <v>0.100024</v>
      </c>
      <c r="CN22">
        <v>26.051400000000001</v>
      </c>
      <c r="CO22">
        <v>27.024000000000001</v>
      </c>
      <c r="CP22">
        <v>999.9</v>
      </c>
      <c r="CQ22">
        <v>0</v>
      </c>
      <c r="CR22">
        <v>0</v>
      </c>
      <c r="CS22">
        <v>10008.799999999999</v>
      </c>
      <c r="CT22">
        <v>0</v>
      </c>
      <c r="CU22">
        <v>1274.1400000000001</v>
      </c>
      <c r="CV22">
        <v>2.3227199999999999</v>
      </c>
      <c r="CW22">
        <v>15.111499999999999</v>
      </c>
      <c r="CX22">
        <v>12.696999999999999</v>
      </c>
      <c r="CY22">
        <v>3.64927</v>
      </c>
      <c r="CZ22">
        <v>10.8116</v>
      </c>
      <c r="DA22">
        <v>12.504899999999999</v>
      </c>
      <c r="DB22">
        <v>18.3064</v>
      </c>
      <c r="DC22">
        <v>15.1351</v>
      </c>
      <c r="DD22">
        <v>1.8615999999999999</v>
      </c>
      <c r="DE22">
        <v>1.4999400000000001</v>
      </c>
      <c r="DF22">
        <v>16.3139</v>
      </c>
      <c r="DG22">
        <v>12.967599999999999</v>
      </c>
      <c r="DH22">
        <v>1749.91</v>
      </c>
      <c r="DI22">
        <v>0.97700799999999999</v>
      </c>
      <c r="DJ22">
        <v>2.2991999999999999E-2</v>
      </c>
      <c r="DK22">
        <v>0</v>
      </c>
      <c r="DL22">
        <v>762.76499999999999</v>
      </c>
      <c r="DM22">
        <v>5.0002700000000004</v>
      </c>
      <c r="DN22">
        <v>17715.099999999999</v>
      </c>
      <c r="DO22">
        <v>14144.9</v>
      </c>
      <c r="DP22">
        <v>49.625</v>
      </c>
      <c r="DQ22">
        <v>52</v>
      </c>
      <c r="DR22">
        <v>50.75</v>
      </c>
      <c r="DS22">
        <v>51.186999999999998</v>
      </c>
      <c r="DT22">
        <v>50.875</v>
      </c>
      <c r="DU22">
        <v>1704.79</v>
      </c>
      <c r="DV22">
        <v>40.119999999999997</v>
      </c>
      <c r="DW22">
        <v>0</v>
      </c>
      <c r="DX22">
        <v>96.799999952316298</v>
      </c>
      <c r="DY22">
        <v>762.76082352941205</v>
      </c>
      <c r="DZ22">
        <v>3.4200980358356801</v>
      </c>
      <c r="EA22">
        <v>452.10784509437099</v>
      </c>
      <c r="EB22">
        <v>17666.076470588199</v>
      </c>
      <c r="EC22">
        <v>10</v>
      </c>
      <c r="ED22">
        <v>1565557027</v>
      </c>
      <c r="EE22" t="s">
        <v>379</v>
      </c>
      <c r="EF22">
        <v>74</v>
      </c>
      <c r="EG22">
        <v>4.0590000000000002</v>
      </c>
      <c r="EH22">
        <v>0.47599999999999998</v>
      </c>
      <c r="EI22">
        <v>12</v>
      </c>
      <c r="EJ22">
        <v>15</v>
      </c>
      <c r="EK22">
        <v>0.21</v>
      </c>
      <c r="EL22">
        <v>0.06</v>
      </c>
      <c r="EM22">
        <v>-1.9841001495280599</v>
      </c>
      <c r="EN22">
        <v>8.3114794641296494E-2</v>
      </c>
      <c r="EO22">
        <v>2.7628966472048301E-2</v>
      </c>
      <c r="EP22">
        <v>1</v>
      </c>
      <c r="EQ22">
        <v>0.17686432853784101</v>
      </c>
      <c r="ER22">
        <v>4.15341851698382E-2</v>
      </c>
      <c r="ES22">
        <v>4.4470494054794103E-3</v>
      </c>
      <c r="ET22">
        <v>1</v>
      </c>
      <c r="EU22">
        <v>2</v>
      </c>
      <c r="EV22">
        <v>2</v>
      </c>
      <c r="EW22" t="s">
        <v>349</v>
      </c>
      <c r="EX22">
        <v>2.9488099999999999</v>
      </c>
      <c r="EY22">
        <v>2.7775099999999999</v>
      </c>
      <c r="EZ22">
        <v>3.0755000000000001E-3</v>
      </c>
      <c r="FA22">
        <v>3.4647300000000001E-3</v>
      </c>
      <c r="FB22">
        <v>9.2602799999999999E-2</v>
      </c>
      <c r="FC22">
        <v>7.6717800000000003E-2</v>
      </c>
      <c r="FD22">
        <v>23874.1</v>
      </c>
      <c r="FE22">
        <v>24077.8</v>
      </c>
      <c r="FF22">
        <v>22526.7</v>
      </c>
      <c r="FG22">
        <v>26508.5</v>
      </c>
      <c r="FH22">
        <v>29217.7</v>
      </c>
      <c r="FI22">
        <v>38414.5</v>
      </c>
      <c r="FJ22">
        <v>32175</v>
      </c>
      <c r="FK22">
        <v>42229.2</v>
      </c>
      <c r="FL22">
        <v>1.9252</v>
      </c>
      <c r="FM22">
        <v>1.8208200000000001</v>
      </c>
      <c r="FN22">
        <v>8.7022799999999997E-3</v>
      </c>
      <c r="FO22">
        <v>0</v>
      </c>
      <c r="FP22">
        <v>26.881699999999999</v>
      </c>
      <c r="FQ22">
        <v>999.9</v>
      </c>
      <c r="FR22">
        <v>33.981999999999999</v>
      </c>
      <c r="FS22">
        <v>42.841999999999999</v>
      </c>
      <c r="FT22">
        <v>29.543500000000002</v>
      </c>
      <c r="FU22">
        <v>61.643000000000001</v>
      </c>
      <c r="FV22">
        <v>46.274000000000001</v>
      </c>
      <c r="FW22">
        <v>1</v>
      </c>
      <c r="FX22">
        <v>0.60566799999999998</v>
      </c>
      <c r="FY22">
        <v>6.8433900000000003</v>
      </c>
      <c r="FZ22">
        <v>20.129000000000001</v>
      </c>
      <c r="GA22">
        <v>5.22403</v>
      </c>
      <c r="GB22">
        <v>11.962</v>
      </c>
      <c r="GC22">
        <v>4.9717000000000002</v>
      </c>
      <c r="GD22">
        <v>3.2949999999999999</v>
      </c>
      <c r="GE22">
        <v>9999</v>
      </c>
      <c r="GF22">
        <v>9999</v>
      </c>
      <c r="GG22">
        <v>506.8</v>
      </c>
      <c r="GH22">
        <v>9999</v>
      </c>
      <c r="GI22">
        <v>1.8660099999999999</v>
      </c>
      <c r="GJ22">
        <v>1.8655200000000001</v>
      </c>
      <c r="GK22">
        <v>1.86568</v>
      </c>
      <c r="GL22">
        <v>1.8686199999999999</v>
      </c>
      <c r="GM22">
        <v>1.8629199999999999</v>
      </c>
      <c r="GN22">
        <v>1.8610800000000001</v>
      </c>
      <c r="GO22">
        <v>1.8573</v>
      </c>
      <c r="GP22">
        <v>1.8633999999999999</v>
      </c>
      <c r="GQ22" t="s">
        <v>350</v>
      </c>
      <c r="GR22" t="s">
        <v>19</v>
      </c>
      <c r="GS22" t="s">
        <v>19</v>
      </c>
      <c r="GT22" t="s">
        <v>19</v>
      </c>
      <c r="GU22" t="s">
        <v>351</v>
      </c>
      <c r="GV22" t="s">
        <v>352</v>
      </c>
      <c r="GW22" t="s">
        <v>353</v>
      </c>
      <c r="GX22" t="s">
        <v>353</v>
      </c>
      <c r="GY22" t="s">
        <v>353</v>
      </c>
      <c r="GZ22" t="s">
        <v>353</v>
      </c>
      <c r="HA22">
        <v>0</v>
      </c>
      <c r="HB22">
        <v>100</v>
      </c>
      <c r="HC22">
        <v>100</v>
      </c>
      <c r="HD22">
        <v>4.0590000000000002</v>
      </c>
      <c r="HE22">
        <v>0.47599999999999998</v>
      </c>
      <c r="HF22">
        <v>2</v>
      </c>
      <c r="HG22">
        <v>497.41800000000001</v>
      </c>
      <c r="HH22">
        <v>468.01900000000001</v>
      </c>
      <c r="HI22">
        <v>20.420100000000001</v>
      </c>
      <c r="HJ22">
        <v>34.830800000000004</v>
      </c>
      <c r="HK22">
        <v>30.000299999999999</v>
      </c>
      <c r="HL22">
        <v>34.7361</v>
      </c>
      <c r="HM22">
        <v>34.723399999999998</v>
      </c>
      <c r="HN22">
        <v>3.3353000000000002</v>
      </c>
      <c r="HO22">
        <v>55.197699999999998</v>
      </c>
      <c r="HP22">
        <v>0</v>
      </c>
      <c r="HQ22">
        <v>20.4057</v>
      </c>
      <c r="HR22">
        <v>12.5</v>
      </c>
      <c r="HS22">
        <v>15.180099999999999</v>
      </c>
      <c r="HT22">
        <v>99.046400000000006</v>
      </c>
      <c r="HU22">
        <v>102.96599999999999</v>
      </c>
    </row>
    <row r="23" spans="1:229" x14ac:dyDescent="0.35">
      <c r="A23">
        <v>8</v>
      </c>
      <c r="B23">
        <v>1565557186.5</v>
      </c>
      <c r="C23">
        <v>711</v>
      </c>
      <c r="D23" t="s">
        <v>380</v>
      </c>
      <c r="E23" t="s">
        <v>381</v>
      </c>
      <c r="G23">
        <v>1565557186.5</v>
      </c>
      <c r="H23">
        <f t="shared" si="0"/>
        <v>3.6836793718172545E-3</v>
      </c>
      <c r="I23">
        <f t="shared" si="1"/>
        <v>21.174580141776286</v>
      </c>
      <c r="J23">
        <f t="shared" si="2"/>
        <v>372.911</v>
      </c>
      <c r="K23">
        <f t="shared" si="3"/>
        <v>203.57899296084014</v>
      </c>
      <c r="L23">
        <f t="shared" si="4"/>
        <v>20.19528978149847</v>
      </c>
      <c r="M23">
        <f t="shared" si="5"/>
        <v>36.993235884397102</v>
      </c>
      <c r="N23">
        <f t="shared" si="6"/>
        <v>0.21985125477529877</v>
      </c>
      <c r="O23">
        <f t="shared" si="7"/>
        <v>2.2474485979408314</v>
      </c>
      <c r="P23">
        <f t="shared" si="8"/>
        <v>0.20856389110243759</v>
      </c>
      <c r="Q23">
        <f t="shared" si="9"/>
        <v>0.13131824678720269</v>
      </c>
      <c r="R23">
        <f t="shared" si="10"/>
        <v>281.55398324615771</v>
      </c>
      <c r="S23">
        <f t="shared" si="11"/>
        <v>27.125275804805618</v>
      </c>
      <c r="T23">
        <f t="shared" si="12"/>
        <v>27.003</v>
      </c>
      <c r="U23">
        <f t="shared" si="13"/>
        <v>3.57979038000185</v>
      </c>
      <c r="V23">
        <f t="shared" si="14"/>
        <v>54.849701160359629</v>
      </c>
      <c r="W23">
        <f t="shared" si="15"/>
        <v>1.87586580337717</v>
      </c>
      <c r="X23">
        <f t="shared" si="16"/>
        <v>3.4200109821799263</v>
      </c>
      <c r="Y23">
        <f t="shared" si="17"/>
        <v>1.70392457662468</v>
      </c>
      <c r="Z23">
        <f t="shared" si="18"/>
        <v>-162.45026029714091</v>
      </c>
      <c r="AA23">
        <f t="shared" si="19"/>
        <v>-93.926680719206885</v>
      </c>
      <c r="AB23">
        <f t="shared" si="20"/>
        <v>-8.9846991204153408</v>
      </c>
      <c r="AC23">
        <f t="shared" si="21"/>
        <v>16.192343109394599</v>
      </c>
      <c r="AD23">
        <v>-4.1115095078154897E-2</v>
      </c>
      <c r="AE23">
        <v>4.6155296105382902E-2</v>
      </c>
      <c r="AF23">
        <v>3.4506602441221101</v>
      </c>
      <c r="AG23">
        <v>0</v>
      </c>
      <c r="AH23">
        <v>0</v>
      </c>
      <c r="AI23">
        <f t="shared" si="22"/>
        <v>1</v>
      </c>
      <c r="AJ23">
        <f t="shared" si="23"/>
        <v>0</v>
      </c>
      <c r="AK23">
        <f t="shared" si="24"/>
        <v>52562.494175195236</v>
      </c>
      <c r="AL23" t="s">
        <v>344</v>
      </c>
      <c r="AM23">
        <v>589.29941176470595</v>
      </c>
      <c r="AN23">
        <v>3530.99</v>
      </c>
      <c r="AO23">
        <f t="shared" si="25"/>
        <v>2941.6905882352939</v>
      </c>
      <c r="AP23">
        <f t="shared" si="26"/>
        <v>0.83310646256015852</v>
      </c>
      <c r="AQ23">
        <v>1.42453575549529</v>
      </c>
      <c r="AR23" t="s">
        <v>382</v>
      </c>
      <c r="AS23">
        <v>741.42282352941197</v>
      </c>
      <c r="AT23">
        <v>1085.1300000000001</v>
      </c>
      <c r="AU23">
        <f t="shared" si="27"/>
        <v>0.31674285704992777</v>
      </c>
      <c r="AV23">
        <v>0.5</v>
      </c>
      <c r="AW23">
        <f t="shared" si="28"/>
        <v>1471.2119998143028</v>
      </c>
      <c r="AX23">
        <f t="shared" si="29"/>
        <v>21.174580141776286</v>
      </c>
      <c r="AY23">
        <f t="shared" si="30"/>
        <v>232.99794607366005</v>
      </c>
      <c r="AZ23">
        <f t="shared" si="31"/>
        <v>0.51045496852911632</v>
      </c>
      <c r="BA23">
        <f t="shared" si="32"/>
        <v>1.3424336117958431E-2</v>
      </c>
      <c r="BB23">
        <f t="shared" si="33"/>
        <v>2.2539787859519129</v>
      </c>
      <c r="BC23" t="s">
        <v>383</v>
      </c>
      <c r="BD23">
        <v>531.22</v>
      </c>
      <c r="BE23">
        <f t="shared" si="34"/>
        <v>553.91000000000008</v>
      </c>
      <c r="BF23">
        <f t="shared" si="35"/>
        <v>0.62051087084650591</v>
      </c>
      <c r="BG23">
        <f t="shared" si="36"/>
        <v>0.81534917677021912</v>
      </c>
      <c r="BH23">
        <f t="shared" si="37"/>
        <v>0.69319478189894057</v>
      </c>
      <c r="BI23">
        <f t="shared" si="38"/>
        <v>0.83144706305337823</v>
      </c>
      <c r="BJ23">
        <v>8117</v>
      </c>
      <c r="BK23">
        <v>300</v>
      </c>
      <c r="BL23">
        <v>300</v>
      </c>
      <c r="BM23">
        <v>300</v>
      </c>
      <c r="BN23">
        <v>10278.9</v>
      </c>
      <c r="BO23">
        <v>999.95799999999997</v>
      </c>
      <c r="BP23">
        <v>-7.0332499999999996E-3</v>
      </c>
      <c r="BQ23">
        <v>2.0475500000000002</v>
      </c>
      <c r="BR23" t="s">
        <v>347</v>
      </c>
      <c r="BS23" t="s">
        <v>347</v>
      </c>
      <c r="BT23" t="s">
        <v>347</v>
      </c>
      <c r="BU23" t="s">
        <v>347</v>
      </c>
      <c r="BV23" t="s">
        <v>347</v>
      </c>
      <c r="BW23" t="s">
        <v>347</v>
      </c>
      <c r="BX23" t="s">
        <v>347</v>
      </c>
      <c r="BY23" t="s">
        <v>347</v>
      </c>
      <c r="BZ23" t="s">
        <v>347</v>
      </c>
      <c r="CA23" t="s">
        <v>347</v>
      </c>
      <c r="CB23">
        <f t="shared" si="39"/>
        <v>1750.01</v>
      </c>
      <c r="CC23">
        <f t="shared" si="40"/>
        <v>1471.2119998143028</v>
      </c>
      <c r="CD23">
        <f t="shared" si="41"/>
        <v>0.8406877673923594</v>
      </c>
      <c r="CE23">
        <f t="shared" si="42"/>
        <v>0.19137553478471875</v>
      </c>
      <c r="CF23">
        <v>1565557186.5</v>
      </c>
      <c r="CG23">
        <v>372.911</v>
      </c>
      <c r="CH23">
        <v>399.97</v>
      </c>
      <c r="CI23">
        <v>18.909700000000001</v>
      </c>
      <c r="CJ23">
        <v>14.572699999999999</v>
      </c>
      <c r="CK23">
        <v>499.98</v>
      </c>
      <c r="CL23">
        <v>99.101500000000001</v>
      </c>
      <c r="CM23">
        <v>9.9746100000000004E-2</v>
      </c>
      <c r="CN23">
        <v>26.227799999999998</v>
      </c>
      <c r="CO23">
        <v>27.003</v>
      </c>
      <c r="CP23">
        <v>999.9</v>
      </c>
      <c r="CQ23">
        <v>0</v>
      </c>
      <c r="CR23">
        <v>0</v>
      </c>
      <c r="CS23">
        <v>10005</v>
      </c>
      <c r="CT23">
        <v>0</v>
      </c>
      <c r="CU23">
        <v>1329.51</v>
      </c>
      <c r="CV23">
        <v>-27.124400000000001</v>
      </c>
      <c r="CW23">
        <v>380.03300000000002</v>
      </c>
      <c r="CX23">
        <v>405.88400000000001</v>
      </c>
      <c r="CY23">
        <v>4.3399900000000002</v>
      </c>
      <c r="CZ23">
        <v>368.464</v>
      </c>
      <c r="DA23">
        <v>399.97</v>
      </c>
      <c r="DB23">
        <v>18.453700000000001</v>
      </c>
      <c r="DC23">
        <v>14.572699999999999</v>
      </c>
      <c r="DD23">
        <v>1.8742700000000001</v>
      </c>
      <c r="DE23">
        <v>1.44417</v>
      </c>
      <c r="DF23">
        <v>16.420400000000001</v>
      </c>
      <c r="DG23">
        <v>12.3896</v>
      </c>
      <c r="DH23">
        <v>1750.01</v>
      </c>
      <c r="DI23">
        <v>0.97700799999999999</v>
      </c>
      <c r="DJ23">
        <v>2.29924E-2</v>
      </c>
      <c r="DK23">
        <v>0</v>
      </c>
      <c r="DL23">
        <v>741.51800000000003</v>
      </c>
      <c r="DM23">
        <v>5.0002700000000004</v>
      </c>
      <c r="DN23">
        <v>17475.099999999999</v>
      </c>
      <c r="DO23">
        <v>14145.8</v>
      </c>
      <c r="DP23">
        <v>48.25</v>
      </c>
      <c r="DQ23">
        <v>50.436999999999998</v>
      </c>
      <c r="DR23">
        <v>49.186999999999998</v>
      </c>
      <c r="DS23">
        <v>49.625</v>
      </c>
      <c r="DT23">
        <v>49.5</v>
      </c>
      <c r="DU23">
        <v>1704.89</v>
      </c>
      <c r="DV23">
        <v>40.119999999999997</v>
      </c>
      <c r="DW23">
        <v>0</v>
      </c>
      <c r="DX23">
        <v>86.5</v>
      </c>
      <c r="DY23">
        <v>741.42282352941197</v>
      </c>
      <c r="DZ23">
        <v>7.0095588073589603</v>
      </c>
      <c r="EA23">
        <v>-639.16666632957003</v>
      </c>
      <c r="EB23">
        <v>17519.370588235299</v>
      </c>
      <c r="EC23">
        <v>10</v>
      </c>
      <c r="ED23">
        <v>1565557212.5</v>
      </c>
      <c r="EE23" t="s">
        <v>384</v>
      </c>
      <c r="EF23">
        <v>76</v>
      </c>
      <c r="EG23">
        <v>4.4470000000000001</v>
      </c>
      <c r="EH23">
        <v>0.45600000000000002</v>
      </c>
      <c r="EI23">
        <v>400</v>
      </c>
      <c r="EJ23">
        <v>15</v>
      </c>
      <c r="EK23">
        <v>0.09</v>
      </c>
      <c r="EL23">
        <v>0.05</v>
      </c>
      <c r="EM23">
        <v>21.356352005776799</v>
      </c>
      <c r="EN23">
        <v>6.1152261755093397E-2</v>
      </c>
      <c r="EO23">
        <v>6.01247394464876E-2</v>
      </c>
      <c r="EP23">
        <v>1</v>
      </c>
      <c r="EQ23">
        <v>0.222044545399433</v>
      </c>
      <c r="ER23">
        <v>-1.23873267030083E-2</v>
      </c>
      <c r="ES23">
        <v>1.30327632702702E-3</v>
      </c>
      <c r="ET23">
        <v>1</v>
      </c>
      <c r="EU23">
        <v>2</v>
      </c>
      <c r="EV23">
        <v>2</v>
      </c>
      <c r="EW23" t="s">
        <v>349</v>
      </c>
      <c r="EX23">
        <v>2.9486599999999998</v>
      </c>
      <c r="EY23">
        <v>2.7772000000000001</v>
      </c>
      <c r="EZ23">
        <v>8.7844400000000003E-2</v>
      </c>
      <c r="FA23">
        <v>9.1152399999999995E-2</v>
      </c>
      <c r="FB23">
        <v>9.3146099999999996E-2</v>
      </c>
      <c r="FC23">
        <v>7.4612700000000004E-2</v>
      </c>
      <c r="FD23">
        <v>21848.5</v>
      </c>
      <c r="FE23">
        <v>21964.1</v>
      </c>
      <c r="FF23">
        <v>22528.7</v>
      </c>
      <c r="FG23">
        <v>26512.5</v>
      </c>
      <c r="FH23">
        <v>29203.7</v>
      </c>
      <c r="FI23">
        <v>38508.1</v>
      </c>
      <c r="FJ23">
        <v>32178</v>
      </c>
      <c r="FK23">
        <v>42234.6</v>
      </c>
      <c r="FL23">
        <v>1.9264699999999999</v>
      </c>
      <c r="FM23">
        <v>1.82033</v>
      </c>
      <c r="FN23">
        <v>-3.4906E-3</v>
      </c>
      <c r="FO23">
        <v>0</v>
      </c>
      <c r="FP23">
        <v>27.060099999999998</v>
      </c>
      <c r="FQ23">
        <v>999.9</v>
      </c>
      <c r="FR23">
        <v>33.835999999999999</v>
      </c>
      <c r="FS23">
        <v>43.014000000000003</v>
      </c>
      <c r="FT23">
        <v>29.685099999999998</v>
      </c>
      <c r="FU23">
        <v>61.622999999999998</v>
      </c>
      <c r="FV23">
        <v>46.298099999999998</v>
      </c>
      <c r="FW23">
        <v>1</v>
      </c>
      <c r="FX23">
        <v>0.59767800000000004</v>
      </c>
      <c r="FY23">
        <v>6.2962100000000003</v>
      </c>
      <c r="FZ23">
        <v>20.148900000000001</v>
      </c>
      <c r="GA23">
        <v>5.2225299999999999</v>
      </c>
      <c r="GB23">
        <v>11.962</v>
      </c>
      <c r="GC23">
        <v>4.9711999999999996</v>
      </c>
      <c r="GD23">
        <v>3.2947500000000001</v>
      </c>
      <c r="GE23">
        <v>9999</v>
      </c>
      <c r="GF23">
        <v>9999</v>
      </c>
      <c r="GG23">
        <v>506.9</v>
      </c>
      <c r="GH23">
        <v>9999</v>
      </c>
      <c r="GI23">
        <v>1.8660099999999999</v>
      </c>
      <c r="GJ23">
        <v>1.86551</v>
      </c>
      <c r="GK23">
        <v>1.8656900000000001</v>
      </c>
      <c r="GL23">
        <v>1.8686100000000001</v>
      </c>
      <c r="GM23">
        <v>1.86293</v>
      </c>
      <c r="GN23">
        <v>1.8610800000000001</v>
      </c>
      <c r="GO23">
        <v>1.8573</v>
      </c>
      <c r="GP23">
        <v>1.8633999999999999</v>
      </c>
      <c r="GQ23" t="s">
        <v>350</v>
      </c>
      <c r="GR23" t="s">
        <v>19</v>
      </c>
      <c r="GS23" t="s">
        <v>19</v>
      </c>
      <c r="GT23" t="s">
        <v>19</v>
      </c>
      <c r="GU23" t="s">
        <v>351</v>
      </c>
      <c r="GV23" t="s">
        <v>352</v>
      </c>
      <c r="GW23" t="s">
        <v>353</v>
      </c>
      <c r="GX23" t="s">
        <v>353</v>
      </c>
      <c r="GY23" t="s">
        <v>353</v>
      </c>
      <c r="GZ23" t="s">
        <v>353</v>
      </c>
      <c r="HA23">
        <v>0</v>
      </c>
      <c r="HB23">
        <v>100</v>
      </c>
      <c r="HC23">
        <v>100</v>
      </c>
      <c r="HD23">
        <v>4.4470000000000001</v>
      </c>
      <c r="HE23">
        <v>0.45600000000000002</v>
      </c>
      <c r="HF23">
        <v>2</v>
      </c>
      <c r="HG23">
        <v>498.03300000000002</v>
      </c>
      <c r="HH23">
        <v>467.43299999999999</v>
      </c>
      <c r="HI23">
        <v>20.8064</v>
      </c>
      <c r="HJ23">
        <v>34.783200000000001</v>
      </c>
      <c r="HK23">
        <v>29.999400000000001</v>
      </c>
      <c r="HL23">
        <v>34.7044</v>
      </c>
      <c r="HM23">
        <v>34.688699999999997</v>
      </c>
      <c r="HN23">
        <v>21.146799999999999</v>
      </c>
      <c r="HO23">
        <v>58.840800000000002</v>
      </c>
      <c r="HP23">
        <v>0</v>
      </c>
      <c r="HQ23">
        <v>20.814800000000002</v>
      </c>
      <c r="HR23">
        <v>400</v>
      </c>
      <c r="HS23">
        <v>14.4908</v>
      </c>
      <c r="HT23">
        <v>99.055300000000003</v>
      </c>
      <c r="HU23">
        <v>102.98</v>
      </c>
    </row>
    <row r="24" spans="1:229" x14ac:dyDescent="0.35">
      <c r="A24">
        <v>9</v>
      </c>
      <c r="B24">
        <v>1565557303.5</v>
      </c>
      <c r="C24">
        <v>828</v>
      </c>
      <c r="D24" t="s">
        <v>385</v>
      </c>
      <c r="E24" t="s">
        <v>386</v>
      </c>
      <c r="G24">
        <v>1565557303.5</v>
      </c>
      <c r="H24">
        <f t="shared" si="0"/>
        <v>2.2446766018775583E-3</v>
      </c>
      <c r="I24">
        <f t="shared" si="1"/>
        <v>20.496337038746347</v>
      </c>
      <c r="J24">
        <f t="shared" si="2"/>
        <v>474.09699999999998</v>
      </c>
      <c r="K24">
        <f t="shared" si="3"/>
        <v>203.65405771444716</v>
      </c>
      <c r="L24">
        <f t="shared" si="4"/>
        <v>20.201962515002194</v>
      </c>
      <c r="M24">
        <f t="shared" si="5"/>
        <v>47.029211840720201</v>
      </c>
      <c r="N24">
        <f t="shared" si="6"/>
        <v>0.12919336492279115</v>
      </c>
      <c r="O24">
        <f t="shared" si="7"/>
        <v>2.2470064039133177</v>
      </c>
      <c r="P24">
        <f t="shared" si="8"/>
        <v>0.1252040502644185</v>
      </c>
      <c r="Q24">
        <f t="shared" si="9"/>
        <v>7.8600694215478509E-2</v>
      </c>
      <c r="R24">
        <f t="shared" si="10"/>
        <v>281.55510689703749</v>
      </c>
      <c r="S24">
        <f t="shared" si="11"/>
        <v>27.433522735643329</v>
      </c>
      <c r="T24">
        <f t="shared" si="12"/>
        <v>27.0396</v>
      </c>
      <c r="U24">
        <f t="shared" si="13"/>
        <v>3.5874925791101218</v>
      </c>
      <c r="V24">
        <f t="shared" si="14"/>
        <v>54.873703784791694</v>
      </c>
      <c r="W24">
        <f t="shared" si="15"/>
        <v>1.85787889711606</v>
      </c>
      <c r="X24">
        <f t="shared" si="16"/>
        <v>3.3857362798079853</v>
      </c>
      <c r="Y24">
        <f t="shared" si="17"/>
        <v>1.7296136819940617</v>
      </c>
      <c r="Z24">
        <f t="shared" si="18"/>
        <v>-98.990238142800322</v>
      </c>
      <c r="AA24">
        <f t="shared" si="19"/>
        <v>-118.98430640316427</v>
      </c>
      <c r="AB24">
        <f t="shared" si="20"/>
        <v>-11.376251793593971</v>
      </c>
      <c r="AC24">
        <f t="shared" si="21"/>
        <v>52.204310557478962</v>
      </c>
      <c r="AD24">
        <v>-4.1103203818830598E-2</v>
      </c>
      <c r="AE24">
        <v>4.6141947125059903E-2</v>
      </c>
      <c r="AF24">
        <v>3.4498700586408599</v>
      </c>
      <c r="AG24">
        <v>1</v>
      </c>
      <c r="AH24">
        <v>0</v>
      </c>
      <c r="AI24">
        <f t="shared" si="22"/>
        <v>1</v>
      </c>
      <c r="AJ24">
        <f t="shared" si="23"/>
        <v>0</v>
      </c>
      <c r="AK24">
        <f t="shared" si="24"/>
        <v>52577.771280006411</v>
      </c>
      <c r="AL24" t="s">
        <v>344</v>
      </c>
      <c r="AM24">
        <v>589.29941176470595</v>
      </c>
      <c r="AN24">
        <v>3530.99</v>
      </c>
      <c r="AO24">
        <f t="shared" si="25"/>
        <v>2941.6905882352939</v>
      </c>
      <c r="AP24">
        <f t="shared" si="26"/>
        <v>0.83310646256015852</v>
      </c>
      <c r="AQ24">
        <v>1.42453575549529</v>
      </c>
      <c r="AR24" t="s">
        <v>387</v>
      </c>
      <c r="AS24">
        <v>751.62358823529405</v>
      </c>
      <c r="AT24">
        <v>1109.01</v>
      </c>
      <c r="AU24">
        <f t="shared" si="27"/>
        <v>0.32225715887566919</v>
      </c>
      <c r="AV24">
        <v>0.5</v>
      </c>
      <c r="AW24">
        <f t="shared" si="28"/>
        <v>1471.2125998142101</v>
      </c>
      <c r="AX24">
        <f t="shared" si="29"/>
        <v>20.496337038746347</v>
      </c>
      <c r="AY24">
        <f t="shared" si="30"/>
        <v>237.05439625910711</v>
      </c>
      <c r="AZ24">
        <f t="shared" si="31"/>
        <v>0.51533349564025577</v>
      </c>
      <c r="BA24">
        <f t="shared" si="32"/>
        <v>1.2963321062951411E-2</v>
      </c>
      <c r="BB24">
        <f t="shared" si="33"/>
        <v>2.1839117771706293</v>
      </c>
      <c r="BC24" t="s">
        <v>388</v>
      </c>
      <c r="BD24">
        <v>537.5</v>
      </c>
      <c r="BE24">
        <f t="shared" si="34"/>
        <v>571.51</v>
      </c>
      <c r="BF24">
        <f t="shared" si="35"/>
        <v>0.62533711005005332</v>
      </c>
      <c r="BG24">
        <f t="shared" si="36"/>
        <v>0.80908237542133088</v>
      </c>
      <c r="BH24">
        <f t="shared" si="37"/>
        <v>0.68766428826903681</v>
      </c>
      <c r="BI24">
        <f t="shared" si="38"/>
        <v>0.82332928204149902</v>
      </c>
      <c r="BJ24">
        <v>8119</v>
      </c>
      <c r="BK24">
        <v>300</v>
      </c>
      <c r="BL24">
        <v>300</v>
      </c>
      <c r="BM24">
        <v>300</v>
      </c>
      <c r="BN24">
        <v>10284.700000000001</v>
      </c>
      <c r="BO24">
        <v>1023.2</v>
      </c>
      <c r="BP24">
        <v>-7.0371399999999999E-3</v>
      </c>
      <c r="BQ24">
        <v>4.62805</v>
      </c>
      <c r="BR24" t="s">
        <v>347</v>
      </c>
      <c r="BS24" t="s">
        <v>347</v>
      </c>
      <c r="BT24" t="s">
        <v>347</v>
      </c>
      <c r="BU24" t="s">
        <v>347</v>
      </c>
      <c r="BV24" t="s">
        <v>347</v>
      </c>
      <c r="BW24" t="s">
        <v>347</v>
      </c>
      <c r="BX24" t="s">
        <v>347</v>
      </c>
      <c r="BY24" t="s">
        <v>347</v>
      </c>
      <c r="BZ24" t="s">
        <v>347</v>
      </c>
      <c r="CA24" t="s">
        <v>347</v>
      </c>
      <c r="CB24">
        <f t="shared" si="39"/>
        <v>1750.01</v>
      </c>
      <c r="CC24">
        <f t="shared" si="40"/>
        <v>1471.2125998142101</v>
      </c>
      <c r="CD24">
        <f t="shared" si="41"/>
        <v>0.84068811024749013</v>
      </c>
      <c r="CE24">
        <f t="shared" si="42"/>
        <v>0.19137622049498029</v>
      </c>
      <c r="CF24">
        <v>1565557303.5</v>
      </c>
      <c r="CG24">
        <v>474.09699999999998</v>
      </c>
      <c r="CH24">
        <v>499.97</v>
      </c>
      <c r="CI24">
        <v>18.729099999999999</v>
      </c>
      <c r="CJ24">
        <v>16.085899999999999</v>
      </c>
      <c r="CK24">
        <v>499.99299999999999</v>
      </c>
      <c r="CL24">
        <v>99.0976</v>
      </c>
      <c r="CM24">
        <v>9.9846599999999994E-2</v>
      </c>
      <c r="CN24">
        <v>26.057400000000001</v>
      </c>
      <c r="CO24">
        <v>27.0396</v>
      </c>
      <c r="CP24">
        <v>999.9</v>
      </c>
      <c r="CQ24">
        <v>0</v>
      </c>
      <c r="CR24">
        <v>0</v>
      </c>
      <c r="CS24">
        <v>10002.5</v>
      </c>
      <c r="CT24">
        <v>0</v>
      </c>
      <c r="CU24">
        <v>1306.0999999999999</v>
      </c>
      <c r="CV24">
        <v>-26.066099999999999</v>
      </c>
      <c r="CW24">
        <v>482.93799999999999</v>
      </c>
      <c r="CX24">
        <v>508.14400000000001</v>
      </c>
      <c r="CY24">
        <v>2.6202200000000002</v>
      </c>
      <c r="CZ24">
        <v>469.45699999999999</v>
      </c>
      <c r="DA24">
        <v>499.97</v>
      </c>
      <c r="DB24">
        <v>18.2501</v>
      </c>
      <c r="DC24">
        <v>16.085899999999999</v>
      </c>
      <c r="DD24">
        <v>1.8537300000000001</v>
      </c>
      <c r="DE24">
        <v>1.5940799999999999</v>
      </c>
      <c r="DF24">
        <v>16.247399999999999</v>
      </c>
      <c r="DG24">
        <v>13.9017</v>
      </c>
      <c r="DH24">
        <v>1750.01</v>
      </c>
      <c r="DI24">
        <v>0.97699599999999998</v>
      </c>
      <c r="DJ24">
        <v>2.30041E-2</v>
      </c>
      <c r="DK24">
        <v>0</v>
      </c>
      <c r="DL24">
        <v>751.51900000000001</v>
      </c>
      <c r="DM24">
        <v>5.0002700000000004</v>
      </c>
      <c r="DN24">
        <v>17571.5</v>
      </c>
      <c r="DO24">
        <v>14145.8</v>
      </c>
      <c r="DP24">
        <v>47.375</v>
      </c>
      <c r="DQ24">
        <v>49.75</v>
      </c>
      <c r="DR24">
        <v>48.375</v>
      </c>
      <c r="DS24">
        <v>48.875</v>
      </c>
      <c r="DT24">
        <v>48.75</v>
      </c>
      <c r="DU24">
        <v>1704.87</v>
      </c>
      <c r="DV24">
        <v>40.14</v>
      </c>
      <c r="DW24">
        <v>0</v>
      </c>
      <c r="DX24">
        <v>116.59999990463299</v>
      </c>
      <c r="DY24">
        <v>751.62358823529405</v>
      </c>
      <c r="DZ24">
        <v>-1.1676470480935901</v>
      </c>
      <c r="EA24">
        <v>114.87745155877001</v>
      </c>
      <c r="EB24">
        <v>17579.747058823501</v>
      </c>
      <c r="EC24">
        <v>10</v>
      </c>
      <c r="ED24">
        <v>1565557328</v>
      </c>
      <c r="EE24" t="s">
        <v>389</v>
      </c>
      <c r="EF24">
        <v>77</v>
      </c>
      <c r="EG24">
        <v>4.6399999999999997</v>
      </c>
      <c r="EH24">
        <v>0.47899999999999998</v>
      </c>
      <c r="EI24">
        <v>500</v>
      </c>
      <c r="EJ24">
        <v>16</v>
      </c>
      <c r="EK24">
        <v>0.08</v>
      </c>
      <c r="EL24">
        <v>0.08</v>
      </c>
      <c r="EM24">
        <v>21.294861910018302</v>
      </c>
      <c r="EN24">
        <v>-3.6822323439062501</v>
      </c>
      <c r="EO24">
        <v>0.37638150916090601</v>
      </c>
      <c r="EP24">
        <v>0</v>
      </c>
      <c r="EQ24">
        <v>0.13432435207277599</v>
      </c>
      <c r="ER24">
        <v>-2.5368548018796899E-2</v>
      </c>
      <c r="ES24">
        <v>2.7251418346430998E-3</v>
      </c>
      <c r="ET24">
        <v>1</v>
      </c>
      <c r="EU24">
        <v>1</v>
      </c>
      <c r="EV24">
        <v>2</v>
      </c>
      <c r="EW24" t="s">
        <v>369</v>
      </c>
      <c r="EX24">
        <v>2.94868</v>
      </c>
      <c r="EY24">
        <v>2.7772800000000002</v>
      </c>
      <c r="EZ24">
        <v>0.10564</v>
      </c>
      <c r="FA24">
        <v>0.10772</v>
      </c>
      <c r="FB24">
        <v>9.2397400000000005E-2</v>
      </c>
      <c r="FC24">
        <v>8.0218300000000006E-2</v>
      </c>
      <c r="FD24">
        <v>21420.6</v>
      </c>
      <c r="FE24">
        <v>21561.599999999999</v>
      </c>
      <c r="FF24">
        <v>22527.1</v>
      </c>
      <c r="FG24">
        <v>26510.400000000001</v>
      </c>
      <c r="FH24">
        <v>29226</v>
      </c>
      <c r="FI24">
        <v>38272.5</v>
      </c>
      <c r="FJ24">
        <v>32175.7</v>
      </c>
      <c r="FK24">
        <v>42231.7</v>
      </c>
      <c r="FL24">
        <v>1.9256500000000001</v>
      </c>
      <c r="FM24">
        <v>1.8207800000000001</v>
      </c>
      <c r="FN24">
        <v>-9.9465300000000003E-3</v>
      </c>
      <c r="FO24">
        <v>0</v>
      </c>
      <c r="FP24">
        <v>27.202300000000001</v>
      </c>
      <c r="FQ24">
        <v>999.9</v>
      </c>
      <c r="FR24">
        <v>33.786999999999999</v>
      </c>
      <c r="FS24">
        <v>43.145000000000003</v>
      </c>
      <c r="FT24">
        <v>29.844000000000001</v>
      </c>
      <c r="FU24">
        <v>61.472999999999999</v>
      </c>
      <c r="FV24">
        <v>46.322099999999999</v>
      </c>
      <c r="FW24">
        <v>1</v>
      </c>
      <c r="FX24">
        <v>0.61311000000000004</v>
      </c>
      <c r="FY24">
        <v>8.6633099999999992</v>
      </c>
      <c r="FZ24">
        <v>20.0501</v>
      </c>
      <c r="GA24">
        <v>5.2264200000000001</v>
      </c>
      <c r="GB24">
        <v>11.962</v>
      </c>
      <c r="GC24">
        <v>4.9713500000000002</v>
      </c>
      <c r="GD24">
        <v>3.2947199999999999</v>
      </c>
      <c r="GE24">
        <v>9999</v>
      </c>
      <c r="GF24">
        <v>9999</v>
      </c>
      <c r="GG24">
        <v>506.9</v>
      </c>
      <c r="GH24">
        <v>9999</v>
      </c>
      <c r="GI24">
        <v>1.8660099999999999</v>
      </c>
      <c r="GJ24">
        <v>1.86551</v>
      </c>
      <c r="GK24">
        <v>1.8656900000000001</v>
      </c>
      <c r="GL24">
        <v>1.8686100000000001</v>
      </c>
      <c r="GM24">
        <v>1.86294</v>
      </c>
      <c r="GN24">
        <v>1.86103</v>
      </c>
      <c r="GO24">
        <v>1.8573</v>
      </c>
      <c r="GP24">
        <v>1.8633999999999999</v>
      </c>
      <c r="GQ24" t="s">
        <v>350</v>
      </c>
      <c r="GR24" t="s">
        <v>19</v>
      </c>
      <c r="GS24" t="s">
        <v>19</v>
      </c>
      <c r="GT24" t="s">
        <v>19</v>
      </c>
      <c r="GU24" t="s">
        <v>351</v>
      </c>
      <c r="GV24" t="s">
        <v>352</v>
      </c>
      <c r="GW24" t="s">
        <v>353</v>
      </c>
      <c r="GX24" t="s">
        <v>353</v>
      </c>
      <c r="GY24" t="s">
        <v>353</v>
      </c>
      <c r="GZ24" t="s">
        <v>353</v>
      </c>
      <c r="HA24">
        <v>0</v>
      </c>
      <c r="HB24">
        <v>100</v>
      </c>
      <c r="HC24">
        <v>100</v>
      </c>
      <c r="HD24">
        <v>4.6399999999999997</v>
      </c>
      <c r="HE24">
        <v>0.47899999999999998</v>
      </c>
      <c r="HF24">
        <v>2</v>
      </c>
      <c r="HG24">
        <v>497.495</v>
      </c>
      <c r="HH24">
        <v>467.78100000000001</v>
      </c>
      <c r="HI24">
        <v>19.418500000000002</v>
      </c>
      <c r="HJ24">
        <v>34.792700000000004</v>
      </c>
      <c r="HK24">
        <v>30.0001</v>
      </c>
      <c r="HL24">
        <v>34.706800000000001</v>
      </c>
      <c r="HM24">
        <v>34.695599999999999</v>
      </c>
      <c r="HN24">
        <v>25.401199999999999</v>
      </c>
      <c r="HO24">
        <v>53.326599999999999</v>
      </c>
      <c r="HP24">
        <v>0</v>
      </c>
      <c r="HQ24">
        <v>19.4145</v>
      </c>
      <c r="HR24">
        <v>500</v>
      </c>
      <c r="HS24">
        <v>16.170999999999999</v>
      </c>
      <c r="HT24">
        <v>99.048400000000001</v>
      </c>
      <c r="HU24">
        <v>102.973</v>
      </c>
    </row>
    <row r="25" spans="1:229" x14ac:dyDescent="0.35">
      <c r="A25">
        <v>10</v>
      </c>
      <c r="B25">
        <v>1565557419</v>
      </c>
      <c r="C25">
        <v>943.5</v>
      </c>
      <c r="D25" t="s">
        <v>390</v>
      </c>
      <c r="E25" t="s">
        <v>391</v>
      </c>
      <c r="G25">
        <v>1565557419</v>
      </c>
      <c r="H25">
        <f t="shared" si="0"/>
        <v>1.7010487169283562E-3</v>
      </c>
      <c r="I25">
        <f t="shared" si="1"/>
        <v>19.923187913612228</v>
      </c>
      <c r="J25">
        <f t="shared" si="2"/>
        <v>574.88</v>
      </c>
      <c r="K25">
        <f t="shared" si="3"/>
        <v>226.11269162528299</v>
      </c>
      <c r="L25">
        <f t="shared" si="4"/>
        <v>22.428286426712159</v>
      </c>
      <c r="M25">
        <f t="shared" si="5"/>
        <v>57.022775715552008</v>
      </c>
      <c r="N25">
        <f t="shared" si="6"/>
        <v>9.6450363046180612E-2</v>
      </c>
      <c r="O25">
        <f t="shared" si="7"/>
        <v>2.2485224142723954</v>
      </c>
      <c r="P25">
        <f t="shared" si="8"/>
        <v>9.4209498515157503E-2</v>
      </c>
      <c r="Q25">
        <f t="shared" si="9"/>
        <v>5.9077933091864834E-2</v>
      </c>
      <c r="R25">
        <f t="shared" si="10"/>
        <v>281.54121532182921</v>
      </c>
      <c r="S25">
        <f t="shared" si="11"/>
        <v>27.30518634136061</v>
      </c>
      <c r="T25">
        <f t="shared" si="12"/>
        <v>26.965699999999998</v>
      </c>
      <c r="U25">
        <f t="shared" si="13"/>
        <v>3.5719557266391004</v>
      </c>
      <c r="V25">
        <f t="shared" si="14"/>
        <v>55.038370722483066</v>
      </c>
      <c r="W25">
        <f t="shared" si="15"/>
        <v>1.8297320040956402</v>
      </c>
      <c r="X25">
        <f t="shared" si="16"/>
        <v>3.3244661498458896</v>
      </c>
      <c r="Y25">
        <f t="shared" si="17"/>
        <v>1.7422237225434603</v>
      </c>
      <c r="Z25">
        <f t="shared" si="18"/>
        <v>-75.016248416540506</v>
      </c>
      <c r="AA25">
        <f t="shared" si="19"/>
        <v>-147.49122156255484</v>
      </c>
      <c r="AB25">
        <f t="shared" si="20"/>
        <v>-14.065388417771342</v>
      </c>
      <c r="AC25">
        <f t="shared" si="21"/>
        <v>44.968356924962535</v>
      </c>
      <c r="AD25">
        <v>-4.1143980387974101E-2</v>
      </c>
      <c r="AE25">
        <v>4.6187722396147199E-2</v>
      </c>
      <c r="AF25">
        <v>3.4525793738625801</v>
      </c>
      <c r="AG25">
        <v>2</v>
      </c>
      <c r="AH25">
        <v>0</v>
      </c>
      <c r="AI25">
        <f t="shared" si="22"/>
        <v>1</v>
      </c>
      <c r="AJ25">
        <f t="shared" si="23"/>
        <v>0</v>
      </c>
      <c r="AK25">
        <f t="shared" si="24"/>
        <v>52681.970163319143</v>
      </c>
      <c r="AL25" t="s">
        <v>344</v>
      </c>
      <c r="AM25">
        <v>589.29941176470595</v>
      </c>
      <c r="AN25">
        <v>3530.99</v>
      </c>
      <c r="AO25">
        <f t="shared" si="25"/>
        <v>2941.6905882352939</v>
      </c>
      <c r="AP25">
        <f t="shared" si="26"/>
        <v>0.83310646256015852</v>
      </c>
      <c r="AQ25">
        <v>1.42453575549529</v>
      </c>
      <c r="AR25" t="s">
        <v>392</v>
      </c>
      <c r="AS25">
        <v>755.58182352941196</v>
      </c>
      <c r="AT25">
        <v>1122.03</v>
      </c>
      <c r="AU25">
        <f t="shared" si="27"/>
        <v>0.32659392036807222</v>
      </c>
      <c r="AV25">
        <v>0.5</v>
      </c>
      <c r="AW25">
        <f t="shared" si="28"/>
        <v>1471.1447998142946</v>
      </c>
      <c r="AX25">
        <f t="shared" si="29"/>
        <v>19.923187913612228</v>
      </c>
      <c r="AY25">
        <f t="shared" si="30"/>
        <v>240.23347380022665</v>
      </c>
      <c r="AZ25">
        <f t="shared" si="31"/>
        <v>0.51671523934297658</v>
      </c>
      <c r="BA25">
        <f t="shared" si="32"/>
        <v>1.2574324539944715E-2</v>
      </c>
      <c r="BB25">
        <f t="shared" si="33"/>
        <v>2.1469657674037239</v>
      </c>
      <c r="BC25" t="s">
        <v>393</v>
      </c>
      <c r="BD25">
        <v>542.26</v>
      </c>
      <c r="BE25">
        <f t="shared" si="34"/>
        <v>579.77</v>
      </c>
      <c r="BF25">
        <f t="shared" si="35"/>
        <v>0.632057844439326</v>
      </c>
      <c r="BG25">
        <f t="shared" si="36"/>
        <v>0.80601459482790361</v>
      </c>
      <c r="BH25">
        <f t="shared" si="37"/>
        <v>0.68786772256587014</v>
      </c>
      <c r="BI25">
        <f t="shared" si="38"/>
        <v>0.81890325571090183</v>
      </c>
      <c r="BJ25">
        <v>8121</v>
      </c>
      <c r="BK25">
        <v>300</v>
      </c>
      <c r="BL25">
        <v>300</v>
      </c>
      <c r="BM25">
        <v>300</v>
      </c>
      <c r="BN25">
        <v>10288.799999999999</v>
      </c>
      <c r="BO25">
        <v>1030.6400000000001</v>
      </c>
      <c r="BP25">
        <v>-7.0400200000000001E-3</v>
      </c>
      <c r="BQ25">
        <v>3.6924999999999999</v>
      </c>
      <c r="BR25" t="s">
        <v>347</v>
      </c>
      <c r="BS25" t="s">
        <v>347</v>
      </c>
      <c r="BT25" t="s">
        <v>347</v>
      </c>
      <c r="BU25" t="s">
        <v>347</v>
      </c>
      <c r="BV25" t="s">
        <v>347</v>
      </c>
      <c r="BW25" t="s">
        <v>347</v>
      </c>
      <c r="BX25" t="s">
        <v>347</v>
      </c>
      <c r="BY25" t="s">
        <v>347</v>
      </c>
      <c r="BZ25" t="s">
        <v>347</v>
      </c>
      <c r="CA25" t="s">
        <v>347</v>
      </c>
      <c r="CB25">
        <f t="shared" si="39"/>
        <v>1749.93</v>
      </c>
      <c r="CC25">
        <f t="shared" si="40"/>
        <v>1471.1447998142946</v>
      </c>
      <c r="CD25">
        <f t="shared" si="41"/>
        <v>0.84068779883440736</v>
      </c>
      <c r="CE25">
        <f t="shared" si="42"/>
        <v>0.19137559766881457</v>
      </c>
      <c r="CF25">
        <v>1565557419</v>
      </c>
      <c r="CG25">
        <v>574.88</v>
      </c>
      <c r="CH25">
        <v>599.96</v>
      </c>
      <c r="CI25">
        <v>18.4466</v>
      </c>
      <c r="CJ25">
        <v>16.443100000000001</v>
      </c>
      <c r="CK25">
        <v>500.02600000000001</v>
      </c>
      <c r="CL25">
        <v>99.090900000000005</v>
      </c>
      <c r="CM25">
        <v>9.9845400000000001E-2</v>
      </c>
      <c r="CN25">
        <v>25.748999999999999</v>
      </c>
      <c r="CO25">
        <v>26.965699999999998</v>
      </c>
      <c r="CP25">
        <v>999.9</v>
      </c>
      <c r="CQ25">
        <v>0</v>
      </c>
      <c r="CR25">
        <v>0</v>
      </c>
      <c r="CS25">
        <v>10013.1</v>
      </c>
      <c r="CT25">
        <v>0</v>
      </c>
      <c r="CU25">
        <v>1188.18</v>
      </c>
      <c r="CV25">
        <v>-25.193899999999999</v>
      </c>
      <c r="CW25">
        <v>585.56600000000003</v>
      </c>
      <c r="CX25">
        <v>609.99</v>
      </c>
      <c r="CY25">
        <v>2.0005199999999999</v>
      </c>
      <c r="CZ25">
        <v>570.12599999999998</v>
      </c>
      <c r="DA25">
        <v>599.96</v>
      </c>
      <c r="DB25">
        <v>17.964600000000001</v>
      </c>
      <c r="DC25">
        <v>16.443100000000001</v>
      </c>
      <c r="DD25">
        <v>1.8275999999999999</v>
      </c>
      <c r="DE25">
        <v>1.6293599999999999</v>
      </c>
      <c r="DF25">
        <v>16.024799999999999</v>
      </c>
      <c r="DG25">
        <v>14.2393</v>
      </c>
      <c r="DH25">
        <v>1749.93</v>
      </c>
      <c r="DI25">
        <v>0.97700699999999996</v>
      </c>
      <c r="DJ25">
        <v>2.2992800000000001E-2</v>
      </c>
      <c r="DK25">
        <v>0</v>
      </c>
      <c r="DL25">
        <v>755.51</v>
      </c>
      <c r="DM25">
        <v>5.0002700000000004</v>
      </c>
      <c r="DN25">
        <v>17466</v>
      </c>
      <c r="DO25">
        <v>14145.1</v>
      </c>
      <c r="DP25">
        <v>46.811999999999998</v>
      </c>
      <c r="DQ25">
        <v>49.186999999999998</v>
      </c>
      <c r="DR25">
        <v>47.75</v>
      </c>
      <c r="DS25">
        <v>48.375</v>
      </c>
      <c r="DT25">
        <v>48.125</v>
      </c>
      <c r="DU25">
        <v>1704.81</v>
      </c>
      <c r="DV25">
        <v>40.119999999999997</v>
      </c>
      <c r="DW25">
        <v>0</v>
      </c>
      <c r="DX25">
        <v>115.299999952316</v>
      </c>
      <c r="DY25">
        <v>755.58182352941196</v>
      </c>
      <c r="DZ25">
        <v>0.840931348240464</v>
      </c>
      <c r="EA25">
        <v>660.73529664530702</v>
      </c>
      <c r="EB25">
        <v>17325.7</v>
      </c>
      <c r="EC25">
        <v>10</v>
      </c>
      <c r="ED25">
        <v>1565557442.5</v>
      </c>
      <c r="EE25" t="s">
        <v>394</v>
      </c>
      <c r="EF25">
        <v>78</v>
      </c>
      <c r="EG25">
        <v>4.7539999999999996</v>
      </c>
      <c r="EH25">
        <v>0.48199999999999998</v>
      </c>
      <c r="EI25">
        <v>600</v>
      </c>
      <c r="EJ25">
        <v>16</v>
      </c>
      <c r="EK25">
        <v>0.09</v>
      </c>
      <c r="EL25">
        <v>0.11</v>
      </c>
      <c r="EM25">
        <v>20.16438489522</v>
      </c>
      <c r="EN25">
        <v>-1.3002113693428901</v>
      </c>
      <c r="EO25">
        <v>0.14341192342656101</v>
      </c>
      <c r="EP25">
        <v>0</v>
      </c>
      <c r="EQ25">
        <v>9.7705092365578006E-2</v>
      </c>
      <c r="ER25">
        <v>-1.35595121808546E-2</v>
      </c>
      <c r="ES25">
        <v>1.4790477728937E-3</v>
      </c>
      <c r="ET25">
        <v>1</v>
      </c>
      <c r="EU25">
        <v>1</v>
      </c>
      <c r="EV25">
        <v>2</v>
      </c>
      <c r="EW25" t="s">
        <v>369</v>
      </c>
      <c r="EX25">
        <v>2.9487000000000001</v>
      </c>
      <c r="EY25">
        <v>2.7773699999999999</v>
      </c>
      <c r="EZ25">
        <v>0.12160799999999999</v>
      </c>
      <c r="FA25">
        <v>0.122709</v>
      </c>
      <c r="FB25">
        <v>9.1331599999999999E-2</v>
      </c>
      <c r="FC25">
        <v>8.1498600000000004E-2</v>
      </c>
      <c r="FD25">
        <v>21034.6</v>
      </c>
      <c r="FE25">
        <v>21195.5</v>
      </c>
      <c r="FF25">
        <v>22523.8</v>
      </c>
      <c r="FG25">
        <v>26506.799999999999</v>
      </c>
      <c r="FH25">
        <v>29256.6</v>
      </c>
      <c r="FI25">
        <v>38214.6</v>
      </c>
      <c r="FJ25">
        <v>32171.4</v>
      </c>
      <c r="FK25">
        <v>42226.5</v>
      </c>
      <c r="FL25">
        <v>1.9236</v>
      </c>
      <c r="FM25">
        <v>1.8204</v>
      </c>
      <c r="FN25">
        <v>-8.3893500000000003E-3</v>
      </c>
      <c r="FO25">
        <v>0</v>
      </c>
      <c r="FP25">
        <v>27.102799999999998</v>
      </c>
      <c r="FQ25">
        <v>999.9</v>
      </c>
      <c r="FR25">
        <v>33.762999999999998</v>
      </c>
      <c r="FS25">
        <v>43.244999999999997</v>
      </c>
      <c r="FT25">
        <v>29.984300000000001</v>
      </c>
      <c r="FU25">
        <v>61.753100000000003</v>
      </c>
      <c r="FV25">
        <v>46.209899999999998</v>
      </c>
      <c r="FW25">
        <v>1</v>
      </c>
      <c r="FX25">
        <v>0.61219000000000001</v>
      </c>
      <c r="FY25">
        <v>7.2764199999999999</v>
      </c>
      <c r="FZ25">
        <v>20.113199999999999</v>
      </c>
      <c r="GA25">
        <v>5.2222299999999997</v>
      </c>
      <c r="GB25">
        <v>11.962</v>
      </c>
      <c r="GC25">
        <v>4.9707999999999997</v>
      </c>
      <c r="GD25">
        <v>3.2942499999999999</v>
      </c>
      <c r="GE25">
        <v>9999</v>
      </c>
      <c r="GF25">
        <v>9999</v>
      </c>
      <c r="GG25">
        <v>506.9</v>
      </c>
      <c r="GH25">
        <v>9999</v>
      </c>
      <c r="GI25">
        <v>1.8660300000000001</v>
      </c>
      <c r="GJ25">
        <v>1.8655299999999999</v>
      </c>
      <c r="GK25">
        <v>1.8656900000000001</v>
      </c>
      <c r="GL25">
        <v>1.86863</v>
      </c>
      <c r="GM25">
        <v>1.86293</v>
      </c>
      <c r="GN25">
        <v>1.8611</v>
      </c>
      <c r="GO25">
        <v>1.8573</v>
      </c>
      <c r="GP25">
        <v>1.8633999999999999</v>
      </c>
      <c r="GQ25" t="s">
        <v>350</v>
      </c>
      <c r="GR25" t="s">
        <v>19</v>
      </c>
      <c r="GS25" t="s">
        <v>19</v>
      </c>
      <c r="GT25" t="s">
        <v>19</v>
      </c>
      <c r="GU25" t="s">
        <v>351</v>
      </c>
      <c r="GV25" t="s">
        <v>352</v>
      </c>
      <c r="GW25" t="s">
        <v>353</v>
      </c>
      <c r="GX25" t="s">
        <v>353</v>
      </c>
      <c r="GY25" t="s">
        <v>353</v>
      </c>
      <c r="GZ25" t="s">
        <v>353</v>
      </c>
      <c r="HA25">
        <v>0</v>
      </c>
      <c r="HB25">
        <v>100</v>
      </c>
      <c r="HC25">
        <v>100</v>
      </c>
      <c r="HD25">
        <v>4.7539999999999996</v>
      </c>
      <c r="HE25">
        <v>0.48199999999999998</v>
      </c>
      <c r="HF25">
        <v>2</v>
      </c>
      <c r="HG25">
        <v>496.459</v>
      </c>
      <c r="HH25">
        <v>467.85300000000001</v>
      </c>
      <c r="HI25">
        <v>19.902100000000001</v>
      </c>
      <c r="HJ25">
        <v>34.880400000000002</v>
      </c>
      <c r="HK25">
        <v>30.0001</v>
      </c>
      <c r="HL25">
        <v>34.7515</v>
      </c>
      <c r="HM25">
        <v>34.739400000000003</v>
      </c>
      <c r="HN25">
        <v>29.517299999999999</v>
      </c>
      <c r="HO25">
        <v>52.669600000000003</v>
      </c>
      <c r="HP25">
        <v>0</v>
      </c>
      <c r="HQ25">
        <v>19.925899999999999</v>
      </c>
      <c r="HR25">
        <v>600</v>
      </c>
      <c r="HS25">
        <v>16.4771</v>
      </c>
      <c r="HT25">
        <v>99.034700000000001</v>
      </c>
      <c r="HU25">
        <v>102.959</v>
      </c>
    </row>
    <row r="26" spans="1:229" x14ac:dyDescent="0.35">
      <c r="A26">
        <v>11</v>
      </c>
      <c r="B26">
        <v>1565557518.5</v>
      </c>
      <c r="C26">
        <v>1043</v>
      </c>
      <c r="D26" t="s">
        <v>395</v>
      </c>
      <c r="E26" t="s">
        <v>396</v>
      </c>
      <c r="G26">
        <v>1565557518.5</v>
      </c>
      <c r="H26">
        <f t="shared" si="0"/>
        <v>1.5934123275571387E-3</v>
      </c>
      <c r="I26">
        <f t="shared" si="1"/>
        <v>25.642579881946478</v>
      </c>
      <c r="J26">
        <f t="shared" si="2"/>
        <v>767.96400000000006</v>
      </c>
      <c r="K26">
        <f t="shared" si="3"/>
        <v>285.90691155252495</v>
      </c>
      <c r="L26">
        <f t="shared" si="4"/>
        <v>28.35875346185918</v>
      </c>
      <c r="M26">
        <f t="shared" si="5"/>
        <v>76.173400724460009</v>
      </c>
      <c r="N26">
        <f t="shared" si="6"/>
        <v>8.9562866463013091E-2</v>
      </c>
      <c r="O26">
        <f t="shared" si="7"/>
        <v>2.2450514295638015</v>
      </c>
      <c r="P26">
        <f t="shared" si="8"/>
        <v>8.7624231067440481E-2</v>
      </c>
      <c r="Q26">
        <f t="shared" si="9"/>
        <v>5.4935828074422793E-2</v>
      </c>
      <c r="R26">
        <f t="shared" si="10"/>
        <v>281.57529294848212</v>
      </c>
      <c r="S26">
        <f t="shared" si="11"/>
        <v>27.417156230465945</v>
      </c>
      <c r="T26">
        <f t="shared" si="12"/>
        <v>27.022200000000002</v>
      </c>
      <c r="U26">
        <f t="shared" si="13"/>
        <v>3.5838290759555518</v>
      </c>
      <c r="V26">
        <f t="shared" si="14"/>
        <v>54.786370358399019</v>
      </c>
      <c r="W26">
        <f t="shared" si="15"/>
        <v>1.8293383928950002</v>
      </c>
      <c r="X26">
        <f t="shared" si="16"/>
        <v>3.3390392189296652</v>
      </c>
      <c r="Y26">
        <f t="shared" si="17"/>
        <v>1.7544906830605516</v>
      </c>
      <c r="Z26">
        <f t="shared" si="18"/>
        <v>-70.269483645269815</v>
      </c>
      <c r="AA26">
        <f t="shared" si="19"/>
        <v>-145.16963407717012</v>
      </c>
      <c r="AB26">
        <f t="shared" si="20"/>
        <v>-13.874448660202622</v>
      </c>
      <c r="AC26">
        <f t="shared" si="21"/>
        <v>52.261726565839552</v>
      </c>
      <c r="AD26">
        <v>-4.1050656876252298E-2</v>
      </c>
      <c r="AE26">
        <v>4.6082958578650697E-2</v>
      </c>
      <c r="AF26">
        <v>3.4463773256369801</v>
      </c>
      <c r="AG26">
        <v>2</v>
      </c>
      <c r="AH26">
        <v>0</v>
      </c>
      <c r="AI26">
        <f t="shared" si="22"/>
        <v>1</v>
      </c>
      <c r="AJ26">
        <f t="shared" si="23"/>
        <v>0</v>
      </c>
      <c r="AK26">
        <f t="shared" si="24"/>
        <v>52554.327611138324</v>
      </c>
      <c r="AL26" t="s">
        <v>344</v>
      </c>
      <c r="AM26">
        <v>589.29941176470595</v>
      </c>
      <c r="AN26">
        <v>3530.99</v>
      </c>
      <c r="AO26">
        <f t="shared" si="25"/>
        <v>2941.6905882352939</v>
      </c>
      <c r="AP26">
        <f t="shared" si="26"/>
        <v>0.83310646256015852</v>
      </c>
      <c r="AQ26">
        <v>1.42453575549529</v>
      </c>
      <c r="AR26" t="s">
        <v>397</v>
      </c>
      <c r="AS26">
        <v>773.220411764706</v>
      </c>
      <c r="AT26">
        <v>1192.27</v>
      </c>
      <c r="AU26">
        <f t="shared" si="27"/>
        <v>0.35147205602363052</v>
      </c>
      <c r="AV26">
        <v>0.5</v>
      </c>
      <c r="AW26">
        <f t="shared" si="28"/>
        <v>1471.3214998142703</v>
      </c>
      <c r="AX26">
        <f t="shared" si="29"/>
        <v>25.642579881946478</v>
      </c>
      <c r="AY26">
        <f t="shared" si="30"/>
        <v>258.56419630574663</v>
      </c>
      <c r="AZ26">
        <f t="shared" si="31"/>
        <v>0.54164744562892631</v>
      </c>
      <c r="BA26">
        <f t="shared" si="32"/>
        <v>1.6460062691606363E-2</v>
      </c>
      <c r="BB26">
        <f t="shared" si="33"/>
        <v>1.9615691076685648</v>
      </c>
      <c r="BC26" t="s">
        <v>398</v>
      </c>
      <c r="BD26">
        <v>546.48</v>
      </c>
      <c r="BE26">
        <f t="shared" si="34"/>
        <v>645.79</v>
      </c>
      <c r="BF26">
        <f t="shared" si="35"/>
        <v>0.64889451406075349</v>
      </c>
      <c r="BG26">
        <f t="shared" si="36"/>
        <v>0.78361942161359821</v>
      </c>
      <c r="BH26">
        <f t="shared" si="37"/>
        <v>0.69497517194283198</v>
      </c>
      <c r="BI26">
        <f t="shared" si="38"/>
        <v>0.795025829485006</v>
      </c>
      <c r="BJ26">
        <v>8123</v>
      </c>
      <c r="BK26">
        <v>300</v>
      </c>
      <c r="BL26">
        <v>300</v>
      </c>
      <c r="BM26">
        <v>300</v>
      </c>
      <c r="BN26">
        <v>10292.200000000001</v>
      </c>
      <c r="BO26">
        <v>1085.3599999999999</v>
      </c>
      <c r="BP26">
        <v>-7.0424499999999996E-3</v>
      </c>
      <c r="BQ26">
        <v>2.4083299999999999</v>
      </c>
      <c r="BR26" t="s">
        <v>347</v>
      </c>
      <c r="BS26" t="s">
        <v>347</v>
      </c>
      <c r="BT26" t="s">
        <v>347</v>
      </c>
      <c r="BU26" t="s">
        <v>347</v>
      </c>
      <c r="BV26" t="s">
        <v>347</v>
      </c>
      <c r="BW26" t="s">
        <v>347</v>
      </c>
      <c r="BX26" t="s">
        <v>347</v>
      </c>
      <c r="BY26" t="s">
        <v>347</v>
      </c>
      <c r="BZ26" t="s">
        <v>347</v>
      </c>
      <c r="CA26" t="s">
        <v>347</v>
      </c>
      <c r="CB26">
        <f t="shared" si="39"/>
        <v>1750.14</v>
      </c>
      <c r="CC26">
        <f t="shared" si="40"/>
        <v>1471.3214998142703</v>
      </c>
      <c r="CD26">
        <f t="shared" si="41"/>
        <v>0.84068788771999392</v>
      </c>
      <c r="CE26">
        <f t="shared" si="42"/>
        <v>0.19137577543998799</v>
      </c>
      <c r="CF26">
        <v>1565557518.5</v>
      </c>
      <c r="CG26">
        <v>767.96400000000006</v>
      </c>
      <c r="CH26">
        <v>800.20299999999997</v>
      </c>
      <c r="CI26">
        <v>18.443000000000001</v>
      </c>
      <c r="CJ26">
        <v>16.566199999999998</v>
      </c>
      <c r="CK26">
        <v>500.00799999999998</v>
      </c>
      <c r="CL26">
        <v>99.0886</v>
      </c>
      <c r="CM26">
        <v>0.100165</v>
      </c>
      <c r="CN26">
        <v>25.822800000000001</v>
      </c>
      <c r="CO26">
        <v>27.022200000000002</v>
      </c>
      <c r="CP26">
        <v>999.9</v>
      </c>
      <c r="CQ26">
        <v>0</v>
      </c>
      <c r="CR26">
        <v>0</v>
      </c>
      <c r="CS26">
        <v>9990.6200000000008</v>
      </c>
      <c r="CT26">
        <v>0</v>
      </c>
      <c r="CU26">
        <v>1300.52</v>
      </c>
      <c r="CV26">
        <v>-32.3521</v>
      </c>
      <c r="CW26">
        <v>782.27800000000002</v>
      </c>
      <c r="CX26">
        <v>813.68299999999999</v>
      </c>
      <c r="CY26">
        <v>1.87574</v>
      </c>
      <c r="CZ26">
        <v>763.09699999999998</v>
      </c>
      <c r="DA26">
        <v>800.20299999999997</v>
      </c>
      <c r="DB26">
        <v>17.96</v>
      </c>
      <c r="DC26">
        <v>16.566199999999998</v>
      </c>
      <c r="DD26">
        <v>1.8273900000000001</v>
      </c>
      <c r="DE26">
        <v>1.6415299999999999</v>
      </c>
      <c r="DF26">
        <v>16.023099999999999</v>
      </c>
      <c r="DG26">
        <v>14.3543</v>
      </c>
      <c r="DH26">
        <v>1750.14</v>
      </c>
      <c r="DI26">
        <v>0.97700299999999995</v>
      </c>
      <c r="DJ26">
        <v>2.2996699999999998E-2</v>
      </c>
      <c r="DK26">
        <v>0</v>
      </c>
      <c r="DL26">
        <v>773.48199999999997</v>
      </c>
      <c r="DM26">
        <v>5.0002700000000004</v>
      </c>
      <c r="DN26">
        <v>18002.7</v>
      </c>
      <c r="DO26">
        <v>14146.8</v>
      </c>
      <c r="DP26">
        <v>46.436999999999998</v>
      </c>
      <c r="DQ26">
        <v>48.811999999999998</v>
      </c>
      <c r="DR26">
        <v>47.311999999999998</v>
      </c>
      <c r="DS26">
        <v>48.061999999999998</v>
      </c>
      <c r="DT26">
        <v>47.75</v>
      </c>
      <c r="DU26">
        <v>1705.01</v>
      </c>
      <c r="DV26">
        <v>40.130000000000003</v>
      </c>
      <c r="DW26">
        <v>0</v>
      </c>
      <c r="DX26">
        <v>99.200000047683702</v>
      </c>
      <c r="DY26">
        <v>773.220411764706</v>
      </c>
      <c r="DZ26">
        <v>0.56299021155121598</v>
      </c>
      <c r="EA26">
        <v>-461.76470357530502</v>
      </c>
      <c r="EB26">
        <v>18049.7235294118</v>
      </c>
      <c r="EC26">
        <v>10</v>
      </c>
      <c r="ED26">
        <v>1565557551.5999999</v>
      </c>
      <c r="EE26" t="s">
        <v>399</v>
      </c>
      <c r="EF26">
        <v>79</v>
      </c>
      <c r="EG26">
        <v>4.867</v>
      </c>
      <c r="EH26">
        <v>0.48299999999999998</v>
      </c>
      <c r="EI26">
        <v>800</v>
      </c>
      <c r="EJ26">
        <v>17</v>
      </c>
      <c r="EK26">
        <v>0.12</v>
      </c>
      <c r="EL26">
        <v>0.14000000000000001</v>
      </c>
      <c r="EM26">
        <v>25.746902769255801</v>
      </c>
      <c r="EN26">
        <v>-5.3529111912061202E-2</v>
      </c>
      <c r="EO26">
        <v>8.3488903559629402E-2</v>
      </c>
      <c r="EP26">
        <v>1</v>
      </c>
      <c r="EQ26">
        <v>9.0874772884490501E-2</v>
      </c>
      <c r="ER26">
        <v>-2.1972961284590298E-2</v>
      </c>
      <c r="ES26">
        <v>2.6477928690181699E-3</v>
      </c>
      <c r="ET26">
        <v>1</v>
      </c>
      <c r="EU26">
        <v>2</v>
      </c>
      <c r="EV26">
        <v>2</v>
      </c>
      <c r="EW26" t="s">
        <v>349</v>
      </c>
      <c r="EX26">
        <v>2.94862</v>
      </c>
      <c r="EY26">
        <v>2.7774999999999999</v>
      </c>
      <c r="EZ26">
        <v>0.148649</v>
      </c>
      <c r="FA26">
        <v>0.14930199999999999</v>
      </c>
      <c r="FB26">
        <v>9.1303999999999996E-2</v>
      </c>
      <c r="FC26">
        <v>8.1933199999999998E-2</v>
      </c>
      <c r="FD26">
        <v>20383.5</v>
      </c>
      <c r="FE26">
        <v>20548.8</v>
      </c>
      <c r="FF26">
        <v>22521</v>
      </c>
      <c r="FG26">
        <v>26503.3</v>
      </c>
      <c r="FH26">
        <v>29253.599999999999</v>
      </c>
      <c r="FI26">
        <v>38193.4</v>
      </c>
      <c r="FJ26">
        <v>32166.9</v>
      </c>
      <c r="FK26">
        <v>42222.8</v>
      </c>
      <c r="FL26">
        <v>1.9230499999999999</v>
      </c>
      <c r="FM26">
        <v>1.8198799999999999</v>
      </c>
      <c r="FN26">
        <v>-1.1548400000000001E-3</v>
      </c>
      <c r="FO26">
        <v>0</v>
      </c>
      <c r="FP26">
        <v>27.0411</v>
      </c>
      <c r="FQ26">
        <v>999.9</v>
      </c>
      <c r="FR26">
        <v>33.738</v>
      </c>
      <c r="FS26">
        <v>43.326000000000001</v>
      </c>
      <c r="FT26">
        <v>30.087499999999999</v>
      </c>
      <c r="FU26">
        <v>61.6631</v>
      </c>
      <c r="FV26">
        <v>46.169899999999998</v>
      </c>
      <c r="FW26">
        <v>1</v>
      </c>
      <c r="FX26">
        <v>0.61710900000000002</v>
      </c>
      <c r="FY26">
        <v>7.2766500000000001</v>
      </c>
      <c r="FZ26">
        <v>20.110499999999998</v>
      </c>
      <c r="GA26">
        <v>5.2232799999999999</v>
      </c>
      <c r="GB26">
        <v>11.962</v>
      </c>
      <c r="GC26">
        <v>4.9716500000000003</v>
      </c>
      <c r="GD26">
        <v>3.2949999999999999</v>
      </c>
      <c r="GE26">
        <v>9999</v>
      </c>
      <c r="GF26">
        <v>9999</v>
      </c>
      <c r="GG26">
        <v>506.9</v>
      </c>
      <c r="GH26">
        <v>9999</v>
      </c>
      <c r="GI26">
        <v>1.8660099999999999</v>
      </c>
      <c r="GJ26">
        <v>1.8654999999999999</v>
      </c>
      <c r="GK26">
        <v>1.8656900000000001</v>
      </c>
      <c r="GL26">
        <v>1.8686100000000001</v>
      </c>
      <c r="GM26">
        <v>1.86294</v>
      </c>
      <c r="GN26">
        <v>1.8610800000000001</v>
      </c>
      <c r="GO26">
        <v>1.8573</v>
      </c>
      <c r="GP26">
        <v>1.8633999999999999</v>
      </c>
      <c r="GQ26" t="s">
        <v>350</v>
      </c>
      <c r="GR26" t="s">
        <v>19</v>
      </c>
      <c r="GS26" t="s">
        <v>19</v>
      </c>
      <c r="GT26" t="s">
        <v>19</v>
      </c>
      <c r="GU26" t="s">
        <v>351</v>
      </c>
      <c r="GV26" t="s">
        <v>352</v>
      </c>
      <c r="GW26" t="s">
        <v>353</v>
      </c>
      <c r="GX26" t="s">
        <v>353</v>
      </c>
      <c r="GY26" t="s">
        <v>353</v>
      </c>
      <c r="GZ26" t="s">
        <v>353</v>
      </c>
      <c r="HA26">
        <v>0</v>
      </c>
      <c r="HB26">
        <v>100</v>
      </c>
      <c r="HC26">
        <v>100</v>
      </c>
      <c r="HD26">
        <v>4.867</v>
      </c>
      <c r="HE26">
        <v>0.48299999999999998</v>
      </c>
      <c r="HF26">
        <v>2</v>
      </c>
      <c r="HG26">
        <v>496.39100000000002</v>
      </c>
      <c r="HH26">
        <v>467.78100000000001</v>
      </c>
      <c r="HI26">
        <v>20.142099999999999</v>
      </c>
      <c r="HJ26">
        <v>34.919899999999998</v>
      </c>
      <c r="HK26">
        <v>30</v>
      </c>
      <c r="HL26">
        <v>34.790799999999997</v>
      </c>
      <c r="HM26">
        <v>34.777200000000001</v>
      </c>
      <c r="HN26">
        <v>37.390700000000002</v>
      </c>
      <c r="HO26">
        <v>52.732999999999997</v>
      </c>
      <c r="HP26">
        <v>0</v>
      </c>
      <c r="HQ26">
        <v>20.157699999999998</v>
      </c>
      <c r="HR26">
        <v>800</v>
      </c>
      <c r="HS26">
        <v>16.563199999999998</v>
      </c>
      <c r="HT26">
        <v>99.021299999999997</v>
      </c>
      <c r="HU26">
        <v>102.949</v>
      </c>
    </row>
    <row r="27" spans="1:229" x14ac:dyDescent="0.35">
      <c r="A27">
        <v>12</v>
      </c>
      <c r="B27">
        <v>1565557642.5999999</v>
      </c>
      <c r="C27">
        <v>1167.0999999046301</v>
      </c>
      <c r="D27" t="s">
        <v>400</v>
      </c>
      <c r="E27" t="s">
        <v>401</v>
      </c>
      <c r="G27">
        <v>1565557642.5999999</v>
      </c>
      <c r="H27">
        <f t="shared" si="0"/>
        <v>1.5305330947832452E-3</v>
      </c>
      <c r="I27">
        <f t="shared" si="1"/>
        <v>34.80008825444029</v>
      </c>
      <c r="J27">
        <f t="shared" si="2"/>
        <v>1156.04</v>
      </c>
      <c r="K27">
        <f t="shared" si="3"/>
        <v>473.91426326152691</v>
      </c>
      <c r="L27">
        <f t="shared" si="4"/>
        <v>47.007261946067629</v>
      </c>
      <c r="M27">
        <f t="shared" si="5"/>
        <v>114.66689085519999</v>
      </c>
      <c r="N27">
        <f t="shared" si="6"/>
        <v>8.6091902075267304E-2</v>
      </c>
      <c r="O27">
        <f t="shared" si="7"/>
        <v>2.2471687085841552</v>
      </c>
      <c r="P27">
        <f t="shared" si="8"/>
        <v>8.4300647481098862E-2</v>
      </c>
      <c r="Q27">
        <f t="shared" si="9"/>
        <v>5.2845737646919022E-2</v>
      </c>
      <c r="R27">
        <f t="shared" si="10"/>
        <v>281.55989486863422</v>
      </c>
      <c r="S27">
        <f t="shared" si="11"/>
        <v>27.410609468930009</v>
      </c>
      <c r="T27">
        <f t="shared" si="12"/>
        <v>27.0166</v>
      </c>
      <c r="U27">
        <f t="shared" si="13"/>
        <v>3.5826507123183751</v>
      </c>
      <c r="V27">
        <f t="shared" si="14"/>
        <v>54.919085346323406</v>
      </c>
      <c r="W27">
        <f t="shared" si="15"/>
        <v>1.8309466843579998</v>
      </c>
      <c r="X27">
        <f t="shared" si="16"/>
        <v>3.3338987217502405</v>
      </c>
      <c r="Y27">
        <f t="shared" si="17"/>
        <v>1.7517040279603753</v>
      </c>
      <c r="Z27">
        <f t="shared" si="18"/>
        <v>-67.49650947994111</v>
      </c>
      <c r="AA27">
        <f t="shared" si="19"/>
        <v>-147.77798861708703</v>
      </c>
      <c r="AB27">
        <f t="shared" si="20"/>
        <v>-14.108200596541861</v>
      </c>
      <c r="AC27">
        <f t="shared" si="21"/>
        <v>52.177196175064239</v>
      </c>
      <c r="AD27">
        <v>-4.1107568189475099E-2</v>
      </c>
      <c r="AE27">
        <v>4.6146846513448199E-2</v>
      </c>
      <c r="AF27">
        <v>3.4501600843245699</v>
      </c>
      <c r="AG27">
        <v>2</v>
      </c>
      <c r="AH27">
        <v>0</v>
      </c>
      <c r="AI27">
        <f t="shared" si="22"/>
        <v>1</v>
      </c>
      <c r="AJ27">
        <f t="shared" si="23"/>
        <v>0</v>
      </c>
      <c r="AK27">
        <f t="shared" si="24"/>
        <v>52628.805974245675</v>
      </c>
      <c r="AL27" t="s">
        <v>344</v>
      </c>
      <c r="AM27">
        <v>589.29941176470595</v>
      </c>
      <c r="AN27">
        <v>3530.99</v>
      </c>
      <c r="AO27">
        <f t="shared" si="25"/>
        <v>2941.6905882352939</v>
      </c>
      <c r="AP27">
        <f t="shared" si="26"/>
        <v>0.83310646256015852</v>
      </c>
      <c r="AQ27">
        <v>1.42453575549529</v>
      </c>
      <c r="AR27" t="s">
        <v>402</v>
      </c>
      <c r="AS27">
        <v>801.92741176470599</v>
      </c>
      <c r="AT27">
        <v>1286.6099999999999</v>
      </c>
      <c r="AU27">
        <f t="shared" si="27"/>
        <v>0.37671290308274763</v>
      </c>
      <c r="AV27">
        <v>0.5</v>
      </c>
      <c r="AW27">
        <f t="shared" si="28"/>
        <v>1471.2377998142133</v>
      </c>
      <c r="AX27">
        <f t="shared" si="29"/>
        <v>34.80008825444029</v>
      </c>
      <c r="AY27">
        <f t="shared" si="30"/>
        <v>277.11713134654332</v>
      </c>
      <c r="AZ27">
        <f t="shared" si="31"/>
        <v>0.57174279696256047</v>
      </c>
      <c r="BA27">
        <f t="shared" si="32"/>
        <v>2.2685355489887246E-2</v>
      </c>
      <c r="BB27">
        <f t="shared" si="33"/>
        <v>1.7444136140710862</v>
      </c>
      <c r="BC27" t="s">
        <v>403</v>
      </c>
      <c r="BD27">
        <v>551</v>
      </c>
      <c r="BE27">
        <f t="shared" si="34"/>
        <v>735.6099999999999</v>
      </c>
      <c r="BF27">
        <f t="shared" si="35"/>
        <v>0.65888526289106175</v>
      </c>
      <c r="BG27">
        <f t="shared" si="36"/>
        <v>0.75315017835630327</v>
      </c>
      <c r="BH27">
        <f t="shared" si="37"/>
        <v>0.69507418417651667</v>
      </c>
      <c r="BI27">
        <f t="shared" si="38"/>
        <v>0.76295583531998612</v>
      </c>
      <c r="BJ27">
        <v>8125</v>
      </c>
      <c r="BK27">
        <v>300</v>
      </c>
      <c r="BL27">
        <v>300</v>
      </c>
      <c r="BM27">
        <v>300</v>
      </c>
      <c r="BN27">
        <v>10296.1</v>
      </c>
      <c r="BO27">
        <v>1168.94</v>
      </c>
      <c r="BP27">
        <v>-7.0454200000000002E-3</v>
      </c>
      <c r="BQ27">
        <v>5.3133499999999998</v>
      </c>
      <c r="BR27" t="s">
        <v>347</v>
      </c>
      <c r="BS27" t="s">
        <v>347</v>
      </c>
      <c r="BT27" t="s">
        <v>347</v>
      </c>
      <c r="BU27" t="s">
        <v>347</v>
      </c>
      <c r="BV27" t="s">
        <v>347</v>
      </c>
      <c r="BW27" t="s">
        <v>347</v>
      </c>
      <c r="BX27" t="s">
        <v>347</v>
      </c>
      <c r="BY27" t="s">
        <v>347</v>
      </c>
      <c r="BZ27" t="s">
        <v>347</v>
      </c>
      <c r="CA27" t="s">
        <v>347</v>
      </c>
      <c r="CB27">
        <f t="shared" si="39"/>
        <v>1750.04</v>
      </c>
      <c r="CC27">
        <f t="shared" si="40"/>
        <v>1471.2377998142133</v>
      </c>
      <c r="CD27">
        <f t="shared" si="41"/>
        <v>0.84068809845158587</v>
      </c>
      <c r="CE27">
        <f t="shared" si="42"/>
        <v>0.19137619690317184</v>
      </c>
      <c r="CF27">
        <v>1565557642.5999999</v>
      </c>
      <c r="CG27">
        <v>1156.04</v>
      </c>
      <c r="CH27">
        <v>1199.92</v>
      </c>
      <c r="CI27">
        <v>18.459099999999999</v>
      </c>
      <c r="CJ27">
        <v>16.656500000000001</v>
      </c>
      <c r="CK27">
        <v>500.03800000000001</v>
      </c>
      <c r="CL27">
        <v>99.089299999999994</v>
      </c>
      <c r="CM27">
        <v>0.10008</v>
      </c>
      <c r="CN27">
        <v>25.796800000000001</v>
      </c>
      <c r="CO27">
        <v>27.0166</v>
      </c>
      <c r="CP27">
        <v>999.9</v>
      </c>
      <c r="CQ27">
        <v>0</v>
      </c>
      <c r="CR27">
        <v>0</v>
      </c>
      <c r="CS27">
        <v>10004.4</v>
      </c>
      <c r="CT27">
        <v>0</v>
      </c>
      <c r="CU27">
        <v>1207.9000000000001</v>
      </c>
      <c r="CV27">
        <v>-43.511600000000001</v>
      </c>
      <c r="CW27">
        <v>1178.1600000000001</v>
      </c>
      <c r="CX27">
        <v>1220.24</v>
      </c>
      <c r="CY27">
        <v>1.80366</v>
      </c>
      <c r="CZ27">
        <v>1151.54</v>
      </c>
      <c r="DA27">
        <v>1199.92</v>
      </c>
      <c r="DB27">
        <v>17.9771</v>
      </c>
      <c r="DC27">
        <v>16.656500000000001</v>
      </c>
      <c r="DD27">
        <v>1.8291999999999999</v>
      </c>
      <c r="DE27">
        <v>1.6504799999999999</v>
      </c>
      <c r="DF27">
        <v>16.038599999999999</v>
      </c>
      <c r="DG27">
        <v>14.4383</v>
      </c>
      <c r="DH27">
        <v>1750.04</v>
      </c>
      <c r="DI27">
        <v>0.97699499999999995</v>
      </c>
      <c r="DJ27">
        <v>2.3004500000000001E-2</v>
      </c>
      <c r="DK27">
        <v>0</v>
      </c>
      <c r="DL27">
        <v>801.56</v>
      </c>
      <c r="DM27">
        <v>5.0002700000000004</v>
      </c>
      <c r="DN27">
        <v>18202.900000000001</v>
      </c>
      <c r="DO27">
        <v>14146</v>
      </c>
      <c r="DP27">
        <v>46</v>
      </c>
      <c r="DQ27">
        <v>48.311999999999998</v>
      </c>
      <c r="DR27">
        <v>46.811999999999998</v>
      </c>
      <c r="DS27">
        <v>47.625</v>
      </c>
      <c r="DT27">
        <v>47.375</v>
      </c>
      <c r="DU27">
        <v>1704.9</v>
      </c>
      <c r="DV27">
        <v>40.14</v>
      </c>
      <c r="DW27">
        <v>0</v>
      </c>
      <c r="DX27">
        <v>123.799999952316</v>
      </c>
      <c r="DY27">
        <v>801.92741176470599</v>
      </c>
      <c r="DZ27">
        <v>-6.5230392661185999</v>
      </c>
      <c r="EA27">
        <v>-994.28922140783095</v>
      </c>
      <c r="EB27">
        <v>18261.258823529399</v>
      </c>
      <c r="EC27">
        <v>10</v>
      </c>
      <c r="ED27">
        <v>1565557665.5999999</v>
      </c>
      <c r="EE27" t="s">
        <v>404</v>
      </c>
      <c r="EF27">
        <v>80</v>
      </c>
      <c r="EG27">
        <v>4.4969999999999999</v>
      </c>
      <c r="EH27">
        <v>0.48199999999999998</v>
      </c>
      <c r="EI27">
        <v>1200</v>
      </c>
      <c r="EJ27">
        <v>17</v>
      </c>
      <c r="EK27">
        <v>0.05</v>
      </c>
      <c r="EL27">
        <v>0.13</v>
      </c>
      <c r="EM27">
        <v>34.658548642811503</v>
      </c>
      <c r="EN27">
        <v>-0.99959725415095102</v>
      </c>
      <c r="EO27">
        <v>0.17455316998758499</v>
      </c>
      <c r="EP27">
        <v>0</v>
      </c>
      <c r="EQ27">
        <v>8.6895390720130999E-2</v>
      </c>
      <c r="ER27">
        <v>-4.1491509029601198E-3</v>
      </c>
      <c r="ES27">
        <v>4.4405718686646298E-4</v>
      </c>
      <c r="ET27">
        <v>1</v>
      </c>
      <c r="EU27">
        <v>1</v>
      </c>
      <c r="EV27">
        <v>2</v>
      </c>
      <c r="EW27" t="s">
        <v>369</v>
      </c>
      <c r="EX27">
        <v>2.9487100000000002</v>
      </c>
      <c r="EY27">
        <v>2.7775300000000001</v>
      </c>
      <c r="EZ27">
        <v>0.19375200000000001</v>
      </c>
      <c r="FA27">
        <v>0.193412</v>
      </c>
      <c r="FB27">
        <v>9.1368699999999997E-2</v>
      </c>
      <c r="FC27">
        <v>8.2258999999999999E-2</v>
      </c>
      <c r="FD27">
        <v>19302.2</v>
      </c>
      <c r="FE27">
        <v>19481.2</v>
      </c>
      <c r="FF27">
        <v>22522.6</v>
      </c>
      <c r="FG27">
        <v>26504.9</v>
      </c>
      <c r="FH27">
        <v>29254.400000000001</v>
      </c>
      <c r="FI27">
        <v>38182.300000000003</v>
      </c>
      <c r="FJ27">
        <v>32169.599999999999</v>
      </c>
      <c r="FK27">
        <v>42224.9</v>
      </c>
      <c r="FL27">
        <v>1.9231799999999999</v>
      </c>
      <c r="FM27">
        <v>1.8212200000000001</v>
      </c>
      <c r="FN27">
        <v>1.3038500000000001E-3</v>
      </c>
      <c r="FO27">
        <v>0</v>
      </c>
      <c r="FP27">
        <v>26.9953</v>
      </c>
      <c r="FQ27">
        <v>999.9</v>
      </c>
      <c r="FR27">
        <v>33.658999999999999</v>
      </c>
      <c r="FS27">
        <v>43.427</v>
      </c>
      <c r="FT27">
        <v>30.1737</v>
      </c>
      <c r="FU27">
        <v>61.664000000000001</v>
      </c>
      <c r="FV27">
        <v>46.222000000000001</v>
      </c>
      <c r="FW27">
        <v>1</v>
      </c>
      <c r="FX27">
        <v>0.61422299999999996</v>
      </c>
      <c r="FY27">
        <v>7.3803000000000001</v>
      </c>
      <c r="FZ27">
        <v>20.1081</v>
      </c>
      <c r="GA27">
        <v>5.2256799999999997</v>
      </c>
      <c r="GB27">
        <v>11.962</v>
      </c>
      <c r="GC27">
        <v>4.9717000000000002</v>
      </c>
      <c r="GD27">
        <v>3.2949999999999999</v>
      </c>
      <c r="GE27">
        <v>9999</v>
      </c>
      <c r="GF27">
        <v>9999</v>
      </c>
      <c r="GG27">
        <v>507</v>
      </c>
      <c r="GH27">
        <v>9999</v>
      </c>
      <c r="GI27">
        <v>1.86602</v>
      </c>
      <c r="GJ27">
        <v>1.86551</v>
      </c>
      <c r="GK27">
        <v>1.8656900000000001</v>
      </c>
      <c r="GL27">
        <v>1.8686199999999999</v>
      </c>
      <c r="GM27">
        <v>1.86294</v>
      </c>
      <c r="GN27">
        <v>1.8611</v>
      </c>
      <c r="GO27">
        <v>1.8573</v>
      </c>
      <c r="GP27">
        <v>1.8633999999999999</v>
      </c>
      <c r="GQ27" t="s">
        <v>350</v>
      </c>
      <c r="GR27" t="s">
        <v>19</v>
      </c>
      <c r="GS27" t="s">
        <v>19</v>
      </c>
      <c r="GT27" t="s">
        <v>19</v>
      </c>
      <c r="GU27" t="s">
        <v>351</v>
      </c>
      <c r="GV27" t="s">
        <v>352</v>
      </c>
      <c r="GW27" t="s">
        <v>353</v>
      </c>
      <c r="GX27" t="s">
        <v>353</v>
      </c>
      <c r="GY27" t="s">
        <v>353</v>
      </c>
      <c r="GZ27" t="s">
        <v>353</v>
      </c>
      <c r="HA27">
        <v>0</v>
      </c>
      <c r="HB27">
        <v>100</v>
      </c>
      <c r="HC27">
        <v>100</v>
      </c>
      <c r="HD27">
        <v>4.4969999999999999</v>
      </c>
      <c r="HE27">
        <v>0.48199999999999998</v>
      </c>
      <c r="HF27">
        <v>2</v>
      </c>
      <c r="HG27">
        <v>496.44600000000003</v>
      </c>
      <c r="HH27">
        <v>468.64100000000002</v>
      </c>
      <c r="HI27">
        <v>20.034400000000002</v>
      </c>
      <c r="HJ27">
        <v>34.897599999999997</v>
      </c>
      <c r="HK27">
        <v>30.0001</v>
      </c>
      <c r="HL27">
        <v>34.786999999999999</v>
      </c>
      <c r="HM27">
        <v>34.771900000000002</v>
      </c>
      <c r="HN27">
        <v>52.1267</v>
      </c>
      <c r="HO27">
        <v>52.930900000000001</v>
      </c>
      <c r="HP27">
        <v>0</v>
      </c>
      <c r="HQ27">
        <v>20.013000000000002</v>
      </c>
      <c r="HR27">
        <v>1200</v>
      </c>
      <c r="HS27">
        <v>16.675899999999999</v>
      </c>
      <c r="HT27">
        <v>99.0291</v>
      </c>
      <c r="HU27">
        <v>102.95399999999999</v>
      </c>
    </row>
    <row r="28" spans="1:229" x14ac:dyDescent="0.35">
      <c r="A28">
        <v>13</v>
      </c>
      <c r="B28">
        <v>1565557756.5999999</v>
      </c>
      <c r="C28">
        <v>1281.0999999046301</v>
      </c>
      <c r="D28" t="s">
        <v>405</v>
      </c>
      <c r="E28" t="s">
        <v>406</v>
      </c>
      <c r="G28">
        <v>1565557756.5999999</v>
      </c>
      <c r="H28">
        <f t="shared" si="0"/>
        <v>1.2540168701062936E-3</v>
      </c>
      <c r="I28">
        <f t="shared" si="1"/>
        <v>37.919090494558468</v>
      </c>
      <c r="J28">
        <f t="shared" si="2"/>
        <v>1552.18</v>
      </c>
      <c r="K28">
        <f t="shared" si="3"/>
        <v>644.4618988146957</v>
      </c>
      <c r="L28">
        <f t="shared" si="4"/>
        <v>63.926263155519919</v>
      </c>
      <c r="M28">
        <f t="shared" si="5"/>
        <v>153.96576171101998</v>
      </c>
      <c r="N28">
        <f t="shared" si="6"/>
        <v>7.0296244311992939E-2</v>
      </c>
      <c r="O28">
        <f t="shared" si="7"/>
        <v>2.2461743090261779</v>
      </c>
      <c r="P28">
        <f t="shared" si="8"/>
        <v>6.909653444333326E-2</v>
      </c>
      <c r="Q28">
        <f t="shared" si="9"/>
        <v>4.3291417723842825E-2</v>
      </c>
      <c r="R28">
        <f t="shared" si="10"/>
        <v>281.52637906747771</v>
      </c>
      <c r="S28">
        <f t="shared" si="11"/>
        <v>27.43907390765661</v>
      </c>
      <c r="T28">
        <f t="shared" si="12"/>
        <v>26.978400000000001</v>
      </c>
      <c r="U28">
        <f t="shared" si="13"/>
        <v>3.5746216073271455</v>
      </c>
      <c r="V28">
        <f t="shared" si="14"/>
        <v>54.899709366763375</v>
      </c>
      <c r="W28">
        <f t="shared" si="15"/>
        <v>1.8233701192979999</v>
      </c>
      <c r="X28">
        <f t="shared" si="16"/>
        <v>3.3212746302840714</v>
      </c>
      <c r="Y28">
        <f t="shared" si="17"/>
        <v>1.7512514880291457</v>
      </c>
      <c r="Z28">
        <f t="shared" si="18"/>
        <v>-55.302143971687549</v>
      </c>
      <c r="AA28">
        <f t="shared" si="19"/>
        <v>-150.83686538814192</v>
      </c>
      <c r="AB28">
        <f t="shared" si="20"/>
        <v>-14.39923073744797</v>
      </c>
      <c r="AC28">
        <f t="shared" si="21"/>
        <v>60.988138970200282</v>
      </c>
      <c r="AD28">
        <v>-4.1080833255957398E-2</v>
      </c>
      <c r="AE28">
        <v>4.6116834208465698E-2</v>
      </c>
      <c r="AF28">
        <v>3.4483833009898501</v>
      </c>
      <c r="AG28">
        <v>1</v>
      </c>
      <c r="AH28">
        <v>0</v>
      </c>
      <c r="AI28">
        <f t="shared" si="22"/>
        <v>1</v>
      </c>
      <c r="AJ28">
        <f t="shared" si="23"/>
        <v>0</v>
      </c>
      <c r="AK28">
        <f t="shared" si="24"/>
        <v>52607.330108825139</v>
      </c>
      <c r="AL28" t="s">
        <v>344</v>
      </c>
      <c r="AM28">
        <v>589.29941176470595</v>
      </c>
      <c r="AN28">
        <v>3530.99</v>
      </c>
      <c r="AO28">
        <f t="shared" si="25"/>
        <v>2941.6905882352939</v>
      </c>
      <c r="AP28">
        <f t="shared" si="26"/>
        <v>0.83310646256015852</v>
      </c>
      <c r="AQ28">
        <v>1.42453575549529</v>
      </c>
      <c r="AR28" t="s">
        <v>407</v>
      </c>
      <c r="AS28">
        <v>801.38141176470594</v>
      </c>
      <c r="AT28">
        <v>1290.6400000000001</v>
      </c>
      <c r="AU28">
        <f t="shared" si="27"/>
        <v>0.37908215167304138</v>
      </c>
      <c r="AV28">
        <v>0.5</v>
      </c>
      <c r="AW28">
        <f t="shared" si="28"/>
        <v>1471.061399814191</v>
      </c>
      <c r="AX28">
        <f t="shared" si="29"/>
        <v>37.919090494558468</v>
      </c>
      <c r="AY28">
        <f t="shared" si="30"/>
        <v>278.82656034235987</v>
      </c>
      <c r="AZ28">
        <f t="shared" si="31"/>
        <v>0.57470712204797625</v>
      </c>
      <c r="BA28">
        <f t="shared" si="32"/>
        <v>2.4808315100697215E-2</v>
      </c>
      <c r="BB28">
        <f t="shared" si="33"/>
        <v>1.735844232318849</v>
      </c>
      <c r="BC28" t="s">
        <v>408</v>
      </c>
      <c r="BD28">
        <v>548.9</v>
      </c>
      <c r="BE28">
        <f t="shared" si="34"/>
        <v>741.74000000000012</v>
      </c>
      <c r="BF28">
        <f t="shared" si="35"/>
        <v>0.65960928119731188</v>
      </c>
      <c r="BG28">
        <f t="shared" si="36"/>
        <v>0.7512684057154545</v>
      </c>
      <c r="BH28">
        <f t="shared" si="37"/>
        <v>0.69760483913580629</v>
      </c>
      <c r="BI28">
        <f t="shared" si="38"/>
        <v>0.76158587478908668</v>
      </c>
      <c r="BJ28">
        <v>8127</v>
      </c>
      <c r="BK28">
        <v>300</v>
      </c>
      <c r="BL28">
        <v>300</v>
      </c>
      <c r="BM28">
        <v>300</v>
      </c>
      <c r="BN28">
        <v>10296.5</v>
      </c>
      <c r="BO28">
        <v>1174.6400000000001</v>
      </c>
      <c r="BP28">
        <v>-7.0460699999999998E-3</v>
      </c>
      <c r="BQ28">
        <v>7.2611100000000004</v>
      </c>
      <c r="BR28" t="s">
        <v>347</v>
      </c>
      <c r="BS28" t="s">
        <v>347</v>
      </c>
      <c r="BT28" t="s">
        <v>347</v>
      </c>
      <c r="BU28" t="s">
        <v>347</v>
      </c>
      <c r="BV28" t="s">
        <v>347</v>
      </c>
      <c r="BW28" t="s">
        <v>347</v>
      </c>
      <c r="BX28" t="s">
        <v>347</v>
      </c>
      <c r="BY28" t="s">
        <v>347</v>
      </c>
      <c r="BZ28" t="s">
        <v>347</v>
      </c>
      <c r="CA28" t="s">
        <v>347</v>
      </c>
      <c r="CB28">
        <f t="shared" si="39"/>
        <v>1749.83</v>
      </c>
      <c r="CC28">
        <f t="shared" si="40"/>
        <v>1471.061399814191</v>
      </c>
      <c r="CD28">
        <f t="shared" si="41"/>
        <v>0.8406881810314093</v>
      </c>
      <c r="CE28">
        <f t="shared" si="42"/>
        <v>0.19137636206281883</v>
      </c>
      <c r="CF28">
        <v>1565557756.5999999</v>
      </c>
      <c r="CG28">
        <v>1552.18</v>
      </c>
      <c r="CH28">
        <v>1600.02</v>
      </c>
      <c r="CI28">
        <v>18.382000000000001</v>
      </c>
      <c r="CJ28">
        <v>16.904800000000002</v>
      </c>
      <c r="CK28">
        <v>499.98599999999999</v>
      </c>
      <c r="CL28">
        <v>99.093199999999996</v>
      </c>
      <c r="CM28">
        <v>0.100039</v>
      </c>
      <c r="CN28">
        <v>25.732800000000001</v>
      </c>
      <c r="CO28">
        <v>26.978400000000001</v>
      </c>
      <c r="CP28">
        <v>999.9</v>
      </c>
      <c r="CQ28">
        <v>0</v>
      </c>
      <c r="CR28">
        <v>0</v>
      </c>
      <c r="CS28">
        <v>9997.5</v>
      </c>
      <c r="CT28">
        <v>0</v>
      </c>
      <c r="CU28">
        <v>991.07799999999997</v>
      </c>
      <c r="CV28">
        <v>-47.020600000000002</v>
      </c>
      <c r="CW28">
        <v>1582.08</v>
      </c>
      <c r="CX28">
        <v>1627.54</v>
      </c>
      <c r="CY28">
        <v>1.4772799999999999</v>
      </c>
      <c r="CZ28">
        <v>1548.51</v>
      </c>
      <c r="DA28">
        <v>1600.02</v>
      </c>
      <c r="DB28">
        <v>17.899999999999999</v>
      </c>
      <c r="DC28">
        <v>16.904800000000002</v>
      </c>
      <c r="DD28">
        <v>1.8215399999999999</v>
      </c>
      <c r="DE28">
        <v>1.6751499999999999</v>
      </c>
      <c r="DF28">
        <v>15.972799999999999</v>
      </c>
      <c r="DG28">
        <v>14.667999999999999</v>
      </c>
      <c r="DH28">
        <v>1749.83</v>
      </c>
      <c r="DI28">
        <v>0.97699499999999995</v>
      </c>
      <c r="DJ28">
        <v>2.3004500000000001E-2</v>
      </c>
      <c r="DK28">
        <v>0</v>
      </c>
      <c r="DL28">
        <v>800.83399999999995</v>
      </c>
      <c r="DM28">
        <v>5.0002700000000004</v>
      </c>
      <c r="DN28">
        <v>17529.8</v>
      </c>
      <c r="DO28">
        <v>14144.3</v>
      </c>
      <c r="DP28">
        <v>45.936999999999998</v>
      </c>
      <c r="DQ28">
        <v>48.186999999999998</v>
      </c>
      <c r="DR28">
        <v>46.811999999999998</v>
      </c>
      <c r="DS28">
        <v>47.686999999999998</v>
      </c>
      <c r="DT28">
        <v>47.436999999999998</v>
      </c>
      <c r="DU28">
        <v>1704.69</v>
      </c>
      <c r="DV28">
        <v>40.14</v>
      </c>
      <c r="DW28">
        <v>0</v>
      </c>
      <c r="DX28">
        <v>113.5</v>
      </c>
      <c r="DY28">
        <v>801.38141176470594</v>
      </c>
      <c r="DZ28">
        <v>-11.0129902110972</v>
      </c>
      <c r="EA28">
        <v>-809.87745080978004</v>
      </c>
      <c r="EB28">
        <v>17599.141176470599</v>
      </c>
      <c r="EC28">
        <v>10</v>
      </c>
      <c r="ED28">
        <v>1565557781.5999999</v>
      </c>
      <c r="EE28" t="s">
        <v>409</v>
      </c>
      <c r="EF28">
        <v>81</v>
      </c>
      <c r="EG28">
        <v>3.677</v>
      </c>
      <c r="EH28">
        <v>0.48199999999999998</v>
      </c>
      <c r="EI28">
        <v>1600</v>
      </c>
      <c r="EJ28">
        <v>17</v>
      </c>
      <c r="EK28">
        <v>0.08</v>
      </c>
      <c r="EL28">
        <v>0.17</v>
      </c>
      <c r="EM28">
        <v>37.735028318355099</v>
      </c>
      <c r="EN28">
        <v>-2.7054404758173898</v>
      </c>
      <c r="EO28">
        <v>0.35619575352479899</v>
      </c>
      <c r="EP28">
        <v>0</v>
      </c>
      <c r="EQ28">
        <v>7.0770140671454193E-2</v>
      </c>
      <c r="ER28">
        <v>-4.0513207016671599E-3</v>
      </c>
      <c r="ES28">
        <v>9.5289368412905604E-4</v>
      </c>
      <c r="ET28">
        <v>1</v>
      </c>
      <c r="EU28">
        <v>1</v>
      </c>
      <c r="EV28">
        <v>2</v>
      </c>
      <c r="EW28" t="s">
        <v>369</v>
      </c>
      <c r="EX28">
        <v>2.9486400000000001</v>
      </c>
      <c r="EY28">
        <v>2.7774299999999998</v>
      </c>
      <c r="EZ28">
        <v>0.23178599999999999</v>
      </c>
      <c r="FA28">
        <v>0.23000699999999999</v>
      </c>
      <c r="FB28">
        <v>9.1098799999999994E-2</v>
      </c>
      <c r="FC28">
        <v>8.3161200000000005E-2</v>
      </c>
      <c r="FD28">
        <v>18390.099999999999</v>
      </c>
      <c r="FE28">
        <v>18596.900000000001</v>
      </c>
      <c r="FF28">
        <v>22524.799999999999</v>
      </c>
      <c r="FG28">
        <v>26509.599999999999</v>
      </c>
      <c r="FH28">
        <v>29267.4</v>
      </c>
      <c r="FI28">
        <v>38151.300000000003</v>
      </c>
      <c r="FJ28">
        <v>32173.9</v>
      </c>
      <c r="FK28">
        <v>42231.6</v>
      </c>
      <c r="FL28">
        <v>1.92415</v>
      </c>
      <c r="FM28">
        <v>1.8230500000000001</v>
      </c>
      <c r="FN28">
        <v>8.2328899999999997E-3</v>
      </c>
      <c r="FO28">
        <v>0</v>
      </c>
      <c r="FP28">
        <v>26.843800000000002</v>
      </c>
      <c r="FQ28">
        <v>999.9</v>
      </c>
      <c r="FR28">
        <v>33.61</v>
      </c>
      <c r="FS28">
        <v>43.506999999999998</v>
      </c>
      <c r="FT28">
        <v>30.2544</v>
      </c>
      <c r="FU28">
        <v>61.634</v>
      </c>
      <c r="FV28">
        <v>46.149799999999999</v>
      </c>
      <c r="FW28">
        <v>1</v>
      </c>
      <c r="FX28">
        <v>0.60497199999999995</v>
      </c>
      <c r="FY28">
        <v>6.7674200000000004</v>
      </c>
      <c r="FZ28">
        <v>20.133299999999998</v>
      </c>
      <c r="GA28">
        <v>5.2231300000000003</v>
      </c>
      <c r="GB28">
        <v>11.962</v>
      </c>
      <c r="GC28">
        <v>4.9716500000000003</v>
      </c>
      <c r="GD28">
        <v>3.2949999999999999</v>
      </c>
      <c r="GE28">
        <v>9999</v>
      </c>
      <c r="GF28">
        <v>9999</v>
      </c>
      <c r="GG28">
        <v>507</v>
      </c>
      <c r="GH28">
        <v>9999</v>
      </c>
      <c r="GI28">
        <v>1.8660300000000001</v>
      </c>
      <c r="GJ28">
        <v>1.8655299999999999</v>
      </c>
      <c r="GK28">
        <v>1.86568</v>
      </c>
      <c r="GL28">
        <v>1.8686100000000001</v>
      </c>
      <c r="GM28">
        <v>1.86294</v>
      </c>
      <c r="GN28">
        <v>1.86107</v>
      </c>
      <c r="GO28">
        <v>1.8573</v>
      </c>
      <c r="GP28">
        <v>1.8633999999999999</v>
      </c>
      <c r="GQ28" t="s">
        <v>350</v>
      </c>
      <c r="GR28" t="s">
        <v>19</v>
      </c>
      <c r="GS28" t="s">
        <v>19</v>
      </c>
      <c r="GT28" t="s">
        <v>19</v>
      </c>
      <c r="GU28" t="s">
        <v>351</v>
      </c>
      <c r="GV28" t="s">
        <v>352</v>
      </c>
      <c r="GW28" t="s">
        <v>353</v>
      </c>
      <c r="GX28" t="s">
        <v>353</v>
      </c>
      <c r="GY28" t="s">
        <v>353</v>
      </c>
      <c r="GZ28" t="s">
        <v>353</v>
      </c>
      <c r="HA28">
        <v>0</v>
      </c>
      <c r="HB28">
        <v>100</v>
      </c>
      <c r="HC28">
        <v>100</v>
      </c>
      <c r="HD28">
        <v>3.677</v>
      </c>
      <c r="HE28">
        <v>0.48199999999999998</v>
      </c>
      <c r="HF28">
        <v>2</v>
      </c>
      <c r="HG28">
        <v>496.71100000000001</v>
      </c>
      <c r="HH28">
        <v>469.48</v>
      </c>
      <c r="HI28">
        <v>20.266100000000002</v>
      </c>
      <c r="HJ28">
        <v>34.823599999999999</v>
      </c>
      <c r="HK28">
        <v>29.999500000000001</v>
      </c>
      <c r="HL28">
        <v>34.7361</v>
      </c>
      <c r="HM28">
        <v>34.720399999999998</v>
      </c>
      <c r="HN28">
        <v>65.812299999999993</v>
      </c>
      <c r="HO28">
        <v>52.366399999999999</v>
      </c>
      <c r="HP28">
        <v>0</v>
      </c>
      <c r="HQ28">
        <v>20.290199999999999</v>
      </c>
      <c r="HR28">
        <v>1600</v>
      </c>
      <c r="HS28">
        <v>16.932700000000001</v>
      </c>
      <c r="HT28">
        <v>99.040899999999993</v>
      </c>
      <c r="HU28">
        <v>102.971</v>
      </c>
    </row>
  </sheetData>
  <sortState xmlns:xlrd2="http://schemas.microsoft.com/office/spreadsheetml/2017/richdata2" ref="J33:L45">
    <sortCondition ref="J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Genghong</cp:lastModifiedBy>
  <dcterms:created xsi:type="dcterms:W3CDTF">2019-08-10T16:32:08Z</dcterms:created>
  <dcterms:modified xsi:type="dcterms:W3CDTF">2019-08-28T03:09:22Z</dcterms:modified>
</cp:coreProperties>
</file>