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raw\"/>
    </mc:Choice>
  </mc:AlternateContent>
  <xr:revisionPtr revIDLastSave="0" documentId="13_ncr:1_{FEF62B1F-0067-4AD7-93C4-B1ABF8511B53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E29" i="1" l="1"/>
  <c r="CD29" i="1"/>
  <c r="CB29" i="1"/>
  <c r="CC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 s="1"/>
  <c r="X29" i="1"/>
  <c r="W29" i="1"/>
  <c r="O29" i="1"/>
  <c r="H29" i="1"/>
  <c r="Z29" i="1" s="1"/>
  <c r="CE28" i="1"/>
  <c r="CD28" i="1"/>
  <c r="CB28" i="1"/>
  <c r="CC28" i="1" s="1"/>
  <c r="AW28" i="1" s="1"/>
  <c r="BI28" i="1"/>
  <c r="BH28" i="1"/>
  <c r="BG28" i="1"/>
  <c r="BF28" i="1"/>
  <c r="BE28" i="1"/>
  <c r="AZ28" i="1" s="1"/>
  <c r="BB28" i="1"/>
  <c r="AU28" i="1"/>
  <c r="AY28" i="1" s="1"/>
  <c r="AP28" i="1"/>
  <c r="AO28" i="1"/>
  <c r="AK28" i="1"/>
  <c r="AJ28" i="1"/>
  <c r="AI28" i="1"/>
  <c r="X28" i="1"/>
  <c r="W28" i="1"/>
  <c r="V28" i="1" s="1"/>
  <c r="R28" i="1"/>
  <c r="O28" i="1"/>
  <c r="J28" i="1"/>
  <c r="CE27" i="1"/>
  <c r="CD27" i="1"/>
  <c r="CB27" i="1"/>
  <c r="CC27" i="1" s="1"/>
  <c r="AW27" i="1" s="1"/>
  <c r="AY27" i="1" s="1"/>
  <c r="BI27" i="1"/>
  <c r="BH27" i="1"/>
  <c r="BG27" i="1"/>
  <c r="BF27" i="1"/>
  <c r="BE27" i="1"/>
  <c r="AZ27" i="1" s="1"/>
  <c r="BB27" i="1"/>
  <c r="AU27" i="1"/>
  <c r="AP27" i="1"/>
  <c r="AO27" i="1"/>
  <c r="AK27" i="1"/>
  <c r="AI27" i="1"/>
  <c r="I27" i="1" s="1"/>
  <c r="AX27" i="1" s="1"/>
  <c r="BA27" i="1" s="1"/>
  <c r="X27" i="1"/>
  <c r="W27" i="1"/>
  <c r="V27" i="1"/>
  <c r="R27" i="1"/>
  <c r="O27" i="1"/>
  <c r="M27" i="1"/>
  <c r="CE26" i="1"/>
  <c r="CD26" i="1"/>
  <c r="CC26" i="1" s="1"/>
  <c r="CB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 s="1"/>
  <c r="X26" i="1"/>
  <c r="V26" i="1" s="1"/>
  <c r="W26" i="1"/>
  <c r="O26" i="1"/>
  <c r="M26" i="1"/>
  <c r="I26" i="1"/>
  <c r="AX26" i="1" s="1"/>
  <c r="H26" i="1"/>
  <c r="Z26" i="1" s="1"/>
  <c r="CE25" i="1"/>
  <c r="CD25" i="1"/>
  <c r="CB25" i="1"/>
  <c r="CC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 s="1"/>
  <c r="X25" i="1"/>
  <c r="W25" i="1"/>
  <c r="O25" i="1"/>
  <c r="H25" i="1"/>
  <c r="Z25" i="1" s="1"/>
  <c r="CE24" i="1"/>
  <c r="CD24" i="1"/>
  <c r="CB24" i="1"/>
  <c r="CC24" i="1" s="1"/>
  <c r="AW24" i="1" s="1"/>
  <c r="BI24" i="1"/>
  <c r="BH24" i="1"/>
  <c r="BG24" i="1"/>
  <c r="BF24" i="1"/>
  <c r="BE24" i="1"/>
  <c r="AZ24" i="1" s="1"/>
  <c r="BB24" i="1"/>
  <c r="AU24" i="1"/>
  <c r="AY24" i="1" s="1"/>
  <c r="AP24" i="1"/>
  <c r="AO24" i="1"/>
  <c r="AK24" i="1"/>
  <c r="AJ24" i="1"/>
  <c r="AI24" i="1"/>
  <c r="X24" i="1"/>
  <c r="W24" i="1"/>
  <c r="V24" i="1"/>
  <c r="R24" i="1"/>
  <c r="O24" i="1"/>
  <c r="J24" i="1"/>
  <c r="CE23" i="1"/>
  <c r="CD23" i="1"/>
  <c r="CB23" i="1"/>
  <c r="CC23" i="1" s="1"/>
  <c r="AW23" i="1" s="1"/>
  <c r="AY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X23" i="1"/>
  <c r="W23" i="1"/>
  <c r="V23" i="1"/>
  <c r="R23" i="1"/>
  <c r="O23" i="1"/>
  <c r="M23" i="1"/>
  <c r="CE22" i="1"/>
  <c r="CD22" i="1"/>
  <c r="CC22" i="1" s="1"/>
  <c r="CB22" i="1"/>
  <c r="BI22" i="1"/>
  <c r="BH22" i="1"/>
  <c r="BG22" i="1"/>
  <c r="BF22" i="1"/>
  <c r="BE22" i="1"/>
  <c r="AZ22" i="1" s="1"/>
  <c r="BB22" i="1"/>
  <c r="AU22" i="1"/>
  <c r="AO22" i="1"/>
  <c r="AP22" i="1" s="1"/>
  <c r="AK22" i="1"/>
  <c r="AI22" i="1" s="1"/>
  <c r="X22" i="1"/>
  <c r="V22" i="1" s="1"/>
  <c r="W22" i="1"/>
  <c r="O22" i="1"/>
  <c r="I22" i="1"/>
  <c r="AX22" i="1" s="1"/>
  <c r="H22" i="1"/>
  <c r="Z22" i="1" s="1"/>
  <c r="CE21" i="1"/>
  <c r="CD21" i="1"/>
  <c r="CB21" i="1"/>
  <c r="CC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 s="1"/>
  <c r="X21" i="1"/>
  <c r="W21" i="1"/>
  <c r="O21" i="1"/>
  <c r="H21" i="1"/>
  <c r="Z21" i="1" s="1"/>
  <c r="CE20" i="1"/>
  <c r="CD20" i="1"/>
  <c r="CB20" i="1"/>
  <c r="CC20" i="1" s="1"/>
  <c r="AW20" i="1" s="1"/>
  <c r="BI20" i="1"/>
  <c r="BH20" i="1"/>
  <c r="BG20" i="1"/>
  <c r="BF20" i="1"/>
  <c r="BE20" i="1"/>
  <c r="AZ20" i="1" s="1"/>
  <c r="BB20" i="1"/>
  <c r="AU20" i="1"/>
  <c r="AY20" i="1" s="1"/>
  <c r="AP20" i="1"/>
  <c r="AO20" i="1"/>
  <c r="AK20" i="1"/>
  <c r="AJ20" i="1"/>
  <c r="AI20" i="1"/>
  <c r="X20" i="1"/>
  <c r="W20" i="1"/>
  <c r="V20" i="1"/>
  <c r="R20" i="1"/>
  <c r="O20" i="1"/>
  <c r="J20" i="1"/>
  <c r="CE19" i="1"/>
  <c r="CD19" i="1"/>
  <c r="CB19" i="1"/>
  <c r="CC19" i="1" s="1"/>
  <c r="AW19" i="1" s="1"/>
  <c r="AY19" i="1" s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/>
  <c r="X19" i="1"/>
  <c r="W19" i="1"/>
  <c r="V19" i="1"/>
  <c r="R19" i="1"/>
  <c r="O19" i="1"/>
  <c r="M19" i="1"/>
  <c r="CE18" i="1"/>
  <c r="CD18" i="1"/>
  <c r="CC18" i="1" s="1"/>
  <c r="CB18" i="1"/>
  <c r="BI18" i="1"/>
  <c r="BH18" i="1"/>
  <c r="BG18" i="1"/>
  <c r="BF18" i="1"/>
  <c r="BE18" i="1"/>
  <c r="AZ18" i="1" s="1"/>
  <c r="BB18" i="1"/>
  <c r="AU18" i="1"/>
  <c r="AO18" i="1"/>
  <c r="AP18" i="1" s="1"/>
  <c r="AK18" i="1"/>
  <c r="AI18" i="1" s="1"/>
  <c r="X18" i="1"/>
  <c r="V18" i="1" s="1"/>
  <c r="W18" i="1"/>
  <c r="O18" i="1"/>
  <c r="I18" i="1"/>
  <c r="AX18" i="1" s="1"/>
  <c r="H18" i="1"/>
  <c r="Z18" i="1" s="1"/>
  <c r="CE17" i="1"/>
  <c r="CD17" i="1"/>
  <c r="CB17" i="1"/>
  <c r="CC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/>
  <c r="H17" i="1" s="1"/>
  <c r="X17" i="1"/>
  <c r="W17" i="1"/>
  <c r="V17" i="1"/>
  <c r="O17" i="1"/>
  <c r="M17" i="1"/>
  <c r="J17" i="1"/>
  <c r="I17" i="1"/>
  <c r="AX17" i="1" s="1"/>
  <c r="R18" i="1" l="1"/>
  <c r="AW18" i="1"/>
  <c r="AY18" i="1" s="1"/>
  <c r="R21" i="1"/>
  <c r="AW21" i="1"/>
  <c r="AY21" i="1" s="1"/>
  <c r="BA18" i="1"/>
  <c r="R22" i="1"/>
  <c r="AW22" i="1"/>
  <c r="AY22" i="1" s="1"/>
  <c r="R25" i="1"/>
  <c r="AW25" i="1"/>
  <c r="BA17" i="1"/>
  <c r="R26" i="1"/>
  <c r="AW26" i="1"/>
  <c r="AY26" i="1" s="1"/>
  <c r="R29" i="1"/>
  <c r="AW29" i="1"/>
  <c r="AW17" i="1"/>
  <c r="R17" i="1"/>
  <c r="Z17" i="1"/>
  <c r="AJ26" i="1"/>
  <c r="J26" i="1"/>
  <c r="AY29" i="1"/>
  <c r="S19" i="1"/>
  <c r="T19" i="1" s="1"/>
  <c r="H19" i="1"/>
  <c r="AJ19" i="1"/>
  <c r="J21" i="1"/>
  <c r="M21" i="1"/>
  <c r="I21" i="1"/>
  <c r="AX21" i="1" s="1"/>
  <c r="H23" i="1"/>
  <c r="AJ23" i="1"/>
  <c r="J25" i="1"/>
  <c r="M25" i="1"/>
  <c r="I25" i="1"/>
  <c r="AX25" i="1" s="1"/>
  <c r="BA25" i="1" s="1"/>
  <c r="H27" i="1"/>
  <c r="S27" i="1" s="1"/>
  <c r="T27" i="1" s="1"/>
  <c r="AJ27" i="1"/>
  <c r="J29" i="1"/>
  <c r="M29" i="1"/>
  <c r="I29" i="1"/>
  <c r="AX29" i="1" s="1"/>
  <c r="BA29" i="1" s="1"/>
  <c r="S20" i="1"/>
  <c r="T20" i="1" s="1"/>
  <c r="AJ17" i="1"/>
  <c r="AY17" i="1"/>
  <c r="AJ18" i="1"/>
  <c r="J18" i="1"/>
  <c r="I19" i="1"/>
  <c r="AX19" i="1" s="1"/>
  <c r="BA19" i="1" s="1"/>
  <c r="AJ22" i="1"/>
  <c r="J22" i="1"/>
  <c r="I23" i="1"/>
  <c r="AX23" i="1" s="1"/>
  <c r="BA23" i="1" s="1"/>
  <c r="AY25" i="1"/>
  <c r="M18" i="1"/>
  <c r="J19" i="1"/>
  <c r="M20" i="1"/>
  <c r="I20" i="1"/>
  <c r="AX20" i="1" s="1"/>
  <c r="BA20" i="1" s="1"/>
  <c r="H20" i="1"/>
  <c r="V21" i="1"/>
  <c r="AJ21" i="1"/>
  <c r="M22" i="1"/>
  <c r="J23" i="1"/>
  <c r="M24" i="1"/>
  <c r="I24" i="1"/>
  <c r="AX24" i="1" s="1"/>
  <c r="BA24" i="1" s="1"/>
  <c r="H24" i="1"/>
  <c r="V25" i="1"/>
  <c r="AJ25" i="1"/>
  <c r="J27" i="1"/>
  <c r="M28" i="1"/>
  <c r="I28" i="1"/>
  <c r="AX28" i="1" s="1"/>
  <c r="BA28" i="1" s="1"/>
  <c r="H28" i="1"/>
  <c r="V29" i="1"/>
  <c r="AJ29" i="1"/>
  <c r="AB27" i="1" l="1"/>
  <c r="U27" i="1"/>
  <c r="Y27" i="1" s="1"/>
  <c r="AA27" i="1"/>
  <c r="AB19" i="1"/>
  <c r="U19" i="1"/>
  <c r="Y19" i="1" s="1"/>
  <c r="S29" i="1"/>
  <c r="T29" i="1" s="1"/>
  <c r="U20" i="1"/>
  <c r="Y20" i="1" s="1"/>
  <c r="AB20" i="1"/>
  <c r="AA20" i="1"/>
  <c r="BA21" i="1"/>
  <c r="S17" i="1"/>
  <c r="T17" i="1" s="1"/>
  <c r="BA26" i="1"/>
  <c r="S21" i="1"/>
  <c r="T21" i="1" s="1"/>
  <c r="Z23" i="1"/>
  <c r="S26" i="1"/>
  <c r="T26" i="1" s="1"/>
  <c r="Z28" i="1"/>
  <c r="S28" i="1"/>
  <c r="T28" i="1" s="1"/>
  <c r="P27" i="1"/>
  <c r="N27" i="1" s="1"/>
  <c r="Q27" i="1" s="1"/>
  <c r="K27" i="1" s="1"/>
  <c r="L27" i="1" s="1"/>
  <c r="Z27" i="1"/>
  <c r="S22" i="1"/>
  <c r="T22" i="1" s="1"/>
  <c r="P24" i="1"/>
  <c r="N24" i="1" s="1"/>
  <c r="Q24" i="1" s="1"/>
  <c r="K24" i="1" s="1"/>
  <c r="L24" i="1" s="1"/>
  <c r="Z24" i="1"/>
  <c r="P20" i="1"/>
  <c r="N20" i="1" s="1"/>
  <c r="Q20" i="1" s="1"/>
  <c r="K20" i="1" s="1"/>
  <c r="L20" i="1" s="1"/>
  <c r="Z20" i="1"/>
  <c r="AA19" i="1"/>
  <c r="S24" i="1"/>
  <c r="T24" i="1" s="1"/>
  <c r="S23" i="1"/>
  <c r="T23" i="1" s="1"/>
  <c r="P19" i="1"/>
  <c r="N19" i="1" s="1"/>
  <c r="Q19" i="1" s="1"/>
  <c r="K19" i="1" s="1"/>
  <c r="L19" i="1" s="1"/>
  <c r="Z19" i="1"/>
  <c r="BA22" i="1"/>
  <c r="S25" i="1"/>
  <c r="T25" i="1" s="1"/>
  <c r="S18" i="1"/>
  <c r="T18" i="1" s="1"/>
  <c r="U21" i="1" l="1"/>
  <c r="Y21" i="1" s="1"/>
  <c r="AB21" i="1"/>
  <c r="AA21" i="1"/>
  <c r="P21" i="1"/>
  <c r="N21" i="1" s="1"/>
  <c r="Q21" i="1" s="1"/>
  <c r="K21" i="1" s="1"/>
  <c r="L21" i="1" s="1"/>
  <c r="AB17" i="1"/>
  <c r="U17" i="1"/>
  <c r="Y17" i="1" s="1"/>
  <c r="P17" i="1"/>
  <c r="N17" i="1" s="1"/>
  <c r="Q17" i="1" s="1"/>
  <c r="K17" i="1" s="1"/>
  <c r="L17" i="1" s="1"/>
  <c r="AA17" i="1"/>
  <c r="AC19" i="1"/>
  <c r="U25" i="1"/>
  <c r="Y25" i="1" s="1"/>
  <c r="AB25" i="1"/>
  <c r="AA25" i="1"/>
  <c r="P25" i="1"/>
  <c r="N25" i="1" s="1"/>
  <c r="Q25" i="1" s="1"/>
  <c r="K25" i="1" s="1"/>
  <c r="L25" i="1" s="1"/>
  <c r="U28" i="1"/>
  <c r="Y28" i="1" s="1"/>
  <c r="AB28" i="1"/>
  <c r="AA28" i="1"/>
  <c r="AB26" i="1"/>
  <c r="U26" i="1"/>
  <c r="Y26" i="1" s="1"/>
  <c r="AA26" i="1"/>
  <c r="P26" i="1"/>
  <c r="N26" i="1" s="1"/>
  <c r="Q26" i="1" s="1"/>
  <c r="K26" i="1" s="1"/>
  <c r="L26" i="1" s="1"/>
  <c r="U29" i="1"/>
  <c r="Y29" i="1" s="1"/>
  <c r="AA29" i="1"/>
  <c r="AB29" i="1"/>
  <c r="AC29" i="1" s="1"/>
  <c r="P29" i="1"/>
  <c r="N29" i="1" s="1"/>
  <c r="Q29" i="1" s="1"/>
  <c r="K29" i="1" s="1"/>
  <c r="L29" i="1" s="1"/>
  <c r="AB23" i="1"/>
  <c r="U23" i="1"/>
  <c r="Y23" i="1" s="1"/>
  <c r="AA23" i="1"/>
  <c r="AB22" i="1"/>
  <c r="AC22" i="1" s="1"/>
  <c r="U22" i="1"/>
  <c r="Y22" i="1" s="1"/>
  <c r="AA22" i="1"/>
  <c r="P22" i="1"/>
  <c r="N22" i="1" s="1"/>
  <c r="Q22" i="1" s="1"/>
  <c r="K22" i="1" s="1"/>
  <c r="L22" i="1" s="1"/>
  <c r="AB18" i="1"/>
  <c r="AC18" i="1" s="1"/>
  <c r="U18" i="1"/>
  <c r="Y18" i="1" s="1"/>
  <c r="P18" i="1"/>
  <c r="N18" i="1" s="1"/>
  <c r="Q18" i="1" s="1"/>
  <c r="K18" i="1" s="1"/>
  <c r="L18" i="1" s="1"/>
  <c r="AA18" i="1"/>
  <c r="U24" i="1"/>
  <c r="Y24" i="1" s="1"/>
  <c r="AB24" i="1"/>
  <c r="AC24" i="1" s="1"/>
  <c r="AA24" i="1"/>
  <c r="P28" i="1"/>
  <c r="N28" i="1" s="1"/>
  <c r="Q28" i="1" s="1"/>
  <c r="K28" i="1" s="1"/>
  <c r="L28" i="1" s="1"/>
  <c r="P23" i="1"/>
  <c r="N23" i="1" s="1"/>
  <c r="Q23" i="1" s="1"/>
  <c r="K23" i="1" s="1"/>
  <c r="L23" i="1" s="1"/>
  <c r="AC20" i="1"/>
  <c r="AC27" i="1"/>
  <c r="AC28" i="1" l="1"/>
  <c r="AC25" i="1"/>
  <c r="AC21" i="1"/>
  <c r="AC23" i="1"/>
  <c r="AC26" i="1"/>
  <c r="AC17" i="1"/>
</calcChain>
</file>

<file path=xl/sharedStrings.xml><?xml version="1.0" encoding="utf-8"?>
<sst xmlns="http://schemas.openxmlformats.org/spreadsheetml/2006/main" count="1046" uniqueCount="415">
  <si>
    <t>File opened</t>
  </si>
  <si>
    <t>2019-08-10 16:32:22</t>
  </si>
  <si>
    <t>Console s/n</t>
  </si>
  <si>
    <t>68C-831448</t>
  </si>
  <si>
    <t>Console ver</t>
  </si>
  <si>
    <t>Bluestem v.1.3.17</t>
  </si>
  <si>
    <t>Scripts ver</t>
  </si>
  <si>
    <t>2018.12  1.3.16, Nov 2018</t>
  </si>
  <si>
    <t>Head s/n</t>
  </si>
  <si>
    <t>68H-581448</t>
  </si>
  <si>
    <t>Head ver</t>
  </si>
  <si>
    <t>1.3.1</t>
  </si>
  <si>
    <t>Head cal</t>
  </si>
  <si>
    <t>{"co2bspan2": "-0.029811", "co2bspanconc2": "296.4", "h2oaspan2b": "0.0689295", "co2bspan1": "1.00063", "h2oaspanconc2": "0", "flowmeterzero": "1.01484", "h2obspan2b": "0.0966582", "co2bspan2b": "0.290353", "h2oazero": "0.99813", "tazero": "-0.075655", "h2obspan2": "0", "h2obspanconc1": "20", "co2aspanconc2": "296.4", "co2bspan2a": "0.292725", "ssa_ref": "27614.2", "co2bspanconc1": "2500", "ssb_ref": "33378.8", "h2obspanconc2": "0", "co2aspanconc1": "2500", "oxygen": "21", "h2obzero": "1.01301", "h2obspan2a": "-0.0693626", "chamberpressurezero": "2.62898", "h2oaspan2a": "0.0687344", "tbzero": "-0.00914764", "co2azero": "0.936047", "h2oaspan1": "1.00284", "h2oaspan2": "0", "co2aspan2b": "0.298132", "flowazero": "0.30339", "h2obspan1": "1", "flowbzero": "0.2519", "co2aspan2": "-0.0275709", "h2oaspanconc1": "12.25", "co2aspan1": "1.00019", "co2aspan2a": "0.300565", "co2bzero": "1.08871"}</t>
  </si>
  <si>
    <t>Chamber type</t>
  </si>
  <si>
    <t>6800-01A</t>
  </si>
  <si>
    <t>Chamber s/n</t>
  </si>
  <si>
    <t>MPF-651357</t>
  </si>
  <si>
    <t>Chamber rev</t>
  </si>
  <si>
    <t>0</t>
  </si>
  <si>
    <t>Chamber cal</t>
  </si>
  <si>
    <t>Fluorometer</t>
  </si>
  <si>
    <t>Flr. Version</t>
  </si>
  <si>
    <t>16:32:23</t>
  </si>
  <si>
    <t>Stability Definition:	A (GasEx): Slp&lt;0.1 Std&lt;1 Per=15	gsw (GasEx): Slp&lt;0.1 Std&lt;1 Per=15</t>
  </si>
  <si>
    <t>SysConst</t>
  </si>
  <si>
    <t>AvgTime</t>
  </si>
  <si>
    <t>Oxygen</t>
  </si>
  <si>
    <t>Chamber</t>
  </si>
  <si>
    <t>6800-01A 6 cm²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</si>
  <si>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</si>
  <si>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</si>
  <si>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</si>
  <si>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</si>
  <si>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</si>
  <si>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</si>
  <si>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</si>
  <si>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</si>
  <si>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</si>
  <si>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</si>
  <si>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</si>
  <si>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</si>
  <si>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</si>
  <si>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</si>
  <si>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</si>
  <si>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</si>
  <si>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</si>
  <si>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</si>
  <si>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</si>
  <si>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</si>
  <si>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</si>
  <si>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</si>
  <si>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</si>
  <si>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</si>
  <si>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</si>
  <si>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</si>
  <si>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</si>
  <si>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</si>
  <si>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</si>
  <si>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</si>
  <si>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</si>
  <si>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</si>
  <si>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</si>
  <si>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</si>
  <si>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</si>
  <si>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</si>
  <si>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</si>
  <si>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</si>
  <si>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</si>
  <si>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</si>
  <si>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</si>
  <si>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</si>
  <si>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2.27505 85.6935 378.414 623.837 873.05 1080.45 1248.65 1433.3</t>
  </si>
  <si>
    <t>Fs_true</t>
  </si>
  <si>
    <t>0.0487186 103.87 402.965 601.332 802.409 1002.24 1200.35 1401.56</t>
  </si>
  <si>
    <t>leak_wt</t>
  </si>
  <si>
    <t>Sys</t>
  </si>
  <si>
    <t>UserDefVar</t>
  </si>
  <si>
    <t>GasEx</t>
  </si>
  <si>
    <t>Leak</t>
  </si>
  <si>
    <t>FLR</t>
  </si>
  <si>
    <t>MPF</t>
  </si>
  <si>
    <t>FastKntcs</t>
  </si>
  <si>
    <t>LeafQ</t>
  </si>
  <si>
    <t>Meas</t>
  </si>
  <si>
    <t>Meas2</t>
  </si>
  <si>
    <t>FlrLS</t>
  </si>
  <si>
    <t>FlrStats</t>
  </si>
  <si>
    <t>Match</t>
  </si>
  <si>
    <t>Stability</t>
  </si>
  <si>
    <t>Raw</t>
  </si>
  <si>
    <t>Status2</t>
  </si>
  <si>
    <t>Auxiliary</t>
  </si>
  <si>
    <t>Status</t>
  </si>
  <si>
    <t>obs</t>
  </si>
  <si>
    <t>time</t>
  </si>
  <si>
    <t>elapsed</t>
  </si>
  <si>
    <t>date</t>
  </si>
  <si>
    <t>hhmmss</t>
  </si>
  <si>
    <t>plant ID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</si>
  <si>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</si>
  <si>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</si>
  <si>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</si>
  <si>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</si>
  <si>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</si>
  <si>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</si>
  <si>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</si>
  <si>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</si>
  <si>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</si>
  <si>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</si>
  <si>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</si>
  <si>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</si>
  <si>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</si>
  <si>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</si>
  <si>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</si>
  <si>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</si>
  <si>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</si>
  <si>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</si>
  <si>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</si>
  <si>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</si>
  <si>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</si>
  <si>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</si>
  <si>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</si>
  <si>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</si>
  <si>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</si>
  <si>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</si>
  <si>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</si>
  <si>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</si>
  <si>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</si>
  <si>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</si>
  <si>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</si>
  <si>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</si>
  <si>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</si>
  <si>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</si>
  <si>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</si>
  <si>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</si>
  <si>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</si>
  <si>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</si>
  <si>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</si>
  <si>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</si>
  <si>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</si>
  <si>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</si>
  <si>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</si>
  <si>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</si>
  <si>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</si>
  <si>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</si>
  <si>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</si>
  <si>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</si>
  <si>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</si>
  <si>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</si>
  <si>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</si>
  <si>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</si>
  <si>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</si>
  <si>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</si>
  <si>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</si>
  <si>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</si>
  <si>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</si>
  <si>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</si>
  <si>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</si>
  <si>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</si>
  <si>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</si>
  <si>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</si>
  <si>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</si>
  <si>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</si>
  <si>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</si>
  <si>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</si>
  <si>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</si>
  <si>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</si>
  <si>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</si>
  <si>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</si>
  <si>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</si>
  <si>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</si>
  <si>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</si>
  <si>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</si>
  <si>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</si>
  <si>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</si>
  <si>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</si>
  <si>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</si>
  <si>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</si>
  <si>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</si>
  <si>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</si>
  <si>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</si>
  <si>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</si>
  <si>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</si>
  <si>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</si>
  <si>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</si>
  <si>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</si>
  <si>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</si>
  <si>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</si>
  <si>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</si>
  <si>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</si>
  <si>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</si>
  <si>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</si>
  <si>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CO2_a</t>
  </si>
  <si>
    <t>CO2_b</t>
  </si>
  <si>
    <t>H2O_a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</si>
  <si>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</si>
  <si>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</si>
  <si>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</si>
  <si>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</si>
  <si>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</si>
  <si>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</si>
  <si>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</si>
  <si>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</si>
  <si>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</si>
  <si>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</si>
  <si>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</si>
  <si>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</si>
  <si>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</si>
  <si>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</si>
  <si>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</si>
  <si>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</si>
  <si>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</si>
  <si>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</si>
  <si>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</si>
  <si>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</si>
  <si>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</si>
  <si>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</si>
  <si>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</si>
  <si>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</si>
  <si>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</si>
  <si>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</si>
  <si>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</si>
  <si>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</si>
  <si>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</si>
  <si>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</si>
  <si>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</si>
  <si>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</si>
  <si>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</si>
  <si>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</si>
  <si>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</si>
  <si>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</si>
  <si>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</si>
  <si>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</si>
  <si>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</si>
  <si>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</si>
  <si>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</si>
  <si>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</si>
  <si>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</si>
  <si>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</si>
  <si>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</si>
  <si>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</si>
  <si>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</si>
  <si>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</si>
  <si>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</si>
  <si>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</si>
  <si>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</si>
  <si>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</si>
  <si>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</si>
  <si>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</si>
  <si>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</si>
  <si>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</si>
  <si>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</si>
  <si>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</si>
  <si>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</si>
  <si>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</si>
  <si>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</si>
  <si>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</si>
  <si>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</si>
  <si>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</si>
  <si>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</si>
  <si>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</si>
  <si>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</si>
  <si>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</si>
  <si>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</si>
  <si>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</si>
  <si>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</si>
  <si>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</si>
  <si>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</si>
  <si>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</si>
  <si>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</si>
  <si>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</si>
  <si>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</si>
  <si>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</si>
  <si>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</si>
  <si>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</si>
  <si>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</si>
  <si>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</si>
  <si>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</si>
  <si>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</si>
  <si>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</si>
  <si>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</si>
  <si>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</si>
  <si>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</si>
  <si>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</si>
  <si>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</si>
  <si>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</si>
  <si>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</si>
  <si>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</si>
  <si>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</si>
  <si>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</si>
  <si>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</si>
  <si>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</si>
  <si>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</si>
  <si>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</si>
  <si>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</si>
  <si>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</si>
  <si>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</si>
  <si>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</si>
  <si>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</si>
  <si>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</si>
  <si>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</si>
  <si>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</si>
  <si>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</si>
  <si>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</si>
  <si>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</si>
  <si>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</si>
  <si>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</si>
  <si>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</si>
  <si>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</si>
  <si>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</si>
  <si>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</si>
  <si>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</si>
  <si>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</si>
  <si>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</si>
  <si>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</si>
  <si>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</si>
  <si>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</si>
  <si>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</si>
  <si>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</si>
  <si>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</si>
  <si>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</si>
  <si>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</si>
  <si>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</si>
  <si>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</si>
  <si>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</si>
  <si>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</si>
  <si>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</si>
  <si>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</si>
  <si>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</si>
  <si>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</si>
  <si>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</si>
  <si>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</si>
  <si>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</si>
  <si>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</si>
  <si>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</si>
  <si>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</si>
  <si>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</si>
  <si>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</si>
  <si>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</si>
  <si>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</si>
  <si>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</si>
  <si>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20190811 16:38:14</t>
  </si>
  <si>
    <t>16:38:14</t>
  </si>
  <si>
    <t>MPF-7966-20190811-05_11_28</t>
  </si>
  <si>
    <t>MPF-8129-20190811-16_38_54</t>
  </si>
  <si>
    <t>DARK-8130-20190811-16_38_56</t>
  </si>
  <si>
    <t>-</t>
  </si>
  <si>
    <t>16:38:39</t>
  </si>
  <si>
    <t>1/2</t>
  </si>
  <si>
    <t>5</t>
  </si>
  <si>
    <t>11111111</t>
  </si>
  <si>
    <t>oooooooo</t>
  </si>
  <si>
    <t>off</t>
  </si>
  <si>
    <t>20190811 16:39:40</t>
  </si>
  <si>
    <t>16:39:40</t>
  </si>
  <si>
    <t>MPF-8131-20190811-16_40_20</t>
  </si>
  <si>
    <t>DARK-8132-20190811-16_40_22</t>
  </si>
  <si>
    <t>16:40:02</t>
  </si>
  <si>
    <t>20190811 16:41:21</t>
  </si>
  <si>
    <t>16:41:21</t>
  </si>
  <si>
    <t>MPF-8133-20190811-16_42_01</t>
  </si>
  <si>
    <t>DARK-8134-20190811-16_42_03</t>
  </si>
  <si>
    <t>16:41:42</t>
  </si>
  <si>
    <t>2/2</t>
  </si>
  <si>
    <t>20190811 16:43:13</t>
  </si>
  <si>
    <t>16:43:13</t>
  </si>
  <si>
    <t>MPF-8135-20190811-16_43_53</t>
  </si>
  <si>
    <t>DARK-8136-20190811-16_43_55</t>
  </si>
  <si>
    <t>16:43:35</t>
  </si>
  <si>
    <t>20190811 16:45:06</t>
  </si>
  <si>
    <t>16:45:06</t>
  </si>
  <si>
    <t>MPF-8137-20190811-16_45_47</t>
  </si>
  <si>
    <t>DARK-8138-20190811-16_45_49</t>
  </si>
  <si>
    <t>16:45:30</t>
  </si>
  <si>
    <t>20190811 16:46:41</t>
  </si>
  <si>
    <t>16:46:41</t>
  </si>
  <si>
    <t>MPF-8139-20190811-16_47_22</t>
  </si>
  <si>
    <t>DARK-8140-20190811-16_47_24</t>
  </si>
  <si>
    <t>16:47:07</t>
  </si>
  <si>
    <t>20190811 16:48:38</t>
  </si>
  <si>
    <t>16:48:38</t>
  </si>
  <si>
    <t>MPF-8141-20190811-16_49_19</t>
  </si>
  <si>
    <t>DARK-8142-20190811-16_49_21</t>
  </si>
  <si>
    <t>16:49:03</t>
  </si>
  <si>
    <t>20190811 16:50:18</t>
  </si>
  <si>
    <t>16:50:18</t>
  </si>
  <si>
    <t>MPF-8143-20190811-16_50_59</t>
  </si>
  <si>
    <t>DARK-8144-20190811-16_51_01</t>
  </si>
  <si>
    <t>16:50:43</t>
  </si>
  <si>
    <t>20190811 16:52:14</t>
  </si>
  <si>
    <t>16:52:14</t>
  </si>
  <si>
    <t>MPF-8145-20190811-16_52_54</t>
  </si>
  <si>
    <t>DARK-8146-20190811-16_52_56</t>
  </si>
  <si>
    <t>16:52:39</t>
  </si>
  <si>
    <t>20190811 16:54:10</t>
  </si>
  <si>
    <t>16:54:10</t>
  </si>
  <si>
    <t>MPF-8147-20190811-16_54_51</t>
  </si>
  <si>
    <t>DARK-8148-20190811-16_54_53</t>
  </si>
  <si>
    <t>16:54:35</t>
  </si>
  <si>
    <t>20190811 16:56:06</t>
  </si>
  <si>
    <t>16:56:06</t>
  </si>
  <si>
    <t>MPF-8149-20190811-16_56_46</t>
  </si>
  <si>
    <t>DARK-8150-20190811-16_56_48</t>
  </si>
  <si>
    <t>16:56:35</t>
  </si>
  <si>
    <t>20190811 16:57:51</t>
  </si>
  <si>
    <t>16:57:51</t>
  </si>
  <si>
    <t>MPF-8151-20190811-16_58_31</t>
  </si>
  <si>
    <t>DARK-8152-20190811-16_58_33</t>
  </si>
  <si>
    <t>16:58:21</t>
  </si>
  <si>
    <t>20190811 16:59:52</t>
  </si>
  <si>
    <t>16:59:52</t>
  </si>
  <si>
    <t>MPF-8153-20190811-17_00_33</t>
  </si>
  <si>
    <t>DARK-8154-20190811-17_00_35</t>
  </si>
  <si>
    <t>17:00:21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</si>
</sst>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U29"/>
  <sheetViews>
    <sheetView tabSelected="1" topLeftCell="A28" workbookViewId="0">
      <selection activeCell="K32" sqref="K32"/>
    </sheetView>
  </sheetViews>
  <sheetFormatPr defaultRowHeight="14.5" x14ac:dyDescent="0.35"/>
  <sheetData>
    <row r="2" spans="1:229" x14ac:dyDescent="0.35">
      <c r="A2" t="s">
        <v>25</v>
      </c>
      <c r="B2" t="s">
        <v>26</v>
      </c>
      <c r="C2" t="s">
        <v>27</v>
      </c>
      <c r="D2" t="s">
        <v>28</v>
      </c>
    </row>
    <row r="3" spans="1:229" x14ac:dyDescent="0.35">
      <c r="B3">
        <v>4</v>
      </c>
      <c r="C3">
        <v>21</v>
      </c>
      <c r="D3" t="s">
        <v>29</v>
      </c>
    </row>
    <row r="4" spans="1:229" x14ac:dyDescent="0.35">
      <c r="A4" t="s">
        <v>30</v>
      </c>
      <c r="B4" t="s">
        <v>31</v>
      </c>
      <c r="C4" t="s">
        <v>32</v>
      </c>
      <c r="D4" t="s">
        <v>33</v>
      </c>
      <c r="E4" t="s">
        <v>35</v>
      </c>
    </row>
    <row r="5" spans="1:229" x14ac:dyDescent="0.35">
      <c r="B5">
        <v>6</v>
      </c>
      <c r="C5">
        <v>0.5</v>
      </c>
      <c r="D5" t="s">
        <v>34</v>
      </c>
      <c r="E5">
        <v>2</v>
      </c>
    </row>
    <row r="6" spans="1:229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</row>
    <row r="7" spans="1:229" x14ac:dyDescent="0.35">
      <c r="B7">
        <v>0</v>
      </c>
      <c r="C7">
        <v>1</v>
      </c>
      <c r="D7">
        <v>0</v>
      </c>
      <c r="E7">
        <v>0</v>
      </c>
    </row>
    <row r="8" spans="1:229" x14ac:dyDescent="0.35">
      <c r="A8" t="s">
        <v>41</v>
      </c>
      <c r="B8" t="s">
        <v>42</v>
      </c>
      <c r="C8" t="s">
        <v>44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</row>
    <row r="9" spans="1:229" x14ac:dyDescent="0.35">
      <c r="B9" t="s">
        <v>43</v>
      </c>
      <c r="C9" t="s">
        <v>45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29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</row>
    <row r="11" spans="1:22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229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73</v>
      </c>
      <c r="H12" t="s">
        <v>75</v>
      </c>
    </row>
    <row r="13" spans="1:229" x14ac:dyDescent="0.35">
      <c r="B13">
        <v>-6276</v>
      </c>
      <c r="C13">
        <v>6.6</v>
      </c>
      <c r="D13">
        <v>1.7090000000000001E-5</v>
      </c>
      <c r="E13">
        <v>3.11</v>
      </c>
      <c r="F13" t="s">
        <v>72</v>
      </c>
      <c r="G13" t="s">
        <v>74</v>
      </c>
      <c r="H13">
        <v>0</v>
      </c>
    </row>
    <row r="14" spans="1:229" x14ac:dyDescent="0.35">
      <c r="A14" t="s">
        <v>76</v>
      </c>
      <c r="B14" t="s">
        <v>76</v>
      </c>
      <c r="C14" t="s">
        <v>76</v>
      </c>
      <c r="D14" t="s">
        <v>76</v>
      </c>
      <c r="E14" t="s">
        <v>76</v>
      </c>
      <c r="F14" t="s">
        <v>77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80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80</v>
      </c>
      <c r="BG14" t="s">
        <v>80</v>
      </c>
      <c r="BH14" t="s">
        <v>80</v>
      </c>
      <c r="BI14" t="s">
        <v>80</v>
      </c>
      <c r="BJ14" t="s">
        <v>81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82</v>
      </c>
      <c r="BS14" t="s">
        <v>82</v>
      </c>
      <c r="BT14" t="s">
        <v>82</v>
      </c>
      <c r="BU14" t="s">
        <v>82</v>
      </c>
      <c r="BV14" t="s">
        <v>82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85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85</v>
      </c>
      <c r="DC14" t="s">
        <v>85</v>
      </c>
      <c r="DD14" t="s">
        <v>85</v>
      </c>
      <c r="DE14" t="s">
        <v>85</v>
      </c>
      <c r="DF14" t="s">
        <v>85</v>
      </c>
      <c r="DG14" t="s">
        <v>85</v>
      </c>
      <c r="DH14" t="s">
        <v>86</v>
      </c>
      <c r="DI14" t="s">
        <v>86</v>
      </c>
      <c r="DJ14" t="s">
        <v>86</v>
      </c>
      <c r="DK14" t="s">
        <v>86</v>
      </c>
      <c r="DL14" t="s">
        <v>86</v>
      </c>
      <c r="DM14" t="s">
        <v>86</v>
      </c>
      <c r="DN14" t="s">
        <v>86</v>
      </c>
      <c r="DO14" t="s">
        <v>86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87</v>
      </c>
      <c r="DZ14" t="s">
        <v>87</v>
      </c>
      <c r="EA14" t="s">
        <v>87</v>
      </c>
      <c r="EB14" t="s">
        <v>87</v>
      </c>
      <c r="EC14" t="s">
        <v>87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90</v>
      </c>
      <c r="EY14" t="s">
        <v>90</v>
      </c>
      <c r="EZ14" t="s">
        <v>90</v>
      </c>
      <c r="FA14" t="s">
        <v>90</v>
      </c>
      <c r="FB14" t="s">
        <v>90</v>
      </c>
      <c r="FC14" t="s">
        <v>90</v>
      </c>
      <c r="FD14" t="s">
        <v>90</v>
      </c>
      <c r="FE14" t="s">
        <v>90</v>
      </c>
      <c r="FF14" t="s">
        <v>90</v>
      </c>
      <c r="FG14" t="s">
        <v>90</v>
      </c>
      <c r="FH14" t="s">
        <v>90</v>
      </c>
      <c r="FI14" t="s">
        <v>90</v>
      </c>
      <c r="FJ14" t="s">
        <v>90</v>
      </c>
      <c r="FK14" t="s">
        <v>90</v>
      </c>
      <c r="FL14" t="s">
        <v>90</v>
      </c>
      <c r="FM14" t="s">
        <v>90</v>
      </c>
      <c r="FN14" t="s">
        <v>90</v>
      </c>
      <c r="FO14" t="s">
        <v>90</v>
      </c>
      <c r="FP14" t="s">
        <v>91</v>
      </c>
      <c r="FQ14" t="s">
        <v>91</v>
      </c>
      <c r="FR14" t="s">
        <v>91</v>
      </c>
      <c r="FS14" t="s">
        <v>91</v>
      </c>
      <c r="FT14" t="s">
        <v>91</v>
      </c>
      <c r="FU14" t="s">
        <v>91</v>
      </c>
      <c r="FV14" t="s">
        <v>91</v>
      </c>
      <c r="FW14" t="s">
        <v>91</v>
      </c>
      <c r="FX14" t="s">
        <v>91</v>
      </c>
      <c r="FY14" t="s">
        <v>91</v>
      </c>
      <c r="FZ14" t="s">
        <v>91</v>
      </c>
      <c r="GA14" t="s">
        <v>91</v>
      </c>
      <c r="GB14" t="s">
        <v>91</v>
      </c>
      <c r="GC14" t="s">
        <v>91</v>
      </c>
      <c r="GD14" t="s">
        <v>91</v>
      </c>
      <c r="GE14" t="s">
        <v>91</v>
      </c>
      <c r="GF14" t="s">
        <v>91</v>
      </c>
      <c r="GG14" t="s">
        <v>91</v>
      </c>
      <c r="GH14" t="s">
        <v>91</v>
      </c>
      <c r="GI14" t="s">
        <v>92</v>
      </c>
      <c r="GJ14" t="s">
        <v>92</v>
      </c>
      <c r="GK14" t="s">
        <v>92</v>
      </c>
      <c r="GL14" t="s">
        <v>92</v>
      </c>
      <c r="GM14" t="s">
        <v>92</v>
      </c>
      <c r="GN14" t="s">
        <v>92</v>
      </c>
      <c r="GO14" t="s">
        <v>92</v>
      </c>
      <c r="GP14" t="s">
        <v>92</v>
      </c>
      <c r="GQ14" t="s">
        <v>92</v>
      </c>
      <c r="GR14" t="s">
        <v>92</v>
      </c>
      <c r="GS14" t="s">
        <v>92</v>
      </c>
      <c r="GT14" t="s">
        <v>92</v>
      </c>
      <c r="GU14" t="s">
        <v>92</v>
      </c>
      <c r="GV14" t="s">
        <v>92</v>
      </c>
      <c r="GW14" t="s">
        <v>92</v>
      </c>
      <c r="GX14" t="s">
        <v>92</v>
      </c>
      <c r="GY14" t="s">
        <v>92</v>
      </c>
      <c r="GZ14" t="s">
        <v>92</v>
      </c>
      <c r="HA14" t="s">
        <v>92</v>
      </c>
      <c r="HB14" t="s">
        <v>93</v>
      </c>
      <c r="HC14" t="s">
        <v>93</v>
      </c>
      <c r="HD14" t="s">
        <v>93</v>
      </c>
      <c r="HE14" t="s">
        <v>93</v>
      </c>
      <c r="HF14" t="s">
        <v>93</v>
      </c>
      <c r="HG14" t="s">
        <v>93</v>
      </c>
      <c r="HH14" t="s">
        <v>93</v>
      </c>
      <c r="HI14" t="s">
        <v>93</v>
      </c>
      <c r="HJ14" t="s">
        <v>93</v>
      </c>
      <c r="HK14" t="s">
        <v>93</v>
      </c>
      <c r="HL14" t="s">
        <v>93</v>
      </c>
      <c r="HM14" t="s">
        <v>93</v>
      </c>
      <c r="HN14" t="s">
        <v>93</v>
      </c>
      <c r="HO14" t="s">
        <v>93</v>
      </c>
      <c r="HP14" t="s">
        <v>93</v>
      </c>
      <c r="HQ14" t="s">
        <v>93</v>
      </c>
      <c r="HR14" t="s">
        <v>93</v>
      </c>
      <c r="HS14" t="s">
        <v>93</v>
      </c>
      <c r="HT14" t="s">
        <v>93</v>
      </c>
      <c r="HU14" t="s">
        <v>93</v>
      </c>
    </row>
    <row r="15" spans="1:229" x14ac:dyDescent="0.3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106</v>
      </c>
      <c r="N15" t="s">
        <v>107</v>
      </c>
      <c r="O15" t="s">
        <v>108</v>
      </c>
      <c r="P15" t="s">
        <v>109</v>
      </c>
      <c r="Q15" t="s">
        <v>110</v>
      </c>
      <c r="R15" t="s">
        <v>111</v>
      </c>
      <c r="S15" t="s">
        <v>112</v>
      </c>
      <c r="T15" t="s">
        <v>113</v>
      </c>
      <c r="U15" t="s">
        <v>114</v>
      </c>
      <c r="V15" t="s">
        <v>115</v>
      </c>
      <c r="W15" t="s">
        <v>116</v>
      </c>
      <c r="X15" t="s">
        <v>117</v>
      </c>
      <c r="Y15" t="s">
        <v>118</v>
      </c>
      <c r="Z15" t="s">
        <v>119</v>
      </c>
      <c r="AA15" t="s">
        <v>120</v>
      </c>
      <c r="AB15" t="s">
        <v>121</v>
      </c>
      <c r="AC15" t="s">
        <v>122</v>
      </c>
      <c r="AD15" t="s">
        <v>123</v>
      </c>
      <c r="AE15" t="s">
        <v>124</v>
      </c>
      <c r="AF15" t="s">
        <v>125</v>
      </c>
      <c r="AG15" t="s">
        <v>79</v>
      </c>
      <c r="AH15" t="s">
        <v>126</v>
      </c>
      <c r="AI15" t="s">
        <v>127</v>
      </c>
      <c r="AJ15" t="s">
        <v>128</v>
      </c>
      <c r="AK15" t="s">
        <v>129</v>
      </c>
      <c r="AL15" t="s">
        <v>130</v>
      </c>
      <c r="AM15" t="s">
        <v>131</v>
      </c>
      <c r="AN15" t="s">
        <v>132</v>
      </c>
      <c r="AO15" t="s">
        <v>133</v>
      </c>
      <c r="AP15" t="s">
        <v>134</v>
      </c>
      <c r="AQ15" t="s">
        <v>135</v>
      </c>
      <c r="AR15" t="s">
        <v>136</v>
      </c>
      <c r="AS15" t="s">
        <v>137</v>
      </c>
      <c r="AT15" t="s">
        <v>138</v>
      </c>
      <c r="AU15" t="s">
        <v>139</v>
      </c>
      <c r="AV15" t="s">
        <v>140</v>
      </c>
      <c r="AW15" t="s">
        <v>141</v>
      </c>
      <c r="AX15" t="s">
        <v>142</v>
      </c>
      <c r="AY15" t="s">
        <v>143</v>
      </c>
      <c r="AZ15" t="s">
        <v>144</v>
      </c>
      <c r="BA15" t="s">
        <v>145</v>
      </c>
      <c r="BB15" t="s">
        <v>146</v>
      </c>
      <c r="BC15" t="s">
        <v>147</v>
      </c>
      <c r="BD15" t="s">
        <v>148</v>
      </c>
      <c r="BE15" t="s">
        <v>149</v>
      </c>
      <c r="BF15" t="s">
        <v>150</v>
      </c>
      <c r="BG15" t="s">
        <v>151</v>
      </c>
      <c r="BH15" t="s">
        <v>152</v>
      </c>
      <c r="BI15" t="s">
        <v>153</v>
      </c>
      <c r="BJ15" t="s">
        <v>154</v>
      </c>
      <c r="BK15" t="s">
        <v>155</v>
      </c>
      <c r="BL15" t="s">
        <v>156</v>
      </c>
      <c r="BM15" t="s">
        <v>157</v>
      </c>
      <c r="BN15" t="s">
        <v>158</v>
      </c>
      <c r="BO15" t="s">
        <v>159</v>
      </c>
      <c r="BP15" t="s">
        <v>160</v>
      </c>
      <c r="BQ15" t="s">
        <v>161</v>
      </c>
      <c r="BR15" t="s">
        <v>154</v>
      </c>
      <c r="BS15" t="s">
        <v>162</v>
      </c>
      <c r="BT15" t="s">
        <v>131</v>
      </c>
      <c r="BU15" t="s">
        <v>163</v>
      </c>
      <c r="BV15" t="s">
        <v>164</v>
      </c>
      <c r="BW15" t="s">
        <v>165</v>
      </c>
      <c r="BX15" t="s">
        <v>166</v>
      </c>
      <c r="BY15" t="s">
        <v>167</v>
      </c>
      <c r="BZ15" t="s">
        <v>168</v>
      </c>
      <c r="CA15" t="s">
        <v>169</v>
      </c>
      <c r="CB15" t="s">
        <v>170</v>
      </c>
      <c r="CC15" t="s">
        <v>171</v>
      </c>
      <c r="CD15" t="s">
        <v>172</v>
      </c>
      <c r="CE15" t="s">
        <v>173</v>
      </c>
      <c r="CF15" t="s">
        <v>100</v>
      </c>
      <c r="CG15" t="s">
        <v>174</v>
      </c>
      <c r="CH15" t="s">
        <v>175</v>
      </c>
      <c r="CI15" t="s">
        <v>176</v>
      </c>
      <c r="CJ15" t="s">
        <v>177</v>
      </c>
      <c r="CK15" t="s">
        <v>178</v>
      </c>
      <c r="CL15" t="s">
        <v>179</v>
      </c>
      <c r="CM15" t="s">
        <v>180</v>
      </c>
      <c r="CN15" t="s">
        <v>181</v>
      </c>
      <c r="CO15" t="s">
        <v>182</v>
      </c>
      <c r="CP15" t="s">
        <v>183</v>
      </c>
      <c r="CQ15" t="s">
        <v>184</v>
      </c>
      <c r="CR15" t="s">
        <v>185</v>
      </c>
      <c r="CS15" t="s">
        <v>186</v>
      </c>
      <c r="CT15" t="s">
        <v>187</v>
      </c>
      <c r="CU15" t="s">
        <v>188</v>
      </c>
      <c r="CV15" t="s">
        <v>189</v>
      </c>
      <c r="CW15" t="s">
        <v>190</v>
      </c>
      <c r="CX15" t="s">
        <v>191</v>
      </c>
      <c r="CY15" t="s">
        <v>192</v>
      </c>
      <c r="CZ15" t="s">
        <v>193</v>
      </c>
      <c r="DA15" t="s">
        <v>194</v>
      </c>
      <c r="DB15" t="s">
        <v>195</v>
      </c>
      <c r="DC15" t="s">
        <v>196</v>
      </c>
      <c r="DD15" t="s">
        <v>197</v>
      </c>
      <c r="DE15" t="s">
        <v>198</v>
      </c>
      <c r="DF15" t="s">
        <v>199</v>
      </c>
      <c r="DG15" t="s">
        <v>200</v>
      </c>
      <c r="DH15" t="s">
        <v>201</v>
      </c>
      <c r="DI15" t="s">
        <v>202</v>
      </c>
      <c r="DJ15" t="s">
        <v>203</v>
      </c>
      <c r="DK15" t="s">
        <v>204</v>
      </c>
      <c r="DL15" t="s">
        <v>205</v>
      </c>
      <c r="DM15" t="s">
        <v>206</v>
      </c>
      <c r="DN15" t="s">
        <v>207</v>
      </c>
      <c r="DO15" t="s">
        <v>208</v>
      </c>
      <c r="DP15" t="s">
        <v>209</v>
      </c>
      <c r="DQ15" t="s">
        <v>210</v>
      </c>
      <c r="DR15" t="s">
        <v>211</v>
      </c>
      <c r="DS15" t="s">
        <v>212</v>
      </c>
      <c r="DT15" t="s">
        <v>213</v>
      </c>
      <c r="DU15" t="s">
        <v>214</v>
      </c>
      <c r="DV15" t="s">
        <v>215</v>
      </c>
      <c r="DW15" t="s">
        <v>216</v>
      </c>
      <c r="DX15" t="s">
        <v>217</v>
      </c>
      <c r="DY15" t="s">
        <v>218</v>
      </c>
      <c r="DZ15" t="s">
        <v>219</v>
      </c>
      <c r="EA15" t="s">
        <v>220</v>
      </c>
      <c r="EB15" t="s">
        <v>221</v>
      </c>
      <c r="EC15" t="s">
        <v>222</v>
      </c>
      <c r="ED15" t="s">
        <v>95</v>
      </c>
      <c r="EE15" t="s">
        <v>98</v>
      </c>
      <c r="EF15" t="s">
        <v>223</v>
      </c>
      <c r="EG15" t="s">
        <v>224</v>
      </c>
      <c r="EH15" t="s">
        <v>225</v>
      </c>
      <c r="EI15" t="s">
        <v>226</v>
      </c>
      <c r="EJ15" t="s">
        <v>227</v>
      </c>
      <c r="EK15" t="s">
        <v>228</v>
      </c>
      <c r="EL15" t="s">
        <v>229</v>
      </c>
      <c r="EM15" t="s">
        <v>230</v>
      </c>
      <c r="EN15" t="s">
        <v>231</v>
      </c>
      <c r="EO15" t="s">
        <v>232</v>
      </c>
      <c r="EP15" t="s">
        <v>233</v>
      </c>
      <c r="EQ15" t="s">
        <v>234</v>
      </c>
      <c r="ER15" t="s">
        <v>235</v>
      </c>
      <c r="ES15" t="s">
        <v>236</v>
      </c>
      <c r="ET15" t="s">
        <v>237</v>
      </c>
      <c r="EU15" t="s">
        <v>238</v>
      </c>
      <c r="EV15" t="s">
        <v>239</v>
      </c>
      <c r="EW15" t="s">
        <v>240</v>
      </c>
      <c r="EX15" t="s">
        <v>241</v>
      </c>
      <c r="EY15" t="s">
        <v>242</v>
      </c>
      <c r="EZ15" t="s">
        <v>243</v>
      </c>
      <c r="FA15" t="s">
        <v>244</v>
      </c>
      <c r="FB15" t="s">
        <v>245</v>
      </c>
      <c r="FC15" t="s">
        <v>246</v>
      </c>
      <c r="FD15" t="s">
        <v>247</v>
      </c>
      <c r="FE15" t="s">
        <v>248</v>
      </c>
      <c r="FF15" t="s">
        <v>249</v>
      </c>
      <c r="FG15" t="s">
        <v>250</v>
      </c>
      <c r="FH15" t="s">
        <v>251</v>
      </c>
      <c r="FI15" t="s">
        <v>252</v>
      </c>
      <c r="FJ15" t="s">
        <v>253</v>
      </c>
      <c r="FK15" t="s">
        <v>254</v>
      </c>
      <c r="FL15" t="s">
        <v>255</v>
      </c>
      <c r="FM15" t="s">
        <v>256</v>
      </c>
      <c r="FN15" t="s">
        <v>257</v>
      </c>
      <c r="FO15" t="s">
        <v>258</v>
      </c>
      <c r="FP15" t="s">
        <v>259</v>
      </c>
      <c r="FQ15" t="s">
        <v>260</v>
      </c>
      <c r="FR15" t="s">
        <v>261</v>
      </c>
      <c r="FS15" t="s">
        <v>262</v>
      </c>
      <c r="FT15" t="s">
        <v>263</v>
      </c>
      <c r="FU15" t="s">
        <v>264</v>
      </c>
      <c r="FV15" t="s">
        <v>265</v>
      </c>
      <c r="FW15" t="s">
        <v>266</v>
      </c>
      <c r="FX15" t="s">
        <v>267</v>
      </c>
      <c r="FY15" t="s">
        <v>268</v>
      </c>
      <c r="FZ15" t="s">
        <v>269</v>
      </c>
      <c r="GA15" t="s">
        <v>270</v>
      </c>
      <c r="GB15" t="s">
        <v>271</v>
      </c>
      <c r="GC15" t="s">
        <v>272</v>
      </c>
      <c r="GD15" t="s">
        <v>273</v>
      </c>
      <c r="GE15" t="s">
        <v>274</v>
      </c>
      <c r="GF15" t="s">
        <v>275</v>
      </c>
      <c r="GG15" t="s">
        <v>276</v>
      </c>
      <c r="GH15" t="s">
        <v>277</v>
      </c>
      <c r="GI15" t="s">
        <v>278</v>
      </c>
      <c r="GJ15" t="s">
        <v>279</v>
      </c>
      <c r="GK15" t="s">
        <v>280</v>
      </c>
      <c r="GL15" t="s">
        <v>281</v>
      </c>
      <c r="GM15" t="s">
        <v>282</v>
      </c>
      <c r="GN15" t="s">
        <v>283</v>
      </c>
      <c r="GO15" t="s">
        <v>284</v>
      </c>
      <c r="GP15" t="s">
        <v>285</v>
      </c>
      <c r="GQ15" t="s">
        <v>286</v>
      </c>
      <c r="GR15" t="s">
        <v>287</v>
      </c>
      <c r="GS15" t="s">
        <v>288</v>
      </c>
      <c r="GT15" t="s">
        <v>289</v>
      </c>
      <c r="GU15" t="s">
        <v>290</v>
      </c>
      <c r="GV15" t="s">
        <v>291</v>
      </c>
      <c r="GW15" t="s">
        <v>292</v>
      </c>
      <c r="GX15" t="s">
        <v>293</v>
      </c>
      <c r="GY15" t="s">
        <v>294</v>
      </c>
      <c r="GZ15" t="s">
        <v>295</v>
      </c>
      <c r="HA15" t="s">
        <v>296</v>
      </c>
      <c r="HB15" t="s">
        <v>297</v>
      </c>
      <c r="HC15" t="s">
        <v>298</v>
      </c>
      <c r="HD15" t="s">
        <v>299</v>
      </c>
      <c r="HE15" t="s">
        <v>300</v>
      </c>
      <c r="HF15" t="s">
        <v>301</v>
      </c>
      <c r="HG15" t="s">
        <v>302</v>
      </c>
      <c r="HH15" t="s">
        <v>303</v>
      </c>
      <c r="HI15" t="s">
        <v>304</v>
      </c>
      <c r="HJ15" t="s">
        <v>305</v>
      </c>
      <c r="HK15" t="s">
        <v>306</v>
      </c>
      <c r="HL15" t="s">
        <v>307</v>
      </c>
      <c r="HM15" t="s">
        <v>308</v>
      </c>
      <c r="HN15" t="s">
        <v>309</v>
      </c>
      <c r="HO15" t="s">
        <v>310</v>
      </c>
      <c r="HP15" t="s">
        <v>311</v>
      </c>
      <c r="HQ15" t="s">
        <v>312</v>
      </c>
      <c r="HR15" t="s">
        <v>313</v>
      </c>
      <c r="HS15" t="s">
        <v>314</v>
      </c>
      <c r="HT15" t="s">
        <v>315</v>
      </c>
      <c r="HU15" t="s">
        <v>316</v>
      </c>
    </row>
    <row r="16" spans="1:229" x14ac:dyDescent="0.35">
      <c r="B16" t="s">
        <v>317</v>
      </c>
      <c r="C16" t="s">
        <v>317</v>
      </c>
      <c r="G16" t="s">
        <v>317</v>
      </c>
      <c r="H16" t="s">
        <v>318</v>
      </c>
      <c r="I16" t="s">
        <v>319</v>
      </c>
      <c r="J16" t="s">
        <v>320</v>
      </c>
      <c r="K16" t="s">
        <v>320</v>
      </c>
      <c r="L16" t="s">
        <v>179</v>
      </c>
      <c r="M16" t="s">
        <v>179</v>
      </c>
      <c r="N16" t="s">
        <v>318</v>
      </c>
      <c r="O16" t="s">
        <v>318</v>
      </c>
      <c r="P16" t="s">
        <v>318</v>
      </c>
      <c r="Q16" t="s">
        <v>318</v>
      </c>
      <c r="R16" t="s">
        <v>321</v>
      </c>
      <c r="S16" t="s">
        <v>322</v>
      </c>
      <c r="T16" t="s">
        <v>322</v>
      </c>
      <c r="U16" t="s">
        <v>323</v>
      </c>
      <c r="V16" t="s">
        <v>324</v>
      </c>
      <c r="W16" t="s">
        <v>323</v>
      </c>
      <c r="X16" t="s">
        <v>323</v>
      </c>
      <c r="Y16" t="s">
        <v>323</v>
      </c>
      <c r="Z16" t="s">
        <v>321</v>
      </c>
      <c r="AA16" t="s">
        <v>321</v>
      </c>
      <c r="AB16" t="s">
        <v>321</v>
      </c>
      <c r="AC16" t="s">
        <v>321</v>
      </c>
      <c r="AG16" t="s">
        <v>325</v>
      </c>
      <c r="AH16" t="s">
        <v>324</v>
      </c>
      <c r="AJ16" t="s">
        <v>324</v>
      </c>
      <c r="AK16" t="s">
        <v>325</v>
      </c>
      <c r="AQ16" t="s">
        <v>319</v>
      </c>
      <c r="AW16" t="s">
        <v>319</v>
      </c>
      <c r="AX16" t="s">
        <v>319</v>
      </c>
      <c r="AY16" t="s">
        <v>319</v>
      </c>
      <c r="BA16" t="s">
        <v>326</v>
      </c>
      <c r="BK16" t="s">
        <v>327</v>
      </c>
      <c r="BL16" t="s">
        <v>327</v>
      </c>
      <c r="BM16" t="s">
        <v>327</v>
      </c>
      <c r="BN16" t="s">
        <v>319</v>
      </c>
      <c r="BP16" t="s">
        <v>328</v>
      </c>
      <c r="BS16" t="s">
        <v>327</v>
      </c>
      <c r="BX16" t="s">
        <v>317</v>
      </c>
      <c r="BY16" t="s">
        <v>317</v>
      </c>
      <c r="BZ16" t="s">
        <v>317</v>
      </c>
      <c r="CA16" t="s">
        <v>317</v>
      </c>
      <c r="CB16" t="s">
        <v>319</v>
      </c>
      <c r="CC16" t="s">
        <v>319</v>
      </c>
      <c r="CE16" t="s">
        <v>329</v>
      </c>
      <c r="CF16" t="s">
        <v>317</v>
      </c>
      <c r="CG16" t="s">
        <v>320</v>
      </c>
      <c r="CH16" t="s">
        <v>320</v>
      </c>
      <c r="CI16" t="s">
        <v>330</v>
      </c>
      <c r="CJ16" t="s">
        <v>330</v>
      </c>
      <c r="CK16" t="s">
        <v>325</v>
      </c>
      <c r="CL16" t="s">
        <v>323</v>
      </c>
      <c r="CM16" t="s">
        <v>323</v>
      </c>
      <c r="CN16" t="s">
        <v>322</v>
      </c>
      <c r="CO16" t="s">
        <v>322</v>
      </c>
      <c r="CP16" t="s">
        <v>322</v>
      </c>
      <c r="CQ16" t="s">
        <v>322</v>
      </c>
      <c r="CR16" t="s">
        <v>322</v>
      </c>
      <c r="CS16" t="s">
        <v>331</v>
      </c>
      <c r="CT16" t="s">
        <v>319</v>
      </c>
      <c r="CU16" t="s">
        <v>319</v>
      </c>
      <c r="CV16" t="s">
        <v>320</v>
      </c>
      <c r="CW16" t="s">
        <v>320</v>
      </c>
      <c r="CX16" t="s">
        <v>320</v>
      </c>
      <c r="CY16" t="s">
        <v>330</v>
      </c>
      <c r="CZ16" t="s">
        <v>320</v>
      </c>
      <c r="DA16" t="s">
        <v>320</v>
      </c>
      <c r="DB16" t="s">
        <v>330</v>
      </c>
      <c r="DC16" t="s">
        <v>330</v>
      </c>
      <c r="DD16" t="s">
        <v>323</v>
      </c>
      <c r="DE16" t="s">
        <v>323</v>
      </c>
      <c r="DF16" t="s">
        <v>322</v>
      </c>
      <c r="DG16" t="s">
        <v>322</v>
      </c>
      <c r="DH16" t="s">
        <v>319</v>
      </c>
      <c r="DM16" t="s">
        <v>319</v>
      </c>
      <c r="DP16" t="s">
        <v>322</v>
      </c>
      <c r="DQ16" t="s">
        <v>322</v>
      </c>
      <c r="DR16" t="s">
        <v>322</v>
      </c>
      <c r="DS16" t="s">
        <v>322</v>
      </c>
      <c r="DT16" t="s">
        <v>322</v>
      </c>
      <c r="DU16" t="s">
        <v>319</v>
      </c>
      <c r="DV16" t="s">
        <v>319</v>
      </c>
      <c r="DW16" t="s">
        <v>319</v>
      </c>
      <c r="DX16" t="s">
        <v>317</v>
      </c>
      <c r="DZ16" t="s">
        <v>332</v>
      </c>
      <c r="EA16" t="s">
        <v>332</v>
      </c>
      <c r="EC16" t="s">
        <v>317</v>
      </c>
      <c r="ED16" t="s">
        <v>333</v>
      </c>
      <c r="EG16" t="s">
        <v>334</v>
      </c>
      <c r="EH16" t="s">
        <v>335</v>
      </c>
      <c r="EI16" t="s">
        <v>334</v>
      </c>
      <c r="EJ16" t="s">
        <v>335</v>
      </c>
      <c r="EK16" t="s">
        <v>324</v>
      </c>
      <c r="EL16" t="s">
        <v>324</v>
      </c>
      <c r="EM16" t="s">
        <v>319</v>
      </c>
      <c r="EN16" t="s">
        <v>336</v>
      </c>
      <c r="EO16" t="s">
        <v>319</v>
      </c>
      <c r="EQ16" t="s">
        <v>318</v>
      </c>
      <c r="ER16" t="s">
        <v>337</v>
      </c>
      <c r="ES16" t="s">
        <v>318</v>
      </c>
      <c r="EX16" t="s">
        <v>338</v>
      </c>
      <c r="EY16" t="s">
        <v>338</v>
      </c>
      <c r="FL16" t="s">
        <v>338</v>
      </c>
      <c r="FM16" t="s">
        <v>338</v>
      </c>
      <c r="FN16" t="s">
        <v>339</v>
      </c>
      <c r="FO16" t="s">
        <v>339</v>
      </c>
      <c r="FP16" t="s">
        <v>322</v>
      </c>
      <c r="FQ16" t="s">
        <v>322</v>
      </c>
      <c r="FR16" t="s">
        <v>324</v>
      </c>
      <c r="FS16" t="s">
        <v>322</v>
      </c>
      <c r="FT16" t="s">
        <v>330</v>
      </c>
      <c r="FU16" t="s">
        <v>324</v>
      </c>
      <c r="FV16" t="s">
        <v>324</v>
      </c>
      <c r="FX16" t="s">
        <v>338</v>
      </c>
      <c r="FY16" t="s">
        <v>338</v>
      </c>
      <c r="FZ16" t="s">
        <v>338</v>
      </c>
      <c r="GA16" t="s">
        <v>338</v>
      </c>
      <c r="GB16" t="s">
        <v>338</v>
      </c>
      <c r="GC16" t="s">
        <v>338</v>
      </c>
      <c r="GD16" t="s">
        <v>338</v>
      </c>
      <c r="GE16" t="s">
        <v>340</v>
      </c>
      <c r="GF16" t="s">
        <v>340</v>
      </c>
      <c r="GG16" t="s">
        <v>341</v>
      </c>
      <c r="GH16" t="s">
        <v>340</v>
      </c>
      <c r="GI16" t="s">
        <v>338</v>
      </c>
      <c r="GJ16" t="s">
        <v>338</v>
      </c>
      <c r="GK16" t="s">
        <v>338</v>
      </c>
      <c r="GL16" t="s">
        <v>338</v>
      </c>
      <c r="GM16" t="s">
        <v>338</v>
      </c>
      <c r="GN16" t="s">
        <v>338</v>
      </c>
      <c r="GO16" t="s">
        <v>338</v>
      </c>
      <c r="GP16" t="s">
        <v>338</v>
      </c>
      <c r="GQ16" t="s">
        <v>338</v>
      </c>
      <c r="GR16" t="s">
        <v>338</v>
      </c>
      <c r="GS16" t="s">
        <v>338</v>
      </c>
      <c r="GT16" t="s">
        <v>338</v>
      </c>
      <c r="HA16" t="s">
        <v>338</v>
      </c>
      <c r="HB16" t="s">
        <v>324</v>
      </c>
      <c r="HC16" t="s">
        <v>324</v>
      </c>
      <c r="HD16" t="s">
        <v>334</v>
      </c>
      <c r="HE16" t="s">
        <v>335</v>
      </c>
      <c r="HG16" t="s">
        <v>325</v>
      </c>
      <c r="HH16" t="s">
        <v>325</v>
      </c>
      <c r="HI16" t="s">
        <v>322</v>
      </c>
      <c r="HJ16" t="s">
        <v>322</v>
      </c>
      <c r="HK16" t="s">
        <v>322</v>
      </c>
      <c r="HL16" t="s">
        <v>322</v>
      </c>
      <c r="HM16" t="s">
        <v>322</v>
      </c>
      <c r="HN16" t="s">
        <v>324</v>
      </c>
      <c r="HO16" t="s">
        <v>324</v>
      </c>
      <c r="HP16" t="s">
        <v>324</v>
      </c>
      <c r="HQ16" t="s">
        <v>322</v>
      </c>
      <c r="HR16" t="s">
        <v>320</v>
      </c>
      <c r="HS16" t="s">
        <v>330</v>
      </c>
      <c r="HT16" t="s">
        <v>324</v>
      </c>
      <c r="HU16" t="s">
        <v>324</v>
      </c>
    </row>
    <row r="17" spans="1:229" x14ac:dyDescent="0.35">
      <c r="A17">
        <v>1</v>
      </c>
      <c r="B17">
        <v>1565559494</v>
      </c>
      <c r="C17">
        <v>0</v>
      </c>
      <c r="D17" t="s">
        <v>342</v>
      </c>
      <c r="E17" t="s">
        <v>343</v>
      </c>
      <c r="G17">
        <v>1565559494</v>
      </c>
      <c r="H17">
        <f t="shared" ref="H17:H29" si="0">CK17*AI17*(CI17-CJ17)/(100*$B$5*(1000-AI17*CI17))</f>
        <v>3.5585526371833204E-3</v>
      </c>
      <c r="I17">
        <f t="shared" ref="I17:I29" si="1">CK17*AI17*(CH17-CG17*(1000-AI17*CJ17)/(1000-AI17*CI17))/(100*$B$5)</f>
        <v>19.728351576057765</v>
      </c>
      <c r="J17">
        <f t="shared" ref="J17:J29" si="2">CG17 - IF(AI17&gt;1, I17*$B$5*100/(AK17*CS17), 0)</f>
        <v>374.73399999999998</v>
      </c>
      <c r="K17">
        <f t="shared" ref="K17:K29" si="3">((Q17-H17/2)*J17-I17)/(Q17+H17/2)</f>
        <v>203.35130236500908</v>
      </c>
      <c r="L17">
        <f t="shared" ref="L17:L29" si="4">K17*(CL17+CM17)/1000</f>
        <v>20.167842880907731</v>
      </c>
      <c r="M17">
        <f t="shared" ref="M17:M29" si="5">(CG17 - IF(AI17&gt;1, I17*$B$5*100/(AK17*CS17), 0))*(CL17+CM17)/1000</f>
        <v>37.165124325431997</v>
      </c>
      <c r="N17">
        <f t="shared" ref="N17:N29" si="6">2/((1/P17-1/O17)+SIGN(P17)*SQRT((1/P17-1/O17)*(1/P17-1/O17) + 4*$C$5/(($C$5+1)*($C$5+1))*(2*1/P17*1/O17-1/O17*1/O17)))</f>
        <v>0.20204453045405879</v>
      </c>
      <c r="O17">
        <f t="shared" ref="O17:O29" si="7">AF17+AE17*$B$5+AD17*$B$5*$B$5</f>
        <v>2.24698203111266</v>
      </c>
      <c r="P17">
        <f t="shared" ref="P17:P29" si="8">H17*(1000-(1000*0.61365*EXP(17.502*T17/(240.97+T17))/(CL17+CM17)+CI17)/2)/(1000*0.61365*EXP(17.502*T17/(240.97+T17))/(CL17+CM17)-CI17)</f>
        <v>0.19246688212559951</v>
      </c>
      <c r="Q17">
        <f t="shared" ref="Q17:Q29" si="9">1/(($C$5+1)/(N17/1.6)+1/(O17/1.37)) + $C$5/(($C$5+1)/(N17/1.6) + $C$5/(O17/1.37))</f>
        <v>0.12111447276252829</v>
      </c>
      <c r="R17">
        <f t="shared" ref="R17:R29" si="10">(CC17*CE17)</f>
        <v>281.58008092009715</v>
      </c>
      <c r="S17">
        <f t="shared" ref="S17:S29" si="11">(CN17+(R17+2*0.95*0.0000000567*(((CN17+$B$7)+273)^4-(CN17+273)^4)-44100*H17)/(1.84*29.3*O17+8*0.95*0.0000000567*(CN17+273)^3))</f>
        <v>27.138754026068998</v>
      </c>
      <c r="T17">
        <f t="shared" ref="T17:T29" si="12">($C$7*CO17+$D$7*CP17+$E$7*S17)</f>
        <v>27.2408</v>
      </c>
      <c r="U17">
        <f t="shared" ref="U17:U29" si="13">0.61365*EXP(17.502*T17/(240.97+T17))</f>
        <v>3.6300925100600212</v>
      </c>
      <c r="V17">
        <f t="shared" ref="V17:V29" si="14">(W17/X17*100)</f>
        <v>54.097251735483617</v>
      </c>
      <c r="W17">
        <f t="shared" ref="W17:W29" si="15">CI17*(CL17+CM17)/1000</f>
        <v>1.8470194227432002</v>
      </c>
      <c r="X17">
        <f t="shared" ref="X17:X29" si="16">0.61365*EXP(17.502*CN17/(240.97+CN17))</f>
        <v>3.4142574040072691</v>
      </c>
      <c r="Y17">
        <f t="shared" ref="Y17:Y29" si="17">(U17-CI17*(CL17+CM17)/1000)</f>
        <v>1.783073087316821</v>
      </c>
      <c r="Z17">
        <f t="shared" ref="Z17:Z29" si="18">(-H17*44100)</f>
        <v>-156.93217129978444</v>
      </c>
      <c r="AA17">
        <f t="shared" ref="AA17:AA29" si="19">2*29.3*O17*0.92*(CN17-T17)</f>
        <v>-126.1665760146915</v>
      </c>
      <c r="AB17">
        <f t="shared" ref="AB17:AB29" si="20">2*0.95*0.0000000567*(((CN17+$B$7)+273)^4-(T17+273)^4)</f>
        <v>-12.083830522769381</v>
      </c>
      <c r="AC17">
        <f t="shared" ref="AC17:AC29" si="21">R17+AB17+Z17+AA17</f>
        <v>-13.602496917148201</v>
      </c>
      <c r="AD17">
        <v>-4.1102548459039101E-2</v>
      </c>
      <c r="AE17">
        <v>4.6141211426281303E-2</v>
      </c>
      <c r="AF17">
        <v>3.4498265070803802</v>
      </c>
      <c r="AG17">
        <v>4</v>
      </c>
      <c r="AH17">
        <v>1</v>
      </c>
      <c r="AI17">
        <f t="shared" ref="AI17:AI29" si="22">IF(AG17*$H$13&gt;=AK17,1,(AK17/(AK17-AG17*$H$13)))</f>
        <v>1</v>
      </c>
      <c r="AJ17">
        <f t="shared" ref="AJ17:AJ29" si="23">(AI17-1)*100</f>
        <v>0</v>
      </c>
      <c r="AK17">
        <f t="shared" ref="AK17:AK29" si="24">MAX(0,($B$13+$C$13*CS17)/(1+$D$13*CS17)*CL17/(CN17+273)*$E$13)</f>
        <v>52551.588729052819</v>
      </c>
      <c r="AL17" t="s">
        <v>344</v>
      </c>
      <c r="AM17">
        <v>589.29941176470595</v>
      </c>
      <c r="AN17">
        <v>3530.99</v>
      </c>
      <c r="AO17">
        <f t="shared" ref="AO17:AO29" si="25">AN17-AM17</f>
        <v>2941.6905882352939</v>
      </c>
      <c r="AP17">
        <f t="shared" ref="AP17:AP29" si="26">AO17/AN17</f>
        <v>0.83310646256015852</v>
      </c>
      <c r="AQ17">
        <v>1.42453575549529</v>
      </c>
      <c r="AR17" t="s">
        <v>345</v>
      </c>
      <c r="AS17">
        <v>894.94505882352996</v>
      </c>
      <c r="AT17">
        <v>1222.17</v>
      </c>
      <c r="AU17">
        <f t="shared" ref="AU17:AU29" si="27">1-AS17/AT17</f>
        <v>0.26774093716624536</v>
      </c>
      <c r="AV17">
        <v>0.5</v>
      </c>
      <c r="AW17">
        <f t="shared" ref="AW17:AW29" si="28">CC17</f>
        <v>1471.3466998142733</v>
      </c>
      <c r="AX17">
        <f t="shared" ref="AX17:AX29" si="29">I17</f>
        <v>19.728351576057765</v>
      </c>
      <c r="AY17">
        <f t="shared" ref="AY17:AY29" si="30">AU17*AV17*AW17</f>
        <v>196.96987215236791</v>
      </c>
      <c r="AZ17">
        <f t="shared" ref="AZ17:AZ29" si="31">BE17/AT17</f>
        <v>0.52805256224584152</v>
      </c>
      <c r="BA17">
        <f t="shared" ref="BA17:BA29" si="32">(AX17-AQ17)/AW17</f>
        <v>1.2440178662767212E-2</v>
      </c>
      <c r="BB17">
        <f t="shared" ref="BB17:BB29" si="33">(AN17-AT17)/AT17</f>
        <v>1.8891152621975662</v>
      </c>
      <c r="BC17" t="s">
        <v>346</v>
      </c>
      <c r="BD17">
        <v>576.79999999999995</v>
      </c>
      <c r="BE17">
        <f t="shared" ref="BE17:BE29" si="34">AT17-BD17</f>
        <v>645.37000000000012</v>
      </c>
      <c r="BF17">
        <f t="shared" ref="BF17:BF29" si="35">(AT17-AS17)/(AT17-BD17)</f>
        <v>0.50703463311971431</v>
      </c>
      <c r="BG17">
        <f t="shared" ref="BG17:BG29" si="36">(AN17-AT17)/(AN17-BD17)</f>
        <v>0.78154079460021186</v>
      </c>
      <c r="BH17">
        <f t="shared" ref="BH17:BH29" si="37">(AT17-AS17)/(AT17-AM17)</f>
        <v>0.51704874149533331</v>
      </c>
      <c r="BI17">
        <f t="shared" ref="BI17:BI29" si="38">(AN17-AT17)/(AN17-AM17)</f>
        <v>0.78486160619123768</v>
      </c>
      <c r="BJ17">
        <v>8129</v>
      </c>
      <c r="BK17">
        <v>300</v>
      </c>
      <c r="BL17">
        <v>300</v>
      </c>
      <c r="BM17">
        <v>300</v>
      </c>
      <c r="BN17">
        <v>10289.700000000001</v>
      </c>
      <c r="BO17">
        <v>1147.28</v>
      </c>
      <c r="BP17">
        <v>-7.0407300000000003E-3</v>
      </c>
      <c r="BQ17">
        <v>7.2629400000000004</v>
      </c>
      <c r="BR17" t="s">
        <v>347</v>
      </c>
      <c r="BS17" t="s">
        <v>347</v>
      </c>
      <c r="BT17" t="s">
        <v>347</v>
      </c>
      <c r="BU17" t="s">
        <v>347</v>
      </c>
      <c r="BV17" t="s">
        <v>347</v>
      </c>
      <c r="BW17" t="s">
        <v>347</v>
      </c>
      <c r="BX17" t="s">
        <v>347</v>
      </c>
      <c r="BY17" t="s">
        <v>347</v>
      </c>
      <c r="BZ17" t="s">
        <v>347</v>
      </c>
      <c r="CA17" t="s">
        <v>347</v>
      </c>
      <c r="CB17">
        <f t="shared" ref="CB17:CB29" si="39">$B$11*CT17+$C$11*CU17+$F$11*DH17</f>
        <v>1750.17</v>
      </c>
      <c r="CC17">
        <f t="shared" ref="CC17:CC29" si="40">CB17*CD17</f>
        <v>1471.3466998142733</v>
      </c>
      <c r="CD17">
        <f t="shared" ref="CD17:CD29" si="41">($B$11*$D$9+$C$11*$D$9+$F$11*((DU17+DM17)/MAX(DU17+DM17+DV17, 0.1)*$I$9+DV17/MAX(DU17+DM17+DV17, 0.1)*$J$9))/($B$11+$C$11+$F$11)</f>
        <v>0.84068787592878025</v>
      </c>
      <c r="CE17">
        <f t="shared" ref="CE17:CE29" si="42">($B$11*$K$9+$C$11*$K$9+$F$11*((DU17+DM17)/MAX(DU17+DM17+DV17, 0.1)*$P$9+DV17/MAX(DU17+DM17+DV17, 0.1)*$Q$9))/($B$11+$C$11+$F$11)</f>
        <v>0.19137575185756067</v>
      </c>
      <c r="CF17">
        <v>1565559494</v>
      </c>
      <c r="CG17">
        <v>374.73399999999998</v>
      </c>
      <c r="CH17">
        <v>400.005</v>
      </c>
      <c r="CI17">
        <v>18.6234</v>
      </c>
      <c r="CJ17">
        <v>14.433199999999999</v>
      </c>
      <c r="CK17">
        <v>500.06400000000002</v>
      </c>
      <c r="CL17">
        <v>99.077200000000005</v>
      </c>
      <c r="CM17">
        <v>0.100148</v>
      </c>
      <c r="CN17">
        <v>26.199300000000001</v>
      </c>
      <c r="CO17">
        <v>27.2408</v>
      </c>
      <c r="CP17">
        <v>999.9</v>
      </c>
      <c r="CQ17">
        <v>0</v>
      </c>
      <c r="CR17">
        <v>0</v>
      </c>
      <c r="CS17">
        <v>10004.4</v>
      </c>
      <c r="CT17">
        <v>0</v>
      </c>
      <c r="CU17">
        <v>1044.05</v>
      </c>
      <c r="CV17">
        <v>-25.917200000000001</v>
      </c>
      <c r="CW17">
        <v>381.197</v>
      </c>
      <c r="CX17">
        <v>405.863</v>
      </c>
      <c r="CY17">
        <v>4.21713</v>
      </c>
      <c r="CZ17">
        <v>370.411</v>
      </c>
      <c r="DA17">
        <v>400.005</v>
      </c>
      <c r="DB17">
        <v>18.168399999999998</v>
      </c>
      <c r="DC17">
        <v>14.433199999999999</v>
      </c>
      <c r="DD17">
        <v>1.8478300000000001</v>
      </c>
      <c r="DE17">
        <v>1.43001</v>
      </c>
      <c r="DF17">
        <v>16.197399999999998</v>
      </c>
      <c r="DG17">
        <v>12.239599999999999</v>
      </c>
      <c r="DH17">
        <v>1750.17</v>
      </c>
      <c r="DI17">
        <v>0.97700699999999996</v>
      </c>
      <c r="DJ17">
        <v>2.2992800000000001E-2</v>
      </c>
      <c r="DK17">
        <v>0</v>
      </c>
      <c r="DL17">
        <v>889.24599999999998</v>
      </c>
      <c r="DM17">
        <v>5.0002700000000004</v>
      </c>
      <c r="DN17">
        <v>20371.900000000001</v>
      </c>
      <c r="DO17">
        <v>14147.1</v>
      </c>
      <c r="DP17">
        <v>49.125</v>
      </c>
      <c r="DQ17">
        <v>51</v>
      </c>
      <c r="DR17">
        <v>50.125</v>
      </c>
      <c r="DS17">
        <v>50.625</v>
      </c>
      <c r="DT17">
        <v>50.436999999999998</v>
      </c>
      <c r="DU17">
        <v>1705.04</v>
      </c>
      <c r="DV17">
        <v>40.130000000000003</v>
      </c>
      <c r="DW17">
        <v>0</v>
      </c>
      <c r="DX17">
        <v>1737.2000000476801</v>
      </c>
      <c r="DY17">
        <v>894.94505882352996</v>
      </c>
      <c r="DZ17">
        <v>-75.084313978402406</v>
      </c>
      <c r="EA17">
        <v>-1283.2352982264199</v>
      </c>
      <c r="EB17">
        <v>20469.894117647102</v>
      </c>
      <c r="EC17">
        <v>10</v>
      </c>
      <c r="ED17">
        <v>1565559519</v>
      </c>
      <c r="EE17" t="s">
        <v>348</v>
      </c>
      <c r="EF17">
        <v>82</v>
      </c>
      <c r="EG17">
        <v>4.3230000000000004</v>
      </c>
      <c r="EH17">
        <v>0.45500000000000002</v>
      </c>
      <c r="EI17">
        <v>400</v>
      </c>
      <c r="EJ17">
        <v>15</v>
      </c>
      <c r="EK17">
        <v>0.08</v>
      </c>
      <c r="EL17">
        <v>0.06</v>
      </c>
      <c r="EM17">
        <v>20.554699291058899</v>
      </c>
      <c r="EN17">
        <v>-1.2896547778277201</v>
      </c>
      <c r="EO17">
        <v>0.13397465347774301</v>
      </c>
      <c r="EP17">
        <v>0</v>
      </c>
      <c r="EQ17">
        <v>0.209854563654263</v>
      </c>
      <c r="ER17">
        <v>-4.1479118691980399E-2</v>
      </c>
      <c r="ES17">
        <v>4.2328040747846097E-3</v>
      </c>
      <c r="ET17">
        <v>1</v>
      </c>
      <c r="EU17">
        <v>1</v>
      </c>
      <c r="EV17">
        <v>2</v>
      </c>
      <c r="EW17" t="s">
        <v>349</v>
      </c>
      <c r="EX17">
        <v>2.9491800000000001</v>
      </c>
      <c r="EY17">
        <v>2.7776000000000001</v>
      </c>
      <c r="EZ17">
        <v>8.8281200000000004E-2</v>
      </c>
      <c r="FA17">
        <v>9.1234800000000005E-2</v>
      </c>
      <c r="FB17">
        <v>9.21738E-2</v>
      </c>
      <c r="FC17">
        <v>7.4145000000000003E-2</v>
      </c>
      <c r="FD17">
        <v>21851.7</v>
      </c>
      <c r="FE17">
        <v>21978</v>
      </c>
      <c r="FF17">
        <v>22541.7</v>
      </c>
      <c r="FG17">
        <v>26529.5</v>
      </c>
      <c r="FH17">
        <v>29250.7</v>
      </c>
      <c r="FI17">
        <v>38548.800000000003</v>
      </c>
      <c r="FJ17">
        <v>32195.4</v>
      </c>
      <c r="FK17">
        <v>42257.3</v>
      </c>
      <c r="FL17">
        <v>1.9248799999999999</v>
      </c>
      <c r="FM17">
        <v>1.8202</v>
      </c>
      <c r="FN17">
        <v>1.3835699999999999E-2</v>
      </c>
      <c r="FO17">
        <v>0</v>
      </c>
      <c r="FP17">
        <v>27.014600000000002</v>
      </c>
      <c r="FQ17">
        <v>999.9</v>
      </c>
      <c r="FR17">
        <v>32.517000000000003</v>
      </c>
      <c r="FS17">
        <v>43.497</v>
      </c>
      <c r="FT17">
        <v>29.262</v>
      </c>
      <c r="FU17">
        <v>61.714500000000001</v>
      </c>
      <c r="FV17">
        <v>46.438299999999998</v>
      </c>
      <c r="FW17">
        <v>1</v>
      </c>
      <c r="FX17">
        <v>0.58582299999999998</v>
      </c>
      <c r="FY17">
        <v>9.2810500000000005</v>
      </c>
      <c r="FZ17">
        <v>20.0183</v>
      </c>
      <c r="GA17">
        <v>5.2264200000000001</v>
      </c>
      <c r="GB17">
        <v>11.962</v>
      </c>
      <c r="GC17">
        <v>4.9715999999999996</v>
      </c>
      <c r="GD17">
        <v>3.2945500000000001</v>
      </c>
      <c r="GE17">
        <v>9999</v>
      </c>
      <c r="GF17">
        <v>9999</v>
      </c>
      <c r="GG17">
        <v>507.5</v>
      </c>
      <c r="GH17">
        <v>9999</v>
      </c>
      <c r="GI17">
        <v>1.8660000000000001</v>
      </c>
      <c r="GJ17">
        <v>1.8654599999999999</v>
      </c>
      <c r="GK17">
        <v>1.8656699999999999</v>
      </c>
      <c r="GL17">
        <v>1.8686100000000001</v>
      </c>
      <c r="GM17">
        <v>1.8628899999999999</v>
      </c>
      <c r="GN17">
        <v>1.86104</v>
      </c>
      <c r="GO17">
        <v>1.8572500000000001</v>
      </c>
      <c r="GP17">
        <v>1.8633999999999999</v>
      </c>
      <c r="GQ17" t="s">
        <v>350</v>
      </c>
      <c r="GR17" t="s">
        <v>19</v>
      </c>
      <c r="GS17" t="s">
        <v>19</v>
      </c>
      <c r="GT17" t="s">
        <v>19</v>
      </c>
      <c r="GU17" t="s">
        <v>351</v>
      </c>
      <c r="GV17" t="s">
        <v>352</v>
      </c>
      <c r="GW17" t="s">
        <v>353</v>
      </c>
      <c r="GX17" t="s">
        <v>353</v>
      </c>
      <c r="GY17" t="s">
        <v>353</v>
      </c>
      <c r="GZ17" t="s">
        <v>353</v>
      </c>
      <c r="HA17">
        <v>0</v>
      </c>
      <c r="HB17">
        <v>100</v>
      </c>
      <c r="HC17">
        <v>100</v>
      </c>
      <c r="HD17">
        <v>4.3230000000000004</v>
      </c>
      <c r="HE17">
        <v>0.45500000000000002</v>
      </c>
      <c r="HF17">
        <v>2</v>
      </c>
      <c r="HG17">
        <v>493.61599999999999</v>
      </c>
      <c r="HH17">
        <v>464.16399999999999</v>
      </c>
      <c r="HI17">
        <v>19.7224</v>
      </c>
      <c r="HJ17">
        <v>34.3996</v>
      </c>
      <c r="HK17">
        <v>29.999700000000001</v>
      </c>
      <c r="HL17">
        <v>34.271500000000003</v>
      </c>
      <c r="HM17">
        <v>34.253599999999999</v>
      </c>
      <c r="HN17">
        <v>21.221800000000002</v>
      </c>
      <c r="HO17">
        <v>67.604799999999997</v>
      </c>
      <c r="HP17">
        <v>0</v>
      </c>
      <c r="HQ17">
        <v>19.360099999999999</v>
      </c>
      <c r="HR17">
        <v>400</v>
      </c>
      <c r="HS17">
        <v>14.7448</v>
      </c>
      <c r="HT17">
        <v>99.110399999999998</v>
      </c>
      <c r="HU17">
        <v>103.04</v>
      </c>
    </row>
    <row r="18" spans="1:229" x14ac:dyDescent="0.35">
      <c r="A18">
        <v>2</v>
      </c>
      <c r="B18">
        <v>1565559580</v>
      </c>
      <c r="C18">
        <v>86</v>
      </c>
      <c r="D18" t="s">
        <v>354</v>
      </c>
      <c r="E18" t="s">
        <v>355</v>
      </c>
      <c r="G18">
        <v>1565559580</v>
      </c>
      <c r="H18">
        <f t="shared" si="0"/>
        <v>2.2520534439996807E-3</v>
      </c>
      <c r="I18">
        <f t="shared" si="1"/>
        <v>10.589440630080281</v>
      </c>
      <c r="J18">
        <f t="shared" si="2"/>
        <v>286.50400000000002</v>
      </c>
      <c r="K18">
        <f t="shared" si="3"/>
        <v>138.31402016582942</v>
      </c>
      <c r="L18">
        <f t="shared" si="4"/>
        <v>13.718018517633118</v>
      </c>
      <c r="M18">
        <f t="shared" si="5"/>
        <v>28.415537142683199</v>
      </c>
      <c r="N18">
        <f t="shared" si="6"/>
        <v>0.12259241865390194</v>
      </c>
      <c r="O18">
        <f t="shared" si="7"/>
        <v>2.2477937196969178</v>
      </c>
      <c r="P18">
        <f t="shared" si="8"/>
        <v>0.11899545528864247</v>
      </c>
      <c r="Q18">
        <f t="shared" si="9"/>
        <v>7.4686541459546021E-2</v>
      </c>
      <c r="R18">
        <f t="shared" si="10"/>
        <v>281.55238725561622</v>
      </c>
      <c r="S18">
        <f t="shared" si="11"/>
        <v>27.178112976556108</v>
      </c>
      <c r="T18">
        <f t="shared" si="12"/>
        <v>27.337900000000001</v>
      </c>
      <c r="U18">
        <f t="shared" si="13"/>
        <v>3.6508089033991942</v>
      </c>
      <c r="V18">
        <f t="shared" si="14"/>
        <v>54.733134736760455</v>
      </c>
      <c r="W18">
        <f t="shared" si="15"/>
        <v>1.8255909483914399</v>
      </c>
      <c r="X18">
        <f t="shared" si="16"/>
        <v>3.3354401445698976</v>
      </c>
      <c r="Y18">
        <f t="shared" si="17"/>
        <v>1.8252179550077543</v>
      </c>
      <c r="Z18">
        <f t="shared" si="18"/>
        <v>-99.315556880385927</v>
      </c>
      <c r="AA18">
        <f t="shared" si="19"/>
        <v>-185.8099782564932</v>
      </c>
      <c r="AB18">
        <f t="shared" si="20"/>
        <v>-17.763438056219055</v>
      </c>
      <c r="AC18">
        <f t="shared" si="21"/>
        <v>-21.336585937481971</v>
      </c>
      <c r="AD18">
        <v>-4.1124377384066102E-2</v>
      </c>
      <c r="AE18">
        <v>4.6165716306942897E-2</v>
      </c>
      <c r="AF18">
        <v>3.4512770076816399</v>
      </c>
      <c r="AG18">
        <v>4</v>
      </c>
      <c r="AH18">
        <v>1</v>
      </c>
      <c r="AI18">
        <f t="shared" si="22"/>
        <v>1</v>
      </c>
      <c r="AJ18">
        <f t="shared" si="23"/>
        <v>0</v>
      </c>
      <c r="AK18">
        <f t="shared" si="24"/>
        <v>52647.872336515589</v>
      </c>
      <c r="AL18" t="s">
        <v>344</v>
      </c>
      <c r="AM18">
        <v>589.29941176470595</v>
      </c>
      <c r="AN18">
        <v>3530.99</v>
      </c>
      <c r="AO18">
        <f t="shared" si="25"/>
        <v>2941.6905882352939</v>
      </c>
      <c r="AP18">
        <f t="shared" si="26"/>
        <v>0.83310646256015852</v>
      </c>
      <c r="AQ18">
        <v>1.42453575549529</v>
      </c>
      <c r="AR18" t="s">
        <v>356</v>
      </c>
      <c r="AS18">
        <v>825.31864705882299</v>
      </c>
      <c r="AT18">
        <v>1097.74</v>
      </c>
      <c r="AU18">
        <f t="shared" si="27"/>
        <v>0.24816564299485944</v>
      </c>
      <c r="AV18">
        <v>0.5</v>
      </c>
      <c r="AW18">
        <f t="shared" si="28"/>
        <v>1471.2035998143017</v>
      </c>
      <c r="AX18">
        <f t="shared" si="29"/>
        <v>10.589440630080281</v>
      </c>
      <c r="AY18">
        <f t="shared" si="30"/>
        <v>182.55109366213404</v>
      </c>
      <c r="AZ18">
        <f t="shared" si="31"/>
        <v>0.47521270974912089</v>
      </c>
      <c r="BA18">
        <f t="shared" si="32"/>
        <v>6.2295285817284595E-3</v>
      </c>
      <c r="BB18">
        <f t="shared" si="33"/>
        <v>2.216599559094139</v>
      </c>
      <c r="BC18" t="s">
        <v>357</v>
      </c>
      <c r="BD18">
        <v>576.08000000000004</v>
      </c>
      <c r="BE18">
        <f t="shared" si="34"/>
        <v>521.66</v>
      </c>
      <c r="BF18">
        <f t="shared" si="35"/>
        <v>0.52222012985695099</v>
      </c>
      <c r="BG18">
        <f t="shared" si="36"/>
        <v>0.82345993617402902</v>
      </c>
      <c r="BH18">
        <f t="shared" si="37"/>
        <v>0.5357978085241043</v>
      </c>
      <c r="BI18">
        <f t="shared" si="38"/>
        <v>0.82716041235991955</v>
      </c>
      <c r="BJ18">
        <v>8131</v>
      </c>
      <c r="BK18">
        <v>300</v>
      </c>
      <c r="BL18">
        <v>300</v>
      </c>
      <c r="BM18">
        <v>300</v>
      </c>
      <c r="BN18">
        <v>10288</v>
      </c>
      <c r="BO18">
        <v>1040.8800000000001</v>
      </c>
      <c r="BP18">
        <v>-7.0394799999999999E-3</v>
      </c>
      <c r="BQ18">
        <v>7.6931200000000004</v>
      </c>
      <c r="BR18" t="s">
        <v>347</v>
      </c>
      <c r="BS18" t="s">
        <v>347</v>
      </c>
      <c r="BT18" t="s">
        <v>347</v>
      </c>
      <c r="BU18" t="s">
        <v>347</v>
      </c>
      <c r="BV18" t="s">
        <v>347</v>
      </c>
      <c r="BW18" t="s">
        <v>347</v>
      </c>
      <c r="BX18" t="s">
        <v>347</v>
      </c>
      <c r="BY18" t="s">
        <v>347</v>
      </c>
      <c r="BZ18" t="s">
        <v>347</v>
      </c>
      <c r="CA18" t="s">
        <v>347</v>
      </c>
      <c r="CB18">
        <f t="shared" si="39"/>
        <v>1750</v>
      </c>
      <c r="CC18">
        <f t="shared" si="40"/>
        <v>1471.2035998143017</v>
      </c>
      <c r="CD18">
        <f t="shared" si="41"/>
        <v>0.84068777132245809</v>
      </c>
      <c r="CE18">
        <f t="shared" si="42"/>
        <v>0.19137554264491627</v>
      </c>
      <c r="CF18">
        <v>1565559580</v>
      </c>
      <c r="CG18">
        <v>286.50400000000002</v>
      </c>
      <c r="CH18">
        <v>299.98599999999999</v>
      </c>
      <c r="CI18">
        <v>18.4068</v>
      </c>
      <c r="CJ18">
        <v>15.754</v>
      </c>
      <c r="CK18">
        <v>499.98500000000001</v>
      </c>
      <c r="CL18">
        <v>99.080299999999994</v>
      </c>
      <c r="CM18">
        <v>9.9945800000000001E-2</v>
      </c>
      <c r="CN18">
        <v>25.804600000000001</v>
      </c>
      <c r="CO18">
        <v>27.337900000000001</v>
      </c>
      <c r="CP18">
        <v>999.9</v>
      </c>
      <c r="CQ18">
        <v>0</v>
      </c>
      <c r="CR18">
        <v>0</v>
      </c>
      <c r="CS18">
        <v>10009.4</v>
      </c>
      <c r="CT18">
        <v>0</v>
      </c>
      <c r="CU18">
        <v>1205.43</v>
      </c>
      <c r="CV18">
        <v>-13.3995</v>
      </c>
      <c r="CW18">
        <v>291.95400000000001</v>
      </c>
      <c r="CX18">
        <v>304.78800000000001</v>
      </c>
      <c r="CY18">
        <v>2.62982</v>
      </c>
      <c r="CZ18">
        <v>282.26400000000001</v>
      </c>
      <c r="DA18">
        <v>299.98599999999999</v>
      </c>
      <c r="DB18">
        <v>17.928799999999999</v>
      </c>
      <c r="DC18">
        <v>15.754</v>
      </c>
      <c r="DD18">
        <v>1.8214699999999999</v>
      </c>
      <c r="DE18">
        <v>1.56091</v>
      </c>
      <c r="DF18">
        <v>15.972300000000001</v>
      </c>
      <c r="DG18">
        <v>13.578200000000001</v>
      </c>
      <c r="DH18">
        <v>1750</v>
      </c>
      <c r="DI18">
        <v>0.97700699999999996</v>
      </c>
      <c r="DJ18">
        <v>2.2992800000000001E-2</v>
      </c>
      <c r="DK18">
        <v>0</v>
      </c>
      <c r="DL18">
        <v>823.51</v>
      </c>
      <c r="DM18">
        <v>5.0002700000000004</v>
      </c>
      <c r="DN18">
        <v>20010.2</v>
      </c>
      <c r="DO18">
        <v>14145.7</v>
      </c>
      <c r="DP18">
        <v>49.25</v>
      </c>
      <c r="DQ18">
        <v>51.125</v>
      </c>
      <c r="DR18">
        <v>50.186999999999998</v>
      </c>
      <c r="DS18">
        <v>50.811999999999998</v>
      </c>
      <c r="DT18">
        <v>50.561999999999998</v>
      </c>
      <c r="DU18">
        <v>1704.88</v>
      </c>
      <c r="DV18">
        <v>40.119999999999997</v>
      </c>
      <c r="DW18">
        <v>0</v>
      </c>
      <c r="DX18">
        <v>85.399999856948895</v>
      </c>
      <c r="DY18">
        <v>825.31864705882299</v>
      </c>
      <c r="DZ18">
        <v>-21.729166651411902</v>
      </c>
      <c r="EA18">
        <v>-749.87745265453805</v>
      </c>
      <c r="EB18">
        <v>20035.2705882353</v>
      </c>
      <c r="EC18">
        <v>10</v>
      </c>
      <c r="ED18">
        <v>1565559602.5</v>
      </c>
      <c r="EE18" t="s">
        <v>358</v>
      </c>
      <c r="EF18">
        <v>83</v>
      </c>
      <c r="EG18">
        <v>4.24</v>
      </c>
      <c r="EH18">
        <v>0.47799999999999998</v>
      </c>
      <c r="EI18">
        <v>300</v>
      </c>
      <c r="EJ18">
        <v>16</v>
      </c>
      <c r="EK18">
        <v>0.15</v>
      </c>
      <c r="EL18">
        <v>0.09</v>
      </c>
      <c r="EM18">
        <v>10.689094542689199</v>
      </c>
      <c r="EN18">
        <v>-0.24401909894016799</v>
      </c>
      <c r="EO18">
        <v>0.113167728505826</v>
      </c>
      <c r="EP18">
        <v>0</v>
      </c>
      <c r="EQ18">
        <v>0.12776256355530199</v>
      </c>
      <c r="ER18">
        <v>-3.4705712634030703E-2</v>
      </c>
      <c r="ES18">
        <v>3.6366668157390299E-3</v>
      </c>
      <c r="ET18">
        <v>1</v>
      </c>
      <c r="EU18">
        <v>1</v>
      </c>
      <c r="EV18">
        <v>2</v>
      </c>
      <c r="EW18" t="s">
        <v>349</v>
      </c>
      <c r="EX18">
        <v>2.9489399999999999</v>
      </c>
      <c r="EY18">
        <v>2.7774399999999999</v>
      </c>
      <c r="EZ18">
        <v>7.0929500000000006E-2</v>
      </c>
      <c r="FA18">
        <v>7.2659699999999994E-2</v>
      </c>
      <c r="FB18">
        <v>9.1288800000000003E-2</v>
      </c>
      <c r="FC18">
        <v>7.9070699999999994E-2</v>
      </c>
      <c r="FD18">
        <v>22267.5</v>
      </c>
      <c r="FE18">
        <v>22427.599999999999</v>
      </c>
      <c r="FF18">
        <v>22541.9</v>
      </c>
      <c r="FG18">
        <v>26530.2</v>
      </c>
      <c r="FH18">
        <v>29279</v>
      </c>
      <c r="FI18">
        <v>38344.400000000001</v>
      </c>
      <c r="FJ18">
        <v>32195.3</v>
      </c>
      <c r="FK18">
        <v>42258.400000000001</v>
      </c>
      <c r="FL18">
        <v>1.92388</v>
      </c>
      <c r="FM18">
        <v>1.8214300000000001</v>
      </c>
      <c r="FN18">
        <v>1.4044299999999999E-2</v>
      </c>
      <c r="FO18">
        <v>0</v>
      </c>
      <c r="FP18">
        <v>27.1083</v>
      </c>
      <c r="FQ18">
        <v>999.9</v>
      </c>
      <c r="FR18">
        <v>32.566000000000003</v>
      </c>
      <c r="FS18">
        <v>43.457000000000001</v>
      </c>
      <c r="FT18">
        <v>29.242999999999999</v>
      </c>
      <c r="FU18">
        <v>61.424599999999998</v>
      </c>
      <c r="FV18">
        <v>46.494399999999999</v>
      </c>
      <c r="FW18">
        <v>1</v>
      </c>
      <c r="FX18">
        <v>0.58766300000000005</v>
      </c>
      <c r="FY18">
        <v>9.2810500000000005</v>
      </c>
      <c r="FZ18">
        <v>20.026499999999999</v>
      </c>
      <c r="GA18">
        <v>5.2289700000000003</v>
      </c>
      <c r="GB18">
        <v>11.962</v>
      </c>
      <c r="GC18">
        <v>4.9717500000000001</v>
      </c>
      <c r="GD18">
        <v>3.2949999999999999</v>
      </c>
      <c r="GE18">
        <v>9999</v>
      </c>
      <c r="GF18">
        <v>9999</v>
      </c>
      <c r="GG18">
        <v>507.5</v>
      </c>
      <c r="GH18">
        <v>9999</v>
      </c>
      <c r="GI18">
        <v>1.8660000000000001</v>
      </c>
      <c r="GJ18">
        <v>1.8654500000000001</v>
      </c>
      <c r="GK18">
        <v>1.8655999999999999</v>
      </c>
      <c r="GL18">
        <v>1.8686100000000001</v>
      </c>
      <c r="GM18">
        <v>1.8629</v>
      </c>
      <c r="GN18">
        <v>1.86103</v>
      </c>
      <c r="GO18">
        <v>1.85728</v>
      </c>
      <c r="GP18">
        <v>1.8633999999999999</v>
      </c>
      <c r="GQ18" t="s">
        <v>350</v>
      </c>
      <c r="GR18" t="s">
        <v>19</v>
      </c>
      <c r="GS18" t="s">
        <v>19</v>
      </c>
      <c r="GT18" t="s">
        <v>19</v>
      </c>
      <c r="GU18" t="s">
        <v>351</v>
      </c>
      <c r="GV18" t="s">
        <v>352</v>
      </c>
      <c r="GW18" t="s">
        <v>353</v>
      </c>
      <c r="GX18" t="s">
        <v>353</v>
      </c>
      <c r="GY18" t="s">
        <v>353</v>
      </c>
      <c r="GZ18" t="s">
        <v>353</v>
      </c>
      <c r="HA18">
        <v>0</v>
      </c>
      <c r="HB18">
        <v>100</v>
      </c>
      <c r="HC18">
        <v>100</v>
      </c>
      <c r="HD18">
        <v>4.24</v>
      </c>
      <c r="HE18">
        <v>0.47799999999999998</v>
      </c>
      <c r="HF18">
        <v>2</v>
      </c>
      <c r="HG18">
        <v>493.1</v>
      </c>
      <c r="HH18">
        <v>465.13200000000001</v>
      </c>
      <c r="HI18">
        <v>18.780100000000001</v>
      </c>
      <c r="HJ18">
        <v>34.452399999999997</v>
      </c>
      <c r="HK18">
        <v>30.000499999999999</v>
      </c>
      <c r="HL18">
        <v>34.291499999999999</v>
      </c>
      <c r="HM18">
        <v>34.275399999999998</v>
      </c>
      <c r="HN18">
        <v>16.8398</v>
      </c>
      <c r="HO18">
        <v>63.452199999999998</v>
      </c>
      <c r="HP18">
        <v>0</v>
      </c>
      <c r="HQ18">
        <v>16.5044</v>
      </c>
      <c r="HR18">
        <v>300</v>
      </c>
      <c r="HS18">
        <v>15.847899999999999</v>
      </c>
      <c r="HT18">
        <v>99.110600000000005</v>
      </c>
      <c r="HU18">
        <v>103.042</v>
      </c>
    </row>
    <row r="19" spans="1:229" x14ac:dyDescent="0.35">
      <c r="A19">
        <v>3</v>
      </c>
      <c r="B19">
        <v>1565559681</v>
      </c>
      <c r="C19">
        <v>187</v>
      </c>
      <c r="D19" t="s">
        <v>359</v>
      </c>
      <c r="E19" t="s">
        <v>360</v>
      </c>
      <c r="G19">
        <v>1565559681</v>
      </c>
      <c r="H19">
        <f t="shared" si="0"/>
        <v>1.8654521094311565E-3</v>
      </c>
      <c r="I19">
        <f t="shared" si="1"/>
        <v>5.2405425253045292</v>
      </c>
      <c r="J19">
        <f t="shared" si="2"/>
        <v>193.249</v>
      </c>
      <c r="K19">
        <f t="shared" si="3"/>
        <v>103.35270154412804</v>
      </c>
      <c r="L19">
        <f t="shared" si="4"/>
        <v>10.25102705732608</v>
      </c>
      <c r="M19">
        <f t="shared" si="5"/>
        <v>19.167382160352997</v>
      </c>
      <c r="N19">
        <f t="shared" si="6"/>
        <v>0.10027892766833228</v>
      </c>
      <c r="O19">
        <f t="shared" si="7"/>
        <v>2.2456656520785239</v>
      </c>
      <c r="P19">
        <f t="shared" si="8"/>
        <v>9.7856037452613689E-2</v>
      </c>
      <c r="Q19">
        <f t="shared" si="9"/>
        <v>6.1372834643641919E-2</v>
      </c>
      <c r="R19">
        <f t="shared" si="10"/>
        <v>281.58271107592236</v>
      </c>
      <c r="S19">
        <f t="shared" si="11"/>
        <v>27.030204367037353</v>
      </c>
      <c r="T19">
        <f t="shared" si="12"/>
        <v>27.3157</v>
      </c>
      <c r="U19">
        <f t="shared" si="13"/>
        <v>3.6460634322454162</v>
      </c>
      <c r="V19">
        <f t="shared" si="14"/>
        <v>55.085446892104137</v>
      </c>
      <c r="W19">
        <f t="shared" si="15"/>
        <v>1.8072579267266999</v>
      </c>
      <c r="X19">
        <f t="shared" si="16"/>
        <v>3.2808264772119866</v>
      </c>
      <c r="Y19">
        <f t="shared" si="17"/>
        <v>1.8388055055187162</v>
      </c>
      <c r="Z19">
        <f t="shared" si="18"/>
        <v>-82.266438025913999</v>
      </c>
      <c r="AA19">
        <f t="shared" si="19"/>
        <v>-216.63966368041383</v>
      </c>
      <c r="AB19">
        <f t="shared" si="20"/>
        <v>-20.69925578757611</v>
      </c>
      <c r="AC19">
        <f t="shared" si="21"/>
        <v>-38.022646417981605</v>
      </c>
      <c r="AD19">
        <v>-4.1067161874944302E-2</v>
      </c>
      <c r="AE19">
        <v>4.6101486885599799E-2</v>
      </c>
      <c r="AF19">
        <v>3.44747455826292</v>
      </c>
      <c r="AG19">
        <v>5</v>
      </c>
      <c r="AH19">
        <v>1</v>
      </c>
      <c r="AI19">
        <f t="shared" si="22"/>
        <v>1</v>
      </c>
      <c r="AJ19">
        <f t="shared" si="23"/>
        <v>0</v>
      </c>
      <c r="AK19">
        <f t="shared" si="24"/>
        <v>52626.737588327909</v>
      </c>
      <c r="AL19" t="s">
        <v>344</v>
      </c>
      <c r="AM19">
        <v>589.29941176470595</v>
      </c>
      <c r="AN19">
        <v>3530.99</v>
      </c>
      <c r="AO19">
        <f t="shared" si="25"/>
        <v>2941.6905882352939</v>
      </c>
      <c r="AP19">
        <f t="shared" si="26"/>
        <v>0.83310646256015852</v>
      </c>
      <c r="AQ19">
        <v>1.42453575549529</v>
      </c>
      <c r="AR19" t="s">
        <v>361</v>
      </c>
      <c r="AS19">
        <v>802.13258823529395</v>
      </c>
      <c r="AT19">
        <v>1045.83</v>
      </c>
      <c r="AU19">
        <f t="shared" si="27"/>
        <v>0.23301818819952191</v>
      </c>
      <c r="AV19">
        <v>0.5</v>
      </c>
      <c r="AW19">
        <f t="shared" si="28"/>
        <v>1471.3631998143219</v>
      </c>
      <c r="AX19">
        <f t="shared" si="29"/>
        <v>5.2405425253045292</v>
      </c>
      <c r="AY19">
        <f t="shared" si="30"/>
        <v>171.42719350209222</v>
      </c>
      <c r="AZ19">
        <f t="shared" si="31"/>
        <v>0.44359982023847089</v>
      </c>
      <c r="BA19">
        <f t="shared" si="32"/>
        <v>2.593517882118296E-3</v>
      </c>
      <c r="BB19">
        <f t="shared" si="33"/>
        <v>2.3762561793025636</v>
      </c>
      <c r="BC19" t="s">
        <v>362</v>
      </c>
      <c r="BD19">
        <v>581.9</v>
      </c>
      <c r="BE19">
        <f t="shared" si="34"/>
        <v>463.92999999999995</v>
      </c>
      <c r="BF19">
        <f t="shared" si="35"/>
        <v>0.52528918536138214</v>
      </c>
      <c r="BG19">
        <f t="shared" si="36"/>
        <v>0.84268706617973688</v>
      </c>
      <c r="BH19">
        <f t="shared" si="37"/>
        <v>0.5338030310448888</v>
      </c>
      <c r="BI19">
        <f t="shared" si="38"/>
        <v>0.84480672778398336</v>
      </c>
      <c r="BJ19">
        <v>8133</v>
      </c>
      <c r="BK19">
        <v>300</v>
      </c>
      <c r="BL19">
        <v>300</v>
      </c>
      <c r="BM19">
        <v>300</v>
      </c>
      <c r="BN19">
        <v>10287.1</v>
      </c>
      <c r="BO19">
        <v>995.16099999999994</v>
      </c>
      <c r="BP19">
        <v>-7.0387699999999997E-3</v>
      </c>
      <c r="BQ19">
        <v>4.9621599999999999</v>
      </c>
      <c r="BR19" t="s">
        <v>347</v>
      </c>
      <c r="BS19" t="s">
        <v>347</v>
      </c>
      <c r="BT19" t="s">
        <v>347</v>
      </c>
      <c r="BU19" t="s">
        <v>347</v>
      </c>
      <c r="BV19" t="s">
        <v>347</v>
      </c>
      <c r="BW19" t="s">
        <v>347</v>
      </c>
      <c r="BX19" t="s">
        <v>347</v>
      </c>
      <c r="BY19" t="s">
        <v>347</v>
      </c>
      <c r="BZ19" t="s">
        <v>347</v>
      </c>
      <c r="CA19" t="s">
        <v>347</v>
      </c>
      <c r="CB19">
        <f t="shared" si="39"/>
        <v>1750.19</v>
      </c>
      <c r="CC19">
        <f t="shared" si="40"/>
        <v>1471.3631998143219</v>
      </c>
      <c r="CD19">
        <f t="shared" si="41"/>
        <v>0.84068769665826104</v>
      </c>
      <c r="CE19">
        <f t="shared" si="42"/>
        <v>0.19137539331652209</v>
      </c>
      <c r="CF19">
        <v>1565559681</v>
      </c>
      <c r="CG19">
        <v>193.249</v>
      </c>
      <c r="CH19">
        <v>199.971</v>
      </c>
      <c r="CI19">
        <v>18.2211</v>
      </c>
      <c r="CJ19">
        <v>16.023099999999999</v>
      </c>
      <c r="CK19">
        <v>499.94400000000002</v>
      </c>
      <c r="CL19">
        <v>99.084999999999994</v>
      </c>
      <c r="CM19">
        <v>9.9897E-2</v>
      </c>
      <c r="CN19">
        <v>25.526299999999999</v>
      </c>
      <c r="CO19">
        <v>27.3157</v>
      </c>
      <c r="CP19">
        <v>999.9</v>
      </c>
      <c r="CQ19">
        <v>0</v>
      </c>
      <c r="CR19">
        <v>0</v>
      </c>
      <c r="CS19">
        <v>9995</v>
      </c>
      <c r="CT19">
        <v>0</v>
      </c>
      <c r="CU19">
        <v>1231.08</v>
      </c>
      <c r="CV19">
        <v>-6.5902099999999999</v>
      </c>
      <c r="CW19">
        <v>196.96899999999999</v>
      </c>
      <c r="CX19">
        <v>203.22800000000001</v>
      </c>
      <c r="CY19">
        <v>2.1919900000000001</v>
      </c>
      <c r="CZ19">
        <v>189.14099999999999</v>
      </c>
      <c r="DA19">
        <v>199.971</v>
      </c>
      <c r="DB19">
        <v>17.737100000000002</v>
      </c>
      <c r="DC19">
        <v>16.023099999999999</v>
      </c>
      <c r="DD19">
        <v>1.80484</v>
      </c>
      <c r="DE19">
        <v>1.58765</v>
      </c>
      <c r="DF19">
        <v>15.828799999999999</v>
      </c>
      <c r="DG19">
        <v>13.839399999999999</v>
      </c>
      <c r="DH19">
        <v>1750.19</v>
      </c>
      <c r="DI19">
        <v>0.97701099999999996</v>
      </c>
      <c r="DJ19">
        <v>2.29889E-2</v>
      </c>
      <c r="DK19">
        <v>0</v>
      </c>
      <c r="DL19">
        <v>801.327</v>
      </c>
      <c r="DM19">
        <v>5.0002700000000004</v>
      </c>
      <c r="DN19">
        <v>19806.099999999999</v>
      </c>
      <c r="DO19">
        <v>14147.2</v>
      </c>
      <c r="DP19">
        <v>49.375</v>
      </c>
      <c r="DQ19">
        <v>51.375</v>
      </c>
      <c r="DR19">
        <v>50.311999999999998</v>
      </c>
      <c r="DS19">
        <v>51</v>
      </c>
      <c r="DT19">
        <v>50.686999999999998</v>
      </c>
      <c r="DU19">
        <v>1705.07</v>
      </c>
      <c r="DV19">
        <v>40.119999999999997</v>
      </c>
      <c r="DW19">
        <v>0</v>
      </c>
      <c r="DX19">
        <v>100.40000009536701</v>
      </c>
      <c r="DY19">
        <v>802.13258823529395</v>
      </c>
      <c r="DZ19">
        <v>-12.6382353178708</v>
      </c>
      <c r="EA19">
        <v>-106.61764638913399</v>
      </c>
      <c r="EB19">
        <v>19810.2</v>
      </c>
      <c r="EC19">
        <v>10</v>
      </c>
      <c r="ED19">
        <v>1565559702</v>
      </c>
      <c r="EE19" t="s">
        <v>363</v>
      </c>
      <c r="EF19">
        <v>84</v>
      </c>
      <c r="EG19">
        <v>4.1079999999999997</v>
      </c>
      <c r="EH19">
        <v>0.48399999999999999</v>
      </c>
      <c r="EI19">
        <v>200</v>
      </c>
      <c r="EJ19">
        <v>16</v>
      </c>
      <c r="EK19">
        <v>0.3</v>
      </c>
      <c r="EL19">
        <v>0.12</v>
      </c>
      <c r="EM19">
        <v>5.1254381677711498</v>
      </c>
      <c r="EN19">
        <v>9.5278053362227902E-2</v>
      </c>
      <c r="EO19">
        <v>2.9646280075802198E-2</v>
      </c>
      <c r="EP19">
        <v>1</v>
      </c>
      <c r="EQ19">
        <v>0.100689446120322</v>
      </c>
      <c r="ER19">
        <v>-5.8171466973994303E-3</v>
      </c>
      <c r="ES19">
        <v>6.0879664464071103E-4</v>
      </c>
      <c r="ET19">
        <v>1</v>
      </c>
      <c r="EU19">
        <v>2</v>
      </c>
      <c r="EV19">
        <v>2</v>
      </c>
      <c r="EW19" t="s">
        <v>364</v>
      </c>
      <c r="EX19">
        <v>2.9487000000000001</v>
      </c>
      <c r="EY19">
        <v>2.7772700000000001</v>
      </c>
      <c r="EZ19">
        <v>5.0235399999999999E-2</v>
      </c>
      <c r="FA19">
        <v>5.1451299999999998E-2</v>
      </c>
      <c r="FB19">
        <v>9.0562500000000004E-2</v>
      </c>
      <c r="FC19">
        <v>8.0040899999999998E-2</v>
      </c>
      <c r="FD19">
        <v>22757.9</v>
      </c>
      <c r="FE19">
        <v>22934</v>
      </c>
      <c r="FF19">
        <v>22537.200000000001</v>
      </c>
      <c r="FG19">
        <v>26523.7</v>
      </c>
      <c r="FH19">
        <v>29296.5</v>
      </c>
      <c r="FI19">
        <v>38295.300000000003</v>
      </c>
      <c r="FJ19">
        <v>32189.1</v>
      </c>
      <c r="FK19">
        <v>42249.2</v>
      </c>
      <c r="FL19">
        <v>1.92195</v>
      </c>
      <c r="FM19">
        <v>1.81985</v>
      </c>
      <c r="FN19">
        <v>1.0132800000000001E-2</v>
      </c>
      <c r="FO19">
        <v>0</v>
      </c>
      <c r="FP19">
        <v>27.15</v>
      </c>
      <c r="FQ19">
        <v>999.9</v>
      </c>
      <c r="FR19">
        <v>32.591000000000001</v>
      </c>
      <c r="FS19">
        <v>43.427</v>
      </c>
      <c r="FT19">
        <v>29.221</v>
      </c>
      <c r="FU19">
        <v>61.704599999999999</v>
      </c>
      <c r="FV19">
        <v>46.410299999999999</v>
      </c>
      <c r="FW19">
        <v>1</v>
      </c>
      <c r="FX19">
        <v>0.60008600000000001</v>
      </c>
      <c r="FY19">
        <v>9.2810500000000005</v>
      </c>
      <c r="FZ19">
        <v>20.026399999999999</v>
      </c>
      <c r="GA19">
        <v>5.2199900000000001</v>
      </c>
      <c r="GB19">
        <v>11.962</v>
      </c>
      <c r="GC19">
        <v>4.97105</v>
      </c>
      <c r="GD19">
        <v>3.2942</v>
      </c>
      <c r="GE19">
        <v>9999</v>
      </c>
      <c r="GF19">
        <v>9999</v>
      </c>
      <c r="GG19">
        <v>507.5</v>
      </c>
      <c r="GH19">
        <v>9999</v>
      </c>
      <c r="GI19">
        <v>1.8660099999999999</v>
      </c>
      <c r="GJ19">
        <v>1.86548</v>
      </c>
      <c r="GK19">
        <v>1.86568</v>
      </c>
      <c r="GL19">
        <v>1.86863</v>
      </c>
      <c r="GM19">
        <v>1.8629</v>
      </c>
      <c r="GN19">
        <v>1.8610899999999999</v>
      </c>
      <c r="GO19">
        <v>1.8573</v>
      </c>
      <c r="GP19">
        <v>1.8633999999999999</v>
      </c>
      <c r="GQ19" t="s">
        <v>350</v>
      </c>
      <c r="GR19" t="s">
        <v>19</v>
      </c>
      <c r="GS19" t="s">
        <v>19</v>
      </c>
      <c r="GT19" t="s">
        <v>19</v>
      </c>
      <c r="GU19" t="s">
        <v>351</v>
      </c>
      <c r="GV19" t="s">
        <v>352</v>
      </c>
      <c r="GW19" t="s">
        <v>353</v>
      </c>
      <c r="GX19" t="s">
        <v>353</v>
      </c>
      <c r="GY19" t="s">
        <v>353</v>
      </c>
      <c r="GZ19" t="s">
        <v>353</v>
      </c>
      <c r="HA19">
        <v>0</v>
      </c>
      <c r="HB19">
        <v>100</v>
      </c>
      <c r="HC19">
        <v>100</v>
      </c>
      <c r="HD19">
        <v>4.1079999999999997</v>
      </c>
      <c r="HE19">
        <v>0.48399999999999999</v>
      </c>
      <c r="HF19">
        <v>2</v>
      </c>
      <c r="HG19">
        <v>492.565</v>
      </c>
      <c r="HH19">
        <v>464.791</v>
      </c>
      <c r="HI19">
        <v>18.669499999999999</v>
      </c>
      <c r="HJ19">
        <v>34.616100000000003</v>
      </c>
      <c r="HK19">
        <v>30.000599999999999</v>
      </c>
      <c r="HL19">
        <v>34.389099999999999</v>
      </c>
      <c r="HM19">
        <v>34.371000000000002</v>
      </c>
      <c r="HN19">
        <v>12.232100000000001</v>
      </c>
      <c r="HO19">
        <v>63.2209</v>
      </c>
      <c r="HP19">
        <v>0</v>
      </c>
      <c r="HQ19">
        <v>16.334199999999999</v>
      </c>
      <c r="HR19">
        <v>200</v>
      </c>
      <c r="HS19">
        <v>16.057400000000001</v>
      </c>
      <c r="HT19">
        <v>99.090800000000002</v>
      </c>
      <c r="HU19">
        <v>103.01900000000001</v>
      </c>
    </row>
    <row r="20" spans="1:229" x14ac:dyDescent="0.35">
      <c r="A20">
        <v>4</v>
      </c>
      <c r="B20">
        <v>1565559793</v>
      </c>
      <c r="C20">
        <v>299</v>
      </c>
      <c r="D20" t="s">
        <v>365</v>
      </c>
      <c r="E20" t="s">
        <v>366</v>
      </c>
      <c r="G20">
        <v>1565559793</v>
      </c>
      <c r="H20">
        <f t="shared" si="0"/>
        <v>2.0023458014404262E-3</v>
      </c>
      <c r="I20">
        <f t="shared" si="1"/>
        <v>1.7808200077186662</v>
      </c>
      <c r="J20">
        <f t="shared" si="2"/>
        <v>97.642300000000006</v>
      </c>
      <c r="K20">
        <f t="shared" si="3"/>
        <v>68.11674259826944</v>
      </c>
      <c r="L20">
        <f t="shared" si="4"/>
        <v>6.7562681899492771</v>
      </c>
      <c r="M20">
        <f t="shared" si="5"/>
        <v>9.6848078801149917</v>
      </c>
      <c r="N20">
        <f t="shared" si="6"/>
        <v>0.10790170434276933</v>
      </c>
      <c r="O20">
        <f t="shared" si="7"/>
        <v>2.2471316827584431</v>
      </c>
      <c r="P20">
        <f t="shared" si="8"/>
        <v>0.10510377228793305</v>
      </c>
      <c r="Q20">
        <f t="shared" si="9"/>
        <v>6.5935197860253619E-2</v>
      </c>
      <c r="R20">
        <f t="shared" si="10"/>
        <v>281.56364867542402</v>
      </c>
      <c r="S20">
        <f t="shared" si="11"/>
        <v>26.823343401454796</v>
      </c>
      <c r="T20">
        <f t="shared" si="12"/>
        <v>27.2407</v>
      </c>
      <c r="U20">
        <f t="shared" si="13"/>
        <v>3.6300712279484446</v>
      </c>
      <c r="V20">
        <f t="shared" si="14"/>
        <v>55.146966919603159</v>
      </c>
      <c r="W20">
        <f t="shared" si="15"/>
        <v>1.7921035122884001</v>
      </c>
      <c r="X20">
        <f t="shared" si="16"/>
        <v>3.2496864512984827</v>
      </c>
      <c r="Y20">
        <f t="shared" si="17"/>
        <v>1.8379677156600445</v>
      </c>
      <c r="Z20">
        <f t="shared" si="18"/>
        <v>-88.303449843522799</v>
      </c>
      <c r="AA20">
        <f t="shared" si="19"/>
        <v>-227.13919141530914</v>
      </c>
      <c r="AB20">
        <f t="shared" si="20"/>
        <v>-21.662736581021392</v>
      </c>
      <c r="AC20">
        <f t="shared" si="21"/>
        <v>-55.541729164429285</v>
      </c>
      <c r="AD20">
        <v>-4.1106572540463002E-2</v>
      </c>
      <c r="AE20">
        <v>4.6145728810208501E-2</v>
      </c>
      <c r="AF20">
        <v>3.4500939213538602</v>
      </c>
      <c r="AG20">
        <v>5</v>
      </c>
      <c r="AH20">
        <v>1</v>
      </c>
      <c r="AI20">
        <f t="shared" si="22"/>
        <v>1</v>
      </c>
      <c r="AJ20">
        <f t="shared" si="23"/>
        <v>0</v>
      </c>
      <c r="AK20">
        <f t="shared" si="24"/>
        <v>52703.553613160744</v>
      </c>
      <c r="AL20" t="s">
        <v>344</v>
      </c>
      <c r="AM20">
        <v>589.29941176470595</v>
      </c>
      <c r="AN20">
        <v>3530.99</v>
      </c>
      <c r="AO20">
        <f t="shared" si="25"/>
        <v>2941.6905882352939</v>
      </c>
      <c r="AP20">
        <f t="shared" si="26"/>
        <v>0.83310646256015852</v>
      </c>
      <c r="AQ20">
        <v>1.42453575549529</v>
      </c>
      <c r="AR20" t="s">
        <v>367</v>
      </c>
      <c r="AS20">
        <v>791.15800000000002</v>
      </c>
      <c r="AT20">
        <v>1007.17</v>
      </c>
      <c r="AU20">
        <f t="shared" si="27"/>
        <v>0.2144742198437205</v>
      </c>
      <c r="AV20">
        <v>0.5</v>
      </c>
      <c r="AW20">
        <f t="shared" si="28"/>
        <v>1471.254899814169</v>
      </c>
      <c r="AX20">
        <f t="shared" si="29"/>
        <v>1.7808200077186662</v>
      </c>
      <c r="AY20">
        <f t="shared" si="30"/>
        <v>157.77312341444753</v>
      </c>
      <c r="AZ20">
        <f t="shared" si="31"/>
        <v>0.42545945570261229</v>
      </c>
      <c r="BA20">
        <f t="shared" si="32"/>
        <v>2.4216351107369478E-4</v>
      </c>
      <c r="BB20">
        <f t="shared" si="33"/>
        <v>2.5058530337480263</v>
      </c>
      <c r="BC20" t="s">
        <v>368</v>
      </c>
      <c r="BD20">
        <v>578.66</v>
      </c>
      <c r="BE20">
        <f t="shared" si="34"/>
        <v>428.51</v>
      </c>
      <c r="BF20">
        <f t="shared" si="35"/>
        <v>0.50410025436979289</v>
      </c>
      <c r="BG20">
        <f t="shared" si="36"/>
        <v>0.85485701124196811</v>
      </c>
      <c r="BH20">
        <f t="shared" si="37"/>
        <v>0.51693516146287899</v>
      </c>
      <c r="BI20">
        <f t="shared" si="38"/>
        <v>0.85794883054442084</v>
      </c>
      <c r="BJ20">
        <v>8135</v>
      </c>
      <c r="BK20">
        <v>300</v>
      </c>
      <c r="BL20">
        <v>300</v>
      </c>
      <c r="BM20">
        <v>300</v>
      </c>
      <c r="BN20">
        <v>10286.200000000001</v>
      </c>
      <c r="BO20">
        <v>963.86300000000006</v>
      </c>
      <c r="BP20">
        <v>-7.0380199999999999E-3</v>
      </c>
      <c r="BQ20">
        <v>4.9249900000000002</v>
      </c>
      <c r="BR20" t="s">
        <v>347</v>
      </c>
      <c r="BS20" t="s">
        <v>347</v>
      </c>
      <c r="BT20" t="s">
        <v>347</v>
      </c>
      <c r="BU20" t="s">
        <v>347</v>
      </c>
      <c r="BV20" t="s">
        <v>347</v>
      </c>
      <c r="BW20" t="s">
        <v>347</v>
      </c>
      <c r="BX20" t="s">
        <v>347</v>
      </c>
      <c r="BY20" t="s">
        <v>347</v>
      </c>
      <c r="BZ20" t="s">
        <v>347</v>
      </c>
      <c r="CA20" t="s">
        <v>347</v>
      </c>
      <c r="CB20">
        <f t="shared" si="39"/>
        <v>1750.06</v>
      </c>
      <c r="CC20">
        <f t="shared" si="40"/>
        <v>1471.254899814169</v>
      </c>
      <c r="CD20">
        <f t="shared" si="41"/>
        <v>0.84068826201054192</v>
      </c>
      <c r="CE20">
        <f t="shared" si="42"/>
        <v>0.19137652402108413</v>
      </c>
      <c r="CF20">
        <v>1565559793</v>
      </c>
      <c r="CG20">
        <v>97.642300000000006</v>
      </c>
      <c r="CH20">
        <v>100.014</v>
      </c>
      <c r="CI20">
        <v>18.068000000000001</v>
      </c>
      <c r="CJ20">
        <v>15.708500000000001</v>
      </c>
      <c r="CK20">
        <v>499.97899999999998</v>
      </c>
      <c r="CL20">
        <v>99.0869</v>
      </c>
      <c r="CM20">
        <v>9.9701300000000007E-2</v>
      </c>
      <c r="CN20">
        <v>25.3658</v>
      </c>
      <c r="CO20">
        <v>27.2407</v>
      </c>
      <c r="CP20">
        <v>999.9</v>
      </c>
      <c r="CQ20">
        <v>0</v>
      </c>
      <c r="CR20">
        <v>0</v>
      </c>
      <c r="CS20">
        <v>10004.4</v>
      </c>
      <c r="CT20">
        <v>0</v>
      </c>
      <c r="CU20">
        <v>1143.3800000000001</v>
      </c>
      <c r="CV20">
        <v>-2.31013</v>
      </c>
      <c r="CW20">
        <v>99.502600000000001</v>
      </c>
      <c r="CX20">
        <v>101.611</v>
      </c>
      <c r="CY20">
        <v>2.3644599999999998</v>
      </c>
      <c r="CZ20">
        <v>93.596299999999999</v>
      </c>
      <c r="DA20">
        <v>100.014</v>
      </c>
      <c r="DB20">
        <v>17.588999999999999</v>
      </c>
      <c r="DC20">
        <v>15.708500000000001</v>
      </c>
      <c r="DD20">
        <v>1.7907999999999999</v>
      </c>
      <c r="DE20">
        <v>1.5565100000000001</v>
      </c>
      <c r="DF20">
        <v>15.7067</v>
      </c>
      <c r="DG20">
        <v>13.5349</v>
      </c>
      <c r="DH20">
        <v>1750.06</v>
      </c>
      <c r="DI20">
        <v>0.97699199999999997</v>
      </c>
      <c r="DJ20">
        <v>2.3008000000000001E-2</v>
      </c>
      <c r="DK20">
        <v>0</v>
      </c>
      <c r="DL20">
        <v>790.64400000000001</v>
      </c>
      <c r="DM20">
        <v>5.0002700000000004</v>
      </c>
      <c r="DN20">
        <v>19353.099999999999</v>
      </c>
      <c r="DO20">
        <v>14146.1</v>
      </c>
      <c r="DP20">
        <v>49.5</v>
      </c>
      <c r="DQ20">
        <v>51.561999999999998</v>
      </c>
      <c r="DR20">
        <v>50.5</v>
      </c>
      <c r="DS20">
        <v>51.25</v>
      </c>
      <c r="DT20">
        <v>50.811999999999998</v>
      </c>
      <c r="DU20">
        <v>1704.91</v>
      </c>
      <c r="DV20">
        <v>40.15</v>
      </c>
      <c r="DW20">
        <v>0</v>
      </c>
      <c r="DX20">
        <v>111.80000019073501</v>
      </c>
      <c r="DY20">
        <v>791.15800000000002</v>
      </c>
      <c r="DZ20">
        <v>-6.5345588092460298</v>
      </c>
      <c r="EA20">
        <v>37.450980786456597</v>
      </c>
      <c r="EB20">
        <v>19347.211764705899</v>
      </c>
      <c r="EC20">
        <v>10</v>
      </c>
      <c r="ED20">
        <v>1565559815.5</v>
      </c>
      <c r="EE20" t="s">
        <v>369</v>
      </c>
      <c r="EF20">
        <v>85</v>
      </c>
      <c r="EG20">
        <v>4.0460000000000003</v>
      </c>
      <c r="EH20">
        <v>0.47899999999999998</v>
      </c>
      <c r="EI20">
        <v>100</v>
      </c>
      <c r="EJ20">
        <v>16</v>
      </c>
      <c r="EK20">
        <v>0.3</v>
      </c>
      <c r="EL20">
        <v>0.09</v>
      </c>
      <c r="EM20">
        <v>1.68750462926858</v>
      </c>
      <c r="EN20">
        <v>0.21924099631527499</v>
      </c>
      <c r="EO20">
        <v>2.5948834030164E-2</v>
      </c>
      <c r="EP20">
        <v>0</v>
      </c>
      <c r="EQ20">
        <v>0.109815678703602</v>
      </c>
      <c r="ER20">
        <v>-4.0169669351139796E-3</v>
      </c>
      <c r="ES20">
        <v>1.1728180655397799E-3</v>
      </c>
      <c r="ET20">
        <v>1</v>
      </c>
      <c r="EU20">
        <v>1</v>
      </c>
      <c r="EV20">
        <v>2</v>
      </c>
      <c r="EW20" t="s">
        <v>349</v>
      </c>
      <c r="EX20">
        <v>2.9486599999999998</v>
      </c>
      <c r="EY20">
        <v>2.7771499999999998</v>
      </c>
      <c r="EZ20">
        <v>2.6078400000000002E-2</v>
      </c>
      <c r="FA20">
        <v>2.7097699999999999E-2</v>
      </c>
      <c r="FB20">
        <v>8.9987600000000001E-2</v>
      </c>
      <c r="FC20">
        <v>7.8868300000000002E-2</v>
      </c>
      <c r="FD20">
        <v>23329.4</v>
      </c>
      <c r="FE20">
        <v>23514.7</v>
      </c>
      <c r="FF20">
        <v>22531.3</v>
      </c>
      <c r="FG20">
        <v>26516.1</v>
      </c>
      <c r="FH20">
        <v>29307.4</v>
      </c>
      <c r="FI20">
        <v>38334.5</v>
      </c>
      <c r="FJ20">
        <v>32180.9</v>
      </c>
      <c r="FK20">
        <v>42239.1</v>
      </c>
      <c r="FL20">
        <v>1.9209000000000001</v>
      </c>
      <c r="FM20">
        <v>1.8172299999999999</v>
      </c>
      <c r="FN20">
        <v>7.5958700000000002E-3</v>
      </c>
      <c r="FO20">
        <v>0</v>
      </c>
      <c r="FP20">
        <v>27.116499999999998</v>
      </c>
      <c r="FQ20">
        <v>999.9</v>
      </c>
      <c r="FR20">
        <v>32.591000000000001</v>
      </c>
      <c r="FS20">
        <v>43.427</v>
      </c>
      <c r="FT20">
        <v>29.2197</v>
      </c>
      <c r="FU20">
        <v>61.724600000000002</v>
      </c>
      <c r="FV20">
        <v>46.334099999999999</v>
      </c>
      <c r="FW20">
        <v>1</v>
      </c>
      <c r="FX20">
        <v>0.61348599999999998</v>
      </c>
      <c r="FY20">
        <v>9.2810500000000005</v>
      </c>
      <c r="FZ20">
        <v>20.026299999999999</v>
      </c>
      <c r="GA20">
        <v>5.2226800000000004</v>
      </c>
      <c r="GB20">
        <v>11.962</v>
      </c>
      <c r="GC20">
        <v>4.9707499999999998</v>
      </c>
      <c r="GD20">
        <v>3.2942200000000001</v>
      </c>
      <c r="GE20">
        <v>9999</v>
      </c>
      <c r="GF20">
        <v>9999</v>
      </c>
      <c r="GG20">
        <v>507.6</v>
      </c>
      <c r="GH20">
        <v>9999</v>
      </c>
      <c r="GI20">
        <v>1.8660000000000001</v>
      </c>
      <c r="GJ20">
        <v>1.86548</v>
      </c>
      <c r="GK20">
        <v>1.86568</v>
      </c>
      <c r="GL20">
        <v>1.8686</v>
      </c>
      <c r="GM20">
        <v>1.8629199999999999</v>
      </c>
      <c r="GN20">
        <v>1.86111</v>
      </c>
      <c r="GO20">
        <v>1.8573</v>
      </c>
      <c r="GP20">
        <v>1.8633999999999999</v>
      </c>
      <c r="GQ20" t="s">
        <v>350</v>
      </c>
      <c r="GR20" t="s">
        <v>19</v>
      </c>
      <c r="GS20" t="s">
        <v>19</v>
      </c>
      <c r="GT20" t="s">
        <v>19</v>
      </c>
      <c r="GU20" t="s">
        <v>351</v>
      </c>
      <c r="GV20" t="s">
        <v>352</v>
      </c>
      <c r="GW20" t="s">
        <v>353</v>
      </c>
      <c r="GX20" t="s">
        <v>353</v>
      </c>
      <c r="GY20" t="s">
        <v>353</v>
      </c>
      <c r="GZ20" t="s">
        <v>353</v>
      </c>
      <c r="HA20">
        <v>0</v>
      </c>
      <c r="HB20">
        <v>100</v>
      </c>
      <c r="HC20">
        <v>100</v>
      </c>
      <c r="HD20">
        <v>4.0460000000000003</v>
      </c>
      <c r="HE20">
        <v>0.47899999999999998</v>
      </c>
      <c r="HF20">
        <v>2</v>
      </c>
      <c r="HG20">
        <v>492.81900000000002</v>
      </c>
      <c r="HH20">
        <v>463.94099999999997</v>
      </c>
      <c r="HI20">
        <v>18.550999999999998</v>
      </c>
      <c r="HJ20">
        <v>34.778599999999997</v>
      </c>
      <c r="HK20">
        <v>30.000699999999998</v>
      </c>
      <c r="HL20">
        <v>34.513500000000001</v>
      </c>
      <c r="HM20">
        <v>34.491999999999997</v>
      </c>
      <c r="HN20">
        <v>7.4684100000000004</v>
      </c>
      <c r="HO20">
        <v>64.787300000000002</v>
      </c>
      <c r="HP20">
        <v>0</v>
      </c>
      <c r="HQ20">
        <v>16.267700000000001</v>
      </c>
      <c r="HR20">
        <v>100</v>
      </c>
      <c r="HS20">
        <v>15.6737</v>
      </c>
      <c r="HT20">
        <v>99.065399999999997</v>
      </c>
      <c r="HU20">
        <v>102.992</v>
      </c>
    </row>
    <row r="21" spans="1:229" x14ac:dyDescent="0.35">
      <c r="A21">
        <v>5</v>
      </c>
      <c r="B21">
        <v>1565559906.5</v>
      </c>
      <c r="C21">
        <v>412.5</v>
      </c>
      <c r="D21" t="s">
        <v>370</v>
      </c>
      <c r="E21" t="s">
        <v>371</v>
      </c>
      <c r="G21">
        <v>1565559906.5</v>
      </c>
      <c r="H21">
        <f t="shared" si="0"/>
        <v>2.2883901022314758E-3</v>
      </c>
      <c r="I21">
        <f t="shared" si="1"/>
        <v>-2.5643071324048115E-2</v>
      </c>
      <c r="J21">
        <f t="shared" si="2"/>
        <v>49.877499999999998</v>
      </c>
      <c r="K21">
        <f t="shared" si="3"/>
        <v>48.72544083525564</v>
      </c>
      <c r="L21">
        <f t="shared" si="4"/>
        <v>4.8329354162977891</v>
      </c>
      <c r="M21">
        <f t="shared" si="5"/>
        <v>4.9472048296374993</v>
      </c>
      <c r="N21">
        <f t="shared" si="6"/>
        <v>0.12425713389534881</v>
      </c>
      <c r="O21">
        <f t="shared" si="7"/>
        <v>2.2437831289188974</v>
      </c>
      <c r="P21">
        <f t="shared" si="8"/>
        <v>0.12055701281297072</v>
      </c>
      <c r="Q21">
        <f t="shared" si="9"/>
        <v>7.5671396290184184E-2</v>
      </c>
      <c r="R21">
        <f t="shared" si="10"/>
        <v>281.54449678909714</v>
      </c>
      <c r="S21">
        <f t="shared" si="11"/>
        <v>26.725224467580578</v>
      </c>
      <c r="T21">
        <f t="shared" si="12"/>
        <v>27.238099999999999</v>
      </c>
      <c r="U21">
        <f t="shared" si="13"/>
        <v>3.6295179312702541</v>
      </c>
      <c r="V21">
        <f t="shared" si="14"/>
        <v>55.352560009565224</v>
      </c>
      <c r="W21">
        <f t="shared" si="15"/>
        <v>1.7982820510709998</v>
      </c>
      <c r="X21">
        <f t="shared" si="16"/>
        <v>3.2487784679881959</v>
      </c>
      <c r="Y21">
        <f t="shared" si="17"/>
        <v>1.8312358801992543</v>
      </c>
      <c r="Z21">
        <f t="shared" si="18"/>
        <v>-100.91800350840809</v>
      </c>
      <c r="AA21">
        <f t="shared" si="19"/>
        <v>-227.0547512588592</v>
      </c>
      <c r="AB21">
        <f t="shared" si="20"/>
        <v>-21.686207213538651</v>
      </c>
      <c r="AC21">
        <f t="shared" si="21"/>
        <v>-68.114465191708803</v>
      </c>
      <c r="AD21">
        <v>-4.1016588739471803E-2</v>
      </c>
      <c r="AE21">
        <v>4.6044714110582002E-2</v>
      </c>
      <c r="AF21">
        <v>3.4441120388763902</v>
      </c>
      <c r="AG21">
        <v>4</v>
      </c>
      <c r="AH21">
        <v>1</v>
      </c>
      <c r="AI21">
        <f t="shared" si="22"/>
        <v>1</v>
      </c>
      <c r="AJ21">
        <f t="shared" si="23"/>
        <v>0</v>
      </c>
      <c r="AK21">
        <f t="shared" si="24"/>
        <v>52593.704405113946</v>
      </c>
      <c r="AL21" t="s">
        <v>344</v>
      </c>
      <c r="AM21">
        <v>589.29941176470595</v>
      </c>
      <c r="AN21">
        <v>3530.99</v>
      </c>
      <c r="AO21">
        <f t="shared" si="25"/>
        <v>2941.6905882352939</v>
      </c>
      <c r="AP21">
        <f t="shared" si="26"/>
        <v>0.83310646256015852</v>
      </c>
      <c r="AQ21">
        <v>1.42453575549529</v>
      </c>
      <c r="AR21" t="s">
        <v>372</v>
      </c>
      <c r="AS21">
        <v>783.32517647058796</v>
      </c>
      <c r="AT21">
        <v>986.07500000000005</v>
      </c>
      <c r="AU21">
        <f t="shared" si="27"/>
        <v>0.20561298433629493</v>
      </c>
      <c r="AV21">
        <v>0.5</v>
      </c>
      <c r="AW21">
        <f t="shared" si="28"/>
        <v>1471.1540998141566</v>
      </c>
      <c r="AX21">
        <f t="shared" si="29"/>
        <v>-2.5643071324048115E-2</v>
      </c>
      <c r="AY21">
        <f t="shared" si="30"/>
        <v>151.24419244068213</v>
      </c>
      <c r="AZ21">
        <f t="shared" si="31"/>
        <v>0.41969931293258628</v>
      </c>
      <c r="BA21">
        <f t="shared" si="32"/>
        <v>-9.8574230055337641E-4</v>
      </c>
      <c r="BB21">
        <f t="shared" si="33"/>
        <v>2.5808533833633343</v>
      </c>
      <c r="BC21" t="s">
        <v>373</v>
      </c>
      <c r="BD21">
        <v>572.22</v>
      </c>
      <c r="BE21">
        <f t="shared" si="34"/>
        <v>413.85500000000002</v>
      </c>
      <c r="BF21">
        <f t="shared" si="35"/>
        <v>0.4899054585045779</v>
      </c>
      <c r="BG21">
        <f t="shared" si="36"/>
        <v>0.86012599830334913</v>
      </c>
      <c r="BH21">
        <f t="shared" si="37"/>
        <v>0.51099369402025385</v>
      </c>
      <c r="BI21">
        <f t="shared" si="38"/>
        <v>0.86511987704549254</v>
      </c>
      <c r="BJ21">
        <v>8137</v>
      </c>
      <c r="BK21">
        <v>300</v>
      </c>
      <c r="BL21">
        <v>300</v>
      </c>
      <c r="BM21">
        <v>300</v>
      </c>
      <c r="BN21">
        <v>10285.200000000001</v>
      </c>
      <c r="BO21">
        <v>942.81</v>
      </c>
      <c r="BP21">
        <v>-7.03742E-3</v>
      </c>
      <c r="BQ21">
        <v>4.3764000000000003</v>
      </c>
      <c r="BR21" t="s">
        <v>347</v>
      </c>
      <c r="BS21" t="s">
        <v>347</v>
      </c>
      <c r="BT21" t="s">
        <v>347</v>
      </c>
      <c r="BU21" t="s">
        <v>347</v>
      </c>
      <c r="BV21" t="s">
        <v>347</v>
      </c>
      <c r="BW21" t="s">
        <v>347</v>
      </c>
      <c r="BX21" t="s">
        <v>347</v>
      </c>
      <c r="BY21" t="s">
        <v>347</v>
      </c>
      <c r="BZ21" t="s">
        <v>347</v>
      </c>
      <c r="CA21" t="s">
        <v>347</v>
      </c>
      <c r="CB21">
        <f t="shared" si="39"/>
        <v>1749.94</v>
      </c>
      <c r="CC21">
        <f t="shared" si="40"/>
        <v>1471.1540998141566</v>
      </c>
      <c r="CD21">
        <f t="shared" si="41"/>
        <v>0.84068830920726223</v>
      </c>
      <c r="CE21">
        <f t="shared" si="42"/>
        <v>0.1913766184145245</v>
      </c>
      <c r="CF21">
        <v>1565559906.5</v>
      </c>
      <c r="CG21">
        <v>49.877499999999998</v>
      </c>
      <c r="CH21">
        <v>49.983699999999999</v>
      </c>
      <c r="CI21">
        <v>18.130199999999999</v>
      </c>
      <c r="CJ21">
        <v>15.4338</v>
      </c>
      <c r="CK21">
        <v>499.97800000000001</v>
      </c>
      <c r="CL21">
        <v>99.0869</v>
      </c>
      <c r="CM21">
        <v>0.100205</v>
      </c>
      <c r="CN21">
        <v>25.3611</v>
      </c>
      <c r="CO21">
        <v>27.238099999999999</v>
      </c>
      <c r="CP21">
        <v>999.9</v>
      </c>
      <c r="CQ21">
        <v>0</v>
      </c>
      <c r="CR21">
        <v>0</v>
      </c>
      <c r="CS21">
        <v>9982.5</v>
      </c>
      <c r="CT21">
        <v>0</v>
      </c>
      <c r="CU21">
        <v>1130</v>
      </c>
      <c r="CV21">
        <v>-0.112194</v>
      </c>
      <c r="CW21">
        <v>50.7926</v>
      </c>
      <c r="CX21">
        <v>50.767200000000003</v>
      </c>
      <c r="CY21">
        <v>2.7014499999999999</v>
      </c>
      <c r="CZ21">
        <v>45.825499999999998</v>
      </c>
      <c r="DA21">
        <v>49.983699999999999</v>
      </c>
      <c r="DB21">
        <v>17.656199999999998</v>
      </c>
      <c r="DC21">
        <v>15.4338</v>
      </c>
      <c r="DD21">
        <v>1.7969599999999999</v>
      </c>
      <c r="DE21">
        <v>1.52929</v>
      </c>
      <c r="DF21">
        <v>15.760400000000001</v>
      </c>
      <c r="DG21">
        <v>13.264200000000001</v>
      </c>
      <c r="DH21">
        <v>1749.94</v>
      </c>
      <c r="DI21">
        <v>0.97699199999999997</v>
      </c>
      <c r="DJ21">
        <v>2.3008000000000001E-2</v>
      </c>
      <c r="DK21">
        <v>0</v>
      </c>
      <c r="DL21">
        <v>782.596</v>
      </c>
      <c r="DM21">
        <v>5.0002700000000004</v>
      </c>
      <c r="DN21">
        <v>19311.5</v>
      </c>
      <c r="DO21">
        <v>14145.1</v>
      </c>
      <c r="DP21">
        <v>49.686999999999998</v>
      </c>
      <c r="DQ21">
        <v>51.811999999999998</v>
      </c>
      <c r="DR21">
        <v>50.686999999999998</v>
      </c>
      <c r="DS21">
        <v>51.375</v>
      </c>
      <c r="DT21">
        <v>50.936999999999998</v>
      </c>
      <c r="DU21">
        <v>1704.79</v>
      </c>
      <c r="DV21">
        <v>40.15</v>
      </c>
      <c r="DW21">
        <v>0</v>
      </c>
      <c r="DX21">
        <v>113</v>
      </c>
      <c r="DY21">
        <v>783.32517647058796</v>
      </c>
      <c r="DZ21">
        <v>-4.4669117029125598</v>
      </c>
      <c r="EA21">
        <v>69.019609647015201</v>
      </c>
      <c r="EB21">
        <v>19360.3411764706</v>
      </c>
      <c r="EC21">
        <v>10</v>
      </c>
      <c r="ED21">
        <v>1565559930.5</v>
      </c>
      <c r="EE21" t="s">
        <v>374</v>
      </c>
      <c r="EF21">
        <v>86</v>
      </c>
      <c r="EG21">
        <v>4.0519999999999996</v>
      </c>
      <c r="EH21">
        <v>0.47399999999999998</v>
      </c>
      <c r="EI21">
        <v>50</v>
      </c>
      <c r="EJ21">
        <v>15</v>
      </c>
      <c r="EK21">
        <v>0.17</v>
      </c>
      <c r="EL21">
        <v>0.09</v>
      </c>
      <c r="EM21">
        <v>-2.7042543899656198E-3</v>
      </c>
      <c r="EN21">
        <v>6.2796017131234005E-2</v>
      </c>
      <c r="EO21">
        <v>1.52642010249822E-2</v>
      </c>
      <c r="EP21">
        <v>1</v>
      </c>
      <c r="EQ21">
        <v>0.11892898285166</v>
      </c>
      <c r="ER21">
        <v>1.1005125078121699E-2</v>
      </c>
      <c r="ES21">
        <v>1.9259901827519499E-3</v>
      </c>
      <c r="ET21">
        <v>1</v>
      </c>
      <c r="EU21">
        <v>2</v>
      </c>
      <c r="EV21">
        <v>2</v>
      </c>
      <c r="EW21" t="s">
        <v>364</v>
      </c>
      <c r="EX21">
        <v>2.9485199999999998</v>
      </c>
      <c r="EY21">
        <v>2.7774700000000001</v>
      </c>
      <c r="EZ21">
        <v>1.2963000000000001E-2</v>
      </c>
      <c r="FA21">
        <v>1.37672E-2</v>
      </c>
      <c r="FB21">
        <v>9.0205599999999997E-2</v>
      </c>
      <c r="FC21">
        <v>7.7827999999999994E-2</v>
      </c>
      <c r="FD21">
        <v>23634.2</v>
      </c>
      <c r="FE21">
        <v>23826.7</v>
      </c>
      <c r="FF21">
        <v>22523.5</v>
      </c>
      <c r="FG21">
        <v>26506.2</v>
      </c>
      <c r="FH21">
        <v>29291.4</v>
      </c>
      <c r="FI21">
        <v>38365.800000000003</v>
      </c>
      <c r="FJ21">
        <v>32171.1</v>
      </c>
      <c r="FK21">
        <v>42226.400000000001</v>
      </c>
      <c r="FL21">
        <v>1.91947</v>
      </c>
      <c r="FM21">
        <v>1.8133999999999999</v>
      </c>
      <c r="FN21">
        <v>-1.8253900000000001E-3</v>
      </c>
      <c r="FO21">
        <v>0</v>
      </c>
      <c r="FP21">
        <v>27.268000000000001</v>
      </c>
      <c r="FQ21">
        <v>999.9</v>
      </c>
      <c r="FR21">
        <v>32.591000000000001</v>
      </c>
      <c r="FS21">
        <v>43.436999999999998</v>
      </c>
      <c r="FT21">
        <v>29.2348</v>
      </c>
      <c r="FU21">
        <v>61.7346</v>
      </c>
      <c r="FV21">
        <v>46.358199999999997</v>
      </c>
      <c r="FW21">
        <v>1</v>
      </c>
      <c r="FX21">
        <v>0.62794700000000003</v>
      </c>
      <c r="FY21">
        <v>9.2810500000000005</v>
      </c>
      <c r="FZ21">
        <v>20.026299999999999</v>
      </c>
      <c r="GA21">
        <v>5.2235800000000001</v>
      </c>
      <c r="GB21">
        <v>11.962</v>
      </c>
      <c r="GC21">
        <v>4.9717500000000001</v>
      </c>
      <c r="GD21">
        <v>3.2949999999999999</v>
      </c>
      <c r="GE21">
        <v>9999</v>
      </c>
      <c r="GF21">
        <v>9999</v>
      </c>
      <c r="GG21">
        <v>507.6</v>
      </c>
      <c r="GH21">
        <v>9999</v>
      </c>
      <c r="GI21">
        <v>1.8660000000000001</v>
      </c>
      <c r="GJ21">
        <v>1.8654999999999999</v>
      </c>
      <c r="GK21">
        <v>1.86568</v>
      </c>
      <c r="GL21">
        <v>1.8686199999999999</v>
      </c>
      <c r="GM21">
        <v>1.86294</v>
      </c>
      <c r="GN21">
        <v>1.8610899999999999</v>
      </c>
      <c r="GO21">
        <v>1.8573</v>
      </c>
      <c r="GP21">
        <v>1.8633999999999999</v>
      </c>
      <c r="GQ21" t="s">
        <v>350</v>
      </c>
      <c r="GR21" t="s">
        <v>19</v>
      </c>
      <c r="GS21" t="s">
        <v>19</v>
      </c>
      <c r="GT21" t="s">
        <v>19</v>
      </c>
      <c r="GU21" t="s">
        <v>351</v>
      </c>
      <c r="GV21" t="s">
        <v>352</v>
      </c>
      <c r="GW21" t="s">
        <v>353</v>
      </c>
      <c r="GX21" t="s">
        <v>353</v>
      </c>
      <c r="GY21" t="s">
        <v>353</v>
      </c>
      <c r="GZ21" t="s">
        <v>353</v>
      </c>
      <c r="HA21">
        <v>0</v>
      </c>
      <c r="HB21">
        <v>100</v>
      </c>
      <c r="HC21">
        <v>100</v>
      </c>
      <c r="HD21">
        <v>4.0519999999999996</v>
      </c>
      <c r="HE21">
        <v>0.47399999999999998</v>
      </c>
      <c r="HF21">
        <v>2</v>
      </c>
      <c r="HG21">
        <v>493.01799999999997</v>
      </c>
      <c r="HH21">
        <v>462.50599999999997</v>
      </c>
      <c r="HI21">
        <v>18.548500000000001</v>
      </c>
      <c r="HJ21">
        <v>34.951000000000001</v>
      </c>
      <c r="HK21">
        <v>30.000699999999998</v>
      </c>
      <c r="HL21">
        <v>34.664000000000001</v>
      </c>
      <c r="HM21">
        <v>34.641800000000003</v>
      </c>
      <c r="HN21">
        <v>5.0909700000000004</v>
      </c>
      <c r="HO21">
        <v>70.017300000000006</v>
      </c>
      <c r="HP21">
        <v>0</v>
      </c>
      <c r="HQ21">
        <v>16.263500000000001</v>
      </c>
      <c r="HR21">
        <v>50</v>
      </c>
      <c r="HS21">
        <v>15.207800000000001</v>
      </c>
      <c r="HT21">
        <v>99.033500000000004</v>
      </c>
      <c r="HU21">
        <v>102.958</v>
      </c>
    </row>
    <row r="22" spans="1:229" x14ac:dyDescent="0.35">
      <c r="A22">
        <v>6</v>
      </c>
      <c r="B22">
        <v>1565560001.5</v>
      </c>
      <c r="C22">
        <v>507.5</v>
      </c>
      <c r="D22" t="s">
        <v>375</v>
      </c>
      <c r="E22" t="s">
        <v>376</v>
      </c>
      <c r="G22">
        <v>1565560001.5</v>
      </c>
      <c r="H22">
        <f t="shared" si="0"/>
        <v>2.6097924406074794E-3</v>
      </c>
      <c r="I22">
        <f t="shared" si="1"/>
        <v>-1.794190918693898</v>
      </c>
      <c r="J22">
        <f t="shared" si="2"/>
        <v>14.598100000000001</v>
      </c>
      <c r="K22">
        <f t="shared" si="3"/>
        <v>34.595708876292626</v>
      </c>
      <c r="L22">
        <f t="shared" si="4"/>
        <v>3.431523662103328</v>
      </c>
      <c r="M22">
        <f t="shared" si="5"/>
        <v>1.4479751159566001</v>
      </c>
      <c r="N22">
        <f t="shared" si="6"/>
        <v>0.1425874957991326</v>
      </c>
      <c r="O22">
        <f t="shared" si="7"/>
        <v>2.2455393056725743</v>
      </c>
      <c r="P22">
        <f t="shared" si="8"/>
        <v>0.1377417542487728</v>
      </c>
      <c r="Q22">
        <f t="shared" si="9"/>
        <v>8.6510248006690951E-2</v>
      </c>
      <c r="R22">
        <f t="shared" si="10"/>
        <v>281.59078051441395</v>
      </c>
      <c r="S22">
        <f t="shared" si="11"/>
        <v>26.581371690945161</v>
      </c>
      <c r="T22">
        <f t="shared" si="12"/>
        <v>27.1937</v>
      </c>
      <c r="U22">
        <f t="shared" si="13"/>
        <v>3.6200806810698043</v>
      </c>
      <c r="V22">
        <f t="shared" si="14"/>
        <v>55.27879461655121</v>
      </c>
      <c r="W22">
        <f t="shared" si="15"/>
        <v>1.7920131544476003</v>
      </c>
      <c r="X22">
        <f t="shared" si="16"/>
        <v>3.241773209560991</v>
      </c>
      <c r="Y22">
        <f t="shared" si="17"/>
        <v>1.828067526622204</v>
      </c>
      <c r="Z22">
        <f t="shared" si="18"/>
        <v>-115.09184663078985</v>
      </c>
      <c r="AA22">
        <f t="shared" si="19"/>
        <v>-226.25186547212292</v>
      </c>
      <c r="AB22">
        <f t="shared" si="20"/>
        <v>-21.58388901641014</v>
      </c>
      <c r="AC22">
        <f t="shared" si="21"/>
        <v>-81.336820604908951</v>
      </c>
      <c r="AD22">
        <v>-4.1063766442674801E-2</v>
      </c>
      <c r="AE22">
        <v>4.6097675215421102E-2</v>
      </c>
      <c r="AF22">
        <v>3.4472488463163402</v>
      </c>
      <c r="AG22">
        <v>4</v>
      </c>
      <c r="AH22">
        <v>1</v>
      </c>
      <c r="AI22">
        <f t="shared" si="22"/>
        <v>1</v>
      </c>
      <c r="AJ22">
        <f t="shared" si="23"/>
        <v>0</v>
      </c>
      <c r="AK22">
        <f t="shared" si="24"/>
        <v>52658.197880391308</v>
      </c>
      <c r="AL22" t="s">
        <v>344</v>
      </c>
      <c r="AM22">
        <v>589.29941176470595</v>
      </c>
      <c r="AN22">
        <v>3530.99</v>
      </c>
      <c r="AO22">
        <f t="shared" si="25"/>
        <v>2941.6905882352939</v>
      </c>
      <c r="AP22">
        <f t="shared" si="26"/>
        <v>0.83310646256015852</v>
      </c>
      <c r="AQ22">
        <v>1.42453575549529</v>
      </c>
      <c r="AR22" t="s">
        <v>377</v>
      </c>
      <c r="AS22">
        <v>781.66405882352899</v>
      </c>
      <c r="AT22">
        <v>965.59299999999996</v>
      </c>
      <c r="AU22">
        <f t="shared" si="27"/>
        <v>0.19048288582919615</v>
      </c>
      <c r="AV22">
        <v>0.5</v>
      </c>
      <c r="AW22">
        <f t="shared" si="28"/>
        <v>1471.3976998141873</v>
      </c>
      <c r="AX22">
        <f t="shared" si="29"/>
        <v>-1.794190918693898</v>
      </c>
      <c r="AY22">
        <f t="shared" si="30"/>
        <v>140.13804003152381</v>
      </c>
      <c r="AZ22">
        <f t="shared" si="31"/>
        <v>0.409917014725666</v>
      </c>
      <c r="BA22">
        <f t="shared" si="32"/>
        <v>-2.1875300434380583E-3</v>
      </c>
      <c r="BB22">
        <f t="shared" si="33"/>
        <v>2.6568098567408835</v>
      </c>
      <c r="BC22" t="s">
        <v>378</v>
      </c>
      <c r="BD22">
        <v>569.78</v>
      </c>
      <c r="BE22">
        <f t="shared" si="34"/>
        <v>395.81299999999999</v>
      </c>
      <c r="BF22">
        <f t="shared" si="35"/>
        <v>0.46468645844494993</v>
      </c>
      <c r="BG22">
        <f t="shared" si="36"/>
        <v>0.86633403237190199</v>
      </c>
      <c r="BH22">
        <f t="shared" si="37"/>
        <v>0.48879105817094431</v>
      </c>
      <c r="BI22">
        <f t="shared" si="38"/>
        <v>0.8720825399720129</v>
      </c>
      <c r="BJ22">
        <v>8139</v>
      </c>
      <c r="BK22">
        <v>300</v>
      </c>
      <c r="BL22">
        <v>300</v>
      </c>
      <c r="BM22">
        <v>300</v>
      </c>
      <c r="BN22">
        <v>10284.9</v>
      </c>
      <c r="BO22">
        <v>930.25800000000004</v>
      </c>
      <c r="BP22">
        <v>-7.0371100000000001E-3</v>
      </c>
      <c r="BQ22">
        <v>4.7655599999999998</v>
      </c>
      <c r="BR22" t="s">
        <v>347</v>
      </c>
      <c r="BS22" t="s">
        <v>347</v>
      </c>
      <c r="BT22" t="s">
        <v>347</v>
      </c>
      <c r="BU22" t="s">
        <v>347</v>
      </c>
      <c r="BV22" t="s">
        <v>347</v>
      </c>
      <c r="BW22" t="s">
        <v>347</v>
      </c>
      <c r="BX22" t="s">
        <v>347</v>
      </c>
      <c r="BY22" t="s">
        <v>347</v>
      </c>
      <c r="BZ22" t="s">
        <v>347</v>
      </c>
      <c r="CA22" t="s">
        <v>347</v>
      </c>
      <c r="CB22">
        <f t="shared" si="39"/>
        <v>1750.23</v>
      </c>
      <c r="CC22">
        <f t="shared" si="40"/>
        <v>1471.3976998141873</v>
      </c>
      <c r="CD22">
        <f t="shared" si="41"/>
        <v>0.84068819515960025</v>
      </c>
      <c r="CE22">
        <f t="shared" si="42"/>
        <v>0.19137639031920067</v>
      </c>
      <c r="CF22">
        <v>1565560001.5</v>
      </c>
      <c r="CG22">
        <v>14.598100000000001</v>
      </c>
      <c r="CH22">
        <v>12.4907</v>
      </c>
      <c r="CI22">
        <v>18.066600000000001</v>
      </c>
      <c r="CJ22">
        <v>14.991300000000001</v>
      </c>
      <c r="CK22">
        <v>499.97899999999998</v>
      </c>
      <c r="CL22">
        <v>99.089200000000005</v>
      </c>
      <c r="CM22">
        <v>0.10008599999999999</v>
      </c>
      <c r="CN22">
        <v>25.3248</v>
      </c>
      <c r="CO22">
        <v>27.1937</v>
      </c>
      <c r="CP22">
        <v>999.9</v>
      </c>
      <c r="CQ22">
        <v>0</v>
      </c>
      <c r="CR22">
        <v>0</v>
      </c>
      <c r="CS22">
        <v>9993.75</v>
      </c>
      <c r="CT22">
        <v>0</v>
      </c>
      <c r="CU22">
        <v>1085.51</v>
      </c>
      <c r="CV22">
        <v>2.0954299999999999</v>
      </c>
      <c r="CW22">
        <v>14.8545</v>
      </c>
      <c r="CX22">
        <v>12.6808</v>
      </c>
      <c r="CY22">
        <v>3.0762399999999999</v>
      </c>
      <c r="CZ22">
        <v>10.5341</v>
      </c>
      <c r="DA22">
        <v>12.4907</v>
      </c>
      <c r="DB22">
        <v>17.593599999999999</v>
      </c>
      <c r="DC22">
        <v>14.991300000000001</v>
      </c>
      <c r="DD22">
        <v>1.7903</v>
      </c>
      <c r="DE22">
        <v>1.4854799999999999</v>
      </c>
      <c r="DF22">
        <v>15.702400000000001</v>
      </c>
      <c r="DG22">
        <v>12.8195</v>
      </c>
      <c r="DH22">
        <v>1750.23</v>
      </c>
      <c r="DI22">
        <v>0.97699599999999998</v>
      </c>
      <c r="DJ22">
        <v>2.30041E-2</v>
      </c>
      <c r="DK22">
        <v>0</v>
      </c>
      <c r="DL22">
        <v>781.64800000000002</v>
      </c>
      <c r="DM22">
        <v>5.0002700000000004</v>
      </c>
      <c r="DN22">
        <v>19216.5</v>
      </c>
      <c r="DO22">
        <v>14147.5</v>
      </c>
      <c r="DP22">
        <v>49.75</v>
      </c>
      <c r="DQ22">
        <v>51.875</v>
      </c>
      <c r="DR22">
        <v>50.75</v>
      </c>
      <c r="DS22">
        <v>51.436999999999998</v>
      </c>
      <c r="DT22">
        <v>51</v>
      </c>
      <c r="DU22">
        <v>1705.08</v>
      </c>
      <c r="DV22">
        <v>40.15</v>
      </c>
      <c r="DW22">
        <v>0</v>
      </c>
      <c r="DX22">
        <v>94.400000095367403</v>
      </c>
      <c r="DY22">
        <v>781.66405882352899</v>
      </c>
      <c r="DZ22">
        <v>-1.6835784264970901</v>
      </c>
      <c r="EA22">
        <v>431.29901986723399</v>
      </c>
      <c r="EB22">
        <v>19172.0411764706</v>
      </c>
      <c r="EC22">
        <v>10</v>
      </c>
      <c r="ED22">
        <v>1565560027.5</v>
      </c>
      <c r="EE22" t="s">
        <v>379</v>
      </c>
      <c r="EF22">
        <v>87</v>
      </c>
      <c r="EG22">
        <v>4.0640000000000001</v>
      </c>
      <c r="EH22">
        <v>0.47299999999999998</v>
      </c>
      <c r="EI22">
        <v>13</v>
      </c>
      <c r="EJ22">
        <v>15</v>
      </c>
      <c r="EK22">
        <v>0.17</v>
      </c>
      <c r="EL22">
        <v>0.09</v>
      </c>
      <c r="EM22">
        <v>-1.78652958893797</v>
      </c>
      <c r="EN22">
        <v>5.8901978473707803E-2</v>
      </c>
      <c r="EO22">
        <v>1.6671522108759499E-2</v>
      </c>
      <c r="EP22">
        <v>1</v>
      </c>
      <c r="EQ22">
        <v>0.14027204142218699</v>
      </c>
      <c r="ER22">
        <v>1.8451727565039301E-2</v>
      </c>
      <c r="ES22">
        <v>1.9248015853822601E-3</v>
      </c>
      <c r="ET22">
        <v>1</v>
      </c>
      <c r="EU22">
        <v>2</v>
      </c>
      <c r="EV22">
        <v>2</v>
      </c>
      <c r="EW22" t="s">
        <v>364</v>
      </c>
      <c r="EX22">
        <v>2.9484400000000002</v>
      </c>
      <c r="EY22">
        <v>2.7774399999999999</v>
      </c>
      <c r="EZ22">
        <v>2.9958300000000001E-3</v>
      </c>
      <c r="FA22">
        <v>3.45999E-3</v>
      </c>
      <c r="FB22">
        <v>8.9951600000000007E-2</v>
      </c>
      <c r="FC22">
        <v>7.6165399999999994E-2</v>
      </c>
      <c r="FD22">
        <v>23866.5</v>
      </c>
      <c r="FE22">
        <v>24070</v>
      </c>
      <c r="FF22">
        <v>22518.400000000001</v>
      </c>
      <c r="FG22">
        <v>26501.200000000001</v>
      </c>
      <c r="FH22">
        <v>29293</v>
      </c>
      <c r="FI22">
        <v>38428.199999999997</v>
      </c>
      <c r="FJ22">
        <v>32164</v>
      </c>
      <c r="FK22">
        <v>42219.3</v>
      </c>
      <c r="FL22">
        <v>1.9191199999999999</v>
      </c>
      <c r="FM22">
        <v>1.8116000000000001</v>
      </c>
      <c r="FN22">
        <v>-6.1653599999999999E-3</v>
      </c>
      <c r="FO22">
        <v>0</v>
      </c>
      <c r="FP22">
        <v>27.2944</v>
      </c>
      <c r="FQ22">
        <v>999.9</v>
      </c>
      <c r="FR22">
        <v>32.566000000000003</v>
      </c>
      <c r="FS22">
        <v>43.487000000000002</v>
      </c>
      <c r="FT22">
        <v>29.285900000000002</v>
      </c>
      <c r="FU22">
        <v>61.654600000000002</v>
      </c>
      <c r="FV22">
        <v>46.374200000000002</v>
      </c>
      <c r="FW22">
        <v>1</v>
      </c>
      <c r="FX22">
        <v>0.63633099999999998</v>
      </c>
      <c r="FY22">
        <v>9.2810500000000005</v>
      </c>
      <c r="FZ22">
        <v>20.0261</v>
      </c>
      <c r="GA22">
        <v>5.2270200000000004</v>
      </c>
      <c r="GB22">
        <v>11.962</v>
      </c>
      <c r="GC22">
        <v>4.9716500000000003</v>
      </c>
      <c r="GD22">
        <v>3.2949999999999999</v>
      </c>
      <c r="GE22">
        <v>9999</v>
      </c>
      <c r="GF22">
        <v>9999</v>
      </c>
      <c r="GG22">
        <v>507.6</v>
      </c>
      <c r="GH22">
        <v>9999</v>
      </c>
      <c r="GI22">
        <v>1.8660000000000001</v>
      </c>
      <c r="GJ22">
        <v>1.86548</v>
      </c>
      <c r="GK22">
        <v>1.8656900000000001</v>
      </c>
      <c r="GL22">
        <v>1.8686100000000001</v>
      </c>
      <c r="GM22">
        <v>1.8629500000000001</v>
      </c>
      <c r="GN22">
        <v>1.8610800000000001</v>
      </c>
      <c r="GO22">
        <v>1.8573</v>
      </c>
      <c r="GP22">
        <v>1.8633999999999999</v>
      </c>
      <c r="GQ22" t="s">
        <v>350</v>
      </c>
      <c r="GR22" t="s">
        <v>19</v>
      </c>
      <c r="GS22" t="s">
        <v>19</v>
      </c>
      <c r="GT22" t="s">
        <v>19</v>
      </c>
      <c r="GU22" t="s">
        <v>351</v>
      </c>
      <c r="GV22" t="s">
        <v>352</v>
      </c>
      <c r="GW22" t="s">
        <v>353</v>
      </c>
      <c r="GX22" t="s">
        <v>353</v>
      </c>
      <c r="GY22" t="s">
        <v>353</v>
      </c>
      <c r="GZ22" t="s">
        <v>353</v>
      </c>
      <c r="HA22">
        <v>0</v>
      </c>
      <c r="HB22">
        <v>100</v>
      </c>
      <c r="HC22">
        <v>100</v>
      </c>
      <c r="HD22">
        <v>4.0640000000000001</v>
      </c>
      <c r="HE22">
        <v>0.47299999999999998</v>
      </c>
      <c r="HF22">
        <v>2</v>
      </c>
      <c r="HG22">
        <v>493.61799999999999</v>
      </c>
      <c r="HH22">
        <v>462.101</v>
      </c>
      <c r="HI22">
        <v>18.486000000000001</v>
      </c>
      <c r="HJ22">
        <v>35.0642</v>
      </c>
      <c r="HK22">
        <v>30.000299999999999</v>
      </c>
      <c r="HL22">
        <v>34.773000000000003</v>
      </c>
      <c r="HM22">
        <v>34.7498</v>
      </c>
      <c r="HN22">
        <v>3.34667</v>
      </c>
      <c r="HO22">
        <v>72.520099999999999</v>
      </c>
      <c r="HP22">
        <v>0</v>
      </c>
      <c r="HQ22">
        <v>16.2149</v>
      </c>
      <c r="HR22">
        <v>12.5</v>
      </c>
      <c r="HS22">
        <v>14.916600000000001</v>
      </c>
      <c r="HT22">
        <v>99.011399999999995</v>
      </c>
      <c r="HU22">
        <v>102.94</v>
      </c>
    </row>
    <row r="23" spans="1:229" x14ac:dyDescent="0.35">
      <c r="A23">
        <v>7</v>
      </c>
      <c r="B23">
        <v>1565560118.5</v>
      </c>
      <c r="C23">
        <v>624.5</v>
      </c>
      <c r="D23" t="s">
        <v>380</v>
      </c>
      <c r="E23" t="s">
        <v>381</v>
      </c>
      <c r="G23">
        <v>1565560118.5</v>
      </c>
      <c r="H23">
        <f t="shared" si="0"/>
        <v>3.0687053925241951E-3</v>
      </c>
      <c r="I23">
        <f t="shared" si="1"/>
        <v>19.276816169306262</v>
      </c>
      <c r="J23">
        <f t="shared" si="2"/>
        <v>375.42599999999999</v>
      </c>
      <c r="K23">
        <f t="shared" si="3"/>
        <v>183.77494157320353</v>
      </c>
      <c r="L23">
        <f t="shared" si="4"/>
        <v>18.228803322293011</v>
      </c>
      <c r="M23">
        <f t="shared" si="5"/>
        <v>37.238845826808003</v>
      </c>
      <c r="N23">
        <f t="shared" si="6"/>
        <v>0.17428371739412241</v>
      </c>
      <c r="O23">
        <f t="shared" si="7"/>
        <v>2.2456618473015437</v>
      </c>
      <c r="P23">
        <f t="shared" si="8"/>
        <v>0.16710290676998324</v>
      </c>
      <c r="Q23">
        <f t="shared" si="9"/>
        <v>0.10505983012586473</v>
      </c>
      <c r="R23">
        <f t="shared" si="10"/>
        <v>281.57801259017958</v>
      </c>
      <c r="S23">
        <f t="shared" si="11"/>
        <v>26.311695130782287</v>
      </c>
      <c r="T23">
        <f t="shared" si="12"/>
        <v>26.9435</v>
      </c>
      <c r="U23">
        <f t="shared" si="13"/>
        <v>3.5672998515242185</v>
      </c>
      <c r="V23">
        <f t="shared" si="14"/>
        <v>55.756740146007765</v>
      </c>
      <c r="W23">
        <f t="shared" si="15"/>
        <v>1.7949785093496</v>
      </c>
      <c r="X23">
        <f t="shared" si="16"/>
        <v>3.2193031813717359</v>
      </c>
      <c r="Y23">
        <f t="shared" si="17"/>
        <v>1.7723213421746185</v>
      </c>
      <c r="Z23">
        <f t="shared" si="18"/>
        <v>-135.329907810317</v>
      </c>
      <c r="AA23">
        <f t="shared" si="19"/>
        <v>-210.12583169574287</v>
      </c>
      <c r="AB23">
        <f t="shared" si="20"/>
        <v>-20.007523365978042</v>
      </c>
      <c r="AC23">
        <f t="shared" si="21"/>
        <v>-83.885250281858333</v>
      </c>
      <c r="AD23">
        <v>-4.1067059622890097E-2</v>
      </c>
      <c r="AE23">
        <v>4.6101372098711201E-2</v>
      </c>
      <c r="AF23">
        <v>3.44746776113332</v>
      </c>
      <c r="AG23">
        <v>4</v>
      </c>
      <c r="AH23">
        <v>1</v>
      </c>
      <c r="AI23">
        <f t="shared" si="22"/>
        <v>1</v>
      </c>
      <c r="AJ23">
        <f t="shared" si="23"/>
        <v>0</v>
      </c>
      <c r="AK23">
        <f t="shared" si="24"/>
        <v>52682.929743719433</v>
      </c>
      <c r="AL23" t="s">
        <v>344</v>
      </c>
      <c r="AM23">
        <v>589.29941176470595</v>
      </c>
      <c r="AN23">
        <v>3530.99</v>
      </c>
      <c r="AO23">
        <f t="shared" si="25"/>
        <v>2941.6905882352939</v>
      </c>
      <c r="AP23">
        <f t="shared" si="26"/>
        <v>0.83310646256015852</v>
      </c>
      <c r="AQ23">
        <v>1.42453575549529</v>
      </c>
      <c r="AR23" t="s">
        <v>382</v>
      </c>
      <c r="AS23">
        <v>745.421882352941</v>
      </c>
      <c r="AT23">
        <v>1046.6600000000001</v>
      </c>
      <c r="AU23">
        <f t="shared" si="27"/>
        <v>0.28780895194911338</v>
      </c>
      <c r="AV23">
        <v>0.5</v>
      </c>
      <c r="AW23">
        <f t="shared" si="28"/>
        <v>1471.3304998141787</v>
      </c>
      <c r="AX23">
        <f t="shared" si="29"/>
        <v>19.276816169306262</v>
      </c>
      <c r="AY23">
        <f t="shared" si="30"/>
        <v>211.73104456114197</v>
      </c>
      <c r="AZ23">
        <f t="shared" si="31"/>
        <v>0.50241721284848961</v>
      </c>
      <c r="BA23">
        <f t="shared" si="32"/>
        <v>1.2133426457254589E-2</v>
      </c>
      <c r="BB23">
        <f t="shared" si="33"/>
        <v>2.3735788126039017</v>
      </c>
      <c r="BC23" t="s">
        <v>383</v>
      </c>
      <c r="BD23">
        <v>520.79999999999995</v>
      </c>
      <c r="BE23">
        <f t="shared" si="34"/>
        <v>525.86000000000013</v>
      </c>
      <c r="BF23">
        <f t="shared" si="35"/>
        <v>0.57284851033936601</v>
      </c>
      <c r="BG23">
        <f t="shared" si="36"/>
        <v>0.82530670821443175</v>
      </c>
      <c r="BH23">
        <f t="shared" si="37"/>
        <v>0.65864467860987586</v>
      </c>
      <c r="BI23">
        <f t="shared" si="38"/>
        <v>0.84452457710392226</v>
      </c>
      <c r="BJ23">
        <v>8141</v>
      </c>
      <c r="BK23">
        <v>300</v>
      </c>
      <c r="BL23">
        <v>300</v>
      </c>
      <c r="BM23">
        <v>300</v>
      </c>
      <c r="BN23">
        <v>10285</v>
      </c>
      <c r="BO23">
        <v>973.64599999999996</v>
      </c>
      <c r="BP23">
        <v>-7.0374399999999998E-3</v>
      </c>
      <c r="BQ23">
        <v>4.4081400000000004</v>
      </c>
      <c r="BR23" t="s">
        <v>347</v>
      </c>
      <c r="BS23" t="s">
        <v>347</v>
      </c>
      <c r="BT23" t="s">
        <v>347</v>
      </c>
      <c r="BU23" t="s">
        <v>347</v>
      </c>
      <c r="BV23" t="s">
        <v>347</v>
      </c>
      <c r="BW23" t="s">
        <v>347</v>
      </c>
      <c r="BX23" t="s">
        <v>347</v>
      </c>
      <c r="BY23" t="s">
        <v>347</v>
      </c>
      <c r="BZ23" t="s">
        <v>347</v>
      </c>
      <c r="CA23" t="s">
        <v>347</v>
      </c>
      <c r="CB23">
        <f t="shared" si="39"/>
        <v>1750.15</v>
      </c>
      <c r="CC23">
        <f t="shared" si="40"/>
        <v>1471.3304998141787</v>
      </c>
      <c r="CD23">
        <f t="shared" si="41"/>
        <v>0.84068822661724918</v>
      </c>
      <c r="CE23">
        <f t="shared" si="42"/>
        <v>0.19137645323449856</v>
      </c>
      <c r="CF23">
        <v>1565560118.5</v>
      </c>
      <c r="CG23">
        <v>375.42599999999999</v>
      </c>
      <c r="CH23">
        <v>399.94400000000002</v>
      </c>
      <c r="CI23">
        <v>18.0962</v>
      </c>
      <c r="CJ23">
        <v>14.479900000000001</v>
      </c>
      <c r="CK23">
        <v>499.93200000000002</v>
      </c>
      <c r="CL23">
        <v>99.090900000000005</v>
      </c>
      <c r="CM23">
        <v>0.100008</v>
      </c>
      <c r="CN23">
        <v>25.207899999999999</v>
      </c>
      <c r="CO23">
        <v>26.9435</v>
      </c>
      <c r="CP23">
        <v>999.9</v>
      </c>
      <c r="CQ23">
        <v>0</v>
      </c>
      <c r="CR23">
        <v>0</v>
      </c>
      <c r="CS23">
        <v>9994.3799999999992</v>
      </c>
      <c r="CT23">
        <v>0</v>
      </c>
      <c r="CU23">
        <v>865.91</v>
      </c>
      <c r="CV23">
        <v>-24.924199999999999</v>
      </c>
      <c r="CW23">
        <v>381.94</v>
      </c>
      <c r="CX23">
        <v>405.82</v>
      </c>
      <c r="CY23">
        <v>3.6383800000000002</v>
      </c>
      <c r="CZ23">
        <v>370.95600000000002</v>
      </c>
      <c r="DA23">
        <v>399.94400000000002</v>
      </c>
      <c r="DB23">
        <v>17.645199999999999</v>
      </c>
      <c r="DC23">
        <v>14.479900000000001</v>
      </c>
      <c r="DD23">
        <v>1.79535</v>
      </c>
      <c r="DE23">
        <v>1.43482</v>
      </c>
      <c r="DF23">
        <v>15.7464</v>
      </c>
      <c r="DG23">
        <v>12.290699999999999</v>
      </c>
      <c r="DH23">
        <v>1750.15</v>
      </c>
      <c r="DI23">
        <v>0.97699599999999998</v>
      </c>
      <c r="DJ23">
        <v>2.30041E-2</v>
      </c>
      <c r="DK23">
        <v>0</v>
      </c>
      <c r="DL23">
        <v>745.46</v>
      </c>
      <c r="DM23">
        <v>5.0002700000000004</v>
      </c>
      <c r="DN23">
        <v>17727.8</v>
      </c>
      <c r="DO23">
        <v>14146.9</v>
      </c>
      <c r="DP23">
        <v>49.686999999999998</v>
      </c>
      <c r="DQ23">
        <v>51.875</v>
      </c>
      <c r="DR23">
        <v>50.811999999999998</v>
      </c>
      <c r="DS23">
        <v>51.311999999999998</v>
      </c>
      <c r="DT23">
        <v>51</v>
      </c>
      <c r="DU23">
        <v>1705</v>
      </c>
      <c r="DV23">
        <v>40.15</v>
      </c>
      <c r="DW23">
        <v>0</v>
      </c>
      <c r="DX23">
        <v>116.30000019073501</v>
      </c>
      <c r="DY23">
        <v>745.421882352941</v>
      </c>
      <c r="DZ23">
        <v>-1.51838230449133</v>
      </c>
      <c r="EA23">
        <v>1649.5343115558401</v>
      </c>
      <c r="EB23">
        <v>17551.9941176471</v>
      </c>
      <c r="EC23">
        <v>10</v>
      </c>
      <c r="ED23">
        <v>1565560143.5</v>
      </c>
      <c r="EE23" t="s">
        <v>384</v>
      </c>
      <c r="EF23">
        <v>88</v>
      </c>
      <c r="EG23">
        <v>4.47</v>
      </c>
      <c r="EH23">
        <v>0.45100000000000001</v>
      </c>
      <c r="EI23">
        <v>400</v>
      </c>
      <c r="EJ23">
        <v>14</v>
      </c>
      <c r="EK23">
        <v>0.04</v>
      </c>
      <c r="EL23">
        <v>7.0000000000000007E-2</v>
      </c>
      <c r="EM23">
        <v>19.3719101049088</v>
      </c>
      <c r="EN23">
        <v>1.37854284290387</v>
      </c>
      <c r="EO23">
        <v>0.14730413099662401</v>
      </c>
      <c r="EP23">
        <v>0</v>
      </c>
      <c r="EQ23">
        <v>0.17571412641173401</v>
      </c>
      <c r="ER23">
        <v>1.9556534249182099E-2</v>
      </c>
      <c r="ES23">
        <v>2.0750274142871199E-3</v>
      </c>
      <c r="ET23">
        <v>1</v>
      </c>
      <c r="EU23">
        <v>1</v>
      </c>
      <c r="EV23">
        <v>2</v>
      </c>
      <c r="EW23" t="s">
        <v>349</v>
      </c>
      <c r="EX23">
        <v>2.9482499999999998</v>
      </c>
      <c r="EY23">
        <v>2.7773699999999999</v>
      </c>
      <c r="EZ23">
        <v>8.8253899999999996E-2</v>
      </c>
      <c r="FA23">
        <v>9.1100100000000003E-2</v>
      </c>
      <c r="FB23">
        <v>9.01227E-2</v>
      </c>
      <c r="FC23">
        <v>7.4224299999999993E-2</v>
      </c>
      <c r="FD23">
        <v>21823</v>
      </c>
      <c r="FE23">
        <v>21949.4</v>
      </c>
      <c r="FF23">
        <v>22513.5</v>
      </c>
      <c r="FG23">
        <v>26495.200000000001</v>
      </c>
      <c r="FH23">
        <v>29283</v>
      </c>
      <c r="FI23">
        <v>38502.9</v>
      </c>
      <c r="FJ23">
        <v>32158</v>
      </c>
      <c r="FK23">
        <v>42211.7</v>
      </c>
      <c r="FL23">
        <v>1.9183300000000001</v>
      </c>
      <c r="FM23">
        <v>1.8109</v>
      </c>
      <c r="FN23">
        <v>-1.06543E-2</v>
      </c>
      <c r="FO23">
        <v>0</v>
      </c>
      <c r="FP23">
        <v>27.117699999999999</v>
      </c>
      <c r="FQ23">
        <v>999.9</v>
      </c>
      <c r="FR23">
        <v>32.517000000000003</v>
      </c>
      <c r="FS23">
        <v>43.527000000000001</v>
      </c>
      <c r="FT23">
        <v>29.300899999999999</v>
      </c>
      <c r="FU23">
        <v>61.714599999999997</v>
      </c>
      <c r="FV23">
        <v>46.402200000000001</v>
      </c>
      <c r="FW23">
        <v>1</v>
      </c>
      <c r="FX23">
        <v>0.64390499999999995</v>
      </c>
      <c r="FY23">
        <v>9.2810500000000005</v>
      </c>
      <c r="FZ23">
        <v>20.0242</v>
      </c>
      <c r="GA23">
        <v>5.2216300000000002</v>
      </c>
      <c r="GB23">
        <v>11.962</v>
      </c>
      <c r="GC23">
        <v>4.9707999999999997</v>
      </c>
      <c r="GD23">
        <v>3.2942</v>
      </c>
      <c r="GE23">
        <v>9999</v>
      </c>
      <c r="GF23">
        <v>9999</v>
      </c>
      <c r="GG23">
        <v>507.7</v>
      </c>
      <c r="GH23">
        <v>9999</v>
      </c>
      <c r="GI23">
        <v>1.8660000000000001</v>
      </c>
      <c r="GJ23">
        <v>1.8654900000000001</v>
      </c>
      <c r="GK23">
        <v>1.8656699999999999</v>
      </c>
      <c r="GL23">
        <v>1.8686100000000001</v>
      </c>
      <c r="GM23">
        <v>1.8629500000000001</v>
      </c>
      <c r="GN23">
        <v>1.8611</v>
      </c>
      <c r="GO23">
        <v>1.8573</v>
      </c>
      <c r="GP23">
        <v>1.8633999999999999</v>
      </c>
      <c r="GQ23" t="s">
        <v>350</v>
      </c>
      <c r="GR23" t="s">
        <v>19</v>
      </c>
      <c r="GS23" t="s">
        <v>19</v>
      </c>
      <c r="GT23" t="s">
        <v>19</v>
      </c>
      <c r="GU23" t="s">
        <v>351</v>
      </c>
      <c r="GV23" t="s">
        <v>352</v>
      </c>
      <c r="GW23" t="s">
        <v>353</v>
      </c>
      <c r="GX23" t="s">
        <v>353</v>
      </c>
      <c r="GY23" t="s">
        <v>353</v>
      </c>
      <c r="GZ23" t="s">
        <v>353</v>
      </c>
      <c r="HA23">
        <v>0</v>
      </c>
      <c r="HB23">
        <v>100</v>
      </c>
      <c r="HC23">
        <v>100</v>
      </c>
      <c r="HD23">
        <v>4.47</v>
      </c>
      <c r="HE23">
        <v>0.45100000000000001</v>
      </c>
      <c r="HF23">
        <v>2</v>
      </c>
      <c r="HG23">
        <v>493.89499999999998</v>
      </c>
      <c r="HH23">
        <v>462.39499999999998</v>
      </c>
      <c r="HI23">
        <v>18.348500000000001</v>
      </c>
      <c r="HJ23">
        <v>35.144100000000002</v>
      </c>
      <c r="HK23">
        <v>30.000399999999999</v>
      </c>
      <c r="HL23">
        <v>34.879399999999997</v>
      </c>
      <c r="HM23">
        <v>34.854500000000002</v>
      </c>
      <c r="HN23">
        <v>21.258199999999999</v>
      </c>
      <c r="HO23">
        <v>78.595500000000001</v>
      </c>
      <c r="HP23">
        <v>0</v>
      </c>
      <c r="HQ23">
        <v>18.457699999999999</v>
      </c>
      <c r="HR23">
        <v>400</v>
      </c>
      <c r="HS23">
        <v>14.054399999999999</v>
      </c>
      <c r="HT23">
        <v>98.991699999999994</v>
      </c>
      <c r="HU23">
        <v>102.92</v>
      </c>
    </row>
    <row r="24" spans="1:229" x14ac:dyDescent="0.35">
      <c r="A24">
        <v>8</v>
      </c>
      <c r="B24">
        <v>1565560218.5</v>
      </c>
      <c r="C24">
        <v>724.5</v>
      </c>
      <c r="D24" t="s">
        <v>385</v>
      </c>
      <c r="E24" t="s">
        <v>386</v>
      </c>
      <c r="G24">
        <v>1565560218.5</v>
      </c>
      <c r="H24">
        <f t="shared" si="0"/>
        <v>3.2885953285248602E-3</v>
      </c>
      <c r="I24">
        <f t="shared" si="1"/>
        <v>20.060367605521744</v>
      </c>
      <c r="J24">
        <f t="shared" si="2"/>
        <v>374.42599999999999</v>
      </c>
      <c r="K24">
        <f t="shared" si="3"/>
        <v>185.59652139315401</v>
      </c>
      <c r="L24">
        <f t="shared" si="4"/>
        <v>18.408822115099177</v>
      </c>
      <c r="M24">
        <f t="shared" si="5"/>
        <v>37.138312601598003</v>
      </c>
      <c r="N24">
        <f t="shared" si="6"/>
        <v>0.18471093731215585</v>
      </c>
      <c r="O24">
        <f t="shared" si="7"/>
        <v>2.2466457615594657</v>
      </c>
      <c r="P24">
        <f t="shared" si="8"/>
        <v>0.17666985938825891</v>
      </c>
      <c r="Q24">
        <f t="shared" si="9"/>
        <v>0.1111119486437124</v>
      </c>
      <c r="R24">
        <f t="shared" si="10"/>
        <v>281.58439655229597</v>
      </c>
      <c r="S24">
        <f t="shared" si="11"/>
        <v>26.589228200086961</v>
      </c>
      <c r="T24">
        <f t="shared" si="12"/>
        <v>26.985299999999999</v>
      </c>
      <c r="U24">
        <f t="shared" si="13"/>
        <v>3.5760707272228762</v>
      </c>
      <c r="V24">
        <f t="shared" si="14"/>
        <v>54.136524683868139</v>
      </c>
      <c r="W24">
        <f t="shared" si="15"/>
        <v>1.7796090305337002</v>
      </c>
      <c r="X24">
        <f t="shared" si="16"/>
        <v>3.287261310041198</v>
      </c>
      <c r="Y24">
        <f t="shared" si="17"/>
        <v>1.796461696689176</v>
      </c>
      <c r="Z24">
        <f t="shared" si="18"/>
        <v>-145.02705398794635</v>
      </c>
      <c r="AA24">
        <f t="shared" si="19"/>
        <v>-172.71878313979835</v>
      </c>
      <c r="AB24">
        <f t="shared" si="20"/>
        <v>-16.47093319680015</v>
      </c>
      <c r="AC24">
        <f t="shared" si="21"/>
        <v>-52.632373772248883</v>
      </c>
      <c r="AD24">
        <v>-4.1093507166721999E-2</v>
      </c>
      <c r="AE24">
        <v>4.61310617835946E-2</v>
      </c>
      <c r="AF24">
        <v>3.44922564885989</v>
      </c>
      <c r="AG24">
        <v>3</v>
      </c>
      <c r="AH24">
        <v>1</v>
      </c>
      <c r="AI24">
        <f t="shared" si="22"/>
        <v>1</v>
      </c>
      <c r="AJ24">
        <f t="shared" si="23"/>
        <v>0</v>
      </c>
      <c r="AK24">
        <f t="shared" si="24"/>
        <v>52653.344870628745</v>
      </c>
      <c r="AL24" t="s">
        <v>344</v>
      </c>
      <c r="AM24">
        <v>589.29941176470595</v>
      </c>
      <c r="AN24">
        <v>3530.99</v>
      </c>
      <c r="AO24">
        <f t="shared" si="25"/>
        <v>2941.6905882352939</v>
      </c>
      <c r="AP24">
        <f t="shared" si="26"/>
        <v>0.83310646256015852</v>
      </c>
      <c r="AQ24">
        <v>1.42453575549529</v>
      </c>
      <c r="AR24" t="s">
        <v>387</v>
      </c>
      <c r="AS24">
        <v>746.07064705882397</v>
      </c>
      <c r="AT24">
        <v>1077.6300000000001</v>
      </c>
      <c r="AU24">
        <f t="shared" si="27"/>
        <v>0.30767457563465761</v>
      </c>
      <c r="AV24">
        <v>0.5</v>
      </c>
      <c r="AW24">
        <f t="shared" si="28"/>
        <v>1471.3640998141832</v>
      </c>
      <c r="AX24">
        <f t="shared" si="29"/>
        <v>20.060367605521744</v>
      </c>
      <c r="AY24">
        <f t="shared" si="30"/>
        <v>226.35066250719942</v>
      </c>
      <c r="AZ24">
        <f t="shared" si="31"/>
        <v>0.5128197990033686</v>
      </c>
      <c r="BA24">
        <f t="shared" si="32"/>
        <v>1.2665683397046287E-2</v>
      </c>
      <c r="BB24">
        <f t="shared" si="33"/>
        <v>2.2766255579373249</v>
      </c>
      <c r="BC24" t="s">
        <v>388</v>
      </c>
      <c r="BD24">
        <v>525</v>
      </c>
      <c r="BE24">
        <f t="shared" si="34"/>
        <v>552.63000000000011</v>
      </c>
      <c r="BF24">
        <f t="shared" si="35"/>
        <v>0.59996625760667366</v>
      </c>
      <c r="BG24">
        <f t="shared" si="36"/>
        <v>0.81615707304415508</v>
      </c>
      <c r="BH24">
        <f t="shared" si="37"/>
        <v>0.67896494900995152</v>
      </c>
      <c r="BI24">
        <f t="shared" si="38"/>
        <v>0.83399661739127995</v>
      </c>
      <c r="BJ24">
        <v>8143</v>
      </c>
      <c r="BK24">
        <v>300</v>
      </c>
      <c r="BL24">
        <v>300</v>
      </c>
      <c r="BM24">
        <v>300</v>
      </c>
      <c r="BN24">
        <v>10285.799999999999</v>
      </c>
      <c r="BO24">
        <v>997.75599999999997</v>
      </c>
      <c r="BP24">
        <v>-7.0380099999999999E-3</v>
      </c>
      <c r="BQ24">
        <v>5.7531100000000004</v>
      </c>
      <c r="BR24" t="s">
        <v>347</v>
      </c>
      <c r="BS24" t="s">
        <v>347</v>
      </c>
      <c r="BT24" t="s">
        <v>347</v>
      </c>
      <c r="BU24" t="s">
        <v>347</v>
      </c>
      <c r="BV24" t="s">
        <v>347</v>
      </c>
      <c r="BW24" t="s">
        <v>347</v>
      </c>
      <c r="BX24" t="s">
        <v>347</v>
      </c>
      <c r="BY24" t="s">
        <v>347</v>
      </c>
      <c r="BZ24" t="s">
        <v>347</v>
      </c>
      <c r="CA24" t="s">
        <v>347</v>
      </c>
      <c r="CB24">
        <f t="shared" si="39"/>
        <v>1750.19</v>
      </c>
      <c r="CC24">
        <f t="shared" si="40"/>
        <v>1471.3640998141832</v>
      </c>
      <c r="CD24">
        <f t="shared" si="41"/>
        <v>0.84068821088806533</v>
      </c>
      <c r="CE24">
        <f t="shared" si="42"/>
        <v>0.19137642177613068</v>
      </c>
      <c r="CF24">
        <v>1565560218.5</v>
      </c>
      <c r="CG24">
        <v>374.42599999999999</v>
      </c>
      <c r="CH24">
        <v>399.97399999999999</v>
      </c>
      <c r="CI24">
        <v>17.9419</v>
      </c>
      <c r="CJ24">
        <v>14.066700000000001</v>
      </c>
      <c r="CK24">
        <v>500.04</v>
      </c>
      <c r="CL24">
        <v>99.087100000000007</v>
      </c>
      <c r="CM24">
        <v>0.10022300000000001</v>
      </c>
      <c r="CN24">
        <v>25.5593</v>
      </c>
      <c r="CO24">
        <v>26.985299999999999</v>
      </c>
      <c r="CP24">
        <v>999.9</v>
      </c>
      <c r="CQ24">
        <v>0</v>
      </c>
      <c r="CR24">
        <v>0</v>
      </c>
      <c r="CS24">
        <v>10001.200000000001</v>
      </c>
      <c r="CT24">
        <v>0</v>
      </c>
      <c r="CU24">
        <v>583.20600000000002</v>
      </c>
      <c r="CV24">
        <v>-25.503</v>
      </c>
      <c r="CW24">
        <v>381.31200000000001</v>
      </c>
      <c r="CX24">
        <v>405.68</v>
      </c>
      <c r="CY24">
        <v>3.87521</v>
      </c>
      <c r="CZ24">
        <v>370.00099999999998</v>
      </c>
      <c r="DA24">
        <v>399.97399999999999</v>
      </c>
      <c r="DB24">
        <v>17.4909</v>
      </c>
      <c r="DC24">
        <v>14.066700000000001</v>
      </c>
      <c r="DD24">
        <v>1.77782</v>
      </c>
      <c r="DE24">
        <v>1.3938299999999999</v>
      </c>
      <c r="DF24">
        <v>15.5931</v>
      </c>
      <c r="DG24">
        <v>11.8507</v>
      </c>
      <c r="DH24">
        <v>1750.19</v>
      </c>
      <c r="DI24">
        <v>0.97699599999999998</v>
      </c>
      <c r="DJ24">
        <v>2.30041E-2</v>
      </c>
      <c r="DK24">
        <v>0</v>
      </c>
      <c r="DL24">
        <v>746.33500000000004</v>
      </c>
      <c r="DM24">
        <v>5.0002700000000004</v>
      </c>
      <c r="DN24">
        <v>16718.5</v>
      </c>
      <c r="DO24">
        <v>14147.2</v>
      </c>
      <c r="DP24">
        <v>49.561999999999998</v>
      </c>
      <c r="DQ24">
        <v>51.625</v>
      </c>
      <c r="DR24">
        <v>50.686999999999998</v>
      </c>
      <c r="DS24">
        <v>51.061999999999998</v>
      </c>
      <c r="DT24">
        <v>50.811999999999998</v>
      </c>
      <c r="DU24">
        <v>1705.04</v>
      </c>
      <c r="DV24">
        <v>40.15</v>
      </c>
      <c r="DW24">
        <v>0</v>
      </c>
      <c r="DX24">
        <v>99.600000143051105</v>
      </c>
      <c r="DY24">
        <v>746.07064705882397</v>
      </c>
      <c r="DZ24">
        <v>2.7034314005182201</v>
      </c>
      <c r="EA24">
        <v>-1553.8970439953</v>
      </c>
      <c r="EB24">
        <v>16606.482352941199</v>
      </c>
      <c r="EC24">
        <v>10</v>
      </c>
      <c r="ED24">
        <v>1565560243</v>
      </c>
      <c r="EE24" t="s">
        <v>389</v>
      </c>
      <c r="EF24">
        <v>89</v>
      </c>
      <c r="EG24">
        <v>4.4249999999999998</v>
      </c>
      <c r="EH24">
        <v>0.45100000000000001</v>
      </c>
      <c r="EI24">
        <v>400</v>
      </c>
      <c r="EJ24">
        <v>14</v>
      </c>
      <c r="EK24">
        <v>0.06</v>
      </c>
      <c r="EL24">
        <v>0.06</v>
      </c>
      <c r="EM24">
        <v>20.0785591455226</v>
      </c>
      <c r="EN24">
        <v>6.6112790996686904E-2</v>
      </c>
      <c r="EO24">
        <v>2.7982740947466601E-2</v>
      </c>
      <c r="EP24">
        <v>1</v>
      </c>
      <c r="EQ24">
        <v>0.187055924946776</v>
      </c>
      <c r="ER24">
        <v>-8.70440897000355E-3</v>
      </c>
      <c r="ES24">
        <v>8.9473359186499602E-4</v>
      </c>
      <c r="ET24">
        <v>1</v>
      </c>
      <c r="EU24">
        <v>2</v>
      </c>
      <c r="EV24">
        <v>2</v>
      </c>
      <c r="EW24" t="s">
        <v>364</v>
      </c>
      <c r="EX24">
        <v>2.9485800000000002</v>
      </c>
      <c r="EY24">
        <v>2.77765</v>
      </c>
      <c r="EZ24">
        <v>8.8071800000000006E-2</v>
      </c>
      <c r="FA24">
        <v>9.1098399999999996E-2</v>
      </c>
      <c r="FB24">
        <v>8.9545700000000006E-2</v>
      </c>
      <c r="FC24">
        <v>7.2649500000000006E-2</v>
      </c>
      <c r="FD24">
        <v>21829.5</v>
      </c>
      <c r="FE24">
        <v>21951.9</v>
      </c>
      <c r="FF24">
        <v>22515.5</v>
      </c>
      <c r="FG24">
        <v>26497.8</v>
      </c>
      <c r="FH24">
        <v>29303.9</v>
      </c>
      <c r="FI24">
        <v>38572.6</v>
      </c>
      <c r="FJ24">
        <v>32160.6</v>
      </c>
      <c r="FK24">
        <v>42216.1</v>
      </c>
      <c r="FL24">
        <v>1.91943</v>
      </c>
      <c r="FM24">
        <v>1.81125</v>
      </c>
      <c r="FN24">
        <v>1.00024E-2</v>
      </c>
      <c r="FO24">
        <v>0</v>
      </c>
      <c r="FP24">
        <v>26.8217</v>
      </c>
      <c r="FQ24">
        <v>999.9</v>
      </c>
      <c r="FR24">
        <v>32.517000000000003</v>
      </c>
      <c r="FS24">
        <v>43.527000000000001</v>
      </c>
      <c r="FT24">
        <v>29.3035</v>
      </c>
      <c r="FU24">
        <v>61.344700000000003</v>
      </c>
      <c r="FV24">
        <v>46.354199999999999</v>
      </c>
      <c r="FW24">
        <v>1</v>
      </c>
      <c r="FX24">
        <v>0.61970000000000003</v>
      </c>
      <c r="FY24">
        <v>5.8666</v>
      </c>
      <c r="FZ24">
        <v>20.1662</v>
      </c>
      <c r="GA24">
        <v>5.2231300000000003</v>
      </c>
      <c r="GB24">
        <v>11.962</v>
      </c>
      <c r="GC24">
        <v>4.9714999999999998</v>
      </c>
      <c r="GD24">
        <v>3.2949999999999999</v>
      </c>
      <c r="GE24">
        <v>9999</v>
      </c>
      <c r="GF24">
        <v>9999</v>
      </c>
      <c r="GG24">
        <v>507.7</v>
      </c>
      <c r="GH24">
        <v>9999</v>
      </c>
      <c r="GI24">
        <v>1.86602</v>
      </c>
      <c r="GJ24">
        <v>1.8655299999999999</v>
      </c>
      <c r="GK24">
        <v>1.8656900000000001</v>
      </c>
      <c r="GL24">
        <v>1.8686499999999999</v>
      </c>
      <c r="GM24">
        <v>1.86294</v>
      </c>
      <c r="GN24">
        <v>1.8611</v>
      </c>
      <c r="GO24">
        <v>1.8573</v>
      </c>
      <c r="GP24">
        <v>1.8633999999999999</v>
      </c>
      <c r="GQ24" t="s">
        <v>350</v>
      </c>
      <c r="GR24" t="s">
        <v>19</v>
      </c>
      <c r="GS24" t="s">
        <v>19</v>
      </c>
      <c r="GT24" t="s">
        <v>19</v>
      </c>
      <c r="GU24" t="s">
        <v>351</v>
      </c>
      <c r="GV24" t="s">
        <v>352</v>
      </c>
      <c r="GW24" t="s">
        <v>353</v>
      </c>
      <c r="GX24" t="s">
        <v>353</v>
      </c>
      <c r="GY24" t="s">
        <v>353</v>
      </c>
      <c r="GZ24" t="s">
        <v>353</v>
      </c>
      <c r="HA24">
        <v>0</v>
      </c>
      <c r="HB24">
        <v>100</v>
      </c>
      <c r="HC24">
        <v>100</v>
      </c>
      <c r="HD24">
        <v>4.4249999999999998</v>
      </c>
      <c r="HE24">
        <v>0.45100000000000001</v>
      </c>
      <c r="HF24">
        <v>2</v>
      </c>
      <c r="HG24">
        <v>494.61799999999999</v>
      </c>
      <c r="HH24">
        <v>462.61200000000002</v>
      </c>
      <c r="HI24">
        <v>20.636199999999999</v>
      </c>
      <c r="HJ24">
        <v>35.070999999999998</v>
      </c>
      <c r="HK24">
        <v>29.999700000000001</v>
      </c>
      <c r="HL24">
        <v>34.877299999999998</v>
      </c>
      <c r="HM24">
        <v>34.852400000000003</v>
      </c>
      <c r="HN24">
        <v>21.240400000000001</v>
      </c>
      <c r="HO24">
        <v>81.650899999999993</v>
      </c>
      <c r="HP24">
        <v>0</v>
      </c>
      <c r="HQ24">
        <v>20.636700000000001</v>
      </c>
      <c r="HR24">
        <v>400</v>
      </c>
      <c r="HS24">
        <v>14.222799999999999</v>
      </c>
      <c r="HT24">
        <v>99</v>
      </c>
      <c r="HU24">
        <v>102.93</v>
      </c>
    </row>
    <row r="25" spans="1:229" x14ac:dyDescent="0.35">
      <c r="A25">
        <v>9</v>
      </c>
      <c r="B25">
        <v>1565560334</v>
      </c>
      <c r="C25">
        <v>840</v>
      </c>
      <c r="D25" t="s">
        <v>390</v>
      </c>
      <c r="E25" t="s">
        <v>391</v>
      </c>
      <c r="G25">
        <v>1565560334</v>
      </c>
      <c r="H25">
        <f t="shared" si="0"/>
        <v>2.502465399662221E-3</v>
      </c>
      <c r="I25">
        <f t="shared" si="1"/>
        <v>22.448574714174232</v>
      </c>
      <c r="J25">
        <f t="shared" si="2"/>
        <v>471.69600000000003</v>
      </c>
      <c r="K25">
        <f t="shared" si="3"/>
        <v>199.92333108446567</v>
      </c>
      <c r="L25">
        <f t="shared" si="4"/>
        <v>19.829735863122234</v>
      </c>
      <c r="M25">
        <f t="shared" si="5"/>
        <v>46.785970586592001</v>
      </c>
      <c r="N25">
        <f t="shared" si="6"/>
        <v>0.14119991320602257</v>
      </c>
      <c r="O25">
        <f t="shared" si="7"/>
        <v>2.2455007529878164</v>
      </c>
      <c r="P25">
        <f t="shared" si="8"/>
        <v>0.13644625452062886</v>
      </c>
      <c r="Q25">
        <f t="shared" si="9"/>
        <v>8.5692674233934465E-2</v>
      </c>
      <c r="R25">
        <f t="shared" si="10"/>
        <v>281.56684065648011</v>
      </c>
      <c r="S25">
        <f t="shared" si="11"/>
        <v>27.031566065627967</v>
      </c>
      <c r="T25">
        <f t="shared" si="12"/>
        <v>27.122900000000001</v>
      </c>
      <c r="U25">
        <f t="shared" si="13"/>
        <v>3.6050763967055004</v>
      </c>
      <c r="V25">
        <f t="shared" si="14"/>
        <v>55.252399398257481</v>
      </c>
      <c r="W25">
        <f t="shared" si="15"/>
        <v>1.8358565859881999</v>
      </c>
      <c r="X25">
        <f t="shared" si="16"/>
        <v>3.3226730530839141</v>
      </c>
      <c r="Y25">
        <f t="shared" si="17"/>
        <v>1.7692198107173005</v>
      </c>
      <c r="Z25">
        <f t="shared" si="18"/>
        <v>-110.35872412510395</v>
      </c>
      <c r="AA25">
        <f t="shared" si="19"/>
        <v>-167.4252008109948</v>
      </c>
      <c r="AB25">
        <f t="shared" si="20"/>
        <v>-15.999749017139782</v>
      </c>
      <c r="AC25">
        <f t="shared" si="21"/>
        <v>-12.216833296758409</v>
      </c>
      <c r="AD25">
        <v>-4.10627304123495E-2</v>
      </c>
      <c r="AE25">
        <v>4.6096512180619699E-2</v>
      </c>
      <c r="AF25">
        <v>3.4471799747486802</v>
      </c>
      <c r="AG25">
        <v>3</v>
      </c>
      <c r="AH25">
        <v>1</v>
      </c>
      <c r="AI25">
        <f t="shared" si="22"/>
        <v>1</v>
      </c>
      <c r="AJ25">
        <f t="shared" si="23"/>
        <v>0</v>
      </c>
      <c r="AK25">
        <f t="shared" si="24"/>
        <v>52583.702444819908</v>
      </c>
      <c r="AL25" t="s">
        <v>344</v>
      </c>
      <c r="AM25">
        <v>589.29941176470595</v>
      </c>
      <c r="AN25">
        <v>3530.99</v>
      </c>
      <c r="AO25">
        <f t="shared" si="25"/>
        <v>2941.6905882352939</v>
      </c>
      <c r="AP25">
        <f t="shared" si="26"/>
        <v>0.83310646256015852</v>
      </c>
      <c r="AQ25">
        <v>1.42453575549529</v>
      </c>
      <c r="AR25" t="s">
        <v>392</v>
      </c>
      <c r="AS25">
        <v>751.72241176470595</v>
      </c>
      <c r="AT25">
        <v>1125.78</v>
      </c>
      <c r="AU25">
        <f t="shared" si="27"/>
        <v>0.33226526340430107</v>
      </c>
      <c r="AV25">
        <v>0.5</v>
      </c>
      <c r="AW25">
        <f t="shared" si="28"/>
        <v>1471.2716998141714</v>
      </c>
      <c r="AX25">
        <f t="shared" si="29"/>
        <v>22.448574714174232</v>
      </c>
      <c r="AY25">
        <f t="shared" si="30"/>
        <v>244.4262394390247</v>
      </c>
      <c r="AZ25">
        <f t="shared" si="31"/>
        <v>0.53111620387642344</v>
      </c>
      <c r="BA25">
        <f t="shared" si="32"/>
        <v>1.4289705267446101E-2</v>
      </c>
      <c r="BB25">
        <f t="shared" si="33"/>
        <v>2.1364831494608185</v>
      </c>
      <c r="BC25" t="s">
        <v>393</v>
      </c>
      <c r="BD25">
        <v>527.86</v>
      </c>
      <c r="BE25">
        <f t="shared" si="34"/>
        <v>597.91999999999996</v>
      </c>
      <c r="BF25">
        <f t="shared" si="35"/>
        <v>0.62559805364479204</v>
      </c>
      <c r="BG25">
        <f t="shared" si="36"/>
        <v>0.80090105989417715</v>
      </c>
      <c r="BH25">
        <f t="shared" si="37"/>
        <v>0.69724347243527252</v>
      </c>
      <c r="BI25">
        <f t="shared" si="38"/>
        <v>0.81762847854195098</v>
      </c>
      <c r="BJ25">
        <v>8145</v>
      </c>
      <c r="BK25">
        <v>300</v>
      </c>
      <c r="BL25">
        <v>300</v>
      </c>
      <c r="BM25">
        <v>300</v>
      </c>
      <c r="BN25">
        <v>10286.700000000001</v>
      </c>
      <c r="BO25">
        <v>1035.1400000000001</v>
      </c>
      <c r="BP25">
        <v>-7.0388200000000003E-3</v>
      </c>
      <c r="BQ25">
        <v>6.6013200000000003</v>
      </c>
      <c r="BR25" t="s">
        <v>347</v>
      </c>
      <c r="BS25" t="s">
        <v>347</v>
      </c>
      <c r="BT25" t="s">
        <v>347</v>
      </c>
      <c r="BU25" t="s">
        <v>347</v>
      </c>
      <c r="BV25" t="s">
        <v>347</v>
      </c>
      <c r="BW25" t="s">
        <v>347</v>
      </c>
      <c r="BX25" t="s">
        <v>347</v>
      </c>
      <c r="BY25" t="s">
        <v>347</v>
      </c>
      <c r="BZ25" t="s">
        <v>347</v>
      </c>
      <c r="CA25" t="s">
        <v>347</v>
      </c>
      <c r="CB25">
        <f t="shared" si="39"/>
        <v>1750.08</v>
      </c>
      <c r="CC25">
        <f t="shared" si="40"/>
        <v>1471.2716998141714</v>
      </c>
      <c r="CD25">
        <f t="shared" si="41"/>
        <v>0.84068825414505133</v>
      </c>
      <c r="CE25">
        <f t="shared" si="42"/>
        <v>0.19137650829010261</v>
      </c>
      <c r="CF25">
        <v>1565560334</v>
      </c>
      <c r="CG25">
        <v>471.69600000000003</v>
      </c>
      <c r="CH25">
        <v>500.05099999999999</v>
      </c>
      <c r="CI25">
        <v>18.5091</v>
      </c>
      <c r="CJ25">
        <v>15.5617</v>
      </c>
      <c r="CK25">
        <v>499.99599999999998</v>
      </c>
      <c r="CL25">
        <v>99.086699999999993</v>
      </c>
      <c r="CM25">
        <v>0.10000199999999999</v>
      </c>
      <c r="CN25">
        <v>25.739899999999999</v>
      </c>
      <c r="CO25">
        <v>27.122900000000001</v>
      </c>
      <c r="CP25">
        <v>999.9</v>
      </c>
      <c r="CQ25">
        <v>0</v>
      </c>
      <c r="CR25">
        <v>0</v>
      </c>
      <c r="CS25">
        <v>9993.75</v>
      </c>
      <c r="CT25">
        <v>0</v>
      </c>
      <c r="CU25">
        <v>868.81200000000001</v>
      </c>
      <c r="CV25">
        <v>-28.582799999999999</v>
      </c>
      <c r="CW25">
        <v>480.34899999999999</v>
      </c>
      <c r="CX25">
        <v>507.95600000000002</v>
      </c>
      <c r="CY25">
        <v>2.9254199999999999</v>
      </c>
      <c r="CZ25">
        <v>467.04399999999998</v>
      </c>
      <c r="DA25">
        <v>500.05099999999999</v>
      </c>
      <c r="DB25">
        <v>18.036100000000001</v>
      </c>
      <c r="DC25">
        <v>15.5617</v>
      </c>
      <c r="DD25">
        <v>1.8318300000000001</v>
      </c>
      <c r="DE25">
        <v>1.54196</v>
      </c>
      <c r="DF25">
        <v>16.0611</v>
      </c>
      <c r="DG25">
        <v>13.390700000000001</v>
      </c>
      <c r="DH25">
        <v>1750.08</v>
      </c>
      <c r="DI25">
        <v>0.97699199999999997</v>
      </c>
      <c r="DJ25">
        <v>2.3008000000000001E-2</v>
      </c>
      <c r="DK25">
        <v>0</v>
      </c>
      <c r="DL25">
        <v>751.76700000000005</v>
      </c>
      <c r="DM25">
        <v>5.0002700000000004</v>
      </c>
      <c r="DN25">
        <v>17956.2</v>
      </c>
      <c r="DO25">
        <v>14146.3</v>
      </c>
      <c r="DP25">
        <v>49.436999999999998</v>
      </c>
      <c r="DQ25">
        <v>51.436999999999998</v>
      </c>
      <c r="DR25">
        <v>50.5</v>
      </c>
      <c r="DS25">
        <v>50.875</v>
      </c>
      <c r="DT25">
        <v>50.686999999999998</v>
      </c>
      <c r="DU25">
        <v>1704.93</v>
      </c>
      <c r="DV25">
        <v>40.15</v>
      </c>
      <c r="DW25">
        <v>0</v>
      </c>
      <c r="DX25">
        <v>115.30000019073501</v>
      </c>
      <c r="DY25">
        <v>751.72241176470595</v>
      </c>
      <c r="DZ25">
        <v>0.83897061713532095</v>
      </c>
      <c r="EA25">
        <v>6.4460805734119697</v>
      </c>
      <c r="EB25">
        <v>17953.9941176471</v>
      </c>
      <c r="EC25">
        <v>10</v>
      </c>
      <c r="ED25">
        <v>1565560359.5</v>
      </c>
      <c r="EE25" t="s">
        <v>394</v>
      </c>
      <c r="EF25">
        <v>90</v>
      </c>
      <c r="EG25">
        <v>4.6520000000000001</v>
      </c>
      <c r="EH25">
        <v>0.47299999999999998</v>
      </c>
      <c r="EI25">
        <v>500</v>
      </c>
      <c r="EJ25">
        <v>16</v>
      </c>
      <c r="EK25">
        <v>7.0000000000000007E-2</v>
      </c>
      <c r="EL25">
        <v>7.0000000000000007E-2</v>
      </c>
      <c r="EM25">
        <v>22.834548401010402</v>
      </c>
      <c r="EN25">
        <v>-1.20800838341794</v>
      </c>
      <c r="EO25">
        <v>0.12922859370588199</v>
      </c>
      <c r="EP25">
        <v>0</v>
      </c>
      <c r="EQ25">
        <v>0.142782719305168</v>
      </c>
      <c r="ER25">
        <v>-1.7779116324079001E-2</v>
      </c>
      <c r="ES25">
        <v>1.9869840107189099E-3</v>
      </c>
      <c r="ET25">
        <v>1</v>
      </c>
      <c r="EU25">
        <v>1</v>
      </c>
      <c r="EV25">
        <v>2</v>
      </c>
      <c r="EW25" t="s">
        <v>349</v>
      </c>
      <c r="EX25">
        <v>2.9486400000000001</v>
      </c>
      <c r="EY25">
        <v>2.7773599999999998</v>
      </c>
      <c r="EZ25">
        <v>0.10520699999999999</v>
      </c>
      <c r="FA25">
        <v>0.10770100000000001</v>
      </c>
      <c r="FB25">
        <v>9.1587600000000005E-2</v>
      </c>
      <c r="FC25">
        <v>7.8280199999999994E-2</v>
      </c>
      <c r="FD25">
        <v>21427.1</v>
      </c>
      <c r="FE25">
        <v>21559.8</v>
      </c>
      <c r="FF25">
        <v>22523.200000000001</v>
      </c>
      <c r="FG25">
        <v>26508.1</v>
      </c>
      <c r="FH25">
        <v>29247.7</v>
      </c>
      <c r="FI25">
        <v>38351.4</v>
      </c>
      <c r="FJ25">
        <v>32170.9</v>
      </c>
      <c r="FK25">
        <v>42229.9</v>
      </c>
      <c r="FL25">
        <v>1.92048</v>
      </c>
      <c r="FM25">
        <v>1.81653</v>
      </c>
      <c r="FN25">
        <v>8.2328899999999997E-3</v>
      </c>
      <c r="FO25">
        <v>0</v>
      </c>
      <c r="FP25">
        <v>26.988299999999999</v>
      </c>
      <c r="FQ25">
        <v>999.9</v>
      </c>
      <c r="FR25">
        <v>32.517000000000003</v>
      </c>
      <c r="FS25">
        <v>43.527000000000001</v>
      </c>
      <c r="FT25">
        <v>29.3063</v>
      </c>
      <c r="FU25">
        <v>61.654699999999998</v>
      </c>
      <c r="FV25">
        <v>46.189900000000002</v>
      </c>
      <c r="FW25">
        <v>1</v>
      </c>
      <c r="FX25">
        <v>0.62282999999999999</v>
      </c>
      <c r="FY25">
        <v>9.2810500000000005</v>
      </c>
      <c r="FZ25">
        <v>20.021999999999998</v>
      </c>
      <c r="GA25">
        <v>5.2249299999999996</v>
      </c>
      <c r="GB25">
        <v>11.962</v>
      </c>
      <c r="GC25">
        <v>4.9711499999999997</v>
      </c>
      <c r="GD25">
        <v>3.2942499999999999</v>
      </c>
      <c r="GE25">
        <v>9999</v>
      </c>
      <c r="GF25">
        <v>9999</v>
      </c>
      <c r="GG25">
        <v>507.7</v>
      </c>
      <c r="GH25">
        <v>9999</v>
      </c>
      <c r="GI25">
        <v>1.8660000000000001</v>
      </c>
      <c r="GJ25">
        <v>1.8654500000000001</v>
      </c>
      <c r="GK25">
        <v>1.8656699999999999</v>
      </c>
      <c r="GL25">
        <v>1.8686100000000001</v>
      </c>
      <c r="GM25">
        <v>1.86293</v>
      </c>
      <c r="GN25">
        <v>1.86107</v>
      </c>
      <c r="GO25">
        <v>1.85727</v>
      </c>
      <c r="GP25">
        <v>1.8633999999999999</v>
      </c>
      <c r="GQ25" t="s">
        <v>350</v>
      </c>
      <c r="GR25" t="s">
        <v>19</v>
      </c>
      <c r="GS25" t="s">
        <v>19</v>
      </c>
      <c r="GT25" t="s">
        <v>19</v>
      </c>
      <c r="GU25" t="s">
        <v>351</v>
      </c>
      <c r="GV25" t="s">
        <v>352</v>
      </c>
      <c r="GW25" t="s">
        <v>353</v>
      </c>
      <c r="GX25" t="s">
        <v>353</v>
      </c>
      <c r="GY25" t="s">
        <v>353</v>
      </c>
      <c r="GZ25" t="s">
        <v>353</v>
      </c>
      <c r="HA25">
        <v>0</v>
      </c>
      <c r="HB25">
        <v>100</v>
      </c>
      <c r="HC25">
        <v>100</v>
      </c>
      <c r="HD25">
        <v>4.6520000000000001</v>
      </c>
      <c r="HE25">
        <v>0.47299999999999998</v>
      </c>
      <c r="HF25">
        <v>2</v>
      </c>
      <c r="HG25">
        <v>494.49099999999999</v>
      </c>
      <c r="HH25">
        <v>465.346</v>
      </c>
      <c r="HI25">
        <v>18.661100000000001</v>
      </c>
      <c r="HJ25">
        <v>34.8658</v>
      </c>
      <c r="HK25">
        <v>29.999500000000001</v>
      </c>
      <c r="HL25">
        <v>34.768700000000003</v>
      </c>
      <c r="HM25">
        <v>34.748199999999997</v>
      </c>
      <c r="HN25">
        <v>25.499700000000001</v>
      </c>
      <c r="HO25">
        <v>73.649000000000001</v>
      </c>
      <c r="HP25">
        <v>0</v>
      </c>
      <c r="HQ25">
        <v>18.066700000000001</v>
      </c>
      <c r="HR25">
        <v>500</v>
      </c>
      <c r="HS25">
        <v>15.5046</v>
      </c>
      <c r="HT25">
        <v>99.032600000000002</v>
      </c>
      <c r="HU25">
        <v>102.96599999999999</v>
      </c>
    </row>
    <row r="26" spans="1:229" x14ac:dyDescent="0.35">
      <c r="A26">
        <v>10</v>
      </c>
      <c r="B26">
        <v>1565560450.5</v>
      </c>
      <c r="C26">
        <v>956.5</v>
      </c>
      <c r="D26" t="s">
        <v>395</v>
      </c>
      <c r="E26" t="s">
        <v>396</v>
      </c>
      <c r="G26">
        <v>1565560450.5</v>
      </c>
      <c r="H26">
        <f t="shared" si="0"/>
        <v>2.3433958184230531E-3</v>
      </c>
      <c r="I26">
        <f t="shared" si="1"/>
        <v>25.243158467262621</v>
      </c>
      <c r="J26">
        <f t="shared" si="2"/>
        <v>568.12599999999998</v>
      </c>
      <c r="K26">
        <f t="shared" si="3"/>
        <v>239.18488744135792</v>
      </c>
      <c r="L26">
        <f t="shared" si="4"/>
        <v>23.72340904765036</v>
      </c>
      <c r="M26">
        <f t="shared" si="5"/>
        <v>56.3492352413354</v>
      </c>
      <c r="N26">
        <f t="shared" si="6"/>
        <v>0.13090590270355407</v>
      </c>
      <c r="O26">
        <f t="shared" si="7"/>
        <v>2.2488038641767933</v>
      </c>
      <c r="P26">
        <f t="shared" si="8"/>
        <v>0.12681509143341993</v>
      </c>
      <c r="Q26">
        <f t="shared" si="9"/>
        <v>7.9616326285430486E-2</v>
      </c>
      <c r="R26">
        <f t="shared" si="10"/>
        <v>281.53961933128858</v>
      </c>
      <c r="S26">
        <f t="shared" si="11"/>
        <v>26.903689634672336</v>
      </c>
      <c r="T26">
        <f t="shared" si="12"/>
        <v>27.021899999999999</v>
      </c>
      <c r="U26">
        <f t="shared" si="13"/>
        <v>3.5837659407565998</v>
      </c>
      <c r="V26">
        <f t="shared" si="14"/>
        <v>54.772999520986509</v>
      </c>
      <c r="W26">
        <f t="shared" si="15"/>
        <v>1.8007026623142901</v>
      </c>
      <c r="X26">
        <f t="shared" si="16"/>
        <v>3.2875735819878606</v>
      </c>
      <c r="Y26">
        <f t="shared" si="17"/>
        <v>1.7830632784423097</v>
      </c>
      <c r="Z26">
        <f t="shared" si="18"/>
        <v>-103.34375559245665</v>
      </c>
      <c r="AA26">
        <f t="shared" si="19"/>
        <v>-177.12800784515429</v>
      </c>
      <c r="AB26">
        <f t="shared" si="20"/>
        <v>-16.878434692248934</v>
      </c>
      <c r="AC26">
        <f t="shared" si="21"/>
        <v>-15.810578798571328</v>
      </c>
      <c r="AD26">
        <v>-4.1151553357831397E-2</v>
      </c>
      <c r="AE26">
        <v>4.61962237182406E-2</v>
      </c>
      <c r="AF26">
        <v>3.4530824427492801</v>
      </c>
      <c r="AG26">
        <v>3</v>
      </c>
      <c r="AH26">
        <v>1</v>
      </c>
      <c r="AI26">
        <f t="shared" si="22"/>
        <v>1</v>
      </c>
      <c r="AJ26">
        <f t="shared" si="23"/>
        <v>0</v>
      </c>
      <c r="AK26">
        <f t="shared" si="24"/>
        <v>52724.321217610086</v>
      </c>
      <c r="AL26" t="s">
        <v>344</v>
      </c>
      <c r="AM26">
        <v>589.29941176470595</v>
      </c>
      <c r="AN26">
        <v>3530.99</v>
      </c>
      <c r="AO26">
        <f t="shared" si="25"/>
        <v>2941.6905882352939</v>
      </c>
      <c r="AP26">
        <f t="shared" si="26"/>
        <v>0.83310646256015852</v>
      </c>
      <c r="AQ26">
        <v>1.42453575549529</v>
      </c>
      <c r="AR26" t="s">
        <v>397</v>
      </c>
      <c r="AS26">
        <v>758.165705882353</v>
      </c>
      <c r="AT26">
        <v>1169.0899999999999</v>
      </c>
      <c r="AU26">
        <f t="shared" si="27"/>
        <v>0.35149072707631313</v>
      </c>
      <c r="AV26">
        <v>0.5</v>
      </c>
      <c r="AW26">
        <f t="shared" si="28"/>
        <v>1471.1363998142933</v>
      </c>
      <c r="AX26">
        <f t="shared" si="29"/>
        <v>25.243158467262621</v>
      </c>
      <c r="AY26">
        <f t="shared" si="30"/>
        <v>258.54540139957783</v>
      </c>
      <c r="AZ26">
        <f t="shared" si="31"/>
        <v>0.54780213670461642</v>
      </c>
      <c r="BA26">
        <f t="shared" si="32"/>
        <v>1.6190628356945038E-2</v>
      </c>
      <c r="BB26">
        <f t="shared" si="33"/>
        <v>2.0202892848283707</v>
      </c>
      <c r="BC26" t="s">
        <v>398</v>
      </c>
      <c r="BD26">
        <v>528.66</v>
      </c>
      <c r="BE26">
        <f t="shared" si="34"/>
        <v>640.42999999999995</v>
      </c>
      <c r="BF26">
        <f t="shared" si="35"/>
        <v>0.64163810895436968</v>
      </c>
      <c r="BG26">
        <f t="shared" si="36"/>
        <v>0.78668900487288196</v>
      </c>
      <c r="BH26">
        <f t="shared" si="37"/>
        <v>0.70874605841459992</v>
      </c>
      <c r="BI26">
        <f t="shared" si="38"/>
        <v>0.80290565209201425</v>
      </c>
      <c r="BJ26">
        <v>8147</v>
      </c>
      <c r="BK26">
        <v>300</v>
      </c>
      <c r="BL26">
        <v>300</v>
      </c>
      <c r="BM26">
        <v>300</v>
      </c>
      <c r="BN26">
        <v>10287.299999999999</v>
      </c>
      <c r="BO26">
        <v>1066.8499999999999</v>
      </c>
      <c r="BP26">
        <v>-7.0392800000000002E-3</v>
      </c>
      <c r="BQ26">
        <v>4.8642599999999998</v>
      </c>
      <c r="BR26" t="s">
        <v>347</v>
      </c>
      <c r="BS26" t="s">
        <v>347</v>
      </c>
      <c r="BT26" t="s">
        <v>347</v>
      </c>
      <c r="BU26" t="s">
        <v>347</v>
      </c>
      <c r="BV26" t="s">
        <v>347</v>
      </c>
      <c r="BW26" t="s">
        <v>347</v>
      </c>
      <c r="BX26" t="s">
        <v>347</v>
      </c>
      <c r="BY26" t="s">
        <v>347</v>
      </c>
      <c r="BZ26" t="s">
        <v>347</v>
      </c>
      <c r="CA26" t="s">
        <v>347</v>
      </c>
      <c r="CB26">
        <f t="shared" si="39"/>
        <v>1749.92</v>
      </c>
      <c r="CC26">
        <f t="shared" si="40"/>
        <v>1471.1363998142933</v>
      </c>
      <c r="CD26">
        <f t="shared" si="41"/>
        <v>0.84068780276486543</v>
      </c>
      <c r="CE26">
        <f t="shared" si="42"/>
        <v>0.19137560552973082</v>
      </c>
      <c r="CF26">
        <v>1565560450.5</v>
      </c>
      <c r="CG26">
        <v>568.12599999999998</v>
      </c>
      <c r="CH26">
        <v>600.01400000000001</v>
      </c>
      <c r="CI26">
        <v>18.155100000000001</v>
      </c>
      <c r="CJ26">
        <v>15.3942</v>
      </c>
      <c r="CK26">
        <v>500.02199999999999</v>
      </c>
      <c r="CL26">
        <v>99.084400000000002</v>
      </c>
      <c r="CM26">
        <v>9.9997900000000001E-2</v>
      </c>
      <c r="CN26">
        <v>25.5609</v>
      </c>
      <c r="CO26">
        <v>27.021899999999999</v>
      </c>
      <c r="CP26">
        <v>999.9</v>
      </c>
      <c r="CQ26">
        <v>0</v>
      </c>
      <c r="CR26">
        <v>0</v>
      </c>
      <c r="CS26">
        <v>10015.6</v>
      </c>
      <c r="CT26">
        <v>0</v>
      </c>
      <c r="CU26">
        <v>1081.18</v>
      </c>
      <c r="CV26">
        <v>-31.898599999999998</v>
      </c>
      <c r="CW26">
        <v>578.62199999999996</v>
      </c>
      <c r="CX26">
        <v>609.39599999999996</v>
      </c>
      <c r="CY26">
        <v>2.76389</v>
      </c>
      <c r="CZ26">
        <v>563.46400000000006</v>
      </c>
      <c r="DA26">
        <v>600.01400000000001</v>
      </c>
      <c r="DB26">
        <v>17.685099999999998</v>
      </c>
      <c r="DC26">
        <v>15.3942</v>
      </c>
      <c r="DD26">
        <v>1.7991900000000001</v>
      </c>
      <c r="DE26">
        <v>1.5253300000000001</v>
      </c>
      <c r="DF26">
        <v>15.7797</v>
      </c>
      <c r="DG26">
        <v>13.224399999999999</v>
      </c>
      <c r="DH26">
        <v>1749.92</v>
      </c>
      <c r="DI26">
        <v>0.97700699999999996</v>
      </c>
      <c r="DJ26">
        <v>2.2992800000000001E-2</v>
      </c>
      <c r="DK26">
        <v>0</v>
      </c>
      <c r="DL26">
        <v>758.15200000000004</v>
      </c>
      <c r="DM26">
        <v>5.0002700000000004</v>
      </c>
      <c r="DN26">
        <v>19310.5</v>
      </c>
      <c r="DO26">
        <v>14145</v>
      </c>
      <c r="DP26">
        <v>49.436999999999998</v>
      </c>
      <c r="DQ26">
        <v>51.375</v>
      </c>
      <c r="DR26">
        <v>50.436999999999998</v>
      </c>
      <c r="DS26">
        <v>50.875</v>
      </c>
      <c r="DT26">
        <v>50.625</v>
      </c>
      <c r="DU26">
        <v>1704.8</v>
      </c>
      <c r="DV26">
        <v>40.119999999999997</v>
      </c>
      <c r="DW26">
        <v>0</v>
      </c>
      <c r="DX26">
        <v>116</v>
      </c>
      <c r="DY26">
        <v>758.165705882353</v>
      </c>
      <c r="DZ26">
        <v>0.53112746152159795</v>
      </c>
      <c r="EA26">
        <v>809.41176765199396</v>
      </c>
      <c r="EB26">
        <v>19302.3411764706</v>
      </c>
      <c r="EC26">
        <v>10</v>
      </c>
      <c r="ED26">
        <v>1565560475</v>
      </c>
      <c r="EE26" t="s">
        <v>399</v>
      </c>
      <c r="EF26">
        <v>91</v>
      </c>
      <c r="EG26">
        <v>4.6619999999999999</v>
      </c>
      <c r="EH26">
        <v>0.47</v>
      </c>
      <c r="EI26">
        <v>600</v>
      </c>
      <c r="EJ26">
        <v>15</v>
      </c>
      <c r="EK26">
        <v>0.04</v>
      </c>
      <c r="EL26">
        <v>7.0000000000000007E-2</v>
      </c>
      <c r="EM26">
        <v>25.280720520686099</v>
      </c>
      <c r="EN26">
        <v>-0.79504814027412496</v>
      </c>
      <c r="EO26">
        <v>9.2005026431443995E-2</v>
      </c>
      <c r="EP26">
        <v>0</v>
      </c>
      <c r="EQ26">
        <v>0.13265774814162101</v>
      </c>
      <c r="ER26">
        <v>-5.4693289012813801E-3</v>
      </c>
      <c r="ES26">
        <v>8.0150822506876802E-4</v>
      </c>
      <c r="ET26">
        <v>1</v>
      </c>
      <c r="EU26">
        <v>1</v>
      </c>
      <c r="EV26">
        <v>2</v>
      </c>
      <c r="EW26" t="s">
        <v>349</v>
      </c>
      <c r="EX26">
        <v>2.9487700000000001</v>
      </c>
      <c r="EY26">
        <v>2.7775500000000002</v>
      </c>
      <c r="EZ26">
        <v>0.120603</v>
      </c>
      <c r="FA26">
        <v>0.122714</v>
      </c>
      <c r="FB26">
        <v>9.0306600000000001E-2</v>
      </c>
      <c r="FC26">
        <v>7.7675099999999997E-2</v>
      </c>
      <c r="FD26">
        <v>21063.200000000001</v>
      </c>
      <c r="FE26">
        <v>21202</v>
      </c>
      <c r="FF26">
        <v>22528.400000000001</v>
      </c>
      <c r="FG26">
        <v>26514.400000000001</v>
      </c>
      <c r="FH26">
        <v>29295.599999999999</v>
      </c>
      <c r="FI26">
        <v>38384.5</v>
      </c>
      <c r="FJ26">
        <v>32178.2</v>
      </c>
      <c r="FK26">
        <v>42238.400000000001</v>
      </c>
      <c r="FL26">
        <v>1.9216</v>
      </c>
      <c r="FM26">
        <v>1.8181700000000001</v>
      </c>
      <c r="FN26">
        <v>-5.04777E-3</v>
      </c>
      <c r="FO26">
        <v>0</v>
      </c>
      <c r="FP26">
        <v>27.104500000000002</v>
      </c>
      <c r="FQ26">
        <v>999.9</v>
      </c>
      <c r="FR26">
        <v>32.566000000000003</v>
      </c>
      <c r="FS26">
        <v>43.497</v>
      </c>
      <c r="FT26">
        <v>29.303599999999999</v>
      </c>
      <c r="FU26">
        <v>61.484699999999997</v>
      </c>
      <c r="FV26">
        <v>46.193899999999999</v>
      </c>
      <c r="FW26">
        <v>1</v>
      </c>
      <c r="FX26">
        <v>0.60509900000000005</v>
      </c>
      <c r="FY26">
        <v>7.5670599999999997</v>
      </c>
      <c r="FZ26">
        <v>20.104299999999999</v>
      </c>
      <c r="GA26">
        <v>5.2276199999999999</v>
      </c>
      <c r="GB26">
        <v>11.962</v>
      </c>
      <c r="GC26">
        <v>4.9718</v>
      </c>
      <c r="GD26">
        <v>3.2949999999999999</v>
      </c>
      <c r="GE26">
        <v>9999</v>
      </c>
      <c r="GF26">
        <v>9999</v>
      </c>
      <c r="GG26">
        <v>507.8</v>
      </c>
      <c r="GH26">
        <v>9999</v>
      </c>
      <c r="GI26">
        <v>1.8660000000000001</v>
      </c>
      <c r="GJ26">
        <v>1.86551</v>
      </c>
      <c r="GK26">
        <v>1.86568</v>
      </c>
      <c r="GL26">
        <v>1.8686100000000001</v>
      </c>
      <c r="GM26">
        <v>1.8629500000000001</v>
      </c>
      <c r="GN26">
        <v>1.8611</v>
      </c>
      <c r="GO26">
        <v>1.85727</v>
      </c>
      <c r="GP26">
        <v>1.8633999999999999</v>
      </c>
      <c r="GQ26" t="s">
        <v>350</v>
      </c>
      <c r="GR26" t="s">
        <v>19</v>
      </c>
      <c r="GS26" t="s">
        <v>19</v>
      </c>
      <c r="GT26" t="s">
        <v>19</v>
      </c>
      <c r="GU26" t="s">
        <v>351</v>
      </c>
      <c r="GV26" t="s">
        <v>352</v>
      </c>
      <c r="GW26" t="s">
        <v>353</v>
      </c>
      <c r="GX26" t="s">
        <v>353</v>
      </c>
      <c r="GY26" t="s">
        <v>353</v>
      </c>
      <c r="GZ26" t="s">
        <v>353</v>
      </c>
      <c r="HA26">
        <v>0</v>
      </c>
      <c r="HB26">
        <v>100</v>
      </c>
      <c r="HC26">
        <v>100</v>
      </c>
      <c r="HD26">
        <v>4.6619999999999999</v>
      </c>
      <c r="HE26">
        <v>0.47</v>
      </c>
      <c r="HF26">
        <v>2</v>
      </c>
      <c r="HG26">
        <v>494.58199999999999</v>
      </c>
      <c r="HH26">
        <v>465.84300000000002</v>
      </c>
      <c r="HI26">
        <v>19.438099999999999</v>
      </c>
      <c r="HJ26">
        <v>34.783200000000001</v>
      </c>
      <c r="HK26">
        <v>30.0002</v>
      </c>
      <c r="HL26">
        <v>34.682200000000002</v>
      </c>
      <c r="HM26">
        <v>34.666499999999999</v>
      </c>
      <c r="HN26">
        <v>29.6206</v>
      </c>
      <c r="HO26">
        <v>75.464799999999997</v>
      </c>
      <c r="HP26">
        <v>0</v>
      </c>
      <c r="HQ26">
        <v>19.4345</v>
      </c>
      <c r="HR26">
        <v>600</v>
      </c>
      <c r="HS26">
        <v>15.3141</v>
      </c>
      <c r="HT26">
        <v>99.055099999999996</v>
      </c>
      <c r="HU26">
        <v>102.989</v>
      </c>
    </row>
    <row r="27" spans="1:229" x14ac:dyDescent="0.35">
      <c r="A27">
        <v>11</v>
      </c>
      <c r="B27">
        <v>1565560566</v>
      </c>
      <c r="C27">
        <v>1072</v>
      </c>
      <c r="D27" t="s">
        <v>400</v>
      </c>
      <c r="E27" t="s">
        <v>401</v>
      </c>
      <c r="G27">
        <v>1565560566</v>
      </c>
      <c r="H27">
        <f t="shared" si="0"/>
        <v>2.2628401156496994E-3</v>
      </c>
      <c r="I27">
        <f t="shared" si="1"/>
        <v>33.325624631285358</v>
      </c>
      <c r="J27">
        <f t="shared" si="2"/>
        <v>758.10599999999999</v>
      </c>
      <c r="K27">
        <f t="shared" si="3"/>
        <v>314.51255402838314</v>
      </c>
      <c r="L27">
        <f t="shared" si="4"/>
        <v>31.194319844343266</v>
      </c>
      <c r="M27">
        <f t="shared" si="5"/>
        <v>75.191278494344402</v>
      </c>
      <c r="N27">
        <f t="shared" si="6"/>
        <v>0.12795023439384812</v>
      </c>
      <c r="O27">
        <f t="shared" si="7"/>
        <v>2.2448764326033688</v>
      </c>
      <c r="P27">
        <f t="shared" si="8"/>
        <v>0.12403247941056052</v>
      </c>
      <c r="Q27">
        <f t="shared" si="9"/>
        <v>7.7862301824716623E-2</v>
      </c>
      <c r="R27">
        <f t="shared" si="10"/>
        <v>281.5316393785871</v>
      </c>
      <c r="S27">
        <f t="shared" si="11"/>
        <v>26.871660637883576</v>
      </c>
      <c r="T27">
        <f t="shared" si="12"/>
        <v>26.997900000000001</v>
      </c>
      <c r="U27">
        <f t="shared" si="13"/>
        <v>3.5787182694329847</v>
      </c>
      <c r="V27">
        <f t="shared" si="14"/>
        <v>55.513920837975419</v>
      </c>
      <c r="W27">
        <f t="shared" si="15"/>
        <v>1.8184620309385597</v>
      </c>
      <c r="X27">
        <f t="shared" si="16"/>
        <v>3.2756865367985397</v>
      </c>
      <c r="Y27">
        <f t="shared" si="17"/>
        <v>1.7602562384944249</v>
      </c>
      <c r="Z27">
        <f t="shared" si="18"/>
        <v>-99.791249100151745</v>
      </c>
      <c r="AA27">
        <f t="shared" si="19"/>
        <v>-181.29661579530034</v>
      </c>
      <c r="AB27">
        <f t="shared" si="20"/>
        <v>-17.298517021943784</v>
      </c>
      <c r="AC27">
        <f t="shared" si="21"/>
        <v>-16.85474253880875</v>
      </c>
      <c r="AD27">
        <v>-4.1045955211474999E-2</v>
      </c>
      <c r="AE27">
        <v>4.6077680548049803E-2</v>
      </c>
      <c r="AF27">
        <v>3.4460647369281698</v>
      </c>
      <c r="AG27">
        <v>3</v>
      </c>
      <c r="AH27">
        <v>1</v>
      </c>
      <c r="AI27">
        <f t="shared" si="22"/>
        <v>1</v>
      </c>
      <c r="AJ27">
        <f t="shared" si="23"/>
        <v>0</v>
      </c>
      <c r="AK27">
        <f t="shared" si="24"/>
        <v>52605.28480170315</v>
      </c>
      <c r="AL27" t="s">
        <v>344</v>
      </c>
      <c r="AM27">
        <v>589.29941176470595</v>
      </c>
      <c r="AN27">
        <v>3530.99</v>
      </c>
      <c r="AO27">
        <f t="shared" si="25"/>
        <v>2941.6905882352939</v>
      </c>
      <c r="AP27">
        <f t="shared" si="26"/>
        <v>0.83310646256015852</v>
      </c>
      <c r="AQ27">
        <v>1.42453575549529</v>
      </c>
      <c r="AR27" t="s">
        <v>402</v>
      </c>
      <c r="AS27">
        <v>779.25394117647102</v>
      </c>
      <c r="AT27">
        <v>1264.76</v>
      </c>
      <c r="AU27">
        <f t="shared" si="27"/>
        <v>0.38387208547355145</v>
      </c>
      <c r="AV27">
        <v>0.5</v>
      </c>
      <c r="AW27">
        <f t="shared" si="28"/>
        <v>1471.0943998142877</v>
      </c>
      <c r="AX27">
        <f t="shared" si="29"/>
        <v>33.325624631285358</v>
      </c>
      <c r="AY27">
        <f t="shared" si="30"/>
        <v>282.35603759258657</v>
      </c>
      <c r="AZ27">
        <f t="shared" si="31"/>
        <v>0.5762832474145293</v>
      </c>
      <c r="BA27">
        <f t="shared" si="32"/>
        <v>2.1685276539573046E-2</v>
      </c>
      <c r="BB27">
        <f t="shared" si="33"/>
        <v>1.7918261172080074</v>
      </c>
      <c r="BC27" t="s">
        <v>403</v>
      </c>
      <c r="BD27">
        <v>535.9</v>
      </c>
      <c r="BE27">
        <f t="shared" si="34"/>
        <v>728.86</v>
      </c>
      <c r="BF27">
        <f t="shared" si="35"/>
        <v>0.66611703046336601</v>
      </c>
      <c r="BG27">
        <f t="shared" si="36"/>
        <v>0.7566483811838709</v>
      </c>
      <c r="BH27">
        <f t="shared" si="37"/>
        <v>0.71877777516518082</v>
      </c>
      <c r="BI27">
        <f t="shared" si="38"/>
        <v>0.77038353695773965</v>
      </c>
      <c r="BJ27">
        <v>8149</v>
      </c>
      <c r="BK27">
        <v>300</v>
      </c>
      <c r="BL27">
        <v>300</v>
      </c>
      <c r="BM27">
        <v>300</v>
      </c>
      <c r="BN27">
        <v>10287.4</v>
      </c>
      <c r="BO27">
        <v>1141.8800000000001</v>
      </c>
      <c r="BP27">
        <v>-7.0398300000000004E-3</v>
      </c>
      <c r="BQ27">
        <v>4.4854700000000003</v>
      </c>
      <c r="BR27" t="s">
        <v>347</v>
      </c>
      <c r="BS27" t="s">
        <v>347</v>
      </c>
      <c r="BT27" t="s">
        <v>347</v>
      </c>
      <c r="BU27" t="s">
        <v>347</v>
      </c>
      <c r="BV27" t="s">
        <v>347</v>
      </c>
      <c r="BW27" t="s">
        <v>347</v>
      </c>
      <c r="BX27" t="s">
        <v>347</v>
      </c>
      <c r="BY27" t="s">
        <v>347</v>
      </c>
      <c r="BZ27" t="s">
        <v>347</v>
      </c>
      <c r="CA27" t="s">
        <v>347</v>
      </c>
      <c r="CB27">
        <f t="shared" si="39"/>
        <v>1749.87</v>
      </c>
      <c r="CC27">
        <f t="shared" si="40"/>
        <v>1471.0943998142877</v>
      </c>
      <c r="CD27">
        <f t="shared" si="41"/>
        <v>0.8406878224178298</v>
      </c>
      <c r="CE27">
        <f t="shared" si="42"/>
        <v>0.19137564483565972</v>
      </c>
      <c r="CF27">
        <v>1565560566</v>
      </c>
      <c r="CG27">
        <v>758.10599999999999</v>
      </c>
      <c r="CH27">
        <v>800.16600000000005</v>
      </c>
      <c r="CI27">
        <v>18.334399999999999</v>
      </c>
      <c r="CJ27">
        <v>15.668100000000001</v>
      </c>
      <c r="CK27">
        <v>499.87299999999999</v>
      </c>
      <c r="CL27">
        <v>99.083399999999997</v>
      </c>
      <c r="CM27">
        <v>9.9667400000000003E-2</v>
      </c>
      <c r="CN27">
        <v>25.4999</v>
      </c>
      <c r="CO27">
        <v>26.997900000000001</v>
      </c>
      <c r="CP27">
        <v>999.9</v>
      </c>
      <c r="CQ27">
        <v>0</v>
      </c>
      <c r="CR27">
        <v>0</v>
      </c>
      <c r="CS27">
        <v>9990</v>
      </c>
      <c r="CT27">
        <v>0</v>
      </c>
      <c r="CU27">
        <v>1005.78</v>
      </c>
      <c r="CV27">
        <v>-42.205500000000001</v>
      </c>
      <c r="CW27">
        <v>772.11599999999999</v>
      </c>
      <c r="CX27">
        <v>812.90200000000004</v>
      </c>
      <c r="CY27">
        <v>2.6652999999999998</v>
      </c>
      <c r="CZ27">
        <v>753.298</v>
      </c>
      <c r="DA27">
        <v>800.16600000000005</v>
      </c>
      <c r="DB27">
        <v>17.863399999999999</v>
      </c>
      <c r="DC27">
        <v>15.668100000000001</v>
      </c>
      <c r="DD27">
        <v>1.81654</v>
      </c>
      <c r="DE27">
        <v>1.5524500000000001</v>
      </c>
      <c r="DF27">
        <v>15.9298</v>
      </c>
      <c r="DG27">
        <v>13.4948</v>
      </c>
      <c r="DH27">
        <v>1749.87</v>
      </c>
      <c r="DI27">
        <v>0.97700699999999996</v>
      </c>
      <c r="DJ27">
        <v>2.2992800000000001E-2</v>
      </c>
      <c r="DK27">
        <v>0</v>
      </c>
      <c r="DL27">
        <v>778.88900000000001</v>
      </c>
      <c r="DM27">
        <v>5.0002700000000004</v>
      </c>
      <c r="DN27">
        <v>19579.900000000001</v>
      </c>
      <c r="DO27">
        <v>14144.6</v>
      </c>
      <c r="DP27">
        <v>49.436999999999998</v>
      </c>
      <c r="DQ27">
        <v>51.5</v>
      </c>
      <c r="DR27">
        <v>50.5</v>
      </c>
      <c r="DS27">
        <v>50.936999999999998</v>
      </c>
      <c r="DT27">
        <v>50.75</v>
      </c>
      <c r="DU27">
        <v>1704.75</v>
      </c>
      <c r="DV27">
        <v>40.119999999999997</v>
      </c>
      <c r="DW27">
        <v>0</v>
      </c>
      <c r="DX27">
        <v>115.30000019073501</v>
      </c>
      <c r="DY27">
        <v>779.25394117647102</v>
      </c>
      <c r="DZ27">
        <v>-1.3718137023489301</v>
      </c>
      <c r="EA27">
        <v>1079.4362754359699</v>
      </c>
      <c r="EB27">
        <v>19397.870588235299</v>
      </c>
      <c r="EC27">
        <v>10</v>
      </c>
      <c r="ED27">
        <v>1565560595.5</v>
      </c>
      <c r="EE27" t="s">
        <v>404</v>
      </c>
      <c r="EF27">
        <v>92</v>
      </c>
      <c r="EG27">
        <v>4.8079999999999998</v>
      </c>
      <c r="EH27">
        <v>0.47099999999999997</v>
      </c>
      <c r="EI27">
        <v>800</v>
      </c>
      <c r="EJ27">
        <v>16</v>
      </c>
      <c r="EK27">
        <v>0.02</v>
      </c>
      <c r="EL27">
        <v>0.09</v>
      </c>
      <c r="EM27">
        <v>33.4454271018597</v>
      </c>
      <c r="EN27">
        <v>-0.103206197013131</v>
      </c>
      <c r="EO27">
        <v>7.4866751886381602E-2</v>
      </c>
      <c r="EP27">
        <v>0</v>
      </c>
      <c r="EQ27">
        <v>0.12733205540475301</v>
      </c>
      <c r="ER27">
        <v>-1.21214787587423E-2</v>
      </c>
      <c r="ES27">
        <v>1.53052009693397E-3</v>
      </c>
      <c r="ET27">
        <v>1</v>
      </c>
      <c r="EU27">
        <v>1</v>
      </c>
      <c r="EV27">
        <v>2</v>
      </c>
      <c r="EW27" t="s">
        <v>349</v>
      </c>
      <c r="EX27">
        <v>2.9483999999999999</v>
      </c>
      <c r="EY27">
        <v>2.7769900000000001</v>
      </c>
      <c r="EZ27">
        <v>0.1474</v>
      </c>
      <c r="FA27">
        <v>0.149314</v>
      </c>
      <c r="FB27">
        <v>9.0971099999999999E-2</v>
      </c>
      <c r="FC27">
        <v>7.8688800000000003E-2</v>
      </c>
      <c r="FD27">
        <v>20421.099999999999</v>
      </c>
      <c r="FE27">
        <v>20558.3</v>
      </c>
      <c r="FF27">
        <v>22529</v>
      </c>
      <c r="FG27">
        <v>26514.9</v>
      </c>
      <c r="FH27">
        <v>29274.7</v>
      </c>
      <c r="FI27">
        <v>38343.599999999999</v>
      </c>
      <c r="FJ27">
        <v>32178.3</v>
      </c>
      <c r="FK27">
        <v>42239.4</v>
      </c>
      <c r="FL27">
        <v>1.9220200000000001</v>
      </c>
      <c r="FM27">
        <v>1.8188</v>
      </c>
      <c r="FN27">
        <v>-1.6726600000000001E-2</v>
      </c>
      <c r="FO27">
        <v>0</v>
      </c>
      <c r="FP27">
        <v>27.2714</v>
      </c>
      <c r="FQ27">
        <v>999.9</v>
      </c>
      <c r="FR27">
        <v>32.615000000000002</v>
      </c>
      <c r="FS27">
        <v>43.457000000000001</v>
      </c>
      <c r="FT27">
        <v>29.290500000000002</v>
      </c>
      <c r="FU27">
        <v>61.8247</v>
      </c>
      <c r="FV27">
        <v>46.374200000000002</v>
      </c>
      <c r="FW27">
        <v>1</v>
      </c>
      <c r="FX27">
        <v>0.60204500000000005</v>
      </c>
      <c r="FY27">
        <v>6.7422300000000002</v>
      </c>
      <c r="FZ27">
        <v>20.139800000000001</v>
      </c>
      <c r="GA27">
        <v>5.22133</v>
      </c>
      <c r="GB27">
        <v>11.962</v>
      </c>
      <c r="GC27">
        <v>4.9709500000000002</v>
      </c>
      <c r="GD27">
        <v>3.2944</v>
      </c>
      <c r="GE27">
        <v>9999</v>
      </c>
      <c r="GF27">
        <v>9999</v>
      </c>
      <c r="GG27">
        <v>507.8</v>
      </c>
      <c r="GH27">
        <v>9999</v>
      </c>
      <c r="GI27">
        <v>1.86602</v>
      </c>
      <c r="GJ27">
        <v>1.8655299999999999</v>
      </c>
      <c r="GK27">
        <v>1.86568</v>
      </c>
      <c r="GL27">
        <v>1.8686100000000001</v>
      </c>
      <c r="GM27">
        <v>1.8629500000000001</v>
      </c>
      <c r="GN27">
        <v>1.8610899999999999</v>
      </c>
      <c r="GO27">
        <v>1.85728</v>
      </c>
      <c r="GP27">
        <v>1.8633999999999999</v>
      </c>
      <c r="GQ27" t="s">
        <v>350</v>
      </c>
      <c r="GR27" t="s">
        <v>19</v>
      </c>
      <c r="GS27" t="s">
        <v>19</v>
      </c>
      <c r="GT27" t="s">
        <v>19</v>
      </c>
      <c r="GU27" t="s">
        <v>351</v>
      </c>
      <c r="GV27" t="s">
        <v>352</v>
      </c>
      <c r="GW27" t="s">
        <v>353</v>
      </c>
      <c r="GX27" t="s">
        <v>353</v>
      </c>
      <c r="GY27" t="s">
        <v>353</v>
      </c>
      <c r="GZ27" t="s">
        <v>353</v>
      </c>
      <c r="HA27">
        <v>0</v>
      </c>
      <c r="HB27">
        <v>100</v>
      </c>
      <c r="HC27">
        <v>100</v>
      </c>
      <c r="HD27">
        <v>4.8079999999999998</v>
      </c>
      <c r="HE27">
        <v>0.47099999999999997</v>
      </c>
      <c r="HF27">
        <v>2</v>
      </c>
      <c r="HG27">
        <v>494.67399999999998</v>
      </c>
      <c r="HH27">
        <v>466.07499999999999</v>
      </c>
      <c r="HI27">
        <v>18.916899999999998</v>
      </c>
      <c r="HJ27">
        <v>34.7729</v>
      </c>
      <c r="HK27">
        <v>29.993200000000002</v>
      </c>
      <c r="HL27">
        <v>34.6569</v>
      </c>
      <c r="HM27">
        <v>34.641500000000001</v>
      </c>
      <c r="HN27">
        <v>37.518000000000001</v>
      </c>
      <c r="HO27">
        <v>78.475700000000003</v>
      </c>
      <c r="HP27">
        <v>0</v>
      </c>
      <c r="HQ27">
        <v>19.1188</v>
      </c>
      <c r="HR27">
        <v>800</v>
      </c>
      <c r="HS27">
        <v>15.355600000000001</v>
      </c>
      <c r="HT27">
        <v>99.0565</v>
      </c>
      <c r="HU27">
        <v>102.991</v>
      </c>
    </row>
    <row r="28" spans="1:229" x14ac:dyDescent="0.35">
      <c r="A28">
        <v>12</v>
      </c>
      <c r="B28">
        <v>1565560671</v>
      </c>
      <c r="C28">
        <v>1177</v>
      </c>
      <c r="D28" t="s">
        <v>405</v>
      </c>
      <c r="E28" t="s">
        <v>406</v>
      </c>
      <c r="G28">
        <v>1565560671</v>
      </c>
      <c r="H28">
        <f t="shared" si="0"/>
        <v>2.3257018702506644E-3</v>
      </c>
      <c r="I28">
        <f t="shared" si="1"/>
        <v>43.233448759019474</v>
      </c>
      <c r="J28">
        <f t="shared" si="2"/>
        <v>1144.845</v>
      </c>
      <c r="K28">
        <f t="shared" si="3"/>
        <v>572.39898319645727</v>
      </c>
      <c r="L28">
        <f t="shared" si="4"/>
        <v>56.770955816230263</v>
      </c>
      <c r="M28">
        <f t="shared" si="5"/>
        <v>113.54657646050551</v>
      </c>
      <c r="N28">
        <f t="shared" si="6"/>
        <v>0.12989268504854706</v>
      </c>
      <c r="O28">
        <f t="shared" si="7"/>
        <v>2.2444539863591944</v>
      </c>
      <c r="P28">
        <f t="shared" si="8"/>
        <v>0.12585635907691431</v>
      </c>
      <c r="Q28">
        <f t="shared" si="9"/>
        <v>7.9012424233952522E-2</v>
      </c>
      <c r="R28">
        <f t="shared" si="10"/>
        <v>281.52844739750748</v>
      </c>
      <c r="S28">
        <f t="shared" si="11"/>
        <v>26.933747030210377</v>
      </c>
      <c r="T28">
        <f t="shared" si="12"/>
        <v>27.048400000000001</v>
      </c>
      <c r="U28">
        <f t="shared" si="13"/>
        <v>3.5893466296971033</v>
      </c>
      <c r="V28">
        <f t="shared" si="14"/>
        <v>54.876076848556451</v>
      </c>
      <c r="W28">
        <f t="shared" si="15"/>
        <v>1.80643836066984</v>
      </c>
      <c r="X28">
        <f t="shared" si="16"/>
        <v>3.2918504098883288</v>
      </c>
      <c r="Y28">
        <f t="shared" si="17"/>
        <v>1.7829082690272633</v>
      </c>
      <c r="Z28">
        <f t="shared" si="18"/>
        <v>-102.5634524780543</v>
      </c>
      <c r="AA28">
        <f t="shared" si="19"/>
        <v>-177.34200165494227</v>
      </c>
      <c r="AB28">
        <f t="shared" si="20"/>
        <v>-16.935685018001365</v>
      </c>
      <c r="AC28">
        <f t="shared" si="21"/>
        <v>-15.312691753490469</v>
      </c>
      <c r="AD28">
        <v>-4.1034606653214102E-2</v>
      </c>
      <c r="AE28">
        <v>4.6064940797213703E-2</v>
      </c>
      <c r="AF28">
        <v>3.44531018109162</v>
      </c>
      <c r="AG28">
        <v>3</v>
      </c>
      <c r="AH28">
        <v>1</v>
      </c>
      <c r="AI28">
        <f t="shared" si="22"/>
        <v>1</v>
      </c>
      <c r="AJ28">
        <f t="shared" si="23"/>
        <v>0</v>
      </c>
      <c r="AK28">
        <f t="shared" si="24"/>
        <v>52576.672992434877</v>
      </c>
      <c r="AL28" t="s">
        <v>344</v>
      </c>
      <c r="AM28">
        <v>589.29941176470595</v>
      </c>
      <c r="AN28">
        <v>3530.99</v>
      </c>
      <c r="AO28">
        <f t="shared" si="25"/>
        <v>2941.6905882352939</v>
      </c>
      <c r="AP28">
        <f t="shared" si="26"/>
        <v>0.83310646256015852</v>
      </c>
      <c r="AQ28">
        <v>1.42453575549529</v>
      </c>
      <c r="AR28" t="s">
        <v>407</v>
      </c>
      <c r="AS28">
        <v>786.89611764705899</v>
      </c>
      <c r="AT28">
        <v>1292.54</v>
      </c>
      <c r="AU28">
        <f t="shared" si="27"/>
        <v>0.39120172865283931</v>
      </c>
      <c r="AV28">
        <v>0.5</v>
      </c>
      <c r="AW28">
        <f t="shared" si="28"/>
        <v>1471.0775998142858</v>
      </c>
      <c r="AX28">
        <f t="shared" si="29"/>
        <v>43.233448759019474</v>
      </c>
      <c r="AY28">
        <f t="shared" si="30"/>
        <v>287.74405001490919</v>
      </c>
      <c r="AZ28">
        <f t="shared" si="31"/>
        <v>0.59116158880963054</v>
      </c>
      <c r="BA28">
        <f t="shared" si="32"/>
        <v>2.8420603378640455E-2</v>
      </c>
      <c r="BB28">
        <f t="shared" si="33"/>
        <v>1.7318226128398346</v>
      </c>
      <c r="BC28" t="s">
        <v>408</v>
      </c>
      <c r="BD28">
        <v>528.44000000000005</v>
      </c>
      <c r="BE28">
        <f t="shared" si="34"/>
        <v>764.09999999999991</v>
      </c>
      <c r="BF28">
        <f t="shared" si="35"/>
        <v>0.66175092573346561</v>
      </c>
      <c r="BG28">
        <f t="shared" si="36"/>
        <v>0.74551631113553485</v>
      </c>
      <c r="BH28">
        <f t="shared" si="37"/>
        <v>0.71901976480310881</v>
      </c>
      <c r="BI28">
        <f t="shared" si="38"/>
        <v>0.7609399876901517</v>
      </c>
      <c r="BJ28">
        <v>8151</v>
      </c>
      <c r="BK28">
        <v>300</v>
      </c>
      <c r="BL28">
        <v>300</v>
      </c>
      <c r="BM28">
        <v>300</v>
      </c>
      <c r="BN28">
        <v>10287.4</v>
      </c>
      <c r="BO28">
        <v>1166.45</v>
      </c>
      <c r="BP28">
        <v>-7.0397400000000001E-3</v>
      </c>
      <c r="BQ28">
        <v>4.8259299999999996</v>
      </c>
      <c r="BR28" t="s">
        <v>347</v>
      </c>
      <c r="BS28" t="s">
        <v>347</v>
      </c>
      <c r="BT28" t="s">
        <v>347</v>
      </c>
      <c r="BU28" t="s">
        <v>347</v>
      </c>
      <c r="BV28" t="s">
        <v>347</v>
      </c>
      <c r="BW28" t="s">
        <v>347</v>
      </c>
      <c r="BX28" t="s">
        <v>347</v>
      </c>
      <c r="BY28" t="s">
        <v>347</v>
      </c>
      <c r="BZ28" t="s">
        <v>347</v>
      </c>
      <c r="CA28" t="s">
        <v>347</v>
      </c>
      <c r="CB28">
        <f t="shared" si="39"/>
        <v>1749.85</v>
      </c>
      <c r="CC28">
        <f t="shared" si="40"/>
        <v>1471.0775998142858</v>
      </c>
      <c r="CD28">
        <f t="shared" si="41"/>
        <v>0.84068783027933014</v>
      </c>
      <c r="CE28">
        <f t="shared" si="42"/>
        <v>0.19137566055866029</v>
      </c>
      <c r="CF28">
        <v>1565560671</v>
      </c>
      <c r="CG28">
        <v>1144.845</v>
      </c>
      <c r="CH28">
        <v>1199.92</v>
      </c>
      <c r="CI28">
        <v>18.2136</v>
      </c>
      <c r="CJ28">
        <v>15.473599999999999</v>
      </c>
      <c r="CK28">
        <v>500.00200000000001</v>
      </c>
      <c r="CL28">
        <v>99.080799999999996</v>
      </c>
      <c r="CM28">
        <v>9.99419E-2</v>
      </c>
      <c r="CN28">
        <v>25.582799999999999</v>
      </c>
      <c r="CO28">
        <v>27.048400000000001</v>
      </c>
      <c r="CP28">
        <v>999.9</v>
      </c>
      <c r="CQ28">
        <v>0</v>
      </c>
      <c r="CR28">
        <v>0</v>
      </c>
      <c r="CS28">
        <v>9987.5</v>
      </c>
      <c r="CT28">
        <v>0</v>
      </c>
      <c r="CU28">
        <v>1072.1500000000001</v>
      </c>
      <c r="CV28">
        <v>-54.659199999999998</v>
      </c>
      <c r="CW28">
        <v>1166.52</v>
      </c>
      <c r="CX28">
        <v>1218.78</v>
      </c>
      <c r="CY28">
        <v>2.7450000000000001</v>
      </c>
      <c r="CZ28">
        <v>1140.45</v>
      </c>
      <c r="DA28">
        <v>1199.92</v>
      </c>
      <c r="DB28">
        <v>17.747599999999998</v>
      </c>
      <c r="DC28">
        <v>15.473599999999999</v>
      </c>
      <c r="DD28">
        <v>1.80511</v>
      </c>
      <c r="DE28">
        <v>1.5331399999999999</v>
      </c>
      <c r="DF28">
        <v>15.831099999999999</v>
      </c>
      <c r="DG28">
        <v>13.3027</v>
      </c>
      <c r="DH28">
        <v>1749.85</v>
      </c>
      <c r="DI28">
        <v>0.97700699999999996</v>
      </c>
      <c r="DJ28">
        <v>2.2992800000000001E-2</v>
      </c>
      <c r="DK28">
        <v>0</v>
      </c>
      <c r="DL28">
        <v>784.29</v>
      </c>
      <c r="DM28">
        <v>5.0002700000000004</v>
      </c>
      <c r="DN28">
        <v>20062.8</v>
      </c>
      <c r="DO28">
        <v>14144.5</v>
      </c>
      <c r="DP28">
        <v>49.561999999999998</v>
      </c>
      <c r="DQ28">
        <v>51.625</v>
      </c>
      <c r="DR28">
        <v>50.561999999999998</v>
      </c>
      <c r="DS28">
        <v>51.125</v>
      </c>
      <c r="DT28">
        <v>50.811999999999998</v>
      </c>
      <c r="DU28">
        <v>1704.73</v>
      </c>
      <c r="DV28">
        <v>40.119999999999997</v>
      </c>
      <c r="DW28">
        <v>0</v>
      </c>
      <c r="DX28">
        <v>104.5</v>
      </c>
      <c r="DY28">
        <v>786.89611764705899</v>
      </c>
      <c r="DZ28">
        <v>-38.065196050665598</v>
      </c>
      <c r="EA28">
        <v>-1088.3578440675899</v>
      </c>
      <c r="EB28">
        <v>20137.4352941176</v>
      </c>
      <c r="EC28">
        <v>10</v>
      </c>
      <c r="ED28">
        <v>1565560701.5</v>
      </c>
      <c r="EE28" t="s">
        <v>409</v>
      </c>
      <c r="EF28">
        <v>93</v>
      </c>
      <c r="EG28">
        <v>4.3929999999999998</v>
      </c>
      <c r="EH28">
        <v>0.46600000000000003</v>
      </c>
      <c r="EI28">
        <v>1200</v>
      </c>
      <c r="EJ28">
        <v>15</v>
      </c>
      <c r="EK28">
        <v>0.06</v>
      </c>
      <c r="EL28">
        <v>7.0000000000000007E-2</v>
      </c>
      <c r="EM28">
        <v>42.735752625291397</v>
      </c>
      <c r="EN28">
        <v>6.9921825274869301E-2</v>
      </c>
      <c r="EO28">
        <v>0.118751978837959</v>
      </c>
      <c r="EP28">
        <v>1</v>
      </c>
      <c r="EQ28">
        <v>0.130322813817394</v>
      </c>
      <c r="ER28">
        <v>-5.3145903098136696E-4</v>
      </c>
      <c r="ES28">
        <v>2.7696622060177E-4</v>
      </c>
      <c r="ET28">
        <v>1</v>
      </c>
      <c r="EU28">
        <v>2</v>
      </c>
      <c r="EV28">
        <v>2</v>
      </c>
      <c r="EW28" t="s">
        <v>364</v>
      </c>
      <c r="EX28">
        <v>2.9487199999999998</v>
      </c>
      <c r="EY28">
        <v>2.77725</v>
      </c>
      <c r="EZ28">
        <v>0.19262299999999999</v>
      </c>
      <c r="FA28">
        <v>0.193415</v>
      </c>
      <c r="FB28">
        <v>9.0543100000000001E-2</v>
      </c>
      <c r="FC28">
        <v>7.7972700000000006E-2</v>
      </c>
      <c r="FD28">
        <v>19335.3</v>
      </c>
      <c r="FE28">
        <v>19489.8</v>
      </c>
      <c r="FF28">
        <v>22529.1</v>
      </c>
      <c r="FG28">
        <v>26515.8</v>
      </c>
      <c r="FH28">
        <v>29289.4</v>
      </c>
      <c r="FI28">
        <v>38374.800000000003</v>
      </c>
      <c r="FJ28">
        <v>32178.9</v>
      </c>
      <c r="FK28">
        <v>42240.4</v>
      </c>
      <c r="FL28">
        <v>1.9224000000000001</v>
      </c>
      <c r="FM28">
        <v>1.81968</v>
      </c>
      <c r="FN28">
        <v>-1.9062300000000001E-2</v>
      </c>
      <c r="FO28">
        <v>0</v>
      </c>
      <c r="FP28">
        <v>27.360099999999999</v>
      </c>
      <c r="FQ28">
        <v>999.9</v>
      </c>
      <c r="FR28">
        <v>32.639000000000003</v>
      </c>
      <c r="FS28">
        <v>43.457000000000001</v>
      </c>
      <c r="FT28">
        <v>29.311800000000002</v>
      </c>
      <c r="FU28">
        <v>61.674799999999998</v>
      </c>
      <c r="FV28">
        <v>46.161900000000003</v>
      </c>
      <c r="FW28">
        <v>1</v>
      </c>
      <c r="FX28">
        <v>0.61240099999999997</v>
      </c>
      <c r="FY28">
        <v>9.1249900000000004</v>
      </c>
      <c r="FZ28">
        <v>20.031400000000001</v>
      </c>
      <c r="GA28">
        <v>5.2237299999999998</v>
      </c>
      <c r="GB28">
        <v>11.962</v>
      </c>
      <c r="GC28">
        <v>4.9707499999999998</v>
      </c>
      <c r="GD28">
        <v>3.2942499999999999</v>
      </c>
      <c r="GE28">
        <v>9999</v>
      </c>
      <c r="GF28">
        <v>9999</v>
      </c>
      <c r="GG28">
        <v>507.8</v>
      </c>
      <c r="GH28">
        <v>9999</v>
      </c>
      <c r="GI28">
        <v>1.8660000000000001</v>
      </c>
      <c r="GJ28">
        <v>1.8654900000000001</v>
      </c>
      <c r="GK28">
        <v>1.8656699999999999</v>
      </c>
      <c r="GL28">
        <v>1.86859</v>
      </c>
      <c r="GM28">
        <v>1.8629100000000001</v>
      </c>
      <c r="GN28">
        <v>1.86103</v>
      </c>
      <c r="GO28">
        <v>1.8572500000000001</v>
      </c>
      <c r="GP28">
        <v>1.8633999999999999</v>
      </c>
      <c r="GQ28" t="s">
        <v>350</v>
      </c>
      <c r="GR28" t="s">
        <v>19</v>
      </c>
      <c r="GS28" t="s">
        <v>19</v>
      </c>
      <c r="GT28" t="s">
        <v>19</v>
      </c>
      <c r="GU28" t="s">
        <v>351</v>
      </c>
      <c r="GV28" t="s">
        <v>352</v>
      </c>
      <c r="GW28" t="s">
        <v>353</v>
      </c>
      <c r="GX28" t="s">
        <v>353</v>
      </c>
      <c r="GY28" t="s">
        <v>353</v>
      </c>
      <c r="GZ28" t="s">
        <v>353</v>
      </c>
      <c r="HA28">
        <v>0</v>
      </c>
      <c r="HB28">
        <v>100</v>
      </c>
      <c r="HC28">
        <v>100</v>
      </c>
      <c r="HD28">
        <v>4.3929999999999998</v>
      </c>
      <c r="HE28">
        <v>0.46600000000000003</v>
      </c>
      <c r="HF28">
        <v>2</v>
      </c>
      <c r="HG28">
        <v>494.82799999999997</v>
      </c>
      <c r="HH28">
        <v>466.56200000000001</v>
      </c>
      <c r="HI28">
        <v>18.8032</v>
      </c>
      <c r="HJ28">
        <v>34.783200000000001</v>
      </c>
      <c r="HK28">
        <v>30.000699999999998</v>
      </c>
      <c r="HL28">
        <v>34.644300000000001</v>
      </c>
      <c r="HM28">
        <v>34.628700000000002</v>
      </c>
      <c r="HN28">
        <v>52.287100000000002</v>
      </c>
      <c r="HO28">
        <v>80.528800000000004</v>
      </c>
      <c r="HP28">
        <v>0</v>
      </c>
      <c r="HQ28">
        <v>18.736000000000001</v>
      </c>
      <c r="HR28">
        <v>1200</v>
      </c>
      <c r="HS28">
        <v>15.390599999999999</v>
      </c>
      <c r="HT28">
        <v>99.057699999999997</v>
      </c>
      <c r="HU28">
        <v>102.994</v>
      </c>
    </row>
    <row r="29" spans="1:229" x14ac:dyDescent="0.35">
      <c r="A29">
        <v>13</v>
      </c>
      <c r="B29">
        <v>1565560792.5</v>
      </c>
      <c r="C29">
        <v>1298.5</v>
      </c>
      <c r="D29" t="s">
        <v>410</v>
      </c>
      <c r="E29" t="s">
        <v>411</v>
      </c>
      <c r="G29">
        <v>1565560792.5</v>
      </c>
      <c r="H29">
        <f t="shared" si="0"/>
        <v>2.1504928714547872E-3</v>
      </c>
      <c r="I29">
        <f t="shared" si="1"/>
        <v>46.125699522106309</v>
      </c>
      <c r="J29">
        <f t="shared" si="2"/>
        <v>1540.722</v>
      </c>
      <c r="K29">
        <f t="shared" si="3"/>
        <v>878.06782791705905</v>
      </c>
      <c r="L29">
        <f t="shared" si="4"/>
        <v>87.08864904778271</v>
      </c>
      <c r="M29">
        <f t="shared" si="5"/>
        <v>152.81211003539039</v>
      </c>
      <c r="N29">
        <f t="shared" si="6"/>
        <v>0.12065133067121279</v>
      </c>
      <c r="O29">
        <f t="shared" si="7"/>
        <v>2.2465717175247688</v>
      </c>
      <c r="P29">
        <f t="shared" si="8"/>
        <v>0.11716379130589125</v>
      </c>
      <c r="Q29">
        <f t="shared" si="9"/>
        <v>7.3532314012578148E-2</v>
      </c>
      <c r="R29">
        <f t="shared" si="10"/>
        <v>281.5604566943685</v>
      </c>
      <c r="S29">
        <f t="shared" si="11"/>
        <v>26.874144642781761</v>
      </c>
      <c r="T29">
        <f t="shared" si="12"/>
        <v>26.9634</v>
      </c>
      <c r="U29">
        <f t="shared" si="13"/>
        <v>3.5714731150113619</v>
      </c>
      <c r="V29">
        <f t="shared" si="14"/>
        <v>55.071989598630658</v>
      </c>
      <c r="W29">
        <f t="shared" si="15"/>
        <v>1.8003245087234403</v>
      </c>
      <c r="X29">
        <f t="shared" si="16"/>
        <v>3.269038438313848</v>
      </c>
      <c r="Y29">
        <f t="shared" si="17"/>
        <v>1.7711486062879216</v>
      </c>
      <c r="Z29">
        <f t="shared" si="18"/>
        <v>-94.836735631156117</v>
      </c>
      <c r="AA29">
        <f t="shared" si="19"/>
        <v>-181.39719215159229</v>
      </c>
      <c r="AB29">
        <f t="shared" si="20"/>
        <v>-17.289097602700604</v>
      </c>
      <c r="AC29">
        <f t="shared" si="21"/>
        <v>-11.96256869108052</v>
      </c>
      <c r="AD29">
        <v>-4.1091516505632898E-2</v>
      </c>
      <c r="AE29">
        <v>4.6128827092130599E-2</v>
      </c>
      <c r="AF29">
        <v>3.44909334917477</v>
      </c>
      <c r="AG29">
        <v>3</v>
      </c>
      <c r="AH29">
        <v>1</v>
      </c>
      <c r="AI29">
        <f t="shared" si="22"/>
        <v>1</v>
      </c>
      <c r="AJ29">
        <f t="shared" si="23"/>
        <v>0</v>
      </c>
      <c r="AK29">
        <f t="shared" si="24"/>
        <v>52667.305718310854</v>
      </c>
      <c r="AL29" t="s">
        <v>344</v>
      </c>
      <c r="AM29">
        <v>589.29941176470595</v>
      </c>
      <c r="AN29">
        <v>3530.99</v>
      </c>
      <c r="AO29">
        <f t="shared" si="25"/>
        <v>2941.6905882352939</v>
      </c>
      <c r="AP29">
        <f t="shared" si="26"/>
        <v>0.83310646256015852</v>
      </c>
      <c r="AQ29">
        <v>1.42453575549529</v>
      </c>
      <c r="AR29" t="s">
        <v>412</v>
      </c>
      <c r="AS29">
        <v>767.57352941176498</v>
      </c>
      <c r="AT29">
        <v>1233.1600000000001</v>
      </c>
      <c r="AU29">
        <f t="shared" si="27"/>
        <v>0.37755560558908419</v>
      </c>
      <c r="AV29">
        <v>0.5</v>
      </c>
      <c r="AW29">
        <f t="shared" si="28"/>
        <v>1471.2380998141671</v>
      </c>
      <c r="AX29">
        <f t="shared" si="29"/>
        <v>46.125699522106309</v>
      </c>
      <c r="AY29">
        <f t="shared" si="30"/>
        <v>277.73709587053565</v>
      </c>
      <c r="AZ29">
        <f t="shared" si="31"/>
        <v>0.58060592299458313</v>
      </c>
      <c r="BA29">
        <f t="shared" si="32"/>
        <v>3.0383364713201248E-2</v>
      </c>
      <c r="BB29">
        <f t="shared" si="33"/>
        <v>1.8633672840507314</v>
      </c>
      <c r="BC29" t="s">
        <v>413</v>
      </c>
      <c r="BD29">
        <v>517.17999999999995</v>
      </c>
      <c r="BE29">
        <f t="shared" si="34"/>
        <v>715.98000000000013</v>
      </c>
      <c r="BF29">
        <f t="shared" si="35"/>
        <v>0.65027859798909893</v>
      </c>
      <c r="BG29">
        <f t="shared" si="36"/>
        <v>0.76243359734024374</v>
      </c>
      <c r="BH29">
        <f t="shared" si="37"/>
        <v>0.72311689688030723</v>
      </c>
      <c r="BI29">
        <f t="shared" si="38"/>
        <v>0.78112565923476573</v>
      </c>
      <c r="BJ29">
        <v>8153</v>
      </c>
      <c r="BK29">
        <v>300</v>
      </c>
      <c r="BL29">
        <v>300</v>
      </c>
      <c r="BM29">
        <v>300</v>
      </c>
      <c r="BN29">
        <v>10286.5</v>
      </c>
      <c r="BO29">
        <v>1118.69</v>
      </c>
      <c r="BP29">
        <v>-7.0390100000000001E-3</v>
      </c>
      <c r="BQ29">
        <v>3.7593999999999999</v>
      </c>
      <c r="BR29" t="s">
        <v>347</v>
      </c>
      <c r="BS29" t="s">
        <v>347</v>
      </c>
      <c r="BT29" t="s">
        <v>347</v>
      </c>
      <c r="BU29" t="s">
        <v>347</v>
      </c>
      <c r="BV29" t="s">
        <v>347</v>
      </c>
      <c r="BW29" t="s">
        <v>347</v>
      </c>
      <c r="BX29" t="s">
        <v>347</v>
      </c>
      <c r="BY29" t="s">
        <v>347</v>
      </c>
      <c r="BZ29" t="s">
        <v>347</v>
      </c>
      <c r="CA29" t="s">
        <v>347</v>
      </c>
      <c r="CB29">
        <f t="shared" si="39"/>
        <v>1750.04</v>
      </c>
      <c r="CC29">
        <f t="shared" si="40"/>
        <v>1471.2380998141671</v>
      </c>
      <c r="CD29">
        <f t="shared" si="41"/>
        <v>0.84068826987621259</v>
      </c>
      <c r="CE29">
        <f t="shared" si="42"/>
        <v>0.19137653975242522</v>
      </c>
      <c r="CF29">
        <v>1565560792.5</v>
      </c>
      <c r="CG29">
        <v>1540.722</v>
      </c>
      <c r="CH29">
        <v>1600.05</v>
      </c>
      <c r="CI29">
        <v>18.151700000000002</v>
      </c>
      <c r="CJ29">
        <v>15.617900000000001</v>
      </c>
      <c r="CK29">
        <v>499.99</v>
      </c>
      <c r="CL29">
        <v>99.082300000000004</v>
      </c>
      <c r="CM29">
        <v>9.9843199999999993E-2</v>
      </c>
      <c r="CN29">
        <v>25.465699999999998</v>
      </c>
      <c r="CO29">
        <v>26.9634</v>
      </c>
      <c r="CP29">
        <v>999.9</v>
      </c>
      <c r="CQ29">
        <v>0</v>
      </c>
      <c r="CR29">
        <v>0</v>
      </c>
      <c r="CS29">
        <v>10001.200000000001</v>
      </c>
      <c r="CT29">
        <v>0</v>
      </c>
      <c r="CU29">
        <v>956.17</v>
      </c>
      <c r="CV29">
        <v>-58.528399999999998</v>
      </c>
      <c r="CW29">
        <v>1570.03</v>
      </c>
      <c r="CX29">
        <v>1625.44</v>
      </c>
      <c r="CY29">
        <v>2.5368499999999998</v>
      </c>
      <c r="CZ29">
        <v>1537.13</v>
      </c>
      <c r="DA29">
        <v>1600.05</v>
      </c>
      <c r="DB29">
        <v>17.688700000000001</v>
      </c>
      <c r="DC29">
        <v>15.617900000000001</v>
      </c>
      <c r="DD29">
        <v>1.79881</v>
      </c>
      <c r="DE29">
        <v>1.5474600000000001</v>
      </c>
      <c r="DF29">
        <v>15.7765</v>
      </c>
      <c r="DG29">
        <v>13.4453</v>
      </c>
      <c r="DH29">
        <v>1750.04</v>
      </c>
      <c r="DI29">
        <v>0.97699199999999997</v>
      </c>
      <c r="DJ29">
        <v>2.3008000000000001E-2</v>
      </c>
      <c r="DK29">
        <v>0</v>
      </c>
      <c r="DL29">
        <v>766.85699999999997</v>
      </c>
      <c r="DM29">
        <v>5.0002700000000004</v>
      </c>
      <c r="DN29">
        <v>19431.7</v>
      </c>
      <c r="DO29">
        <v>14146</v>
      </c>
      <c r="DP29">
        <v>49.625</v>
      </c>
      <c r="DQ29">
        <v>51.686999999999998</v>
      </c>
      <c r="DR29">
        <v>50.625</v>
      </c>
      <c r="DS29">
        <v>51.25</v>
      </c>
      <c r="DT29">
        <v>50.936999999999998</v>
      </c>
      <c r="DU29">
        <v>1704.89</v>
      </c>
      <c r="DV29">
        <v>40.15</v>
      </c>
      <c r="DW29">
        <v>0</v>
      </c>
      <c r="DX29">
        <v>121.30000019073501</v>
      </c>
      <c r="DY29">
        <v>767.57352941176498</v>
      </c>
      <c r="DZ29">
        <v>-9.1183823492651896</v>
      </c>
      <c r="EA29">
        <v>3675.3921500545698</v>
      </c>
      <c r="EB29">
        <v>19142.964705882401</v>
      </c>
      <c r="EC29">
        <v>10</v>
      </c>
      <c r="ED29">
        <v>1565560821</v>
      </c>
      <c r="EE29" t="s">
        <v>414</v>
      </c>
      <c r="EF29">
        <v>94</v>
      </c>
      <c r="EG29">
        <v>3.5950000000000002</v>
      </c>
      <c r="EH29">
        <v>0.46300000000000002</v>
      </c>
      <c r="EI29">
        <v>1600</v>
      </c>
      <c r="EJ29">
        <v>16</v>
      </c>
      <c r="EK29">
        <v>0.08</v>
      </c>
      <c r="EL29">
        <v>0.1</v>
      </c>
      <c r="EM29">
        <v>45.152228164304397</v>
      </c>
      <c r="EN29">
        <v>2.0720853829898598</v>
      </c>
      <c r="EO29">
        <v>0.21931142148927299</v>
      </c>
      <c r="EP29">
        <v>0</v>
      </c>
      <c r="EQ29">
        <v>0.122483925161064</v>
      </c>
      <c r="ER29">
        <v>-9.1874388471637394E-3</v>
      </c>
      <c r="ES29">
        <v>9.3597731532575504E-4</v>
      </c>
      <c r="ET29">
        <v>1</v>
      </c>
      <c r="EU29">
        <v>1</v>
      </c>
      <c r="EV29">
        <v>2</v>
      </c>
      <c r="EW29" t="s">
        <v>349</v>
      </c>
      <c r="EX29">
        <v>2.9486599999999998</v>
      </c>
      <c r="EY29">
        <v>2.7772700000000001</v>
      </c>
      <c r="EZ29">
        <v>0.23078699999999999</v>
      </c>
      <c r="FA29">
        <v>0.22997400000000001</v>
      </c>
      <c r="FB29">
        <v>9.0325600000000006E-2</v>
      </c>
      <c r="FC29">
        <v>7.8505800000000001E-2</v>
      </c>
      <c r="FD29">
        <v>18416.7</v>
      </c>
      <c r="FE29">
        <v>18602.5</v>
      </c>
      <c r="FF29">
        <v>22528</v>
      </c>
      <c r="FG29">
        <v>26516.2</v>
      </c>
      <c r="FH29">
        <v>29296.1</v>
      </c>
      <c r="FI29">
        <v>38353.300000000003</v>
      </c>
      <c r="FJ29">
        <v>32178.1</v>
      </c>
      <c r="FK29">
        <v>42240.7</v>
      </c>
      <c r="FL29">
        <v>1.9218500000000001</v>
      </c>
      <c r="FM29">
        <v>1.8201499999999999</v>
      </c>
      <c r="FN29">
        <v>-2.2076100000000001E-2</v>
      </c>
      <c r="FO29">
        <v>0</v>
      </c>
      <c r="FP29">
        <v>27.324300000000001</v>
      </c>
      <c r="FQ29">
        <v>999.9</v>
      </c>
      <c r="FR29">
        <v>32.639000000000003</v>
      </c>
      <c r="FS29">
        <v>43.436999999999998</v>
      </c>
      <c r="FT29">
        <v>29.278600000000001</v>
      </c>
      <c r="FU29">
        <v>61.694800000000001</v>
      </c>
      <c r="FV29">
        <v>46.225999999999999</v>
      </c>
      <c r="FW29">
        <v>1</v>
      </c>
      <c r="FX29">
        <v>0.61067800000000005</v>
      </c>
      <c r="FY29">
        <v>8.4136799999999994</v>
      </c>
      <c r="FZ29">
        <v>20.067699999999999</v>
      </c>
      <c r="GA29">
        <v>5.2241799999999996</v>
      </c>
      <c r="GB29">
        <v>11.962</v>
      </c>
      <c r="GC29">
        <v>4.97105</v>
      </c>
      <c r="GD29">
        <v>3.29433</v>
      </c>
      <c r="GE29">
        <v>9999</v>
      </c>
      <c r="GF29">
        <v>9999</v>
      </c>
      <c r="GG29">
        <v>507.9</v>
      </c>
      <c r="GH29">
        <v>9999</v>
      </c>
      <c r="GI29">
        <v>1.86602</v>
      </c>
      <c r="GJ29">
        <v>1.86548</v>
      </c>
      <c r="GK29">
        <v>1.86568</v>
      </c>
      <c r="GL29">
        <v>1.8686</v>
      </c>
      <c r="GM29">
        <v>1.8629199999999999</v>
      </c>
      <c r="GN29">
        <v>1.8610599999999999</v>
      </c>
      <c r="GO29">
        <v>1.85728</v>
      </c>
      <c r="GP29">
        <v>1.8633999999999999</v>
      </c>
      <c r="GQ29" t="s">
        <v>350</v>
      </c>
      <c r="GR29" t="s">
        <v>19</v>
      </c>
      <c r="GS29" t="s">
        <v>19</v>
      </c>
      <c r="GT29" t="s">
        <v>19</v>
      </c>
      <c r="GU29" t="s">
        <v>351</v>
      </c>
      <c r="GV29" t="s">
        <v>352</v>
      </c>
      <c r="GW29" t="s">
        <v>353</v>
      </c>
      <c r="GX29" t="s">
        <v>353</v>
      </c>
      <c r="GY29" t="s">
        <v>353</v>
      </c>
      <c r="GZ29" t="s">
        <v>353</v>
      </c>
      <c r="HA29">
        <v>0</v>
      </c>
      <c r="HB29">
        <v>100</v>
      </c>
      <c r="HC29">
        <v>100</v>
      </c>
      <c r="HD29">
        <v>3.5950000000000002</v>
      </c>
      <c r="HE29">
        <v>0.46300000000000002</v>
      </c>
      <c r="HF29">
        <v>2</v>
      </c>
      <c r="HG29">
        <v>494.48399999999998</v>
      </c>
      <c r="HH29">
        <v>466.87700000000001</v>
      </c>
      <c r="HI29">
        <v>18.932200000000002</v>
      </c>
      <c r="HJ29">
        <v>34.814500000000002</v>
      </c>
      <c r="HK29">
        <v>30.0002</v>
      </c>
      <c r="HL29">
        <v>34.647399999999998</v>
      </c>
      <c r="HM29">
        <v>34.628900000000002</v>
      </c>
      <c r="HN29">
        <v>65.990899999999996</v>
      </c>
      <c r="HO29">
        <v>80.747799999999998</v>
      </c>
      <c r="HP29">
        <v>0</v>
      </c>
      <c r="HQ29">
        <v>18.9527</v>
      </c>
      <c r="HR29">
        <v>1600</v>
      </c>
      <c r="HS29">
        <v>15.5418</v>
      </c>
      <c r="HT29">
        <v>99.054299999999998</v>
      </c>
      <c r="HU29">
        <v>102.995</v>
      </c>
    </row>
  </sheetData>
  <sortState xmlns:xlrd2="http://schemas.microsoft.com/office/spreadsheetml/2017/richdata2" ref="J33:L45">
    <sortCondition ref="J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2019-08-10T17:22:33Z</dcterms:created>
  <dcterms:modified xsi:type="dcterms:W3CDTF">2019-08-14T15:10:04Z</dcterms:modified>
</cp:coreProperties>
</file>