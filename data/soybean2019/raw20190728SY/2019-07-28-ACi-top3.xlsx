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1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20190803_De Kauwe\A-Ci\raw\"/>
    </mc:Choice>
  </mc:AlternateContent>
  <xr:revisionPtr revIDLastSave="0" documentId="13_ncr:1_{37F6C5E9-4565-4043-A35C-9CE7C3082525}" xr6:coauthVersionLast="41" xr6:coauthVersionMax="41" xr10:uidLastSave="{00000000-0000-0000-0000-000000000000}"/>
  <bookViews>
    <workbookView xWindow="-110" yWindow="-110" windowWidth="19420" windowHeight="1042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Y26" i="1" l="1"/>
  <c r="BX26" i="1"/>
  <c r="BV26" i="1"/>
  <c r="BM26" i="1"/>
  <c r="BL26" i="1"/>
  <c r="BK26" i="1"/>
  <c r="BJ26" i="1"/>
  <c r="BI26" i="1"/>
  <c r="BD26" i="1" s="1"/>
  <c r="BF26" i="1"/>
  <c r="AY26" i="1"/>
  <c r="AS26" i="1"/>
  <c r="AT26" i="1" s="1"/>
  <c r="AO26" i="1"/>
  <c r="AM26" i="1" s="1"/>
  <c r="L26" i="1" s="1"/>
  <c r="AD26" i="1" s="1"/>
  <c r="AB26" i="1"/>
  <c r="AA26" i="1"/>
  <c r="S26" i="1"/>
  <c r="BY25" i="1"/>
  <c r="BX25" i="1"/>
  <c r="BV25" i="1"/>
  <c r="BM25" i="1"/>
  <c r="BL25" i="1"/>
  <c r="BK25" i="1"/>
  <c r="BJ25" i="1"/>
  <c r="BI25" i="1"/>
  <c r="BD25" i="1" s="1"/>
  <c r="BF25" i="1"/>
  <c r="AY25" i="1"/>
  <c r="AS25" i="1"/>
  <c r="AT25" i="1" s="1"/>
  <c r="AO25" i="1"/>
  <c r="AM25" i="1" s="1"/>
  <c r="N25" i="1" s="1"/>
  <c r="AB25" i="1"/>
  <c r="AA25" i="1"/>
  <c r="Z25" i="1" s="1"/>
  <c r="S25" i="1"/>
  <c r="BY24" i="1"/>
  <c r="BX24" i="1"/>
  <c r="BV24" i="1"/>
  <c r="BM24" i="1"/>
  <c r="BL24" i="1"/>
  <c r="BK24" i="1"/>
  <c r="BJ24" i="1"/>
  <c r="BI24" i="1"/>
  <c r="BD24" i="1" s="1"/>
  <c r="BF24" i="1"/>
  <c r="AY24" i="1"/>
  <c r="AS24" i="1"/>
  <c r="AT24" i="1" s="1"/>
  <c r="AO24" i="1"/>
  <c r="AM24" i="1" s="1"/>
  <c r="AB24" i="1"/>
  <c r="AA24" i="1"/>
  <c r="S24" i="1"/>
  <c r="BY23" i="1"/>
  <c r="BX23" i="1"/>
  <c r="BW23" i="1" s="1"/>
  <c r="V23" i="1" s="1"/>
  <c r="BV23" i="1"/>
  <c r="BM23" i="1"/>
  <c r="BL23" i="1"/>
  <c r="BK23" i="1"/>
  <c r="BJ23" i="1"/>
  <c r="BI23" i="1"/>
  <c r="BD23" i="1" s="1"/>
  <c r="BF23" i="1"/>
  <c r="AY23" i="1"/>
  <c r="AS23" i="1"/>
  <c r="AT23" i="1" s="1"/>
  <c r="AO23" i="1"/>
  <c r="AM23" i="1" s="1"/>
  <c r="AB23" i="1"/>
  <c r="AA23" i="1"/>
  <c r="S23" i="1"/>
  <c r="BY22" i="1"/>
  <c r="BX22" i="1"/>
  <c r="BV22" i="1"/>
  <c r="BM22" i="1"/>
  <c r="BL22" i="1"/>
  <c r="BK22" i="1"/>
  <c r="BJ22" i="1"/>
  <c r="BI22" i="1"/>
  <c r="BD22" i="1" s="1"/>
  <c r="BF22" i="1"/>
  <c r="AY22" i="1"/>
  <c r="AS22" i="1"/>
  <c r="AT22" i="1" s="1"/>
  <c r="AO22" i="1"/>
  <c r="AM22" i="1" s="1"/>
  <c r="AN22" i="1" s="1"/>
  <c r="AB22" i="1"/>
  <c r="AA22" i="1"/>
  <c r="S22" i="1"/>
  <c r="BY21" i="1"/>
  <c r="BX21" i="1"/>
  <c r="BV21" i="1"/>
  <c r="BM21" i="1"/>
  <c r="BL21" i="1"/>
  <c r="BK21" i="1"/>
  <c r="BJ21" i="1"/>
  <c r="BI21" i="1"/>
  <c r="BD21" i="1" s="1"/>
  <c r="BF21" i="1"/>
  <c r="AY21" i="1"/>
  <c r="AS21" i="1"/>
  <c r="AT21" i="1" s="1"/>
  <c r="AO21" i="1"/>
  <c r="AM21" i="1" s="1"/>
  <c r="N21" i="1" s="1"/>
  <c r="AN21" i="1"/>
  <c r="AB21" i="1"/>
  <c r="AA21" i="1"/>
  <c r="S21" i="1"/>
  <c r="M21" i="1"/>
  <c r="BB21" i="1" s="1"/>
  <c r="BY20" i="1"/>
  <c r="BX20" i="1"/>
  <c r="BV20" i="1"/>
  <c r="BM20" i="1"/>
  <c r="BL20" i="1"/>
  <c r="BK20" i="1"/>
  <c r="BJ20" i="1"/>
  <c r="BI20" i="1"/>
  <c r="BD20" i="1" s="1"/>
  <c r="BF20" i="1"/>
  <c r="AY20" i="1"/>
  <c r="AS20" i="1"/>
  <c r="AT20" i="1" s="1"/>
  <c r="AO20" i="1"/>
  <c r="AM20" i="1" s="1"/>
  <c r="AB20" i="1"/>
  <c r="AA20" i="1"/>
  <c r="S20" i="1"/>
  <c r="BY19" i="1"/>
  <c r="BX19" i="1"/>
  <c r="BV19" i="1"/>
  <c r="BM19" i="1"/>
  <c r="BL19" i="1"/>
  <c r="BK19" i="1"/>
  <c r="BJ19" i="1"/>
  <c r="BI19" i="1"/>
  <c r="BD19" i="1" s="1"/>
  <c r="BF19" i="1"/>
  <c r="AY19" i="1"/>
  <c r="AS19" i="1"/>
  <c r="AT19" i="1" s="1"/>
  <c r="AO19" i="1"/>
  <c r="AM19" i="1" s="1"/>
  <c r="AB19" i="1"/>
  <c r="AA19" i="1"/>
  <c r="S19" i="1"/>
  <c r="BY18" i="1"/>
  <c r="BX18" i="1"/>
  <c r="BW18" i="1" s="1"/>
  <c r="V18" i="1" s="1"/>
  <c r="BV18" i="1"/>
  <c r="BM18" i="1"/>
  <c r="BL18" i="1"/>
  <c r="BK18" i="1"/>
  <c r="BJ18" i="1"/>
  <c r="BI18" i="1"/>
  <c r="BD18" i="1" s="1"/>
  <c r="BF18" i="1"/>
  <c r="AY18" i="1"/>
  <c r="AS18" i="1"/>
  <c r="AT18" i="1" s="1"/>
  <c r="AO18" i="1"/>
  <c r="AM18" i="1" s="1"/>
  <c r="AN18" i="1" s="1"/>
  <c r="AB18" i="1"/>
  <c r="AA18" i="1"/>
  <c r="S18" i="1"/>
  <c r="BY17" i="1"/>
  <c r="BX17" i="1"/>
  <c r="BV17" i="1"/>
  <c r="BM17" i="1"/>
  <c r="BL17" i="1"/>
  <c r="BK17" i="1"/>
  <c r="BJ17" i="1"/>
  <c r="BI17" i="1"/>
  <c r="BD17" i="1" s="1"/>
  <c r="BF17" i="1"/>
  <c r="AY17" i="1"/>
  <c r="AS17" i="1"/>
  <c r="AT17" i="1" s="1"/>
  <c r="AO17" i="1"/>
  <c r="AM17" i="1" s="1"/>
  <c r="AB17" i="1"/>
  <c r="AA17" i="1"/>
  <c r="S17" i="1"/>
  <c r="Z20" i="1" l="1"/>
  <c r="Z22" i="1"/>
  <c r="BW20" i="1"/>
  <c r="BA20" i="1" s="1"/>
  <c r="BC20" i="1" s="1"/>
  <c r="L19" i="1"/>
  <c r="AD19" i="1" s="1"/>
  <c r="N19" i="1"/>
  <c r="L24" i="1"/>
  <c r="AD24" i="1" s="1"/>
  <c r="N24" i="1"/>
  <c r="AN23" i="1"/>
  <c r="N23" i="1"/>
  <c r="Z19" i="1"/>
  <c r="BW19" i="1"/>
  <c r="BA19" i="1" s="1"/>
  <c r="BC19" i="1" s="1"/>
  <c r="BW25" i="1"/>
  <c r="BA25" i="1" s="1"/>
  <c r="BC25" i="1" s="1"/>
  <c r="BW26" i="1"/>
  <c r="N18" i="1"/>
  <c r="BW21" i="1"/>
  <c r="V21" i="1" s="1"/>
  <c r="BW22" i="1"/>
  <c r="V22" i="1" s="1"/>
  <c r="Z24" i="1"/>
  <c r="Z17" i="1"/>
  <c r="N22" i="1"/>
  <c r="L25" i="1"/>
  <c r="AD25" i="1" s="1"/>
  <c r="AN25" i="1"/>
  <c r="Z18" i="1"/>
  <c r="M19" i="1"/>
  <c r="BB19" i="1" s="1"/>
  <c r="Z21" i="1"/>
  <c r="Z23" i="1"/>
  <c r="M24" i="1"/>
  <c r="BB24" i="1" s="1"/>
  <c r="BW24" i="1"/>
  <c r="V24" i="1" s="1"/>
  <c r="AN17" i="1"/>
  <c r="N17" i="1"/>
  <c r="Q20" i="1"/>
  <c r="M20" i="1"/>
  <c r="BB20" i="1" s="1"/>
  <c r="L20" i="1"/>
  <c r="V20" i="1"/>
  <c r="M17" i="1"/>
  <c r="BB17" i="1" s="1"/>
  <c r="Q22" i="1"/>
  <c r="M22" i="1"/>
  <c r="BB22" i="1" s="1"/>
  <c r="L22" i="1"/>
  <c r="BA22" i="1"/>
  <c r="BC22" i="1" s="1"/>
  <c r="L17" i="1"/>
  <c r="N20" i="1"/>
  <c r="BA21" i="1"/>
  <c r="BC21" i="1" s="1"/>
  <c r="V26" i="1"/>
  <c r="BA26" i="1"/>
  <c r="BC26" i="1" s="1"/>
  <c r="Q17" i="1"/>
  <c r="BW17" i="1"/>
  <c r="AN20" i="1"/>
  <c r="N26" i="1"/>
  <c r="Q26" i="1"/>
  <c r="M26" i="1"/>
  <c r="BB26" i="1" s="1"/>
  <c r="AN26" i="1"/>
  <c r="L18" i="1"/>
  <c r="Q18" i="1"/>
  <c r="BA18" i="1"/>
  <c r="BC18" i="1" s="1"/>
  <c r="AN19" i="1"/>
  <c r="L23" i="1"/>
  <c r="Q23" i="1"/>
  <c r="BA23" i="1"/>
  <c r="BC23" i="1" s="1"/>
  <c r="AN24" i="1"/>
  <c r="M18" i="1"/>
  <c r="BB18" i="1" s="1"/>
  <c r="Q19" i="1"/>
  <c r="L21" i="1"/>
  <c r="Q21" i="1"/>
  <c r="M23" i="1"/>
  <c r="BB23" i="1" s="1"/>
  <c r="BE23" i="1" s="1"/>
  <c r="Q24" i="1"/>
  <c r="Q25" i="1"/>
  <c r="M25" i="1"/>
  <c r="BB25" i="1" s="1"/>
  <c r="Z26" i="1"/>
  <c r="BE25" i="1" l="1"/>
  <c r="V25" i="1"/>
  <c r="BE22" i="1"/>
  <c r="BA24" i="1"/>
  <c r="BC24" i="1" s="1"/>
  <c r="V19" i="1"/>
  <c r="BE21" i="1"/>
  <c r="W25" i="1"/>
  <c r="X25" i="1" s="1"/>
  <c r="W20" i="1"/>
  <c r="X20" i="1" s="1"/>
  <c r="T20" i="1" s="1"/>
  <c r="R20" i="1" s="1"/>
  <c r="U20" i="1" s="1"/>
  <c r="O20" i="1" s="1"/>
  <c r="P20" i="1" s="1"/>
  <c r="AD21" i="1"/>
  <c r="W26" i="1"/>
  <c r="X26" i="1" s="1"/>
  <c r="AD18" i="1"/>
  <c r="V17" i="1"/>
  <c r="BA17" i="1"/>
  <c r="BC17" i="1" s="1"/>
  <c r="W22" i="1"/>
  <c r="X22" i="1" s="1"/>
  <c r="W21" i="1"/>
  <c r="X21" i="1" s="1"/>
  <c r="AD20" i="1"/>
  <c r="AD23" i="1"/>
  <c r="W24" i="1"/>
  <c r="X24" i="1" s="1"/>
  <c r="W23" i="1"/>
  <c r="X23" i="1" s="1"/>
  <c r="W19" i="1"/>
  <c r="X19" i="1" s="1"/>
  <c r="BE26" i="1"/>
  <c r="BE19" i="1"/>
  <c r="BE18" i="1"/>
  <c r="W18" i="1"/>
  <c r="X18" i="1" s="1"/>
  <c r="AD17" i="1"/>
  <c r="T22" i="1"/>
  <c r="R22" i="1" s="1"/>
  <c r="U22" i="1" s="1"/>
  <c r="O22" i="1" s="1"/>
  <c r="P22" i="1" s="1"/>
  <c r="AD22" i="1"/>
  <c r="BE24" i="1"/>
  <c r="BE20" i="1"/>
  <c r="Y20" i="1" l="1"/>
  <c r="AC20" i="1" s="1"/>
  <c r="AF20" i="1"/>
  <c r="AE20" i="1"/>
  <c r="AF24" i="1"/>
  <c r="Y24" i="1"/>
  <c r="AC24" i="1" s="1"/>
  <c r="T24" i="1"/>
  <c r="R24" i="1" s="1"/>
  <c r="U24" i="1" s="1"/>
  <c r="O24" i="1" s="1"/>
  <c r="P24" i="1" s="1"/>
  <c r="AE24" i="1"/>
  <c r="BE17" i="1"/>
  <c r="AF18" i="1"/>
  <c r="Y18" i="1"/>
  <c r="AC18" i="1" s="1"/>
  <c r="AE18" i="1"/>
  <c r="W17" i="1"/>
  <c r="X17" i="1" s="1"/>
  <c r="AF23" i="1"/>
  <c r="Y23" i="1"/>
  <c r="AC23" i="1" s="1"/>
  <c r="AE23" i="1"/>
  <c r="T23" i="1"/>
  <c r="R23" i="1" s="1"/>
  <c r="U23" i="1" s="1"/>
  <c r="O23" i="1" s="1"/>
  <c r="P23" i="1" s="1"/>
  <c r="Y22" i="1"/>
  <c r="AC22" i="1" s="1"/>
  <c r="AF22" i="1"/>
  <c r="AE22" i="1"/>
  <c r="T18" i="1"/>
  <c r="R18" i="1" s="1"/>
  <c r="U18" i="1" s="1"/>
  <c r="O18" i="1" s="1"/>
  <c r="P18" i="1" s="1"/>
  <c r="AF19" i="1"/>
  <c r="Y19" i="1"/>
  <c r="AC19" i="1" s="1"/>
  <c r="AE19" i="1"/>
  <c r="T19" i="1"/>
  <c r="R19" i="1" s="1"/>
  <c r="U19" i="1" s="1"/>
  <c r="O19" i="1" s="1"/>
  <c r="P19" i="1" s="1"/>
  <c r="Y21" i="1"/>
  <c r="AC21" i="1" s="1"/>
  <c r="AF21" i="1"/>
  <c r="AE21" i="1"/>
  <c r="Y26" i="1"/>
  <c r="AC26" i="1" s="1"/>
  <c r="AE26" i="1"/>
  <c r="AF26" i="1"/>
  <c r="T26" i="1"/>
  <c r="R26" i="1" s="1"/>
  <c r="U26" i="1" s="1"/>
  <c r="O26" i="1" s="1"/>
  <c r="P26" i="1" s="1"/>
  <c r="T21" i="1"/>
  <c r="R21" i="1" s="1"/>
  <c r="U21" i="1" s="1"/>
  <c r="O21" i="1" s="1"/>
  <c r="P21" i="1" s="1"/>
  <c r="Y25" i="1"/>
  <c r="AC25" i="1" s="1"/>
  <c r="T25" i="1"/>
  <c r="R25" i="1" s="1"/>
  <c r="U25" i="1" s="1"/>
  <c r="O25" i="1" s="1"/>
  <c r="P25" i="1" s="1"/>
  <c r="AF25" i="1"/>
  <c r="AE25" i="1"/>
  <c r="AG24" i="1" l="1"/>
  <c r="AG26" i="1"/>
  <c r="AG25" i="1"/>
  <c r="AG21" i="1"/>
  <c r="AG22" i="1"/>
  <c r="AG20" i="1"/>
  <c r="AF17" i="1"/>
  <c r="Y17" i="1"/>
  <c r="AC17" i="1" s="1"/>
  <c r="AE17" i="1"/>
  <c r="T17" i="1"/>
  <c r="R17" i="1" s="1"/>
  <c r="U17" i="1" s="1"/>
  <c r="O17" i="1" s="1"/>
  <c r="P17" i="1" s="1"/>
  <c r="AG19" i="1"/>
  <c r="AG23" i="1"/>
  <c r="AG18" i="1"/>
  <c r="AG17" i="1" l="1"/>
</calcChain>
</file>

<file path=xl/sharedStrings.xml><?xml version="1.0" encoding="utf-8"?>
<sst xmlns="http://schemas.openxmlformats.org/spreadsheetml/2006/main" count="761" uniqueCount="346">
  <si>
    <t>File opened</t>
  </si>
  <si>
    <t>2019-07-28 14:43:10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</si>
  <si>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</si>
  <si>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</si>
  <si>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</si>
  <si>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</si>
  <si>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</si>
  <si>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</si>
  <si>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</si>
  <si>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</si>
  <si>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</si>
  <si>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1.3.0</t>
  </si>
  <si>
    <t>Head cal</t>
  </si>
  <si>
    <t>{"co2bspan1": "0.992131", "h2obspan2a": "0.0975941", "h2oaspan1": "1.00223", "co2aspan1": "0.992625", "h2oaspanconc2": "0", "h2oaspan2b": "0.0662632", "tbzero": "0.197721", "h2oaspan2": "0", "chamberpressurezero": "2.57337", "co2bspanconc1": "1002", "co2azero": "0.869071", "flowmeterzero": "0.991801", "tazero": "0.00774765", "co2aspanconc1": "1002", "h2obzero": "1.01783", "oxygen": "21", "h2oazero": "1.00263", "h2obspanconc2": "0", "h2obspan2b": "0.0963575", "co2bspan2": "0", "co2aspan2": "0", "h2oaspan2a": "0.0661155", "co2aspanconc2": "0", "flowbzero": "0.20796", "co2bspan2b": "0.162103", "co2aspan2a": "0.164928", "h2obspan2": "0", "h2obspanconc1": "20", "co2bspan2a": "0.163389", "ssb_ref": "36526.8", "h2obspan1": "0.998578", "co2bzero": "0.880288", "co2aspan2b": "0.163711", "flowazero": "0.4286", "h2oaspanconc1": "12.19", "co2bspanconc2": "0", "ssa_ref": "36614.9"}</t>
  </si>
  <si>
    <t>Chamber type</t>
  </si>
  <si>
    <t>6800-01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</si>
  <si>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</si>
  <si>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</si>
  <si>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</si>
  <si>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</si>
  <si>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</si>
  <si>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</si>
  <si>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</si>
  <si>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14:43:10</t>
  </si>
  <si>
    <t>Stability Definition:	CO2_s (Meas): Slp&lt;2.5	A (GasEx): Slp&lt;0.3 Std&lt;0.5	gsw (GasEx): Slp&lt;1 Std&lt;1</t>
  </si>
  <si>
    <t>SysConst</t>
  </si>
  <si>
    <t>AvgTime</t>
  </si>
  <si>
    <t>4</t>
  </si>
  <si>
    <t>Oxygen</t>
  </si>
  <si>
    <t>21</t>
  </si>
  <si>
    <t>Chamber</t>
  </si>
  <si>
    <t>Const</t>
  </si>
  <si>
    <t>S</t>
  </si>
  <si>
    <t>K</t>
  </si>
  <si>
    <t>Geometry</t>
  </si>
  <si>
    <t>0: Broadleaf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</si>
  <si>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</si>
  <si>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</si>
  <si>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</si>
  <si>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</si>
  <si>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</si>
  <si>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</si>
  <si>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</si>
  <si>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</si>
  <si>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</si>
  <si>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</si>
  <si>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</si>
  <si>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</si>
  <si>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</si>
  <si>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</si>
  <si>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</si>
  <si>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</si>
  <si>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</si>
  <si>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</si>
  <si>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</si>
  <si>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</si>
  <si>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</si>
  <si>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</si>
  <si>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</si>
  <si>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</si>
  <si>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</si>
  <si>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</si>
  <si>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</si>
  <si>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</si>
  <si>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</si>
  <si>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</si>
  <si>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</si>
  <si>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</si>
  <si>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</si>
  <si>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</si>
  <si>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</si>
  <si>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</si>
  <si>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</si>
  <si>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-0.487199 72.7212 382.101 616.812 844.974 1052.93 1229.78 1413.24</t>
  </si>
  <si>
    <t>Fs_true</t>
  </si>
  <si>
    <t>-0.150589 99.3698 402.583 601.269 799.997 1000.16 1200.73 1401.5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</si>
  <si>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</si>
  <si>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</si>
  <si>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</si>
  <si>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</si>
  <si>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</si>
  <si>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</si>
  <si>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</si>
  <si>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</si>
  <si>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</si>
  <si>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</si>
  <si>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</si>
  <si>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</si>
  <si>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</si>
  <si>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</si>
  <si>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</si>
  <si>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</si>
  <si>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</si>
  <si>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</si>
  <si>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</si>
  <si>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</si>
  <si>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Treatment</t>
  </si>
  <si>
    <t>Genotype</t>
  </si>
  <si>
    <t>Plant</t>
  </si>
  <si>
    <t>species</t>
  </si>
  <si>
    <t>leaf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</si>
  <si>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</si>
  <si>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</si>
  <si>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</si>
  <si>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</si>
  <si>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</si>
  <si>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</si>
  <si>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</si>
  <si>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</si>
  <si>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</si>
  <si>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</si>
  <si>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</si>
  <si>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</si>
  <si>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</si>
  <si>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</si>
  <si>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</si>
  <si>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</si>
  <si>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</si>
  <si>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</si>
  <si>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</si>
  <si>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</si>
  <si>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</si>
  <si>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</si>
  <si>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</si>
  <si>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</si>
  <si>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</si>
  <si>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</si>
  <si>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</si>
  <si>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</si>
  <si>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</si>
  <si>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</si>
  <si>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</si>
  <si>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</si>
  <si>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</si>
  <si>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</si>
  <si>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</si>
  <si>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</si>
  <si>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</si>
  <si>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</si>
  <si>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</si>
  <si>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</si>
  <si>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</si>
  <si>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</si>
  <si>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</si>
  <si>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</si>
  <si>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</si>
  <si>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</si>
  <si>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</si>
  <si>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</si>
  <si>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</si>
  <si>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</si>
  <si>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</si>
  <si>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</si>
  <si>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</si>
  <si>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</si>
  <si>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</si>
  <si>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</si>
  <si>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</si>
  <si>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</si>
  <si>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</si>
  <si>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</si>
  <si>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</si>
  <si>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</si>
  <si>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</si>
  <si>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</si>
  <si>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</si>
  <si>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</si>
  <si>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</si>
  <si>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</si>
  <si>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</si>
  <si>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</si>
  <si>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</si>
  <si>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</si>
  <si>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</si>
  <si>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</si>
  <si>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</si>
  <si>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</si>
  <si>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</si>
  <si>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</si>
  <si>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</si>
  <si>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</si>
  <si>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</si>
  <si>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</si>
  <si>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</si>
  <si>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</si>
  <si>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</si>
  <si>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</si>
  <si>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</si>
  <si>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</si>
  <si>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</si>
  <si>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</si>
  <si>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</si>
  <si>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</si>
  <si>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</si>
  <si>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</si>
  <si>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</si>
  <si>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</si>
  <si>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</si>
  <si>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</si>
  <si>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</si>
  <si>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</si>
  <si>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</si>
  <si>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</si>
  <si>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</si>
  <si>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</si>
  <si>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</si>
  <si>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</si>
  <si>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</si>
  <si>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</si>
  <si>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A:MN</t>
  </si>
  <si>
    <t>A:SLP</t>
  </si>
  <si>
    <t>A:SD</t>
  </si>
  <si>
    <t>A:OK</t>
  </si>
  <si>
    <t>CO2_s:MN</t>
  </si>
  <si>
    <t>CO2_s:SLP</t>
  </si>
  <si>
    <t>CO2_s:SD</t>
  </si>
  <si>
    <t>CO2_s:OK</t>
  </si>
  <si>
    <t>gsw:MN</t>
  </si>
  <si>
    <t>gsw:SLP</t>
  </si>
  <si>
    <t>gsw:SD</t>
  </si>
  <si>
    <t>gsw:OK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</si>
  <si>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</si>
  <si>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</si>
  <si>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</si>
  <si>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</si>
  <si>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</si>
  <si>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</si>
  <si>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</si>
  <si>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</si>
  <si>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</si>
  <si>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</si>
  <si>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</si>
  <si>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</si>
  <si>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</si>
  <si>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</si>
  <si>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</si>
  <si>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</si>
  <si>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</si>
  <si>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</si>
  <si>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</si>
  <si>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</si>
  <si>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</si>
  <si>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</si>
  <si>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</si>
  <si>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</si>
  <si>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</si>
  <si>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</si>
  <si>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</si>
  <si>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</si>
  <si>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</si>
  <si>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</si>
  <si>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</si>
  <si>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</si>
  <si>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</si>
  <si>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</si>
  <si>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</si>
  <si>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</si>
  <si>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</si>
  <si>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</si>
  <si>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</si>
  <si>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</si>
  <si>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</si>
  <si>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</si>
  <si>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</si>
  <si>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</si>
  <si>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</si>
  <si>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</si>
  <si>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</si>
  <si>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</si>
  <si>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</si>
  <si>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</si>
  <si>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</si>
  <si>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</si>
  <si>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</si>
  <si>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</si>
  <si>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</si>
  <si>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</si>
  <si>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</si>
  <si>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</si>
  <si>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</si>
  <si>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</si>
  <si>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</si>
  <si>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m⁻² s⁻¹ min⁻¹</t>
  </si>
  <si>
    <t>µmol mol⁻¹ min⁻¹</t>
  </si>
  <si>
    <t>mol m⁻² s⁻¹ min⁻¹</t>
  </si>
  <si>
    <t>V</t>
  </si>
  <si>
    <t>20190728 15:03:26</t>
  </si>
  <si>
    <t>15:03:26</t>
  </si>
  <si>
    <t>1</t>
  </si>
  <si>
    <t>G2</t>
  </si>
  <si>
    <t>RECT-85-20190728-05_32_22</t>
  </si>
  <si>
    <t>MPF-302-20190728-15_03_27</t>
  </si>
  <si>
    <t>DARK-303-20190728-15_03_35</t>
  </si>
  <si>
    <t>15:02:38</t>
  </si>
  <si>
    <t>3/3</t>
  </si>
  <si>
    <t>5</t>
  </si>
  <si>
    <t>11111111</t>
  </si>
  <si>
    <t>oooooooo</t>
  </si>
  <si>
    <t>off</t>
  </si>
  <si>
    <t>20190728 15:04:56</t>
  </si>
  <si>
    <t>15:04:56</t>
  </si>
  <si>
    <t>MPF-304-20190728-15_04_58</t>
  </si>
  <si>
    <t>DARK-305-20190728-15_05_06</t>
  </si>
  <si>
    <t>15:05:32</t>
  </si>
  <si>
    <t>20190728 15:07:34</t>
  </si>
  <si>
    <t>15:07:34</t>
  </si>
  <si>
    <t>MPF-306-20190728-15_07_35</t>
  </si>
  <si>
    <t>DARK-307-20190728-15_07_43</t>
  </si>
  <si>
    <t>15:06:46</t>
  </si>
  <si>
    <t>20190728 15:09:54</t>
  </si>
  <si>
    <t>15:09:54</t>
  </si>
  <si>
    <t>MPF-308-20190728-15_09_56</t>
  </si>
  <si>
    <t>DARK-309-20190728-15_10_04</t>
  </si>
  <si>
    <t>15:09:13</t>
  </si>
  <si>
    <t>2/3</t>
  </si>
  <si>
    <t>20190728 15:12:15</t>
  </si>
  <si>
    <t>15:12:15</t>
  </si>
  <si>
    <t>MPF-310-20190728-15_12_16</t>
  </si>
  <si>
    <t>DARK-311-20190728-15_12_24</t>
  </si>
  <si>
    <t>15:11:32</t>
  </si>
  <si>
    <t>1/3</t>
  </si>
  <si>
    <t>20190728 15:19:15</t>
  </si>
  <si>
    <t>15:19:15</t>
  </si>
  <si>
    <t>MPF-316-20190728-15_19_16</t>
  </si>
  <si>
    <t>DARK-317-20190728-15_19_24</t>
  </si>
  <si>
    <t>15:19:55</t>
  </si>
  <si>
    <t>20190728 15:24:37</t>
  </si>
  <si>
    <t>15:24:37</t>
  </si>
  <si>
    <t>MPF-320-20190728-15_24_39</t>
  </si>
  <si>
    <t>DARK-321-20190728-15_24_47</t>
  </si>
  <si>
    <t>15:25:15</t>
  </si>
  <si>
    <t>20190728 15:27:36</t>
  </si>
  <si>
    <t>15:27:36</t>
  </si>
  <si>
    <t>MPF-322-20190728-15_27_38</t>
  </si>
  <si>
    <t>DARK-323-20190728-15_27_46</t>
  </si>
  <si>
    <t>15:28:07</t>
  </si>
  <si>
    <t>20190728 15:30:28</t>
  </si>
  <si>
    <t>15:30:28</t>
  </si>
  <si>
    <t>MPF-324-20190728-15_30_30</t>
  </si>
  <si>
    <t>DARK-325-20190728-15_30_38</t>
  </si>
  <si>
    <t>15:29:36</t>
  </si>
  <si>
    <t>20190728 15:32:13</t>
  </si>
  <si>
    <t>15:32:13</t>
  </si>
  <si>
    <t>MPF-326-20190728-15_32_15</t>
  </si>
  <si>
    <t>DARK-327-20190728-15_32_22</t>
  </si>
  <si>
    <t>15:32:41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</si>
</sst>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T26"/>
  <sheetViews>
    <sheetView tabSelected="1" topLeftCell="A12" workbookViewId="0">
      <selection activeCell="G29" sqref="G29"/>
    </sheetView>
  </sheetViews>
  <sheetFormatPr defaultRowHeight="14.5" x14ac:dyDescent="0.35"/>
  <sheetData>
    <row r="2" spans="1:176" x14ac:dyDescent="0.35">
      <c r="A2" t="s">
        <v>25</v>
      </c>
      <c r="B2" t="s">
        <v>26</v>
      </c>
      <c r="C2" t="s">
        <v>28</v>
      </c>
      <c r="D2" t="s">
        <v>30</v>
      </c>
    </row>
    <row r="3" spans="1:176" x14ac:dyDescent="0.35">
      <c r="B3" t="s">
        <v>27</v>
      </c>
      <c r="C3" t="s">
        <v>29</v>
      </c>
      <c r="D3" t="s">
        <v>15</v>
      </c>
    </row>
    <row r="4" spans="1:176" x14ac:dyDescent="0.35">
      <c r="A4" t="s">
        <v>31</v>
      </c>
      <c r="B4" t="s">
        <v>32</v>
      </c>
      <c r="C4" t="s">
        <v>33</v>
      </c>
      <c r="D4" t="s">
        <v>34</v>
      </c>
      <c r="E4" t="s">
        <v>36</v>
      </c>
    </row>
    <row r="5" spans="1:176" x14ac:dyDescent="0.35">
      <c r="B5">
        <v>6</v>
      </c>
      <c r="C5">
        <v>0.5</v>
      </c>
      <c r="D5" t="s">
        <v>35</v>
      </c>
      <c r="E5">
        <v>2</v>
      </c>
    </row>
    <row r="6" spans="1:176" x14ac:dyDescent="0.35">
      <c r="A6" t="s">
        <v>37</v>
      </c>
      <c r="B6" t="s">
        <v>38</v>
      </c>
      <c r="C6" t="s">
        <v>39</v>
      </c>
      <c r="D6" t="s">
        <v>40</v>
      </c>
      <c r="E6" t="s">
        <v>41</v>
      </c>
    </row>
    <row r="7" spans="1:176" x14ac:dyDescent="0.35">
      <c r="B7">
        <v>0</v>
      </c>
      <c r="C7">
        <v>1</v>
      </c>
      <c r="D7">
        <v>0</v>
      </c>
      <c r="E7">
        <v>0</v>
      </c>
    </row>
    <row r="8" spans="1:176" x14ac:dyDescent="0.35">
      <c r="A8" t="s">
        <v>42</v>
      </c>
      <c r="B8" t="s">
        <v>43</v>
      </c>
      <c r="C8" t="s">
        <v>45</v>
      </c>
      <c r="D8" t="s">
        <v>47</v>
      </c>
      <c r="E8" t="s">
        <v>48</v>
      </c>
      <c r="F8" t="s">
        <v>49</v>
      </c>
      <c r="G8" t="s">
        <v>50</v>
      </c>
      <c r="H8" t="s">
        <v>51</v>
      </c>
      <c r="I8" t="s">
        <v>52</v>
      </c>
      <c r="J8" t="s">
        <v>53</v>
      </c>
      <c r="K8" t="s">
        <v>54</v>
      </c>
      <c r="L8" t="s">
        <v>55</v>
      </c>
      <c r="M8" t="s">
        <v>56</v>
      </c>
      <c r="N8" t="s">
        <v>57</v>
      </c>
      <c r="O8" t="s">
        <v>58</v>
      </c>
      <c r="P8" t="s">
        <v>59</v>
      </c>
      <c r="Q8" t="s">
        <v>60</v>
      </c>
    </row>
    <row r="9" spans="1:176" x14ac:dyDescent="0.35">
      <c r="B9" t="s">
        <v>44</v>
      </c>
      <c r="C9" t="s">
        <v>46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6" x14ac:dyDescent="0.35">
      <c r="A10" t="s">
        <v>61</v>
      </c>
      <c r="B10" t="s">
        <v>62</v>
      </c>
      <c r="C10" t="s">
        <v>63</v>
      </c>
      <c r="D10" t="s">
        <v>64</v>
      </c>
      <c r="E10" t="s">
        <v>65</v>
      </c>
      <c r="F10" t="s">
        <v>66</v>
      </c>
    </row>
    <row r="11" spans="1:176" x14ac:dyDescent="0.35">
      <c r="B11">
        <v>0</v>
      </c>
      <c r="C11">
        <v>0</v>
      </c>
      <c r="D11">
        <v>0</v>
      </c>
      <c r="E11">
        <v>0</v>
      </c>
      <c r="F11">
        <v>1</v>
      </c>
    </row>
    <row r="12" spans="1:176" x14ac:dyDescent="0.35">
      <c r="A12" t="s">
        <v>67</v>
      </c>
      <c r="B12" t="s">
        <v>68</v>
      </c>
      <c r="C12" t="s">
        <v>69</v>
      </c>
      <c r="D12" t="s">
        <v>70</v>
      </c>
      <c r="E12" t="s">
        <v>71</v>
      </c>
      <c r="F12" t="s">
        <v>72</v>
      </c>
      <c r="G12" t="s">
        <v>74</v>
      </c>
      <c r="H12" t="s">
        <v>76</v>
      </c>
    </row>
    <row r="13" spans="1:176" x14ac:dyDescent="0.35">
      <c r="B13">
        <v>-6276</v>
      </c>
      <c r="C13">
        <v>6.6</v>
      </c>
      <c r="D13">
        <v>1.7090000000000001E-5</v>
      </c>
      <c r="E13">
        <v>3.11</v>
      </c>
      <c r="F13" t="s">
        <v>73</v>
      </c>
      <c r="G13" t="s">
        <v>75</v>
      </c>
      <c r="H13">
        <v>2</v>
      </c>
    </row>
    <row r="14" spans="1:176" x14ac:dyDescent="0.35">
      <c r="A14" t="s">
        <v>77</v>
      </c>
      <c r="B14" t="s">
        <v>77</v>
      </c>
      <c r="C14" t="s">
        <v>77</v>
      </c>
      <c r="D14" t="s">
        <v>77</v>
      </c>
      <c r="E14" t="s">
        <v>77</v>
      </c>
      <c r="F14" t="s">
        <v>78</v>
      </c>
      <c r="G14" t="s">
        <v>78</v>
      </c>
      <c r="H14" t="s">
        <v>78</v>
      </c>
      <c r="I14" t="s">
        <v>78</v>
      </c>
      <c r="J14" t="s">
        <v>78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79</v>
      </c>
      <c r="AH14" t="s">
        <v>79</v>
      </c>
      <c r="AI14" t="s">
        <v>79</v>
      </c>
      <c r="AJ14" t="s">
        <v>79</v>
      </c>
      <c r="AK14" t="s">
        <v>80</v>
      </c>
      <c r="AL14" t="s">
        <v>80</v>
      </c>
      <c r="AM14" t="s">
        <v>80</v>
      </c>
      <c r="AN14" t="s">
        <v>80</v>
      </c>
      <c r="AO14" t="s">
        <v>80</v>
      </c>
      <c r="AP14" t="s">
        <v>81</v>
      </c>
      <c r="AQ14" t="s">
        <v>81</v>
      </c>
      <c r="AR14" t="s">
        <v>81</v>
      </c>
      <c r="AS14" t="s">
        <v>81</v>
      </c>
      <c r="AT14" t="s">
        <v>81</v>
      </c>
      <c r="AU14" t="s">
        <v>81</v>
      </c>
      <c r="AV14" t="s">
        <v>81</v>
      </c>
      <c r="AW14" t="s">
        <v>81</v>
      </c>
      <c r="AX14" t="s">
        <v>81</v>
      </c>
      <c r="AY14" t="s">
        <v>81</v>
      </c>
      <c r="AZ14" t="s">
        <v>81</v>
      </c>
      <c r="BA14" t="s">
        <v>81</v>
      </c>
      <c r="BB14" t="s">
        <v>81</v>
      </c>
      <c r="BC14" t="s">
        <v>81</v>
      </c>
      <c r="BD14" t="s">
        <v>81</v>
      </c>
      <c r="BE14" t="s">
        <v>81</v>
      </c>
      <c r="BF14" t="s">
        <v>81</v>
      </c>
      <c r="BG14" t="s">
        <v>81</v>
      </c>
      <c r="BH14" t="s">
        <v>81</v>
      </c>
      <c r="BI14" t="s">
        <v>81</v>
      </c>
      <c r="BJ14" t="s">
        <v>81</v>
      </c>
      <c r="BK14" t="s">
        <v>81</v>
      </c>
      <c r="BL14" t="s">
        <v>81</v>
      </c>
      <c r="BM14" t="s">
        <v>81</v>
      </c>
      <c r="BN14" t="s">
        <v>82</v>
      </c>
      <c r="BO14" t="s">
        <v>82</v>
      </c>
      <c r="BP14" t="s">
        <v>82</v>
      </c>
      <c r="BQ14" t="s">
        <v>82</v>
      </c>
      <c r="BR14" t="s">
        <v>82</v>
      </c>
      <c r="BS14" t="s">
        <v>82</v>
      </c>
      <c r="BT14" t="s">
        <v>82</v>
      </c>
      <c r="BU14" t="s">
        <v>82</v>
      </c>
      <c r="BV14" t="s">
        <v>83</v>
      </c>
      <c r="BW14" t="s">
        <v>83</v>
      </c>
      <c r="BX14" t="s">
        <v>83</v>
      </c>
      <c r="BY14" t="s">
        <v>83</v>
      </c>
      <c r="BZ14" t="s">
        <v>84</v>
      </c>
      <c r="CA14" t="s">
        <v>84</v>
      </c>
      <c r="CB14" t="s">
        <v>84</v>
      </c>
      <c r="CC14" t="s">
        <v>84</v>
      </c>
      <c r="CD14" t="s">
        <v>84</v>
      </c>
      <c r="CE14" t="s">
        <v>84</v>
      </c>
      <c r="CF14" t="s">
        <v>84</v>
      </c>
      <c r="CG14" t="s">
        <v>84</v>
      </c>
      <c r="CH14" t="s">
        <v>84</v>
      </c>
      <c r="CI14" t="s">
        <v>84</v>
      </c>
      <c r="CJ14" t="s">
        <v>84</v>
      </c>
      <c r="CK14" t="s">
        <v>84</v>
      </c>
      <c r="CL14" t="s">
        <v>84</v>
      </c>
      <c r="CM14" t="s">
        <v>84</v>
      </c>
      <c r="CN14" t="s">
        <v>85</v>
      </c>
      <c r="CO14" t="s">
        <v>85</v>
      </c>
      <c r="CP14" t="s">
        <v>85</v>
      </c>
      <c r="CQ14" t="s">
        <v>85</v>
      </c>
      <c r="CR14" t="s">
        <v>85</v>
      </c>
      <c r="CS14" t="s">
        <v>85</v>
      </c>
      <c r="CT14" t="s">
        <v>85</v>
      </c>
      <c r="CU14" t="s">
        <v>85</v>
      </c>
      <c r="CV14" t="s">
        <v>85</v>
      </c>
      <c r="CW14" t="s">
        <v>85</v>
      </c>
      <c r="CX14" t="s">
        <v>85</v>
      </c>
      <c r="CY14" t="s">
        <v>85</v>
      </c>
      <c r="CZ14" t="s">
        <v>85</v>
      </c>
      <c r="DA14" t="s">
        <v>85</v>
      </c>
      <c r="DB14" t="s">
        <v>85</v>
      </c>
      <c r="DC14" t="s">
        <v>85</v>
      </c>
      <c r="DD14" t="s">
        <v>85</v>
      </c>
      <c r="DE14" t="s">
        <v>86</v>
      </c>
      <c r="DF14" t="s">
        <v>86</v>
      </c>
      <c r="DG14" t="s">
        <v>86</v>
      </c>
      <c r="DH14" t="s">
        <v>86</v>
      </c>
      <c r="DI14" t="s">
        <v>86</v>
      </c>
      <c r="DJ14" t="s">
        <v>87</v>
      </c>
      <c r="DK14" t="s">
        <v>87</v>
      </c>
      <c r="DL14" t="s">
        <v>87</v>
      </c>
      <c r="DM14" t="s">
        <v>87</v>
      </c>
      <c r="DN14" t="s">
        <v>87</v>
      </c>
      <c r="DO14" t="s">
        <v>87</v>
      </c>
      <c r="DP14" t="s">
        <v>87</v>
      </c>
      <c r="DQ14" t="s">
        <v>87</v>
      </c>
      <c r="DR14" t="s">
        <v>87</v>
      </c>
      <c r="DS14" t="s">
        <v>88</v>
      </c>
      <c r="DT14" t="s">
        <v>88</v>
      </c>
      <c r="DU14" t="s">
        <v>88</v>
      </c>
      <c r="DV14" t="s">
        <v>88</v>
      </c>
      <c r="DW14" t="s">
        <v>88</v>
      </c>
      <c r="DX14" t="s">
        <v>88</v>
      </c>
      <c r="DY14" t="s">
        <v>88</v>
      </c>
      <c r="DZ14" t="s">
        <v>88</v>
      </c>
      <c r="EA14" t="s">
        <v>88</v>
      </c>
      <c r="EB14" t="s">
        <v>88</v>
      </c>
      <c r="EC14" t="s">
        <v>88</v>
      </c>
      <c r="ED14" t="s">
        <v>88</v>
      </c>
      <c r="EE14" t="s">
        <v>88</v>
      </c>
      <c r="EF14" t="s">
        <v>88</v>
      </c>
      <c r="EG14" t="s">
        <v>88</v>
      </c>
      <c r="EH14" t="s">
        <v>89</v>
      </c>
      <c r="EI14" t="s">
        <v>89</v>
      </c>
      <c r="EJ14" t="s">
        <v>89</v>
      </c>
      <c r="EK14" t="s">
        <v>89</v>
      </c>
      <c r="EL14" t="s">
        <v>89</v>
      </c>
      <c r="EM14" t="s">
        <v>89</v>
      </c>
      <c r="EN14" t="s">
        <v>89</v>
      </c>
      <c r="EO14" t="s">
        <v>89</v>
      </c>
      <c r="EP14" t="s">
        <v>89</v>
      </c>
      <c r="EQ14" t="s">
        <v>89</v>
      </c>
      <c r="ER14" t="s">
        <v>89</v>
      </c>
      <c r="ES14" t="s">
        <v>89</v>
      </c>
      <c r="ET14" t="s">
        <v>89</v>
      </c>
      <c r="EU14" t="s">
        <v>89</v>
      </c>
      <c r="EV14" t="s">
        <v>89</v>
      </c>
      <c r="EW14" t="s">
        <v>89</v>
      </c>
      <c r="EX14" t="s">
        <v>89</v>
      </c>
      <c r="EY14" t="s">
        <v>89</v>
      </c>
      <c r="EZ14" t="s">
        <v>89</v>
      </c>
      <c r="FA14" t="s">
        <v>90</v>
      </c>
      <c r="FB14" t="s">
        <v>90</v>
      </c>
      <c r="FC14" t="s">
        <v>90</v>
      </c>
      <c r="FD14" t="s">
        <v>90</v>
      </c>
      <c r="FE14" t="s">
        <v>90</v>
      </c>
      <c r="FF14" t="s">
        <v>90</v>
      </c>
      <c r="FG14" t="s">
        <v>90</v>
      </c>
      <c r="FH14" t="s">
        <v>90</v>
      </c>
      <c r="FI14" t="s">
        <v>90</v>
      </c>
      <c r="FJ14" t="s">
        <v>90</v>
      </c>
      <c r="FK14" t="s">
        <v>90</v>
      </c>
      <c r="FL14" t="s">
        <v>90</v>
      </c>
      <c r="FM14" t="s">
        <v>90</v>
      </c>
      <c r="FN14" t="s">
        <v>90</v>
      </c>
      <c r="FO14" t="s">
        <v>90</v>
      </c>
      <c r="FP14" t="s">
        <v>90</v>
      </c>
      <c r="FQ14" t="s">
        <v>90</v>
      </c>
      <c r="FR14" t="s">
        <v>90</v>
      </c>
      <c r="FS14" t="s">
        <v>90</v>
      </c>
      <c r="FT14" t="s">
        <v>90</v>
      </c>
    </row>
    <row r="15" spans="1:176" x14ac:dyDescent="0.35">
      <c r="A15" t="s">
        <v>91</v>
      </c>
      <c r="B15" t="s">
        <v>92</v>
      </c>
      <c r="C15" t="s">
        <v>93</v>
      </c>
      <c r="D15" t="s">
        <v>94</v>
      </c>
      <c r="E15" t="s">
        <v>95</v>
      </c>
      <c r="F15" t="s">
        <v>96</v>
      </c>
      <c r="G15" t="s">
        <v>97</v>
      </c>
      <c r="H15" t="s">
        <v>98</v>
      </c>
      <c r="I15" t="s">
        <v>99</v>
      </c>
      <c r="J15" t="s">
        <v>100</v>
      </c>
      <c r="K15" t="s">
        <v>101</v>
      </c>
      <c r="L15" t="s">
        <v>102</v>
      </c>
      <c r="M15" t="s">
        <v>103</v>
      </c>
      <c r="N15" t="s">
        <v>104</v>
      </c>
      <c r="O15" t="s">
        <v>105</v>
      </c>
      <c r="P15" t="s">
        <v>106</v>
      </c>
      <c r="Q15" t="s">
        <v>107</v>
      </c>
      <c r="R15" t="s">
        <v>108</v>
      </c>
      <c r="S15" t="s">
        <v>109</v>
      </c>
      <c r="T15" t="s">
        <v>110</v>
      </c>
      <c r="U15" t="s">
        <v>111</v>
      </c>
      <c r="V15" t="s">
        <v>112</v>
      </c>
      <c r="W15" t="s">
        <v>113</v>
      </c>
      <c r="X15" t="s">
        <v>114</v>
      </c>
      <c r="Y15" t="s">
        <v>115</v>
      </c>
      <c r="Z15" t="s">
        <v>116</v>
      </c>
      <c r="AA15" t="s">
        <v>117</v>
      </c>
      <c r="AB15" t="s">
        <v>118</v>
      </c>
      <c r="AC15" t="s">
        <v>119</v>
      </c>
      <c r="AD15" t="s">
        <v>120</v>
      </c>
      <c r="AE15" t="s">
        <v>121</v>
      </c>
      <c r="AF15" t="s">
        <v>122</v>
      </c>
      <c r="AG15" t="s">
        <v>123</v>
      </c>
      <c r="AH15" t="s">
        <v>124</v>
      </c>
      <c r="AI15" t="s">
        <v>125</v>
      </c>
      <c r="AJ15" t="s">
        <v>126</v>
      </c>
      <c r="AK15" t="s">
        <v>80</v>
      </c>
      <c r="AL15" t="s">
        <v>127</v>
      </c>
      <c r="AM15" t="s">
        <v>128</v>
      </c>
      <c r="AN15" t="s">
        <v>129</v>
      </c>
      <c r="AO15" t="s">
        <v>130</v>
      </c>
      <c r="AP15" t="s">
        <v>131</v>
      </c>
      <c r="AQ15" t="s">
        <v>132</v>
      </c>
      <c r="AR15" t="s">
        <v>133</v>
      </c>
      <c r="AS15" t="s">
        <v>134</v>
      </c>
      <c r="AT15" t="s">
        <v>135</v>
      </c>
      <c r="AU15" t="s">
        <v>136</v>
      </c>
      <c r="AV15" t="s">
        <v>137</v>
      </c>
      <c r="AW15" t="s">
        <v>138</v>
      </c>
      <c r="AX15" t="s">
        <v>139</v>
      </c>
      <c r="AY15" t="s">
        <v>140</v>
      </c>
      <c r="AZ15" t="s">
        <v>141</v>
      </c>
      <c r="BA15" t="s">
        <v>142</v>
      </c>
      <c r="BB15" t="s">
        <v>143</v>
      </c>
      <c r="BC15" t="s">
        <v>144</v>
      </c>
      <c r="BD15" t="s">
        <v>145</v>
      </c>
      <c r="BE15" t="s">
        <v>146</v>
      </c>
      <c r="BF15" t="s">
        <v>147</v>
      </c>
      <c r="BG15" t="s">
        <v>148</v>
      </c>
      <c r="BH15" t="s">
        <v>149</v>
      </c>
      <c r="BI15" t="s">
        <v>150</v>
      </c>
      <c r="BJ15" t="s">
        <v>151</v>
      </c>
      <c r="BK15" t="s">
        <v>152</v>
      </c>
      <c r="BL15" t="s">
        <v>153</v>
      </c>
      <c r="BM15" t="s">
        <v>154</v>
      </c>
      <c r="BN15" t="s">
        <v>155</v>
      </c>
      <c r="BO15" t="s">
        <v>156</v>
      </c>
      <c r="BP15" t="s">
        <v>157</v>
      </c>
      <c r="BQ15" t="s">
        <v>158</v>
      </c>
      <c r="BR15" t="s">
        <v>159</v>
      </c>
      <c r="BS15" t="s">
        <v>160</v>
      </c>
      <c r="BT15" t="s">
        <v>161</v>
      </c>
      <c r="BU15" t="s">
        <v>162</v>
      </c>
      <c r="BV15" t="s">
        <v>163</v>
      </c>
      <c r="BW15" t="s">
        <v>164</v>
      </c>
      <c r="BX15" t="s">
        <v>165</v>
      </c>
      <c r="BY15" t="s">
        <v>166</v>
      </c>
      <c r="BZ15" t="s">
        <v>101</v>
      </c>
      <c r="CA15" t="s">
        <v>167</v>
      </c>
      <c r="CB15" t="s">
        <v>168</v>
      </c>
      <c r="CC15" t="s">
        <v>169</v>
      </c>
      <c r="CD15" t="s">
        <v>170</v>
      </c>
      <c r="CE15" t="s">
        <v>171</v>
      </c>
      <c r="CF15" t="s">
        <v>172</v>
      </c>
      <c r="CG15" t="s">
        <v>173</v>
      </c>
      <c r="CH15" t="s">
        <v>174</v>
      </c>
      <c r="CI15" t="s">
        <v>175</v>
      </c>
      <c r="CJ15" t="s">
        <v>176</v>
      </c>
      <c r="CK15" t="s">
        <v>177</v>
      </c>
      <c r="CL15" t="s">
        <v>178</v>
      </c>
      <c r="CM15" t="s">
        <v>179</v>
      </c>
      <c r="CN15" t="s">
        <v>180</v>
      </c>
      <c r="CO15" t="s">
        <v>181</v>
      </c>
      <c r="CP15" t="s">
        <v>182</v>
      </c>
      <c r="CQ15" t="s">
        <v>183</v>
      </c>
      <c r="CR15" t="s">
        <v>184</v>
      </c>
      <c r="CS15" t="s">
        <v>185</v>
      </c>
      <c r="CT15" t="s">
        <v>186</v>
      </c>
      <c r="CU15" t="s">
        <v>187</v>
      </c>
      <c r="CV15" t="s">
        <v>188</v>
      </c>
      <c r="CW15" t="s">
        <v>189</v>
      </c>
      <c r="CX15" t="s">
        <v>190</v>
      </c>
      <c r="CY15" t="s">
        <v>191</v>
      </c>
      <c r="CZ15" t="s">
        <v>192</v>
      </c>
      <c r="DA15" t="s">
        <v>193</v>
      </c>
      <c r="DB15" t="s">
        <v>194</v>
      </c>
      <c r="DC15" t="s">
        <v>195</v>
      </c>
      <c r="DD15" t="s">
        <v>196</v>
      </c>
      <c r="DE15" t="s">
        <v>197</v>
      </c>
      <c r="DF15" t="s">
        <v>198</v>
      </c>
      <c r="DG15" t="s">
        <v>199</v>
      </c>
      <c r="DH15" t="s">
        <v>200</v>
      </c>
      <c r="DI15" t="s">
        <v>201</v>
      </c>
      <c r="DJ15" t="s">
        <v>92</v>
      </c>
      <c r="DK15" t="s">
        <v>95</v>
      </c>
      <c r="DL15" t="s">
        <v>202</v>
      </c>
      <c r="DM15" t="s">
        <v>203</v>
      </c>
      <c r="DN15" t="s">
        <v>204</v>
      </c>
      <c r="DO15" t="s">
        <v>205</v>
      </c>
      <c r="DP15" t="s">
        <v>206</v>
      </c>
      <c r="DQ15" t="s">
        <v>207</v>
      </c>
      <c r="DR15" t="s">
        <v>208</v>
      </c>
      <c r="DS15" t="s">
        <v>209</v>
      </c>
      <c r="DT15" t="s">
        <v>210</v>
      </c>
      <c r="DU15" t="s">
        <v>211</v>
      </c>
      <c r="DV15" t="s">
        <v>212</v>
      </c>
      <c r="DW15" t="s">
        <v>213</v>
      </c>
      <c r="DX15" t="s">
        <v>214</v>
      </c>
      <c r="DY15" t="s">
        <v>215</v>
      </c>
      <c r="DZ15" t="s">
        <v>216</v>
      </c>
      <c r="EA15" t="s">
        <v>217</v>
      </c>
      <c r="EB15" t="s">
        <v>218</v>
      </c>
      <c r="EC15" t="s">
        <v>219</v>
      </c>
      <c r="ED15" t="s">
        <v>220</v>
      </c>
      <c r="EE15" t="s">
        <v>221</v>
      </c>
      <c r="EF15" t="s">
        <v>222</v>
      </c>
      <c r="EG15" t="s">
        <v>223</v>
      </c>
      <c r="EH15" t="s">
        <v>224</v>
      </c>
      <c r="EI15" t="s">
        <v>225</v>
      </c>
      <c r="EJ15" t="s">
        <v>226</v>
      </c>
      <c r="EK15" t="s">
        <v>227</v>
      </c>
      <c r="EL15" t="s">
        <v>228</v>
      </c>
      <c r="EM15" t="s">
        <v>229</v>
      </c>
      <c r="EN15" t="s">
        <v>230</v>
      </c>
      <c r="EO15" t="s">
        <v>231</v>
      </c>
      <c r="EP15" t="s">
        <v>232</v>
      </c>
      <c r="EQ15" t="s">
        <v>233</v>
      </c>
      <c r="ER15" t="s">
        <v>234</v>
      </c>
      <c r="ES15" t="s">
        <v>235</v>
      </c>
      <c r="ET15" t="s">
        <v>236</v>
      </c>
      <c r="EU15" t="s">
        <v>237</v>
      </c>
      <c r="EV15" t="s">
        <v>238</v>
      </c>
      <c r="EW15" t="s">
        <v>239</v>
      </c>
      <c r="EX15" t="s">
        <v>240</v>
      </c>
      <c r="EY15" t="s">
        <v>241</v>
      </c>
      <c r="EZ15" t="s">
        <v>242</v>
      </c>
      <c r="FA15" t="s">
        <v>243</v>
      </c>
      <c r="FB15" t="s">
        <v>244</v>
      </c>
      <c r="FC15" t="s">
        <v>245</v>
      </c>
      <c r="FD15" t="s">
        <v>246</v>
      </c>
      <c r="FE15" t="s">
        <v>247</v>
      </c>
      <c r="FF15" t="s">
        <v>248</v>
      </c>
      <c r="FG15" t="s">
        <v>249</v>
      </c>
      <c r="FH15" t="s">
        <v>250</v>
      </c>
      <c r="FI15" t="s">
        <v>251</v>
      </c>
      <c r="FJ15" t="s">
        <v>252</v>
      </c>
      <c r="FK15" t="s">
        <v>253</v>
      </c>
      <c r="FL15" t="s">
        <v>254</v>
      </c>
      <c r="FM15" t="s">
        <v>255</v>
      </c>
      <c r="FN15" t="s">
        <v>256</v>
      </c>
      <c r="FO15" t="s">
        <v>257</v>
      </c>
      <c r="FP15" t="s">
        <v>258</v>
      </c>
      <c r="FQ15" t="s">
        <v>259</v>
      </c>
      <c r="FR15" t="s">
        <v>260</v>
      </c>
      <c r="FS15" t="s">
        <v>261</v>
      </c>
      <c r="FT15" t="s">
        <v>262</v>
      </c>
    </row>
    <row r="16" spans="1:176" x14ac:dyDescent="0.35">
      <c r="B16" t="s">
        <v>263</v>
      </c>
      <c r="C16" t="s">
        <v>263</v>
      </c>
      <c r="K16" t="s">
        <v>263</v>
      </c>
      <c r="L16" t="s">
        <v>264</v>
      </c>
      <c r="M16" t="s">
        <v>265</v>
      </c>
      <c r="N16" t="s">
        <v>266</v>
      </c>
      <c r="O16" t="s">
        <v>266</v>
      </c>
      <c r="P16" t="s">
        <v>172</v>
      </c>
      <c r="Q16" t="s">
        <v>172</v>
      </c>
      <c r="R16" t="s">
        <v>264</v>
      </c>
      <c r="S16" t="s">
        <v>264</v>
      </c>
      <c r="T16" t="s">
        <v>264</v>
      </c>
      <c r="U16" t="s">
        <v>264</v>
      </c>
      <c r="V16" t="s">
        <v>267</v>
      </c>
      <c r="W16" t="s">
        <v>268</v>
      </c>
      <c r="X16" t="s">
        <v>268</v>
      </c>
      <c r="Y16" t="s">
        <v>269</v>
      </c>
      <c r="Z16" t="s">
        <v>270</v>
      </c>
      <c r="AA16" t="s">
        <v>269</v>
      </c>
      <c r="AB16" t="s">
        <v>269</v>
      </c>
      <c r="AC16" t="s">
        <v>269</v>
      </c>
      <c r="AD16" t="s">
        <v>267</v>
      </c>
      <c r="AE16" t="s">
        <v>267</v>
      </c>
      <c r="AF16" t="s">
        <v>267</v>
      </c>
      <c r="AG16" t="s">
        <v>267</v>
      </c>
      <c r="AK16" t="s">
        <v>271</v>
      </c>
      <c r="AL16" t="s">
        <v>270</v>
      </c>
      <c r="AN16" t="s">
        <v>270</v>
      </c>
      <c r="AO16" t="s">
        <v>271</v>
      </c>
      <c r="AU16" t="s">
        <v>265</v>
      </c>
      <c r="BA16" t="s">
        <v>265</v>
      </c>
      <c r="BB16" t="s">
        <v>265</v>
      </c>
      <c r="BC16" t="s">
        <v>265</v>
      </c>
      <c r="BE16" t="s">
        <v>272</v>
      </c>
      <c r="BO16" t="s">
        <v>273</v>
      </c>
      <c r="BP16" t="s">
        <v>273</v>
      </c>
      <c r="BQ16" t="s">
        <v>273</v>
      </c>
      <c r="BR16" t="s">
        <v>265</v>
      </c>
      <c r="BT16" t="s">
        <v>274</v>
      </c>
      <c r="BV16" t="s">
        <v>265</v>
      </c>
      <c r="BW16" t="s">
        <v>265</v>
      </c>
      <c r="BY16" t="s">
        <v>275</v>
      </c>
      <c r="BZ16" t="s">
        <v>263</v>
      </c>
      <c r="CA16" t="s">
        <v>266</v>
      </c>
      <c r="CB16" t="s">
        <v>266</v>
      </c>
      <c r="CC16" t="s">
        <v>276</v>
      </c>
      <c r="CD16" t="s">
        <v>276</v>
      </c>
      <c r="CE16" t="s">
        <v>271</v>
      </c>
      <c r="CF16" t="s">
        <v>269</v>
      </c>
      <c r="CG16" t="s">
        <v>269</v>
      </c>
      <c r="CH16" t="s">
        <v>268</v>
      </c>
      <c r="CI16" t="s">
        <v>268</v>
      </c>
      <c r="CJ16" t="s">
        <v>268</v>
      </c>
      <c r="CK16" t="s">
        <v>277</v>
      </c>
      <c r="CL16" t="s">
        <v>265</v>
      </c>
      <c r="CM16" t="s">
        <v>265</v>
      </c>
      <c r="CN16" t="s">
        <v>265</v>
      </c>
      <c r="CS16" t="s">
        <v>265</v>
      </c>
      <c r="CV16" t="s">
        <v>268</v>
      </c>
      <c r="CW16" t="s">
        <v>268</v>
      </c>
      <c r="CX16" t="s">
        <v>268</v>
      </c>
      <c r="CY16" t="s">
        <v>268</v>
      </c>
      <c r="CZ16" t="s">
        <v>268</v>
      </c>
      <c r="DA16" t="s">
        <v>265</v>
      </c>
      <c r="DB16" t="s">
        <v>265</v>
      </c>
      <c r="DC16" t="s">
        <v>265</v>
      </c>
      <c r="DD16" t="s">
        <v>263</v>
      </c>
      <c r="DF16" t="s">
        <v>278</v>
      </c>
      <c r="DG16" t="s">
        <v>278</v>
      </c>
      <c r="DI16" t="s">
        <v>263</v>
      </c>
      <c r="DJ16" t="s">
        <v>279</v>
      </c>
      <c r="DM16" t="s">
        <v>280</v>
      </c>
      <c r="DN16" t="s">
        <v>281</v>
      </c>
      <c r="DO16" t="s">
        <v>280</v>
      </c>
      <c r="DP16" t="s">
        <v>281</v>
      </c>
      <c r="DQ16" t="s">
        <v>270</v>
      </c>
      <c r="DR16" t="s">
        <v>270</v>
      </c>
      <c r="DS16" t="s">
        <v>265</v>
      </c>
      <c r="DT16" t="s">
        <v>282</v>
      </c>
      <c r="DU16" t="s">
        <v>265</v>
      </c>
      <c r="DW16" t="s">
        <v>266</v>
      </c>
      <c r="DX16" t="s">
        <v>283</v>
      </c>
      <c r="DY16" t="s">
        <v>266</v>
      </c>
      <c r="EA16" t="s">
        <v>264</v>
      </c>
      <c r="EB16" t="s">
        <v>284</v>
      </c>
      <c r="EC16" t="s">
        <v>264</v>
      </c>
      <c r="EH16" t="s">
        <v>285</v>
      </c>
      <c r="EI16" t="s">
        <v>285</v>
      </c>
      <c r="EJ16" t="s">
        <v>285</v>
      </c>
      <c r="EK16" t="s">
        <v>285</v>
      </c>
      <c r="EL16" t="s">
        <v>285</v>
      </c>
      <c r="EM16" t="s">
        <v>285</v>
      </c>
      <c r="EN16" t="s">
        <v>285</v>
      </c>
      <c r="EO16" t="s">
        <v>285</v>
      </c>
      <c r="EP16" t="s">
        <v>285</v>
      </c>
      <c r="EQ16" t="s">
        <v>285</v>
      </c>
      <c r="ER16" t="s">
        <v>285</v>
      </c>
      <c r="ES16" t="s">
        <v>285</v>
      </c>
      <c r="EZ16" t="s">
        <v>285</v>
      </c>
      <c r="FA16" t="s">
        <v>270</v>
      </c>
      <c r="FB16" t="s">
        <v>270</v>
      </c>
      <c r="FC16" t="s">
        <v>280</v>
      </c>
      <c r="FD16" t="s">
        <v>281</v>
      </c>
      <c r="FF16" t="s">
        <v>271</v>
      </c>
      <c r="FG16" t="s">
        <v>271</v>
      </c>
      <c r="FH16" t="s">
        <v>268</v>
      </c>
      <c r="FI16" t="s">
        <v>268</v>
      </c>
      <c r="FJ16" t="s">
        <v>268</v>
      </c>
      <c r="FK16" t="s">
        <v>268</v>
      </c>
      <c r="FL16" t="s">
        <v>268</v>
      </c>
      <c r="FM16" t="s">
        <v>270</v>
      </c>
      <c r="FN16" t="s">
        <v>270</v>
      </c>
      <c r="FO16" t="s">
        <v>270</v>
      </c>
      <c r="FP16" t="s">
        <v>268</v>
      </c>
      <c r="FQ16" t="s">
        <v>266</v>
      </c>
      <c r="FR16" t="s">
        <v>276</v>
      </c>
      <c r="FS16" t="s">
        <v>270</v>
      </c>
      <c r="FT16" t="s">
        <v>270</v>
      </c>
    </row>
    <row r="17" spans="1:176" x14ac:dyDescent="0.35">
      <c r="A17">
        <v>1</v>
      </c>
      <c r="B17">
        <v>1564344206.3</v>
      </c>
      <c r="C17">
        <v>0</v>
      </c>
      <c r="D17" t="s">
        <v>286</v>
      </c>
      <c r="E17" t="s">
        <v>287</v>
      </c>
      <c r="F17" t="s">
        <v>288</v>
      </c>
      <c r="G17" t="s">
        <v>289</v>
      </c>
      <c r="H17" t="s">
        <v>288</v>
      </c>
      <c r="J17" t="s">
        <v>288</v>
      </c>
      <c r="K17">
        <v>1564344198.3</v>
      </c>
      <c r="L17">
        <f t="shared" ref="L17:L26" si="0">CE17*AM17*(CC17-CD17)/(100*$B$5*(1000-AM17*CC17))</f>
        <v>6.8465496352559429E-3</v>
      </c>
      <c r="M17">
        <f t="shared" ref="M17:M26" si="1">CE17*AM17*(CB17-CA17*(1000-AM17*CD17)/(1000-AM17*CC17))/(100*$B$5)</f>
        <v>33.236139656886138</v>
      </c>
      <c r="N17">
        <f t="shared" ref="N17:N26" si="2">CA17 - IF(AM17&gt;1, M17*$B$5*100/(AO17*CK17), 0)</f>
        <v>357.18654838709699</v>
      </c>
      <c r="O17">
        <f t="shared" ref="O17:O26" si="3">((U17-L17/2)*N17-M17)/(U17+L17/2)</f>
        <v>204.14456355733776</v>
      </c>
      <c r="P17">
        <f t="shared" ref="P17:P26" si="4">O17*(CF17+CG17)/1000</f>
        <v>20.301957944195877</v>
      </c>
      <c r="Q17">
        <f t="shared" ref="Q17:Q26" si="5">(CA17 - IF(AM17&gt;1, M17*$B$5*100/(AO17*CK17), 0))*(CF17+CG17)/1000</f>
        <v>35.521819230569847</v>
      </c>
      <c r="R17">
        <f t="shared" ref="R17:R26" si="6">2/((1/T17-1/S17)+SIGN(T17)*SQRT((1/T17-1/S17)*(1/T17-1/S17) + 4*$C$5/(($C$5+1)*($C$5+1))*(2*1/T17*1/S17-1/S17*1/S17)))</f>
        <v>0.39830546748726736</v>
      </c>
      <c r="S17">
        <f t="shared" ref="S17:S26" si="7">AJ17+AI17*$B$5+AH17*$B$5*$B$5</f>
        <v>2.2509636840139873</v>
      </c>
      <c r="T17">
        <f t="shared" ref="T17:T26" si="8">L17*(1000-(1000*0.61365*EXP(17.502*X17/(240.97+X17))/(CF17+CG17)+CC17)/2)/(1000*0.61365*EXP(17.502*X17/(240.97+X17))/(CF17+CG17)-CC17)</f>
        <v>0.36289154123613265</v>
      </c>
      <c r="U17">
        <f t="shared" ref="U17:U26" si="9">1/(($C$5+1)/(R17/1.6)+1/(S17/1.37)) + $C$5/(($C$5+1)/(R17/1.6) + $C$5/(S17/1.37))</f>
        <v>0.22972604776307215</v>
      </c>
      <c r="V17">
        <f t="shared" ref="V17:V26" si="10">(BW17*BY17)</f>
        <v>353.34242408888485</v>
      </c>
      <c r="W17">
        <f t="shared" ref="W17:W26" si="11">(CH17+(V17+2*0.95*0.0000000567*(((CH17+$B$7)+273)^4-(CH17+273)^4)-44100*L17)/(1.84*29.3*S17+8*0.95*0.0000000567*(CH17+273)^3))</f>
        <v>25.501031555463626</v>
      </c>
      <c r="X17">
        <f t="shared" ref="X17:X26" si="12">($C$7*CI17+$D$7*CJ17+$E$7*W17)</f>
        <v>26.981000000000002</v>
      </c>
      <c r="Y17">
        <f t="shared" ref="Y17:Y26" si="13">0.61365*EXP(17.502*X17/(240.97+X17))</f>
        <v>3.5751675923076331</v>
      </c>
      <c r="Z17">
        <f t="shared" ref="Z17:Z26" si="14">(AA17/AB17*100)</f>
        <v>54.637617410480544</v>
      </c>
      <c r="AA17">
        <f t="shared" ref="AA17:AA26" si="15">CC17*(CF17+CG17)/1000</f>
        <v>1.7491247431731487</v>
      </c>
      <c r="AB17">
        <f t="shared" ref="AB17:AB26" si="16">0.61365*EXP(17.502*CH17/(240.97+CH17))</f>
        <v>3.2013195781074324</v>
      </c>
      <c r="AC17">
        <f t="shared" ref="AC17:AC26" si="17">(Y17-CC17*(CF17+CG17)/1000)</f>
        <v>1.8260428491344844</v>
      </c>
      <c r="AD17">
        <f t="shared" ref="AD17:AD26" si="18">(-L17*44100)</f>
        <v>-301.93283891478706</v>
      </c>
      <c r="AE17">
        <f t="shared" ref="AE17:AE26" si="19">2*29.3*S17*0.92*(CH17-X17)</f>
        <v>-226.58897144137623</v>
      </c>
      <c r="AF17">
        <f t="shared" ref="AF17:AF26" si="20">2*0.95*0.0000000567*(((CH17+$B$7)+273)^4-(X17+273)^4)</f>
        <v>-21.51819649589314</v>
      </c>
      <c r="AG17">
        <f t="shared" ref="AG17:AG26" si="21">V17+AF17+AD17+AE17</f>
        <v>-196.6975827631716</v>
      </c>
      <c r="AH17">
        <v>-4.1209696111888301E-2</v>
      </c>
      <c r="AI17">
        <v>4.6261494053254401E-2</v>
      </c>
      <c r="AJ17">
        <v>3.4569437797224398</v>
      </c>
      <c r="AK17">
        <v>0</v>
      </c>
      <c r="AL17">
        <v>0</v>
      </c>
      <c r="AM17">
        <f t="shared" ref="AM17:AM26" si="22">IF(AK17*$H$13&gt;=AO17,1,(AO17/(AO17-AK17*$H$13)))</f>
        <v>1</v>
      </c>
      <c r="AN17">
        <f t="shared" ref="AN17:AN26" si="23">(AM17-1)*100</f>
        <v>0</v>
      </c>
      <c r="AO17">
        <f t="shared" ref="AO17:AO26" si="24">MAX(0,($B$13+$C$13*CK17)/(1+$D$13*CK17)*CF17/(CH17+273)*$E$13)</f>
        <v>52880.722456273921</v>
      </c>
      <c r="AP17" t="s">
        <v>290</v>
      </c>
      <c r="AQ17">
        <v>413.64615384615399</v>
      </c>
      <c r="AR17">
        <v>1914.9</v>
      </c>
      <c r="AS17">
        <f t="shared" ref="AS17:AS26" si="25">AR17-AQ17</f>
        <v>1501.2538461538461</v>
      </c>
      <c r="AT17">
        <f t="shared" ref="AT17:AT26" si="26">AS17/AR17</f>
        <v>0.78398550637309838</v>
      </c>
      <c r="AU17">
        <v>-0.61508576146989002</v>
      </c>
      <c r="AV17" t="s">
        <v>291</v>
      </c>
      <c r="AW17">
        <v>844.42746153846201</v>
      </c>
      <c r="AX17">
        <v>1217.17</v>
      </c>
      <c r="AY17">
        <f t="shared" ref="AY17:AY26" si="27">1-AW17/AX17</f>
        <v>0.30623704039825006</v>
      </c>
      <c r="AZ17">
        <v>0.5</v>
      </c>
      <c r="BA17">
        <f t="shared" ref="BA17:BA26" si="28">BW17</f>
        <v>1849.1987322850291</v>
      </c>
      <c r="BB17">
        <f t="shared" ref="BB17:BB26" si="29">M17</f>
        <v>33.236139656886138</v>
      </c>
      <c r="BC17">
        <f t="shared" ref="BC17:BC26" si="30">AY17*AZ17*BA17</f>
        <v>283.14657344158161</v>
      </c>
      <c r="BD17">
        <f t="shared" ref="BD17:BD26" si="31">BI17/AX17</f>
        <v>0.51806239062743908</v>
      </c>
      <c r="BE17">
        <f t="shared" ref="BE17:BE26" si="32">(BB17-AU17)/BA17</f>
        <v>1.8305888289533133E-2</v>
      </c>
      <c r="BF17">
        <f t="shared" ref="BF17:BF26" si="33">(AR17-AX17)/AX17</f>
        <v>0.57323956390643871</v>
      </c>
      <c r="BG17" t="s">
        <v>292</v>
      </c>
      <c r="BH17">
        <v>586.6</v>
      </c>
      <c r="BI17">
        <f t="shared" ref="BI17:BI26" si="34">AX17-BH17</f>
        <v>630.57000000000005</v>
      </c>
      <c r="BJ17">
        <f t="shared" ref="BJ17:BJ26" si="35">(AX17-AW17)/(AX17-BH17)</f>
        <v>0.59112000009759114</v>
      </c>
      <c r="BK17">
        <f t="shared" ref="BK17:BK26" si="36">(AR17-AX17)/(AR17-BH17)</f>
        <v>0.52528043363697952</v>
      </c>
      <c r="BL17">
        <f t="shared" ref="BL17:BL26" si="37">(AX17-AW17)/(AX17-AQ17)</f>
        <v>0.46388484952339698</v>
      </c>
      <c r="BM17">
        <f t="shared" ref="BM17:BM26" si="38">(AR17-AX17)/(AR17-AQ17)</f>
        <v>0.46476483759729048</v>
      </c>
      <c r="BN17">
        <v>302</v>
      </c>
      <c r="BO17">
        <v>300</v>
      </c>
      <c r="BP17">
        <v>300</v>
      </c>
      <c r="BQ17">
        <v>300</v>
      </c>
      <c r="BR17">
        <v>8105.95</v>
      </c>
      <c r="BS17">
        <v>1088.48</v>
      </c>
      <c r="BT17">
        <v>-2.9486E-3</v>
      </c>
      <c r="BU17">
        <v>3.2654999999999998</v>
      </c>
      <c r="BV17">
        <f t="shared" ref="BV17:BV26" si="39">$B$11*CL17+$C$11*CM17+$F$11*CN17</f>
        <v>2200.0145161290302</v>
      </c>
      <c r="BW17">
        <f t="shared" ref="BW17:BW26" si="40">BV17*BX17</f>
        <v>1849.1987322850291</v>
      </c>
      <c r="BX17">
        <f t="shared" ref="BX17:BX26" si="41">($B$11*$D$9+$C$11*$D$9+$F$11*((DA17+CS17)/MAX(DA17+CS17+DB17, 0.1)*$I$9+DB17/MAX(DA17+CS17+DB17, 0.1)*$J$9))/($B$11+$C$11+$F$11)</f>
        <v>0.84053933223073973</v>
      </c>
      <c r="BY17">
        <f t="shared" ref="BY17:BY26" si="42">($B$11*$K$9+$C$11*$K$9+$F$11*((DA17+CS17)/MAX(DA17+CS17+DB17, 0.1)*$P$9+DB17/MAX(DA17+CS17+DB17, 0.1)*$Q$9))/($B$11+$C$11+$F$11)</f>
        <v>0.19107866446147978</v>
      </c>
      <c r="BZ17">
        <v>1564344198.3</v>
      </c>
      <c r="CA17">
        <v>357.18654838709699</v>
      </c>
      <c r="CB17">
        <v>400.00341935483902</v>
      </c>
      <c r="CC17">
        <v>17.588170967741899</v>
      </c>
      <c r="CD17">
        <v>9.5170190322580694</v>
      </c>
      <c r="CE17">
        <v>500.01274193548397</v>
      </c>
      <c r="CF17">
        <v>99.348951612903306</v>
      </c>
      <c r="CG17">
        <v>9.9976099999999998E-2</v>
      </c>
      <c r="CH17">
        <v>25.113825806451601</v>
      </c>
      <c r="CI17">
        <v>26.981000000000002</v>
      </c>
      <c r="CJ17">
        <v>999.9</v>
      </c>
      <c r="CK17">
        <v>10003.043225806499</v>
      </c>
      <c r="CL17">
        <v>0</v>
      </c>
      <c r="CM17">
        <v>-204.72896774193501</v>
      </c>
      <c r="CN17">
        <v>2200.0145161290302</v>
      </c>
      <c r="CO17">
        <v>0.98200487096774203</v>
      </c>
      <c r="CP17">
        <v>1.7994874193548401E-2</v>
      </c>
      <c r="CQ17">
        <v>0</v>
      </c>
      <c r="CR17">
        <v>844.457870967742</v>
      </c>
      <c r="CS17">
        <v>1.9999499999999999</v>
      </c>
      <c r="CT17">
        <v>19307.232258064501</v>
      </c>
      <c r="CU17">
        <v>17938.400000000001</v>
      </c>
      <c r="CV17">
        <v>47.991806451612902</v>
      </c>
      <c r="CW17">
        <v>49.328258064516099</v>
      </c>
      <c r="CX17">
        <v>48.390999999999998</v>
      </c>
      <c r="CY17">
        <v>48.402999999999999</v>
      </c>
      <c r="CZ17">
        <v>48.987806451612897</v>
      </c>
      <c r="DA17">
        <v>2158.4632258064498</v>
      </c>
      <c r="DB17">
        <v>39.551290322580599</v>
      </c>
      <c r="DC17">
        <v>0</v>
      </c>
      <c r="DD17">
        <v>1481.7000000476801</v>
      </c>
      <c r="DE17">
        <v>844.42746153846201</v>
      </c>
      <c r="DF17">
        <v>-2.89757264483453</v>
      </c>
      <c r="DG17">
        <v>-36.8854700168351</v>
      </c>
      <c r="DH17">
        <v>19306.5346153846</v>
      </c>
      <c r="DI17">
        <v>15</v>
      </c>
      <c r="DJ17">
        <v>1564344158.8</v>
      </c>
      <c r="DK17" t="s">
        <v>293</v>
      </c>
      <c r="DL17">
        <v>111</v>
      </c>
      <c r="DM17">
        <v>0.35599999999999998</v>
      </c>
      <c r="DN17">
        <v>3.5000000000000003E-2</v>
      </c>
      <c r="DO17">
        <v>400</v>
      </c>
      <c r="DP17">
        <v>10</v>
      </c>
      <c r="DQ17">
        <v>0.04</v>
      </c>
      <c r="DR17">
        <v>0.01</v>
      </c>
      <c r="DS17">
        <v>33.228405458939697</v>
      </c>
      <c r="DT17">
        <v>-3.2243521962036899E-2</v>
      </c>
      <c r="DU17">
        <v>6.2911275551775503E-2</v>
      </c>
      <c r="DV17">
        <v>1</v>
      </c>
      <c r="DW17">
        <v>357.20634246575298</v>
      </c>
      <c r="DX17">
        <v>-7.4590892262131406E-2</v>
      </c>
      <c r="DY17">
        <v>2.3766108698881599E-2</v>
      </c>
      <c r="DZ17">
        <v>1</v>
      </c>
      <c r="EA17">
        <v>0.40035884297998803</v>
      </c>
      <c r="EB17">
        <v>1.32103715070513E-3</v>
      </c>
      <c r="EC17">
        <v>4.8854274824307597E-3</v>
      </c>
      <c r="ED17">
        <v>1</v>
      </c>
      <c r="EE17">
        <v>3</v>
      </c>
      <c r="EF17">
        <v>3</v>
      </c>
      <c r="EG17" t="s">
        <v>294</v>
      </c>
      <c r="EH17">
        <v>1.8666100000000001</v>
      </c>
      <c r="EI17">
        <v>1.8631</v>
      </c>
      <c r="EJ17">
        <v>1.8687400000000001</v>
      </c>
      <c r="EK17">
        <v>1.86673</v>
      </c>
      <c r="EL17">
        <v>1.87134</v>
      </c>
      <c r="EM17">
        <v>1.86382</v>
      </c>
      <c r="EN17">
        <v>1.86538</v>
      </c>
      <c r="EO17">
        <v>1.8652500000000001</v>
      </c>
      <c r="EP17" t="s">
        <v>295</v>
      </c>
      <c r="EQ17" t="s">
        <v>19</v>
      </c>
      <c r="ER17" t="s">
        <v>19</v>
      </c>
      <c r="ES17" t="s">
        <v>19</v>
      </c>
      <c r="ET17" t="s">
        <v>296</v>
      </c>
      <c r="EU17" t="s">
        <v>297</v>
      </c>
      <c r="EV17" t="s">
        <v>298</v>
      </c>
      <c r="EW17" t="s">
        <v>298</v>
      </c>
      <c r="EX17" t="s">
        <v>298</v>
      </c>
      <c r="EY17" t="s">
        <v>298</v>
      </c>
      <c r="EZ17">
        <v>0</v>
      </c>
      <c r="FA17">
        <v>100</v>
      </c>
      <c r="FB17">
        <v>100</v>
      </c>
      <c r="FC17">
        <v>0.35599999999999998</v>
      </c>
      <c r="FD17">
        <v>3.5000000000000003E-2</v>
      </c>
      <c r="FE17">
        <v>2</v>
      </c>
      <c r="FF17">
        <v>505.1</v>
      </c>
      <c r="FG17">
        <v>483.798</v>
      </c>
      <c r="FH17">
        <v>19.616</v>
      </c>
      <c r="FI17">
        <v>34.963999999999999</v>
      </c>
      <c r="FJ17">
        <v>30.000599999999999</v>
      </c>
      <c r="FK17">
        <v>34.752600000000001</v>
      </c>
      <c r="FL17">
        <v>34.712400000000002</v>
      </c>
      <c r="FM17">
        <v>22.171199999999999</v>
      </c>
      <c r="FN17">
        <v>82.825100000000006</v>
      </c>
      <c r="FO17">
        <v>0</v>
      </c>
      <c r="FP17">
        <v>19.614100000000001</v>
      </c>
      <c r="FQ17">
        <v>400</v>
      </c>
      <c r="FR17">
        <v>9.57578</v>
      </c>
      <c r="FS17">
        <v>100.467</v>
      </c>
      <c r="FT17">
        <v>101.008</v>
      </c>
    </row>
    <row r="18" spans="1:176" x14ac:dyDescent="0.35">
      <c r="A18">
        <v>2</v>
      </c>
      <c r="B18">
        <v>1564344296.8</v>
      </c>
      <c r="C18">
        <v>90.5</v>
      </c>
      <c r="D18" t="s">
        <v>299</v>
      </c>
      <c r="E18" t="s">
        <v>300</v>
      </c>
      <c r="F18" t="s">
        <v>288</v>
      </c>
      <c r="G18" t="s">
        <v>289</v>
      </c>
      <c r="H18" t="s">
        <v>288</v>
      </c>
      <c r="J18" t="s">
        <v>288</v>
      </c>
      <c r="K18">
        <v>1564344288.8</v>
      </c>
      <c r="L18">
        <f t="shared" si="0"/>
        <v>6.6056878243105771E-3</v>
      </c>
      <c r="M18">
        <f t="shared" si="1"/>
        <v>24.398577667659808</v>
      </c>
      <c r="N18">
        <f t="shared" si="2"/>
        <v>268.58583870967698</v>
      </c>
      <c r="O18">
        <f t="shared" si="3"/>
        <v>150.94009246044013</v>
      </c>
      <c r="P18">
        <f t="shared" si="4"/>
        <v>15.010752527156029</v>
      </c>
      <c r="Q18">
        <f t="shared" si="5"/>
        <v>26.710435189552218</v>
      </c>
      <c r="R18">
        <f t="shared" si="6"/>
        <v>0.37854358959226869</v>
      </c>
      <c r="S18">
        <f t="shared" si="7"/>
        <v>2.2517262736840129</v>
      </c>
      <c r="T18">
        <f t="shared" si="8"/>
        <v>0.34641479915635826</v>
      </c>
      <c r="U18">
        <f t="shared" si="9"/>
        <v>0.21916819908466151</v>
      </c>
      <c r="V18">
        <f t="shared" si="10"/>
        <v>353.33729096893467</v>
      </c>
      <c r="W18">
        <f t="shared" si="11"/>
        <v>25.870249982160821</v>
      </c>
      <c r="X18">
        <f t="shared" si="12"/>
        <v>27.2715741935484</v>
      </c>
      <c r="Y18">
        <f t="shared" si="13"/>
        <v>3.6366470840660345</v>
      </c>
      <c r="Z18">
        <f t="shared" si="14"/>
        <v>55.022449305908182</v>
      </c>
      <c r="AA18">
        <f t="shared" si="15"/>
        <v>1.7920520463700167</v>
      </c>
      <c r="AB18">
        <f t="shared" si="16"/>
        <v>3.2569470624739894</v>
      </c>
      <c r="AC18">
        <f t="shared" si="17"/>
        <v>1.8445950376960178</v>
      </c>
      <c r="AD18">
        <f t="shared" si="18"/>
        <v>-291.31083305209643</v>
      </c>
      <c r="AE18">
        <f t="shared" si="19"/>
        <v>-226.79417989055068</v>
      </c>
      <c r="AF18">
        <f t="shared" si="20"/>
        <v>-21.593097518185441</v>
      </c>
      <c r="AG18">
        <f t="shared" si="21"/>
        <v>-186.3608194918979</v>
      </c>
      <c r="AH18">
        <v>-4.1230237231091801E-2</v>
      </c>
      <c r="AI18">
        <v>4.6284553259061299E-2</v>
      </c>
      <c r="AJ18">
        <v>3.4583074944489498</v>
      </c>
      <c r="AK18">
        <v>0</v>
      </c>
      <c r="AL18">
        <v>0</v>
      </c>
      <c r="AM18">
        <f t="shared" si="22"/>
        <v>1</v>
      </c>
      <c r="AN18">
        <f t="shared" si="23"/>
        <v>0</v>
      </c>
      <c r="AO18">
        <f t="shared" si="24"/>
        <v>52854.657758042529</v>
      </c>
      <c r="AP18" t="s">
        <v>290</v>
      </c>
      <c r="AQ18">
        <v>413.64615384615399</v>
      </c>
      <c r="AR18">
        <v>1914.9</v>
      </c>
      <c r="AS18">
        <f t="shared" si="25"/>
        <v>1501.2538461538461</v>
      </c>
      <c r="AT18">
        <f t="shared" si="26"/>
        <v>0.78398550637309838</v>
      </c>
      <c r="AU18">
        <v>-0.61508576146989002</v>
      </c>
      <c r="AV18" t="s">
        <v>301</v>
      </c>
      <c r="AW18">
        <v>821.86234615384603</v>
      </c>
      <c r="AX18">
        <v>1124.48</v>
      </c>
      <c r="AY18">
        <f t="shared" si="27"/>
        <v>0.26911786234184154</v>
      </c>
      <c r="AZ18">
        <v>0.5</v>
      </c>
      <c r="BA18">
        <f t="shared" si="28"/>
        <v>1849.1718871237392</v>
      </c>
      <c r="BB18">
        <f t="shared" si="29"/>
        <v>24.398577667659808</v>
      </c>
      <c r="BC18">
        <f t="shared" si="30"/>
        <v>248.8225926826849</v>
      </c>
      <c r="BD18">
        <f t="shared" si="31"/>
        <v>0.47335657370517925</v>
      </c>
      <c r="BE18">
        <f t="shared" si="32"/>
        <v>1.3526954202206018E-2</v>
      </c>
      <c r="BF18">
        <f t="shared" si="33"/>
        <v>0.70292046101309058</v>
      </c>
      <c r="BG18" t="s">
        <v>302</v>
      </c>
      <c r="BH18">
        <v>592.20000000000005</v>
      </c>
      <c r="BI18">
        <f t="shared" si="34"/>
        <v>532.28</v>
      </c>
      <c r="BJ18">
        <f t="shared" si="35"/>
        <v>0.56853094958697303</v>
      </c>
      <c r="BK18">
        <f t="shared" si="36"/>
        <v>0.59758070613139791</v>
      </c>
      <c r="BL18">
        <f t="shared" si="37"/>
        <v>0.42572206639223303</v>
      </c>
      <c r="BM18">
        <f t="shared" si="38"/>
        <v>0.52650656118219141</v>
      </c>
      <c r="BN18">
        <v>304</v>
      </c>
      <c r="BO18">
        <v>300</v>
      </c>
      <c r="BP18">
        <v>300</v>
      </c>
      <c r="BQ18">
        <v>300</v>
      </c>
      <c r="BR18">
        <v>8105.48</v>
      </c>
      <c r="BS18">
        <v>1030.26</v>
      </c>
      <c r="BT18">
        <v>-2.94824E-3</v>
      </c>
      <c r="BU18">
        <v>4.3482700000000003</v>
      </c>
      <c r="BV18">
        <f t="shared" si="39"/>
        <v>2199.9825806451599</v>
      </c>
      <c r="BW18">
        <f t="shared" si="40"/>
        <v>1849.1718871237392</v>
      </c>
      <c r="BX18">
        <f t="shared" si="41"/>
        <v>0.84053933126209435</v>
      </c>
      <c r="BY18">
        <f t="shared" si="42"/>
        <v>0.19107866252418898</v>
      </c>
      <c r="BZ18">
        <v>1564344288.8</v>
      </c>
      <c r="CA18">
        <v>268.58583870967698</v>
      </c>
      <c r="CB18">
        <v>299.99161290322598</v>
      </c>
      <c r="CC18">
        <v>18.0199161290323</v>
      </c>
      <c r="CD18">
        <v>10.2363161290323</v>
      </c>
      <c r="CE18">
        <v>500.02470967741903</v>
      </c>
      <c r="CF18">
        <v>99.348409677419397</v>
      </c>
      <c r="CG18">
        <v>0.10000248709677401</v>
      </c>
      <c r="CH18">
        <v>25.403341935483901</v>
      </c>
      <c r="CI18">
        <v>27.2715741935484</v>
      </c>
      <c r="CJ18">
        <v>999.9</v>
      </c>
      <c r="CK18">
        <v>10008.083870967699</v>
      </c>
      <c r="CL18">
        <v>0</v>
      </c>
      <c r="CM18">
        <v>-80.356754838709705</v>
      </c>
      <c r="CN18">
        <v>2199.9825806451599</v>
      </c>
      <c r="CO18">
        <v>0.98200545161290298</v>
      </c>
      <c r="CP18">
        <v>1.79943903225806E-2</v>
      </c>
      <c r="CQ18">
        <v>0</v>
      </c>
      <c r="CR18">
        <v>821.95548387096801</v>
      </c>
      <c r="CS18">
        <v>1.9999499999999999</v>
      </c>
      <c r="CT18">
        <v>18800.087096774201</v>
      </c>
      <c r="CU18">
        <v>17938.1483870968</v>
      </c>
      <c r="CV18">
        <v>48.021999999999998</v>
      </c>
      <c r="CW18">
        <v>49.245935483871001</v>
      </c>
      <c r="CX18">
        <v>48.420999999999999</v>
      </c>
      <c r="CY18">
        <v>48.445129032258002</v>
      </c>
      <c r="CZ18">
        <v>49.066064516129003</v>
      </c>
      <c r="DA18">
        <v>2158.4319354838699</v>
      </c>
      <c r="DB18">
        <v>39.550645161290298</v>
      </c>
      <c r="DC18">
        <v>0</v>
      </c>
      <c r="DD18">
        <v>89.899999856948895</v>
      </c>
      <c r="DE18">
        <v>821.86234615384603</v>
      </c>
      <c r="DF18">
        <v>-9.8677265217243093</v>
      </c>
      <c r="DG18">
        <v>-201.658119843837</v>
      </c>
      <c r="DH18">
        <v>18798.0884615385</v>
      </c>
      <c r="DI18">
        <v>15</v>
      </c>
      <c r="DJ18">
        <v>1564344332.8</v>
      </c>
      <c r="DK18" t="s">
        <v>303</v>
      </c>
      <c r="DL18">
        <v>112</v>
      </c>
      <c r="DM18">
        <v>0.29399999999999998</v>
      </c>
      <c r="DN18">
        <v>4.2999999999999997E-2</v>
      </c>
      <c r="DO18">
        <v>300</v>
      </c>
      <c r="DP18">
        <v>10</v>
      </c>
      <c r="DQ18">
        <v>0.04</v>
      </c>
      <c r="DR18">
        <v>0.01</v>
      </c>
      <c r="DS18">
        <v>24.392567034671501</v>
      </c>
      <c r="DT18">
        <v>-0.18034549213399301</v>
      </c>
      <c r="DU18">
        <v>4.1644778325866598E-2</v>
      </c>
      <c r="DV18">
        <v>1</v>
      </c>
      <c r="DW18">
        <v>268.58910958904102</v>
      </c>
      <c r="DX18">
        <v>0.33651610514630798</v>
      </c>
      <c r="DY18">
        <v>6.0182726699461897E-2</v>
      </c>
      <c r="DZ18">
        <v>1</v>
      </c>
      <c r="EA18">
        <v>0.37860512006337899</v>
      </c>
      <c r="EB18">
        <v>-4.95207115958839E-3</v>
      </c>
      <c r="EC18">
        <v>1.6392764671617299E-3</v>
      </c>
      <c r="ED18">
        <v>1</v>
      </c>
      <c r="EE18">
        <v>3</v>
      </c>
      <c r="EF18">
        <v>3</v>
      </c>
      <c r="EG18" t="s">
        <v>294</v>
      </c>
      <c r="EH18">
        <v>1.8666</v>
      </c>
      <c r="EI18">
        <v>1.86307</v>
      </c>
      <c r="EJ18">
        <v>1.8686799999999999</v>
      </c>
      <c r="EK18">
        <v>1.8666100000000001</v>
      </c>
      <c r="EL18">
        <v>1.8712800000000001</v>
      </c>
      <c r="EM18">
        <v>1.86371</v>
      </c>
      <c r="EN18">
        <v>1.86524</v>
      </c>
      <c r="EO18">
        <v>1.8652299999999999</v>
      </c>
      <c r="EP18" t="s">
        <v>295</v>
      </c>
      <c r="EQ18" t="s">
        <v>19</v>
      </c>
      <c r="ER18" t="s">
        <v>19</v>
      </c>
      <c r="ES18" t="s">
        <v>19</v>
      </c>
      <c r="ET18" t="s">
        <v>296</v>
      </c>
      <c r="EU18" t="s">
        <v>297</v>
      </c>
      <c r="EV18" t="s">
        <v>298</v>
      </c>
      <c r="EW18" t="s">
        <v>298</v>
      </c>
      <c r="EX18" t="s">
        <v>298</v>
      </c>
      <c r="EY18" t="s">
        <v>298</v>
      </c>
      <c r="EZ18">
        <v>0</v>
      </c>
      <c r="FA18">
        <v>100</v>
      </c>
      <c r="FB18">
        <v>100</v>
      </c>
      <c r="FC18">
        <v>0.29399999999999998</v>
      </c>
      <c r="FD18">
        <v>4.2999999999999997E-2</v>
      </c>
      <c r="FE18">
        <v>2</v>
      </c>
      <c r="FF18">
        <v>505.45400000000001</v>
      </c>
      <c r="FG18">
        <v>484.46199999999999</v>
      </c>
      <c r="FH18">
        <v>18.968900000000001</v>
      </c>
      <c r="FI18">
        <v>34.986899999999999</v>
      </c>
      <c r="FJ18">
        <v>29.9999</v>
      </c>
      <c r="FK18">
        <v>34.819400000000002</v>
      </c>
      <c r="FL18">
        <v>34.7821</v>
      </c>
      <c r="FM18">
        <v>17.674399999999999</v>
      </c>
      <c r="FN18">
        <v>80.4178</v>
      </c>
      <c r="FO18">
        <v>0</v>
      </c>
      <c r="FP18">
        <v>17.270499999999998</v>
      </c>
      <c r="FQ18">
        <v>300</v>
      </c>
      <c r="FR18">
        <v>10.256600000000001</v>
      </c>
      <c r="FS18">
        <v>100.458</v>
      </c>
      <c r="FT18">
        <v>101</v>
      </c>
    </row>
    <row r="19" spans="1:176" x14ac:dyDescent="0.35">
      <c r="A19">
        <v>3</v>
      </c>
      <c r="B19">
        <v>1564344454.3</v>
      </c>
      <c r="C19">
        <v>248</v>
      </c>
      <c r="D19" t="s">
        <v>304</v>
      </c>
      <c r="E19" t="s">
        <v>305</v>
      </c>
      <c r="F19" t="s">
        <v>288</v>
      </c>
      <c r="G19" t="s">
        <v>289</v>
      </c>
      <c r="H19" t="s">
        <v>288</v>
      </c>
      <c r="J19" t="s">
        <v>288</v>
      </c>
      <c r="K19">
        <v>1564344446.3</v>
      </c>
      <c r="L19">
        <f t="shared" si="0"/>
        <v>6.6428290546051497E-3</v>
      </c>
      <c r="M19">
        <f t="shared" si="1"/>
        <v>15.185674392539907</v>
      </c>
      <c r="N19">
        <f t="shared" si="2"/>
        <v>180.340580645161</v>
      </c>
      <c r="O19">
        <f t="shared" si="3"/>
        <v>108.50410035674636</v>
      </c>
      <c r="P19">
        <f t="shared" si="4"/>
        <v>10.790398224535599</v>
      </c>
      <c r="Q19">
        <f t="shared" si="5"/>
        <v>17.934314692322801</v>
      </c>
      <c r="R19">
        <f t="shared" si="6"/>
        <v>0.3889766327719511</v>
      </c>
      <c r="S19">
        <f t="shared" si="7"/>
        <v>2.2506555448447796</v>
      </c>
      <c r="T19">
        <f t="shared" si="8"/>
        <v>0.35512254227681139</v>
      </c>
      <c r="U19">
        <f t="shared" si="9"/>
        <v>0.22474719317167746</v>
      </c>
      <c r="V19">
        <f t="shared" si="10"/>
        <v>353.33998369455173</v>
      </c>
      <c r="W19">
        <f t="shared" si="11"/>
        <v>25.411043445132741</v>
      </c>
      <c r="X19">
        <f t="shared" si="12"/>
        <v>26.9655290322581</v>
      </c>
      <c r="Y19">
        <f t="shared" si="13"/>
        <v>3.5719198503240035</v>
      </c>
      <c r="Z19">
        <f t="shared" si="14"/>
        <v>55.546380304743906</v>
      </c>
      <c r="AA19">
        <f t="shared" si="15"/>
        <v>1.761575413863717</v>
      </c>
      <c r="AB19">
        <f t="shared" si="16"/>
        <v>3.1713595092951015</v>
      </c>
      <c r="AC19">
        <f t="shared" si="17"/>
        <v>1.8103444364602865</v>
      </c>
      <c r="AD19">
        <f t="shared" si="18"/>
        <v>-292.94876130808711</v>
      </c>
      <c r="AE19">
        <f t="shared" si="19"/>
        <v>-243.82229987368467</v>
      </c>
      <c r="AF19">
        <f t="shared" si="20"/>
        <v>-23.13786296318623</v>
      </c>
      <c r="AG19">
        <f t="shared" si="21"/>
        <v>-206.5689404504063</v>
      </c>
      <c r="AH19">
        <v>-4.12013978608139E-2</v>
      </c>
      <c r="AI19">
        <v>4.6252178539456699E-2</v>
      </c>
      <c r="AJ19">
        <v>3.4563927965973398</v>
      </c>
      <c r="AK19">
        <v>0</v>
      </c>
      <c r="AL19">
        <v>0</v>
      </c>
      <c r="AM19">
        <f t="shared" si="22"/>
        <v>1</v>
      </c>
      <c r="AN19">
        <f t="shared" si="23"/>
        <v>0</v>
      </c>
      <c r="AO19">
        <f t="shared" si="24"/>
        <v>52898.457587211444</v>
      </c>
      <c r="AP19" t="s">
        <v>290</v>
      </c>
      <c r="AQ19">
        <v>413.64615384615399</v>
      </c>
      <c r="AR19">
        <v>1914.9</v>
      </c>
      <c r="AS19">
        <f t="shared" si="25"/>
        <v>1501.2538461538461</v>
      </c>
      <c r="AT19">
        <f t="shared" si="26"/>
        <v>0.78398550637309838</v>
      </c>
      <c r="AU19">
        <v>-0.61508576146989002</v>
      </c>
      <c r="AV19" t="s">
        <v>306</v>
      </c>
      <c r="AW19">
        <v>811.09380769230802</v>
      </c>
      <c r="AX19">
        <v>1064.25</v>
      </c>
      <c r="AY19">
        <f t="shared" si="27"/>
        <v>0.23787286098913973</v>
      </c>
      <c r="AZ19">
        <v>0.5</v>
      </c>
      <c r="BA19">
        <f t="shared" si="28"/>
        <v>1849.1862292331932</v>
      </c>
      <c r="BB19">
        <f t="shared" si="29"/>
        <v>15.185674392539907</v>
      </c>
      <c r="BC19">
        <f t="shared" si="30"/>
        <v>219.93560942470941</v>
      </c>
      <c r="BD19">
        <f t="shared" si="31"/>
        <v>0.42457129433873619</v>
      </c>
      <c r="BE19">
        <f t="shared" si="32"/>
        <v>8.5447100482475141E-3</v>
      </c>
      <c r="BF19">
        <f t="shared" si="33"/>
        <v>0.79929527836504588</v>
      </c>
      <c r="BG19" t="s">
        <v>307</v>
      </c>
      <c r="BH19">
        <v>612.4</v>
      </c>
      <c r="BI19">
        <f t="shared" si="34"/>
        <v>451.85</v>
      </c>
      <c r="BJ19">
        <f t="shared" si="35"/>
        <v>0.56026600045964803</v>
      </c>
      <c r="BK19">
        <f t="shared" si="36"/>
        <v>0.6530902111324377</v>
      </c>
      <c r="BL19">
        <f t="shared" si="37"/>
        <v>0.38910958458709916</v>
      </c>
      <c r="BM19">
        <f t="shared" si="38"/>
        <v>0.56662635847983489</v>
      </c>
      <c r="BN19">
        <v>306</v>
      </c>
      <c r="BO19">
        <v>300</v>
      </c>
      <c r="BP19">
        <v>300</v>
      </c>
      <c r="BQ19">
        <v>300</v>
      </c>
      <c r="BR19">
        <v>8105.07</v>
      </c>
      <c r="BS19">
        <v>983.54600000000005</v>
      </c>
      <c r="BT19">
        <v>-2.9481199999999998E-3</v>
      </c>
      <c r="BU19">
        <v>4.3932500000000001</v>
      </c>
      <c r="BV19">
        <f t="shared" si="39"/>
        <v>2199.9996774193501</v>
      </c>
      <c r="BW19">
        <f t="shared" si="40"/>
        <v>1849.1862292331932</v>
      </c>
      <c r="BX19">
        <f t="shared" si="41"/>
        <v>0.84053931835223306</v>
      </c>
      <c r="BY19">
        <f t="shared" si="42"/>
        <v>0.19107863670446656</v>
      </c>
      <c r="BZ19">
        <v>1564344446.3</v>
      </c>
      <c r="CA19">
        <v>180.340580645161</v>
      </c>
      <c r="CB19">
        <v>199.99967741935501</v>
      </c>
      <c r="CC19">
        <v>17.713725806451599</v>
      </c>
      <c r="CD19">
        <v>9.8840432258064492</v>
      </c>
      <c r="CE19">
        <v>500.03251612903199</v>
      </c>
      <c r="CF19">
        <v>99.346893548387101</v>
      </c>
      <c r="CG19">
        <v>0.100023103225806</v>
      </c>
      <c r="CH19">
        <v>24.956070967741901</v>
      </c>
      <c r="CI19">
        <v>26.9655290322581</v>
      </c>
      <c r="CJ19">
        <v>999.9</v>
      </c>
      <c r="CK19">
        <v>10001.236129032301</v>
      </c>
      <c r="CL19">
        <v>0</v>
      </c>
      <c r="CM19">
        <v>-71.444341935483905</v>
      </c>
      <c r="CN19">
        <v>2199.9996774193501</v>
      </c>
      <c r="CO19">
        <v>0.98200661290322599</v>
      </c>
      <c r="CP19">
        <v>1.7993422580645201E-2</v>
      </c>
      <c r="CQ19">
        <v>0</v>
      </c>
      <c r="CR19">
        <v>811.13387096774204</v>
      </c>
      <c r="CS19">
        <v>1.9999499999999999</v>
      </c>
      <c r="CT19">
        <v>18564.967741935499</v>
      </c>
      <c r="CU19">
        <v>17938.274193548401</v>
      </c>
      <c r="CV19">
        <v>48.0945161290323</v>
      </c>
      <c r="CW19">
        <v>49.058</v>
      </c>
      <c r="CX19">
        <v>48.414999999999999</v>
      </c>
      <c r="CY19">
        <v>48.3283225806451</v>
      </c>
      <c r="CZ19">
        <v>49.116741935483901</v>
      </c>
      <c r="DA19">
        <v>2158.44935483871</v>
      </c>
      <c r="DB19">
        <v>39.549999999999997</v>
      </c>
      <c r="DC19">
        <v>0</v>
      </c>
      <c r="DD19">
        <v>156.799999952316</v>
      </c>
      <c r="DE19">
        <v>811.09380769230802</v>
      </c>
      <c r="DF19">
        <v>-3.1144273580575899</v>
      </c>
      <c r="DG19">
        <v>-46.211965854375499</v>
      </c>
      <c r="DH19">
        <v>18564.75</v>
      </c>
      <c r="DI19">
        <v>15</v>
      </c>
      <c r="DJ19">
        <v>1564344406.8</v>
      </c>
      <c r="DK19" t="s">
        <v>308</v>
      </c>
      <c r="DL19">
        <v>113</v>
      </c>
      <c r="DM19">
        <v>0.183</v>
      </c>
      <c r="DN19">
        <v>4.2000000000000003E-2</v>
      </c>
      <c r="DO19">
        <v>200</v>
      </c>
      <c r="DP19">
        <v>10</v>
      </c>
      <c r="DQ19">
        <v>0.08</v>
      </c>
      <c r="DR19">
        <v>0.01</v>
      </c>
      <c r="DS19">
        <v>15.171148565672</v>
      </c>
      <c r="DT19">
        <v>3.9497159052500098E-2</v>
      </c>
      <c r="DU19">
        <v>4.0576897034318403E-2</v>
      </c>
      <c r="DV19">
        <v>1</v>
      </c>
      <c r="DW19">
        <v>180.368219178082</v>
      </c>
      <c r="DX19">
        <v>-0.13728989263233099</v>
      </c>
      <c r="DY19">
        <v>3.1654923041274097E-2</v>
      </c>
      <c r="DZ19">
        <v>1</v>
      </c>
      <c r="EA19">
        <v>0.38617092737949799</v>
      </c>
      <c r="EB19">
        <v>2.0080683516784398E-2</v>
      </c>
      <c r="EC19">
        <v>6.0194980328444102E-3</v>
      </c>
      <c r="ED19">
        <v>1</v>
      </c>
      <c r="EE19">
        <v>3</v>
      </c>
      <c r="EF19">
        <v>3</v>
      </c>
      <c r="EG19" t="s">
        <v>294</v>
      </c>
      <c r="EH19">
        <v>1.8665799999999999</v>
      </c>
      <c r="EI19">
        <v>1.8631</v>
      </c>
      <c r="EJ19">
        <v>1.8686499999999999</v>
      </c>
      <c r="EK19">
        <v>1.8666100000000001</v>
      </c>
      <c r="EL19">
        <v>1.8712800000000001</v>
      </c>
      <c r="EM19">
        <v>1.86372</v>
      </c>
      <c r="EN19">
        <v>1.8652599999999999</v>
      </c>
      <c r="EO19">
        <v>1.8652299999999999</v>
      </c>
      <c r="EP19" t="s">
        <v>295</v>
      </c>
      <c r="EQ19" t="s">
        <v>19</v>
      </c>
      <c r="ER19" t="s">
        <v>19</v>
      </c>
      <c r="ES19" t="s">
        <v>19</v>
      </c>
      <c r="ET19" t="s">
        <v>296</v>
      </c>
      <c r="EU19" t="s">
        <v>297</v>
      </c>
      <c r="EV19" t="s">
        <v>298</v>
      </c>
      <c r="EW19" t="s">
        <v>298</v>
      </c>
      <c r="EX19" t="s">
        <v>298</v>
      </c>
      <c r="EY19" t="s">
        <v>298</v>
      </c>
      <c r="EZ19">
        <v>0</v>
      </c>
      <c r="FA19">
        <v>100</v>
      </c>
      <c r="FB19">
        <v>100</v>
      </c>
      <c r="FC19">
        <v>0.183</v>
      </c>
      <c r="FD19">
        <v>4.2000000000000003E-2</v>
      </c>
      <c r="FE19">
        <v>2</v>
      </c>
      <c r="FF19">
        <v>505.66800000000001</v>
      </c>
      <c r="FG19">
        <v>483.68</v>
      </c>
      <c r="FH19">
        <v>18.5701</v>
      </c>
      <c r="FI19">
        <v>35.034999999999997</v>
      </c>
      <c r="FJ19">
        <v>30.000299999999999</v>
      </c>
      <c r="FK19">
        <v>34.886299999999999</v>
      </c>
      <c r="FL19">
        <v>34.851300000000002</v>
      </c>
      <c r="FM19">
        <v>12.9909</v>
      </c>
      <c r="FN19">
        <v>85.215800000000002</v>
      </c>
      <c r="FO19">
        <v>0</v>
      </c>
      <c r="FP19">
        <v>18.916699999999999</v>
      </c>
      <c r="FQ19">
        <v>200</v>
      </c>
      <c r="FR19">
        <v>9.7176299999999998</v>
      </c>
      <c r="FS19">
        <v>100.45099999999999</v>
      </c>
      <c r="FT19">
        <v>100.994</v>
      </c>
    </row>
    <row r="20" spans="1:176" x14ac:dyDescent="0.35">
      <c r="A20">
        <v>4</v>
      </c>
      <c r="B20">
        <v>1564344594.8</v>
      </c>
      <c r="C20">
        <v>388.5</v>
      </c>
      <c r="D20" t="s">
        <v>309</v>
      </c>
      <c r="E20" t="s">
        <v>310</v>
      </c>
      <c r="F20" t="s">
        <v>288</v>
      </c>
      <c r="G20" t="s">
        <v>289</v>
      </c>
      <c r="H20" t="s">
        <v>288</v>
      </c>
      <c r="J20" t="s">
        <v>288</v>
      </c>
      <c r="K20">
        <v>1564344586.85484</v>
      </c>
      <c r="L20">
        <f t="shared" si="0"/>
        <v>6.7781086253730517E-3</v>
      </c>
      <c r="M20">
        <f t="shared" si="1"/>
        <v>5.8476278088256688</v>
      </c>
      <c r="N20">
        <f t="shared" si="2"/>
        <v>92.232112903225797</v>
      </c>
      <c r="O20">
        <f t="shared" si="3"/>
        <v>64.540559331626625</v>
      </c>
      <c r="P20">
        <f t="shared" si="4"/>
        <v>6.4179969631864422</v>
      </c>
      <c r="Q20">
        <f t="shared" si="5"/>
        <v>9.1716809809409714</v>
      </c>
      <c r="R20">
        <f t="shared" si="6"/>
        <v>0.39951319598775725</v>
      </c>
      <c r="S20">
        <f t="shared" si="7"/>
        <v>2.2494183234653833</v>
      </c>
      <c r="T20">
        <f t="shared" si="8"/>
        <v>0.36387231980306411</v>
      </c>
      <c r="U20">
        <f t="shared" si="9"/>
        <v>0.23035684485094798</v>
      </c>
      <c r="V20">
        <f t="shared" si="10"/>
        <v>353.3452070770569</v>
      </c>
      <c r="W20">
        <f t="shared" si="11"/>
        <v>25.415652185391266</v>
      </c>
      <c r="X20">
        <f t="shared" si="12"/>
        <v>26.9582193548387</v>
      </c>
      <c r="Y20">
        <f t="shared" si="13"/>
        <v>3.5703862628158358</v>
      </c>
      <c r="Z20">
        <f t="shared" si="14"/>
        <v>55.577091757864515</v>
      </c>
      <c r="AA20">
        <f t="shared" si="15"/>
        <v>1.7677410007897634</v>
      </c>
      <c r="AB20">
        <f t="shared" si="16"/>
        <v>3.1807007975360939</v>
      </c>
      <c r="AC20">
        <f t="shared" si="17"/>
        <v>1.8026452620260724</v>
      </c>
      <c r="AD20">
        <f t="shared" si="18"/>
        <v>-298.91459037895157</v>
      </c>
      <c r="AE20">
        <f t="shared" si="19"/>
        <v>-236.82004543974119</v>
      </c>
      <c r="AF20">
        <f t="shared" si="20"/>
        <v>-22.490461286038567</v>
      </c>
      <c r="AG20">
        <f t="shared" si="21"/>
        <v>-204.87989002767443</v>
      </c>
      <c r="AH20">
        <v>-4.1168089581951901E-2</v>
      </c>
      <c r="AI20">
        <v>4.62147870784686E-2</v>
      </c>
      <c r="AJ20">
        <v>3.4541808259448401</v>
      </c>
      <c r="AK20">
        <v>0</v>
      </c>
      <c r="AL20">
        <v>0</v>
      </c>
      <c r="AM20">
        <f t="shared" si="22"/>
        <v>1</v>
      </c>
      <c r="AN20">
        <f t="shared" si="23"/>
        <v>0</v>
      </c>
      <c r="AO20">
        <f t="shared" si="24"/>
        <v>52848.567328539204</v>
      </c>
      <c r="AP20" t="s">
        <v>290</v>
      </c>
      <c r="AQ20">
        <v>413.64615384615399</v>
      </c>
      <c r="AR20">
        <v>1914.9</v>
      </c>
      <c r="AS20">
        <f t="shared" si="25"/>
        <v>1501.2538461538461</v>
      </c>
      <c r="AT20">
        <f t="shared" si="26"/>
        <v>0.78398550637309838</v>
      </c>
      <c r="AU20">
        <v>-0.61508576146989002</v>
      </c>
      <c r="AV20" t="s">
        <v>311</v>
      </c>
      <c r="AW20">
        <v>813.59050000000002</v>
      </c>
      <c r="AX20">
        <v>1021.9</v>
      </c>
      <c r="AY20">
        <f t="shared" si="27"/>
        <v>0.20384528818866809</v>
      </c>
      <c r="AZ20">
        <v>0.5</v>
      </c>
      <c r="BA20">
        <f t="shared" si="28"/>
        <v>1849.2131226076156</v>
      </c>
      <c r="BB20">
        <f t="shared" si="29"/>
        <v>5.8476278088256688</v>
      </c>
      <c r="BC20">
        <f t="shared" si="30"/>
        <v>188.47669095010812</v>
      </c>
      <c r="BD20">
        <f t="shared" si="31"/>
        <v>0.38937273705842057</v>
      </c>
      <c r="BE20">
        <f t="shared" si="32"/>
        <v>3.4948451810586042E-3</v>
      </c>
      <c r="BF20">
        <f t="shared" si="33"/>
        <v>0.873862413151972</v>
      </c>
      <c r="BG20" t="s">
        <v>312</v>
      </c>
      <c r="BH20">
        <v>624</v>
      </c>
      <c r="BI20">
        <f t="shared" si="34"/>
        <v>397.9</v>
      </c>
      <c r="BJ20">
        <f t="shared" si="35"/>
        <v>0.52352224176928874</v>
      </c>
      <c r="BK20">
        <f t="shared" si="36"/>
        <v>0.69176543496785192</v>
      </c>
      <c r="BL20">
        <f t="shared" si="37"/>
        <v>0.34247132396646141</v>
      </c>
      <c r="BM20">
        <f t="shared" si="38"/>
        <v>0.59483611135307424</v>
      </c>
      <c r="BN20">
        <v>308</v>
      </c>
      <c r="BO20">
        <v>300</v>
      </c>
      <c r="BP20">
        <v>300</v>
      </c>
      <c r="BQ20">
        <v>300</v>
      </c>
      <c r="BR20">
        <v>8105.2</v>
      </c>
      <c r="BS20">
        <v>953.59199999999998</v>
      </c>
      <c r="BT20">
        <v>-2.9479799999999998E-3</v>
      </c>
      <c r="BU20">
        <v>2.41852</v>
      </c>
      <c r="BV20">
        <f t="shared" si="39"/>
        <v>2200.0316129032299</v>
      </c>
      <c r="BW20">
        <f t="shared" si="40"/>
        <v>1849.2131226076156</v>
      </c>
      <c r="BX20">
        <f t="shared" si="41"/>
        <v>0.8405393412358001</v>
      </c>
      <c r="BY20">
        <f t="shared" si="42"/>
        <v>0.19107868247160023</v>
      </c>
      <c r="BZ20">
        <v>1564344586.85484</v>
      </c>
      <c r="CA20">
        <v>92.232112903225797</v>
      </c>
      <c r="CB20">
        <v>99.999190322580603</v>
      </c>
      <c r="CC20">
        <v>17.7767290322581</v>
      </c>
      <c r="CD20">
        <v>9.7878645161290301</v>
      </c>
      <c r="CE20">
        <v>500.01719354838701</v>
      </c>
      <c r="CF20">
        <v>99.341300000000004</v>
      </c>
      <c r="CG20">
        <v>9.9997529032258101E-2</v>
      </c>
      <c r="CH20">
        <v>25.0053967741935</v>
      </c>
      <c r="CI20">
        <v>26.9582193548387</v>
      </c>
      <c r="CJ20">
        <v>999.9</v>
      </c>
      <c r="CK20">
        <v>9993.7135483871007</v>
      </c>
      <c r="CL20">
        <v>0</v>
      </c>
      <c r="CM20">
        <v>-86.031545161290296</v>
      </c>
      <c r="CN20">
        <v>2200.0316129032299</v>
      </c>
      <c r="CO20">
        <v>0.98200564516128996</v>
      </c>
      <c r="CP20">
        <v>1.7994229032258099E-2</v>
      </c>
      <c r="CQ20">
        <v>0</v>
      </c>
      <c r="CR20">
        <v>813.61787096774196</v>
      </c>
      <c r="CS20">
        <v>1.9999499999999999</v>
      </c>
      <c r="CT20">
        <v>18621.993548387101</v>
      </c>
      <c r="CU20">
        <v>17938.548387096798</v>
      </c>
      <c r="CV20">
        <v>48.008000000000003</v>
      </c>
      <c r="CW20">
        <v>48.846548387096803</v>
      </c>
      <c r="CX20">
        <v>48.316129032257997</v>
      </c>
      <c r="CY20">
        <v>48.133000000000003</v>
      </c>
      <c r="CZ20">
        <v>49.003935483870997</v>
      </c>
      <c r="DA20">
        <v>2158.4793548387102</v>
      </c>
      <c r="DB20">
        <v>39.552258064516103</v>
      </c>
      <c r="DC20">
        <v>0</v>
      </c>
      <c r="DD20">
        <v>140.10000014305101</v>
      </c>
      <c r="DE20">
        <v>813.59050000000002</v>
      </c>
      <c r="DF20">
        <v>-1.19798290850665</v>
      </c>
      <c r="DG20">
        <v>-57.829059878214302</v>
      </c>
      <c r="DH20">
        <v>18621.219230769198</v>
      </c>
      <c r="DI20">
        <v>15</v>
      </c>
      <c r="DJ20">
        <v>1564344553.3</v>
      </c>
      <c r="DK20" t="s">
        <v>313</v>
      </c>
      <c r="DL20">
        <v>114</v>
      </c>
      <c r="DM20">
        <v>0.14000000000000001</v>
      </c>
      <c r="DN20">
        <v>3.7999999999999999E-2</v>
      </c>
      <c r="DO20">
        <v>100</v>
      </c>
      <c r="DP20">
        <v>10</v>
      </c>
      <c r="DQ20">
        <v>0.11</v>
      </c>
      <c r="DR20">
        <v>0.01</v>
      </c>
      <c r="DS20">
        <v>5.2870017869116097</v>
      </c>
      <c r="DT20">
        <v>4.3696657102970997</v>
      </c>
      <c r="DU20">
        <v>1.5316275660462499</v>
      </c>
      <c r="DV20">
        <v>0</v>
      </c>
      <c r="DW20">
        <v>92.261557534246606</v>
      </c>
      <c r="DX20">
        <v>-0.236576784498024</v>
      </c>
      <c r="DY20">
        <v>0.143325322942806</v>
      </c>
      <c r="DZ20">
        <v>1</v>
      </c>
      <c r="EA20">
        <v>0.35438787972906699</v>
      </c>
      <c r="EB20">
        <v>0.33223249015935402</v>
      </c>
      <c r="EC20">
        <v>0.107253224937238</v>
      </c>
      <c r="ED20">
        <v>1</v>
      </c>
      <c r="EE20">
        <v>2</v>
      </c>
      <c r="EF20">
        <v>3</v>
      </c>
      <c r="EG20" t="s">
        <v>314</v>
      </c>
      <c r="EH20">
        <v>1.86659</v>
      </c>
      <c r="EI20">
        <v>1.8630899999999999</v>
      </c>
      <c r="EJ20">
        <v>1.8686400000000001</v>
      </c>
      <c r="EK20">
        <v>1.8666199999999999</v>
      </c>
      <c r="EL20">
        <v>1.8712599999999999</v>
      </c>
      <c r="EM20">
        <v>1.86371</v>
      </c>
      <c r="EN20">
        <v>1.86524</v>
      </c>
      <c r="EO20">
        <v>1.8652299999999999</v>
      </c>
      <c r="EP20" t="s">
        <v>295</v>
      </c>
      <c r="EQ20" t="s">
        <v>19</v>
      </c>
      <c r="ER20" t="s">
        <v>19</v>
      </c>
      <c r="ES20" t="s">
        <v>19</v>
      </c>
      <c r="ET20" t="s">
        <v>296</v>
      </c>
      <c r="EU20" t="s">
        <v>297</v>
      </c>
      <c r="EV20" t="s">
        <v>298</v>
      </c>
      <c r="EW20" t="s">
        <v>298</v>
      </c>
      <c r="EX20" t="s">
        <v>298</v>
      </c>
      <c r="EY20" t="s">
        <v>298</v>
      </c>
      <c r="EZ20">
        <v>0</v>
      </c>
      <c r="FA20">
        <v>100</v>
      </c>
      <c r="FB20">
        <v>100</v>
      </c>
      <c r="FC20">
        <v>0.14000000000000001</v>
      </c>
      <c r="FD20">
        <v>3.7999999999999999E-2</v>
      </c>
      <c r="FE20">
        <v>2</v>
      </c>
      <c r="FF20">
        <v>505.65100000000001</v>
      </c>
      <c r="FG20">
        <v>483.64800000000002</v>
      </c>
      <c r="FH20">
        <v>18.585799999999999</v>
      </c>
      <c r="FI20">
        <v>34.996499999999997</v>
      </c>
      <c r="FJ20">
        <v>30</v>
      </c>
      <c r="FK20">
        <v>34.886299999999999</v>
      </c>
      <c r="FL20">
        <v>34.854500000000002</v>
      </c>
      <c r="FM20">
        <v>8.1338799999999996</v>
      </c>
      <c r="FN20">
        <v>88.5244</v>
      </c>
      <c r="FO20">
        <v>0</v>
      </c>
      <c r="FP20">
        <v>19.1797</v>
      </c>
      <c r="FQ20">
        <v>100</v>
      </c>
      <c r="FR20">
        <v>9.5621899999999993</v>
      </c>
      <c r="FS20">
        <v>100.45699999999999</v>
      </c>
      <c r="FT20">
        <v>101.00700000000001</v>
      </c>
    </row>
    <row r="21" spans="1:176" x14ac:dyDescent="0.35">
      <c r="A21">
        <v>5</v>
      </c>
      <c r="B21">
        <v>1564344735.3</v>
      </c>
      <c r="C21">
        <v>529</v>
      </c>
      <c r="D21" t="s">
        <v>315</v>
      </c>
      <c r="E21" t="s">
        <v>316</v>
      </c>
      <c r="F21" t="s">
        <v>288</v>
      </c>
      <c r="G21" t="s">
        <v>289</v>
      </c>
      <c r="H21" t="s">
        <v>288</v>
      </c>
      <c r="J21" t="s">
        <v>288</v>
      </c>
      <c r="K21">
        <v>1564344727.3580699</v>
      </c>
      <c r="L21">
        <f t="shared" si="0"/>
        <v>7.4242643444810711E-3</v>
      </c>
      <c r="M21">
        <f t="shared" si="1"/>
        <v>-3.1504707347188785</v>
      </c>
      <c r="N21">
        <f t="shared" si="2"/>
        <v>16.1355419354839</v>
      </c>
      <c r="O21">
        <f t="shared" si="3"/>
        <v>27.807640171353018</v>
      </c>
      <c r="P21">
        <f t="shared" si="4"/>
        <v>2.765072345459842</v>
      </c>
      <c r="Q21">
        <f t="shared" si="5"/>
        <v>1.6044490114906165</v>
      </c>
      <c r="R21">
        <f t="shared" si="6"/>
        <v>0.44800332151764882</v>
      </c>
      <c r="S21">
        <f t="shared" si="7"/>
        <v>2.2507658946550255</v>
      </c>
      <c r="T21">
        <f t="shared" si="8"/>
        <v>0.40372235667474715</v>
      </c>
      <c r="U21">
        <f t="shared" si="9"/>
        <v>0.25593922997402052</v>
      </c>
      <c r="V21">
        <f t="shared" si="10"/>
        <v>353.34414116808563</v>
      </c>
      <c r="W21">
        <f t="shared" si="11"/>
        <v>25.297160466832004</v>
      </c>
      <c r="X21">
        <f t="shared" si="12"/>
        <v>26.965364516129</v>
      </c>
      <c r="Y21">
        <f t="shared" si="13"/>
        <v>3.5718853281290683</v>
      </c>
      <c r="Z21">
        <f t="shared" si="14"/>
        <v>56.036837072191972</v>
      </c>
      <c r="AA21">
        <f t="shared" si="15"/>
        <v>1.7926349350927273</v>
      </c>
      <c r="AB21">
        <f t="shared" si="16"/>
        <v>3.1990294755274733</v>
      </c>
      <c r="AC21">
        <f t="shared" si="17"/>
        <v>1.779250393036341</v>
      </c>
      <c r="AD21">
        <f t="shared" si="18"/>
        <v>-327.41005759161521</v>
      </c>
      <c r="AE21">
        <f t="shared" si="19"/>
        <v>-226.12948549523588</v>
      </c>
      <c r="AF21">
        <f t="shared" si="20"/>
        <v>-21.473469109724064</v>
      </c>
      <c r="AG21">
        <f t="shared" si="21"/>
        <v>-221.66887102848955</v>
      </c>
      <c r="AH21">
        <v>-4.1204369485675199E-2</v>
      </c>
      <c r="AI21">
        <v>4.6255514448692102E-2</v>
      </c>
      <c r="AJ21">
        <v>3.45659010944718</v>
      </c>
      <c r="AK21">
        <v>0</v>
      </c>
      <c r="AL21">
        <v>0</v>
      </c>
      <c r="AM21">
        <f t="shared" si="22"/>
        <v>1</v>
      </c>
      <c r="AN21">
        <f t="shared" si="23"/>
        <v>0</v>
      </c>
      <c r="AO21">
        <f t="shared" si="24"/>
        <v>52876.009256345787</v>
      </c>
      <c r="AP21" t="s">
        <v>290</v>
      </c>
      <c r="AQ21">
        <v>413.64615384615399</v>
      </c>
      <c r="AR21">
        <v>1914.9</v>
      </c>
      <c r="AS21">
        <f t="shared" si="25"/>
        <v>1501.2538461538461</v>
      </c>
      <c r="AT21">
        <f t="shared" si="26"/>
        <v>0.78398550637309838</v>
      </c>
      <c r="AU21">
        <v>-0.61508576146989002</v>
      </c>
      <c r="AV21" t="s">
        <v>317</v>
      </c>
      <c r="AW21">
        <v>826.18388461538495</v>
      </c>
      <c r="AX21">
        <v>982.67200000000003</v>
      </c>
      <c r="AY21">
        <f t="shared" si="27"/>
        <v>0.15924755705323346</v>
      </c>
      <c r="AZ21">
        <v>0.5</v>
      </c>
      <c r="BA21">
        <f t="shared" si="28"/>
        <v>1849.2076838979322</v>
      </c>
      <c r="BB21">
        <f t="shared" si="29"/>
        <v>-3.1504707347188785</v>
      </c>
      <c r="BC21">
        <f t="shared" si="30"/>
        <v>147.24090307240684</v>
      </c>
      <c r="BD21">
        <f t="shared" si="31"/>
        <v>0.33792760961948648</v>
      </c>
      <c r="BE21">
        <f t="shared" si="32"/>
        <v>-1.3710655624708783E-3</v>
      </c>
      <c r="BF21">
        <f t="shared" si="33"/>
        <v>0.94866649299054007</v>
      </c>
      <c r="BG21" t="s">
        <v>318</v>
      </c>
      <c r="BH21">
        <v>650.6</v>
      </c>
      <c r="BI21">
        <f t="shared" si="34"/>
        <v>332.072</v>
      </c>
      <c r="BJ21">
        <f t="shared" si="35"/>
        <v>0.47124754687120585</v>
      </c>
      <c r="BK21">
        <f t="shared" si="36"/>
        <v>0.73734714861978956</v>
      </c>
      <c r="BL21">
        <f t="shared" si="37"/>
        <v>0.27501055785488132</v>
      </c>
      <c r="BM21">
        <f t="shared" si="38"/>
        <v>0.62096626922111264</v>
      </c>
      <c r="BN21">
        <v>310</v>
      </c>
      <c r="BO21">
        <v>300</v>
      </c>
      <c r="BP21">
        <v>300</v>
      </c>
      <c r="BQ21">
        <v>300</v>
      </c>
      <c r="BR21">
        <v>8105.34</v>
      </c>
      <c r="BS21">
        <v>934.74</v>
      </c>
      <c r="BT21">
        <v>-2.94794E-3</v>
      </c>
      <c r="BU21">
        <v>1.7075800000000001</v>
      </c>
      <c r="BV21">
        <f t="shared" si="39"/>
        <v>2200.0251612903198</v>
      </c>
      <c r="BW21">
        <f t="shared" si="40"/>
        <v>1849.2076838979322</v>
      </c>
      <c r="BX21">
        <f t="shared" si="41"/>
        <v>0.84053933401987435</v>
      </c>
      <c r="BY21">
        <f t="shared" si="42"/>
        <v>0.19107866803974877</v>
      </c>
      <c r="BZ21">
        <v>1564344727.3580699</v>
      </c>
      <c r="CA21">
        <v>16.1355419354839</v>
      </c>
      <c r="CB21">
        <v>12.498841935483901</v>
      </c>
      <c r="CC21">
        <v>18.0280806451613</v>
      </c>
      <c r="CD21">
        <v>9.2798458064516094</v>
      </c>
      <c r="CE21">
        <v>500.01532258064498</v>
      </c>
      <c r="CF21">
        <v>99.335709677419302</v>
      </c>
      <c r="CG21">
        <v>9.9996783870967706E-2</v>
      </c>
      <c r="CH21">
        <v>25.101812903225799</v>
      </c>
      <c r="CI21">
        <v>26.965364516129</v>
      </c>
      <c r="CJ21">
        <v>999.9</v>
      </c>
      <c r="CK21">
        <v>10003.0835483871</v>
      </c>
      <c r="CL21">
        <v>0</v>
      </c>
      <c r="CM21">
        <v>-105.31932258064499</v>
      </c>
      <c r="CN21">
        <v>2200.0251612903198</v>
      </c>
      <c r="CO21">
        <v>0.98200506451612901</v>
      </c>
      <c r="CP21">
        <v>1.7994712903225799E-2</v>
      </c>
      <c r="CQ21">
        <v>0</v>
      </c>
      <c r="CR21">
        <v>826.155741935484</v>
      </c>
      <c r="CS21">
        <v>1.9999499999999999</v>
      </c>
      <c r="CT21">
        <v>18891.416129032299</v>
      </c>
      <c r="CU21">
        <v>17938.490322580601</v>
      </c>
      <c r="CV21">
        <v>47.953258064516099</v>
      </c>
      <c r="CW21">
        <v>48.786000000000001</v>
      </c>
      <c r="CX21">
        <v>48.25</v>
      </c>
      <c r="CY21">
        <v>48.086387096774203</v>
      </c>
      <c r="CZ21">
        <v>48.997903225806397</v>
      </c>
      <c r="DA21">
        <v>2158.4735483871</v>
      </c>
      <c r="DB21">
        <v>39.551612903225802</v>
      </c>
      <c r="DC21">
        <v>0</v>
      </c>
      <c r="DD21">
        <v>139.90000009536701</v>
      </c>
      <c r="DE21">
        <v>826.18388461538495</v>
      </c>
      <c r="DF21">
        <v>4.4377093995815997</v>
      </c>
      <c r="DG21">
        <v>56.7931624305631</v>
      </c>
      <c r="DH21">
        <v>18891.9153846154</v>
      </c>
      <c r="DI21">
        <v>15</v>
      </c>
      <c r="DJ21">
        <v>1564344692.9000001</v>
      </c>
      <c r="DK21" t="s">
        <v>319</v>
      </c>
      <c r="DL21">
        <v>115</v>
      </c>
      <c r="DM21">
        <v>0.154</v>
      </c>
      <c r="DN21">
        <v>3.7999999999999999E-2</v>
      </c>
      <c r="DO21">
        <v>12</v>
      </c>
      <c r="DP21">
        <v>10</v>
      </c>
      <c r="DQ21">
        <v>0.19</v>
      </c>
      <c r="DR21">
        <v>0.01</v>
      </c>
      <c r="DS21">
        <v>-3.01786341471096</v>
      </c>
      <c r="DT21">
        <v>-1.1787296799762901</v>
      </c>
      <c r="DU21">
        <v>0.53380165680026204</v>
      </c>
      <c r="DV21">
        <v>0</v>
      </c>
      <c r="DW21">
        <v>16.151105479452099</v>
      </c>
      <c r="DX21">
        <v>-6.1575678820133498E-2</v>
      </c>
      <c r="DY21">
        <v>1.5695491808997299E-2</v>
      </c>
      <c r="DZ21">
        <v>1</v>
      </c>
      <c r="EA21">
        <v>0.41480639580886902</v>
      </c>
      <c r="EB21">
        <v>0.24833351021851199</v>
      </c>
      <c r="EC21">
        <v>8.9124307346197099E-2</v>
      </c>
      <c r="ED21">
        <v>1</v>
      </c>
      <c r="EE21">
        <v>2</v>
      </c>
      <c r="EF21">
        <v>3</v>
      </c>
      <c r="EG21" t="s">
        <v>314</v>
      </c>
      <c r="EH21">
        <v>1.8666100000000001</v>
      </c>
      <c r="EI21">
        <v>1.8630800000000001</v>
      </c>
      <c r="EJ21">
        <v>1.86866</v>
      </c>
      <c r="EK21">
        <v>1.8666100000000001</v>
      </c>
      <c r="EL21">
        <v>1.87127</v>
      </c>
      <c r="EM21">
        <v>1.86371</v>
      </c>
      <c r="EN21">
        <v>1.8652599999999999</v>
      </c>
      <c r="EO21">
        <v>1.8652299999999999</v>
      </c>
      <c r="EP21" t="s">
        <v>295</v>
      </c>
      <c r="EQ21" t="s">
        <v>19</v>
      </c>
      <c r="ER21" t="s">
        <v>19</v>
      </c>
      <c r="ES21" t="s">
        <v>19</v>
      </c>
      <c r="ET21" t="s">
        <v>296</v>
      </c>
      <c r="EU21" t="s">
        <v>297</v>
      </c>
      <c r="EV21" t="s">
        <v>298</v>
      </c>
      <c r="EW21" t="s">
        <v>298</v>
      </c>
      <c r="EX21" t="s">
        <v>298</v>
      </c>
      <c r="EY21" t="s">
        <v>298</v>
      </c>
      <c r="EZ21">
        <v>0</v>
      </c>
      <c r="FA21">
        <v>100</v>
      </c>
      <c r="FB21">
        <v>100</v>
      </c>
      <c r="FC21">
        <v>0.154</v>
      </c>
      <c r="FD21">
        <v>3.7999999999999999E-2</v>
      </c>
      <c r="FE21">
        <v>2</v>
      </c>
      <c r="FF21">
        <v>506.07499999999999</v>
      </c>
      <c r="FG21">
        <v>483.27600000000001</v>
      </c>
      <c r="FH21">
        <v>18.659700000000001</v>
      </c>
      <c r="FI21">
        <v>34.996600000000001</v>
      </c>
      <c r="FJ21">
        <v>30.0002</v>
      </c>
      <c r="FK21">
        <v>34.895800000000001</v>
      </c>
      <c r="FL21">
        <v>34.867100000000001</v>
      </c>
      <c r="FM21">
        <v>3.8734600000000001</v>
      </c>
      <c r="FN21">
        <v>100</v>
      </c>
      <c r="FO21">
        <v>0</v>
      </c>
      <c r="FP21">
        <v>19.1706</v>
      </c>
      <c r="FQ21">
        <v>12.5</v>
      </c>
      <c r="FR21">
        <v>8.6579499999999996</v>
      </c>
      <c r="FS21">
        <v>100.45699999999999</v>
      </c>
      <c r="FT21">
        <v>101.003</v>
      </c>
    </row>
    <row r="22" spans="1:176" x14ac:dyDescent="0.35">
      <c r="A22">
        <v>8</v>
      </c>
      <c r="B22">
        <v>1564345155.4000001</v>
      </c>
      <c r="C22">
        <v>949.10000014305103</v>
      </c>
      <c r="D22" t="s">
        <v>321</v>
      </c>
      <c r="E22" t="s">
        <v>322</v>
      </c>
      <c r="F22" t="s">
        <v>288</v>
      </c>
      <c r="G22" t="s">
        <v>289</v>
      </c>
      <c r="H22" t="s">
        <v>288</v>
      </c>
      <c r="J22" t="s">
        <v>288</v>
      </c>
      <c r="K22">
        <v>1564345147.4000001</v>
      </c>
      <c r="L22">
        <f t="shared" si="0"/>
        <v>7.0398480673161488E-3</v>
      </c>
      <c r="M22">
        <f t="shared" si="1"/>
        <v>40.84942191269203</v>
      </c>
      <c r="N22">
        <f t="shared" si="2"/>
        <v>447.19416129032197</v>
      </c>
      <c r="O22">
        <f t="shared" si="3"/>
        <v>277.29796987440108</v>
      </c>
      <c r="P22">
        <f t="shared" si="4"/>
        <v>27.571248548272315</v>
      </c>
      <c r="Q22">
        <f t="shared" si="5"/>
        <v>44.463727505312214</v>
      </c>
      <c r="R22">
        <f t="shared" si="6"/>
        <v>0.44705655007298911</v>
      </c>
      <c r="S22">
        <f t="shared" si="7"/>
        <v>2.2510959280356992</v>
      </c>
      <c r="T22">
        <f t="shared" si="8"/>
        <v>0.4029584861672264</v>
      </c>
      <c r="U22">
        <f t="shared" si="9"/>
        <v>0.25544762843523017</v>
      </c>
      <c r="V22">
        <f t="shared" si="10"/>
        <v>353.33693058315095</v>
      </c>
      <c r="W22">
        <f t="shared" si="11"/>
        <v>25.693857848126346</v>
      </c>
      <c r="X22">
        <f t="shared" si="12"/>
        <v>27.009296774193501</v>
      </c>
      <c r="Y22">
        <f t="shared" si="13"/>
        <v>3.5811144605247565</v>
      </c>
      <c r="Z22">
        <f t="shared" si="14"/>
        <v>58.199064824418969</v>
      </c>
      <c r="AA22">
        <f t="shared" si="15"/>
        <v>1.8918704779928812</v>
      </c>
      <c r="AB22">
        <f t="shared" si="16"/>
        <v>3.2506887931970629</v>
      </c>
      <c r="AC22">
        <f t="shared" si="17"/>
        <v>1.6892439825318752</v>
      </c>
      <c r="AD22">
        <f t="shared" si="18"/>
        <v>-310.45729976864214</v>
      </c>
      <c r="AE22">
        <f t="shared" si="19"/>
        <v>-198.82703784235807</v>
      </c>
      <c r="AF22">
        <f t="shared" si="20"/>
        <v>-18.907658193987569</v>
      </c>
      <c r="AG22">
        <f t="shared" si="21"/>
        <v>-174.85506522183684</v>
      </c>
      <c r="AH22">
        <v>-4.1213257785913497E-2</v>
      </c>
      <c r="AI22">
        <v>4.6265492344367498E-2</v>
      </c>
      <c r="AJ22">
        <v>3.4571802542623802</v>
      </c>
      <c r="AK22">
        <v>0</v>
      </c>
      <c r="AL22">
        <v>0</v>
      </c>
      <c r="AM22">
        <f t="shared" si="22"/>
        <v>1</v>
      </c>
      <c r="AN22">
        <f t="shared" si="23"/>
        <v>0</v>
      </c>
      <c r="AO22">
        <f t="shared" si="24"/>
        <v>52839.073521543207</v>
      </c>
      <c r="AP22" t="s">
        <v>290</v>
      </c>
      <c r="AQ22">
        <v>413.64615384615399</v>
      </c>
      <c r="AR22">
        <v>1914.9</v>
      </c>
      <c r="AS22">
        <f t="shared" si="25"/>
        <v>1501.2538461538461</v>
      </c>
      <c r="AT22">
        <f t="shared" si="26"/>
        <v>0.78398550637309838</v>
      </c>
      <c r="AU22">
        <v>-0.61508576146989002</v>
      </c>
      <c r="AV22" t="s">
        <v>323</v>
      </c>
      <c r="AW22">
        <v>834.83888461538504</v>
      </c>
      <c r="AX22">
        <v>1203.8</v>
      </c>
      <c r="AY22">
        <f t="shared" si="27"/>
        <v>0.30649702225005393</v>
      </c>
      <c r="AZ22">
        <v>0.5</v>
      </c>
      <c r="BA22">
        <f t="shared" si="28"/>
        <v>1849.1699903495426</v>
      </c>
      <c r="BB22">
        <f t="shared" si="29"/>
        <v>40.84942191269203</v>
      </c>
      <c r="BC22">
        <f t="shared" si="30"/>
        <v>283.3825478381479</v>
      </c>
      <c r="BD22">
        <f t="shared" si="31"/>
        <v>0.52799468350224288</v>
      </c>
      <c r="BE22">
        <f t="shared" si="32"/>
        <v>2.2423307695104883E-2</v>
      </c>
      <c r="BF22">
        <f t="shared" si="33"/>
        <v>0.59071274298056164</v>
      </c>
      <c r="BG22" t="s">
        <v>324</v>
      </c>
      <c r="BH22">
        <v>568.20000000000005</v>
      </c>
      <c r="BI22">
        <f t="shared" si="34"/>
        <v>635.59999999999991</v>
      </c>
      <c r="BJ22">
        <f t="shared" si="35"/>
        <v>0.58049262961707826</v>
      </c>
      <c r="BK22">
        <f t="shared" si="36"/>
        <v>0.52803148436919889</v>
      </c>
      <c r="BL22">
        <f t="shared" si="37"/>
        <v>0.46694845210280328</v>
      </c>
      <c r="BM22">
        <f t="shared" si="38"/>
        <v>0.47367072652090825</v>
      </c>
      <c r="BN22">
        <v>316</v>
      </c>
      <c r="BO22">
        <v>300</v>
      </c>
      <c r="BP22">
        <v>300</v>
      </c>
      <c r="BQ22">
        <v>300</v>
      </c>
      <c r="BR22">
        <v>8106.12</v>
      </c>
      <c r="BS22">
        <v>1082.1300000000001</v>
      </c>
      <c r="BT22">
        <v>-2.9486400000000002E-3</v>
      </c>
      <c r="BU22">
        <v>4.4747300000000001</v>
      </c>
      <c r="BV22">
        <f t="shared" si="39"/>
        <v>2199.9803225806399</v>
      </c>
      <c r="BW22">
        <f t="shared" si="40"/>
        <v>1849.1699903495426</v>
      </c>
      <c r="BX22">
        <f t="shared" si="41"/>
        <v>0.84053933181566509</v>
      </c>
      <c r="BY22">
        <f t="shared" si="42"/>
        <v>0.19107866363133053</v>
      </c>
      <c r="BZ22">
        <v>1564345147.4000001</v>
      </c>
      <c r="CA22">
        <v>447.19416129032197</v>
      </c>
      <c r="CB22">
        <v>499.99003225806501</v>
      </c>
      <c r="CC22">
        <v>19.027496774193501</v>
      </c>
      <c r="CD22">
        <v>10.740616129032301</v>
      </c>
      <c r="CE22">
        <v>500.01183870967702</v>
      </c>
      <c r="CF22">
        <v>99.328254838709697</v>
      </c>
      <c r="CG22">
        <v>9.9983170967741994E-2</v>
      </c>
      <c r="CH22">
        <v>25.370987096774201</v>
      </c>
      <c r="CI22">
        <v>27.009296774193501</v>
      </c>
      <c r="CJ22">
        <v>999.9</v>
      </c>
      <c r="CK22">
        <v>10005.9922580645</v>
      </c>
      <c r="CL22">
        <v>0</v>
      </c>
      <c r="CM22">
        <v>-66.033796774193604</v>
      </c>
      <c r="CN22">
        <v>2199.9803225806399</v>
      </c>
      <c r="CO22">
        <v>0.98200448387096795</v>
      </c>
      <c r="CP22">
        <v>1.79951967741936E-2</v>
      </c>
      <c r="CQ22">
        <v>0</v>
      </c>
      <c r="CR22">
        <v>834.86954838709698</v>
      </c>
      <c r="CS22">
        <v>1.9999499999999999</v>
      </c>
      <c r="CT22">
        <v>19095.729032258099</v>
      </c>
      <c r="CU22">
        <v>17938.1161290323</v>
      </c>
      <c r="CV22">
        <v>47.9431612903226</v>
      </c>
      <c r="CW22">
        <v>48.662999999999997</v>
      </c>
      <c r="CX22">
        <v>48.219419354838699</v>
      </c>
      <c r="CY22">
        <v>47.983741935483899</v>
      </c>
      <c r="CZ22">
        <v>48.967483870967698</v>
      </c>
      <c r="DA22">
        <v>2158.4296774193499</v>
      </c>
      <c r="DB22">
        <v>39.550645161290298</v>
      </c>
      <c r="DC22">
        <v>0</v>
      </c>
      <c r="DD22">
        <v>139.90000009536701</v>
      </c>
      <c r="DE22">
        <v>834.83888461538504</v>
      </c>
      <c r="DF22">
        <v>-2.9833504131433801</v>
      </c>
      <c r="DG22">
        <v>-112.37948724394199</v>
      </c>
      <c r="DH22">
        <v>19095.1653846154</v>
      </c>
      <c r="DI22">
        <v>15</v>
      </c>
      <c r="DJ22">
        <v>1564345195.9000001</v>
      </c>
      <c r="DK22" t="s">
        <v>325</v>
      </c>
      <c r="DL22">
        <v>118</v>
      </c>
      <c r="DM22">
        <v>0.48899999999999999</v>
      </c>
      <c r="DN22">
        <v>4.9000000000000002E-2</v>
      </c>
      <c r="DO22">
        <v>500</v>
      </c>
      <c r="DP22">
        <v>11</v>
      </c>
      <c r="DQ22">
        <v>0.03</v>
      </c>
      <c r="DR22">
        <v>0.02</v>
      </c>
      <c r="DS22">
        <v>41.041527675925899</v>
      </c>
      <c r="DT22">
        <v>-0.424814042287119</v>
      </c>
      <c r="DU22">
        <v>8.7827720579751897E-2</v>
      </c>
      <c r="DV22">
        <v>0</v>
      </c>
      <c r="DW22">
        <v>446.97679452054803</v>
      </c>
      <c r="DX22">
        <v>0.58861532765642299</v>
      </c>
      <c r="DY22">
        <v>0.104710947067291</v>
      </c>
      <c r="DZ22">
        <v>1</v>
      </c>
      <c r="EA22">
        <v>0.44905646245332198</v>
      </c>
      <c r="EB22">
        <v>-1.2254170845719701E-2</v>
      </c>
      <c r="EC22">
        <v>2.4951134399412199E-3</v>
      </c>
      <c r="ED22">
        <v>1</v>
      </c>
      <c r="EE22">
        <v>2</v>
      </c>
      <c r="EF22">
        <v>3</v>
      </c>
      <c r="EG22" t="s">
        <v>314</v>
      </c>
      <c r="EH22">
        <v>1.8666100000000001</v>
      </c>
      <c r="EI22">
        <v>1.8631</v>
      </c>
      <c r="EJ22">
        <v>1.86873</v>
      </c>
      <c r="EK22">
        <v>1.8666799999999999</v>
      </c>
      <c r="EL22">
        <v>1.8713299999999999</v>
      </c>
      <c r="EM22">
        <v>1.8637699999999999</v>
      </c>
      <c r="EN22">
        <v>1.86531</v>
      </c>
      <c r="EO22">
        <v>1.8652299999999999</v>
      </c>
      <c r="EP22" t="s">
        <v>295</v>
      </c>
      <c r="EQ22" t="s">
        <v>19</v>
      </c>
      <c r="ER22" t="s">
        <v>19</v>
      </c>
      <c r="ES22" t="s">
        <v>19</v>
      </c>
      <c r="ET22" t="s">
        <v>296</v>
      </c>
      <c r="EU22" t="s">
        <v>297</v>
      </c>
      <c r="EV22" t="s">
        <v>298</v>
      </c>
      <c r="EW22" t="s">
        <v>298</v>
      </c>
      <c r="EX22" t="s">
        <v>298</v>
      </c>
      <c r="EY22" t="s">
        <v>298</v>
      </c>
      <c r="EZ22">
        <v>0</v>
      </c>
      <c r="FA22">
        <v>100</v>
      </c>
      <c r="FB22">
        <v>100</v>
      </c>
      <c r="FC22">
        <v>0.48899999999999999</v>
      </c>
      <c r="FD22">
        <v>4.9000000000000002E-2</v>
      </c>
      <c r="FE22">
        <v>2</v>
      </c>
      <c r="FF22">
        <v>506.69600000000003</v>
      </c>
      <c r="FG22">
        <v>484.31400000000002</v>
      </c>
      <c r="FH22">
        <v>19.5977</v>
      </c>
      <c r="FI22">
        <v>35.060600000000001</v>
      </c>
      <c r="FJ22">
        <v>30.000299999999999</v>
      </c>
      <c r="FK22">
        <v>34.972299999999997</v>
      </c>
      <c r="FL22">
        <v>34.949300000000001</v>
      </c>
      <c r="FM22">
        <v>26.479099999999999</v>
      </c>
      <c r="FN22">
        <v>100</v>
      </c>
      <c r="FO22">
        <v>0</v>
      </c>
      <c r="FP22">
        <v>19.571000000000002</v>
      </c>
      <c r="FQ22">
        <v>500</v>
      </c>
      <c r="FR22">
        <v>8.8467099999999999</v>
      </c>
      <c r="FS22">
        <v>100.44499999999999</v>
      </c>
      <c r="FT22">
        <v>100.99</v>
      </c>
    </row>
    <row r="23" spans="1:176" x14ac:dyDescent="0.35">
      <c r="A23">
        <v>10</v>
      </c>
      <c r="B23">
        <v>1564345477.9000001</v>
      </c>
      <c r="C23">
        <v>1271.60000014305</v>
      </c>
      <c r="D23" t="s">
        <v>326</v>
      </c>
      <c r="E23" t="s">
        <v>327</v>
      </c>
      <c r="F23" t="s">
        <v>288</v>
      </c>
      <c r="G23" t="s">
        <v>289</v>
      </c>
      <c r="H23" t="s">
        <v>288</v>
      </c>
      <c r="J23" t="s">
        <v>288</v>
      </c>
      <c r="K23">
        <v>1564345469.9000001</v>
      </c>
      <c r="L23">
        <f t="shared" si="0"/>
        <v>5.6434717080074076E-3</v>
      </c>
      <c r="M23">
        <f t="shared" si="1"/>
        <v>47.944812058023899</v>
      </c>
      <c r="N23">
        <f t="shared" si="2"/>
        <v>737.47441935483903</v>
      </c>
      <c r="O23">
        <f t="shared" si="3"/>
        <v>476.11028261659357</v>
      </c>
      <c r="P23">
        <f t="shared" si="4"/>
        <v>47.33524964480668</v>
      </c>
      <c r="Q23">
        <f t="shared" si="5"/>
        <v>73.320272679201139</v>
      </c>
      <c r="R23">
        <f t="shared" si="6"/>
        <v>0.3367450315052104</v>
      </c>
      <c r="S23">
        <f t="shared" si="7"/>
        <v>2.2491035998361903</v>
      </c>
      <c r="T23">
        <f t="shared" si="8"/>
        <v>0.31103457699904236</v>
      </c>
      <c r="U23">
        <f t="shared" si="9"/>
        <v>0.19654275511752034</v>
      </c>
      <c r="V23">
        <f t="shared" si="10"/>
        <v>353.33807847256355</v>
      </c>
      <c r="W23">
        <f t="shared" si="11"/>
        <v>25.844868410419039</v>
      </c>
      <c r="X23">
        <f t="shared" si="12"/>
        <v>27.009612903225801</v>
      </c>
      <c r="Y23">
        <f t="shared" si="13"/>
        <v>3.5811809471476836</v>
      </c>
      <c r="Z23">
        <f t="shared" si="14"/>
        <v>57.241164848849024</v>
      </c>
      <c r="AA23">
        <f t="shared" si="15"/>
        <v>1.8263287080009742</v>
      </c>
      <c r="AB23">
        <f t="shared" si="16"/>
        <v>3.1905862028202541</v>
      </c>
      <c r="AC23">
        <f t="shared" si="17"/>
        <v>1.7548522391467094</v>
      </c>
      <c r="AD23">
        <f t="shared" si="18"/>
        <v>-248.87710232312668</v>
      </c>
      <c r="AE23">
        <f t="shared" si="19"/>
        <v>-236.7059449938838</v>
      </c>
      <c r="AF23">
        <f t="shared" si="20"/>
        <v>-22.494442104120392</v>
      </c>
      <c r="AG23">
        <f t="shared" si="21"/>
        <v>-154.7394109485673</v>
      </c>
      <c r="AH23">
        <v>-4.1159619283299899E-2</v>
      </c>
      <c r="AI23">
        <v>4.6205278426192799E-2</v>
      </c>
      <c r="AJ23">
        <v>3.4536182234778301</v>
      </c>
      <c r="AK23">
        <v>0</v>
      </c>
      <c r="AL23">
        <v>0</v>
      </c>
      <c r="AM23">
        <f t="shared" si="22"/>
        <v>1</v>
      </c>
      <c r="AN23">
        <f t="shared" si="23"/>
        <v>0</v>
      </c>
      <c r="AO23">
        <f t="shared" si="24"/>
        <v>52828.462332802032</v>
      </c>
      <c r="AP23" t="s">
        <v>290</v>
      </c>
      <c r="AQ23">
        <v>413.64615384615399</v>
      </c>
      <c r="AR23">
        <v>1914.9</v>
      </c>
      <c r="AS23">
        <f t="shared" si="25"/>
        <v>1501.2538461538461</v>
      </c>
      <c r="AT23">
        <f t="shared" si="26"/>
        <v>0.78398550637309838</v>
      </c>
      <c r="AU23">
        <v>-0.61508576146989002</v>
      </c>
      <c r="AV23" t="s">
        <v>328</v>
      </c>
      <c r="AW23">
        <v>832.193115384615</v>
      </c>
      <c r="AX23">
        <v>1191.3699999999999</v>
      </c>
      <c r="AY23">
        <f t="shared" si="27"/>
        <v>0.30148223021847531</v>
      </c>
      <c r="AZ23">
        <v>0.5</v>
      </c>
      <c r="BA23">
        <f t="shared" si="28"/>
        <v>1849.176203252769</v>
      </c>
      <c r="BB23">
        <f t="shared" si="29"/>
        <v>47.944812058023899</v>
      </c>
      <c r="BC23">
        <f t="shared" si="30"/>
        <v>278.7468829117887</v>
      </c>
      <c r="BD23">
        <f t="shared" si="31"/>
        <v>0.53096015511553929</v>
      </c>
      <c r="BE23">
        <f t="shared" si="32"/>
        <v>2.6260287004599748E-2</v>
      </c>
      <c r="BF23">
        <f t="shared" si="33"/>
        <v>0.60730923222844313</v>
      </c>
      <c r="BG23" t="s">
        <v>329</v>
      </c>
      <c r="BH23">
        <v>558.79999999999995</v>
      </c>
      <c r="BI23">
        <f t="shared" si="34"/>
        <v>632.56999999999994</v>
      </c>
      <c r="BJ23">
        <f t="shared" si="35"/>
        <v>0.56780575211499906</v>
      </c>
      <c r="BK23">
        <f t="shared" si="36"/>
        <v>0.53353734975296818</v>
      </c>
      <c r="BL23">
        <f t="shared" si="37"/>
        <v>0.46183087530574973</v>
      </c>
      <c r="BM23">
        <f t="shared" si="38"/>
        <v>0.4819504721694175</v>
      </c>
      <c r="BN23">
        <v>320</v>
      </c>
      <c r="BO23">
        <v>300</v>
      </c>
      <c r="BP23">
        <v>300</v>
      </c>
      <c r="BQ23">
        <v>300</v>
      </c>
      <c r="BR23">
        <v>8105.47</v>
      </c>
      <c r="BS23">
        <v>1073.8499999999999</v>
      </c>
      <c r="BT23">
        <v>-2.9484300000000001E-3</v>
      </c>
      <c r="BU23">
        <v>5.4257799999999996</v>
      </c>
      <c r="BV23">
        <f t="shared" si="39"/>
        <v>2199.9877419354798</v>
      </c>
      <c r="BW23">
        <f t="shared" si="40"/>
        <v>1849.176203252769</v>
      </c>
      <c r="BX23">
        <f t="shared" si="41"/>
        <v>0.84053932119909092</v>
      </c>
      <c r="BY23">
        <f t="shared" si="42"/>
        <v>0.1910786423981819</v>
      </c>
      <c r="BZ23">
        <v>1564345469.9000001</v>
      </c>
      <c r="CA23">
        <v>737.47441935483903</v>
      </c>
      <c r="CB23">
        <v>799.99974193548405</v>
      </c>
      <c r="CC23">
        <v>18.369690322580599</v>
      </c>
      <c r="CD23">
        <v>11.7222193548387</v>
      </c>
      <c r="CE23">
        <v>500.02199999999999</v>
      </c>
      <c r="CF23">
        <v>99.320751612903194</v>
      </c>
      <c r="CG23">
        <v>0.10001574516129</v>
      </c>
      <c r="CH23">
        <v>25.057458064516101</v>
      </c>
      <c r="CI23">
        <v>27.009612903225801</v>
      </c>
      <c r="CJ23">
        <v>999.9</v>
      </c>
      <c r="CK23">
        <v>9993.7245161290302</v>
      </c>
      <c r="CL23">
        <v>0</v>
      </c>
      <c r="CM23">
        <v>-84.947045161290305</v>
      </c>
      <c r="CN23">
        <v>2199.9877419354798</v>
      </c>
      <c r="CO23">
        <v>0.98200632258064502</v>
      </c>
      <c r="CP23">
        <v>1.7993664516129E-2</v>
      </c>
      <c r="CQ23">
        <v>0</v>
      </c>
      <c r="CR23">
        <v>832.21835483870996</v>
      </c>
      <c r="CS23">
        <v>1.9999499999999999</v>
      </c>
      <c r="CT23">
        <v>19080.119354838698</v>
      </c>
      <c r="CU23">
        <v>17938.170967741898</v>
      </c>
      <c r="CV23">
        <v>48.036000000000001</v>
      </c>
      <c r="CW23">
        <v>48.875</v>
      </c>
      <c r="CX23">
        <v>48.336387096774203</v>
      </c>
      <c r="CY23">
        <v>48.137</v>
      </c>
      <c r="CZ23">
        <v>48.991870967741903</v>
      </c>
      <c r="DA23">
        <v>2158.4377419354801</v>
      </c>
      <c r="DB23">
        <v>39.549999999999997</v>
      </c>
      <c r="DC23">
        <v>0</v>
      </c>
      <c r="DD23">
        <v>139.60000014305101</v>
      </c>
      <c r="DE23">
        <v>832.193115384615</v>
      </c>
      <c r="DF23">
        <v>-10.0649914555917</v>
      </c>
      <c r="DG23">
        <v>-188.314529956142</v>
      </c>
      <c r="DH23">
        <v>19079.323076923101</v>
      </c>
      <c r="DI23">
        <v>15</v>
      </c>
      <c r="DJ23">
        <v>1564345515.4000001</v>
      </c>
      <c r="DK23" t="s">
        <v>330</v>
      </c>
      <c r="DL23">
        <v>120</v>
      </c>
      <c r="DM23">
        <v>0.69899999999999995</v>
      </c>
      <c r="DN23">
        <v>5.8999999999999997E-2</v>
      </c>
      <c r="DO23">
        <v>800</v>
      </c>
      <c r="DP23">
        <v>12</v>
      </c>
      <c r="DQ23">
        <v>0.03</v>
      </c>
      <c r="DR23">
        <v>0.01</v>
      </c>
      <c r="DS23">
        <v>48.307368931252597</v>
      </c>
      <c r="DT23">
        <v>-1.32540986446237</v>
      </c>
      <c r="DU23">
        <v>0.26614669194193902</v>
      </c>
      <c r="DV23">
        <v>0</v>
      </c>
      <c r="DW23">
        <v>737.02858904109598</v>
      </c>
      <c r="DX23">
        <v>2.1623472787857798</v>
      </c>
      <c r="DY23">
        <v>0.38179499754956098</v>
      </c>
      <c r="DZ23">
        <v>1</v>
      </c>
      <c r="EA23">
        <v>0.34564791876133399</v>
      </c>
      <c r="EB23">
        <v>-4.1083099635523902E-2</v>
      </c>
      <c r="EC23">
        <v>8.1322214672092108E-3</v>
      </c>
      <c r="ED23">
        <v>1</v>
      </c>
      <c r="EE23">
        <v>2</v>
      </c>
      <c r="EF23">
        <v>3</v>
      </c>
      <c r="EG23" t="s">
        <v>314</v>
      </c>
      <c r="EH23">
        <v>1.8666100000000001</v>
      </c>
      <c r="EI23">
        <v>1.8631</v>
      </c>
      <c r="EJ23">
        <v>1.86873</v>
      </c>
      <c r="EK23">
        <v>1.86666</v>
      </c>
      <c r="EL23">
        <v>1.87131</v>
      </c>
      <c r="EM23">
        <v>1.8637699999999999</v>
      </c>
      <c r="EN23">
        <v>1.86527</v>
      </c>
      <c r="EO23">
        <v>1.8652299999999999</v>
      </c>
      <c r="EP23" t="s">
        <v>295</v>
      </c>
      <c r="EQ23" t="s">
        <v>19</v>
      </c>
      <c r="ER23" t="s">
        <v>19</v>
      </c>
      <c r="ES23" t="s">
        <v>19</v>
      </c>
      <c r="ET23" t="s">
        <v>296</v>
      </c>
      <c r="EU23" t="s">
        <v>297</v>
      </c>
      <c r="EV23" t="s">
        <v>298</v>
      </c>
      <c r="EW23" t="s">
        <v>298</v>
      </c>
      <c r="EX23" t="s">
        <v>298</v>
      </c>
      <c r="EY23" t="s">
        <v>298</v>
      </c>
      <c r="EZ23">
        <v>0</v>
      </c>
      <c r="FA23">
        <v>100</v>
      </c>
      <c r="FB23">
        <v>100</v>
      </c>
      <c r="FC23">
        <v>0.69899999999999995</v>
      </c>
      <c r="FD23">
        <v>5.8999999999999997E-2</v>
      </c>
      <c r="FE23">
        <v>2</v>
      </c>
      <c r="FF23">
        <v>505.71300000000002</v>
      </c>
      <c r="FG23">
        <v>484.661</v>
      </c>
      <c r="FH23">
        <v>18.997800000000002</v>
      </c>
      <c r="FI23">
        <v>35.131300000000003</v>
      </c>
      <c r="FJ23">
        <v>30.000699999999998</v>
      </c>
      <c r="FK23">
        <v>35.023499999999999</v>
      </c>
      <c r="FL23">
        <v>34.999899999999997</v>
      </c>
      <c r="FM23">
        <v>38.702100000000002</v>
      </c>
      <c r="FN23">
        <v>100</v>
      </c>
      <c r="FO23">
        <v>0</v>
      </c>
      <c r="FP23">
        <v>18.9937</v>
      </c>
      <c r="FQ23">
        <v>800</v>
      </c>
      <c r="FR23">
        <v>9.6672799999999999</v>
      </c>
      <c r="FS23">
        <v>100.432</v>
      </c>
      <c r="FT23">
        <v>100.97499999999999</v>
      </c>
    </row>
    <row r="24" spans="1:176" x14ac:dyDescent="0.35">
      <c r="A24">
        <v>11</v>
      </c>
      <c r="B24">
        <v>1564345656.9000001</v>
      </c>
      <c r="C24">
        <v>1450.60000014305</v>
      </c>
      <c r="D24" t="s">
        <v>331</v>
      </c>
      <c r="E24" t="s">
        <v>332</v>
      </c>
      <c r="F24" t="s">
        <v>288</v>
      </c>
      <c r="G24" t="s">
        <v>289</v>
      </c>
      <c r="H24" t="s">
        <v>288</v>
      </c>
      <c r="J24" t="s">
        <v>288</v>
      </c>
      <c r="K24">
        <v>1564345648.9000001</v>
      </c>
      <c r="L24">
        <f t="shared" si="0"/>
        <v>3.4317048479617072E-3</v>
      </c>
      <c r="M24">
        <f t="shared" si="1"/>
        <v>48.415261625041218</v>
      </c>
      <c r="N24">
        <f t="shared" si="2"/>
        <v>938.49212903225805</v>
      </c>
      <c r="O24">
        <f t="shared" si="3"/>
        <v>524.70712092357792</v>
      </c>
      <c r="P24">
        <f t="shared" si="4"/>
        <v>52.164792678516172</v>
      </c>
      <c r="Q24">
        <f t="shared" si="5"/>
        <v>93.302044872604895</v>
      </c>
      <c r="R24">
        <f t="shared" si="6"/>
        <v>0.20544168017110293</v>
      </c>
      <c r="S24">
        <f t="shared" si="7"/>
        <v>2.2499748289278729</v>
      </c>
      <c r="T24">
        <f t="shared" si="8"/>
        <v>0.19556020322292686</v>
      </c>
      <c r="U24">
        <f t="shared" si="9"/>
        <v>0.12307332215252537</v>
      </c>
      <c r="V24">
        <f t="shared" si="10"/>
        <v>353.33493813134533</v>
      </c>
      <c r="W24">
        <f t="shared" si="11"/>
        <v>26.433099628600793</v>
      </c>
      <c r="X24">
        <f t="shared" si="12"/>
        <v>27.284948387096801</v>
      </c>
      <c r="Y24">
        <f t="shared" si="13"/>
        <v>3.6394988627190248</v>
      </c>
      <c r="Z24">
        <f t="shared" si="14"/>
        <v>61.461494354959413</v>
      </c>
      <c r="AA24">
        <f t="shared" si="15"/>
        <v>1.9439115811780232</v>
      </c>
      <c r="AB24">
        <f t="shared" si="16"/>
        <v>3.1628121014294313</v>
      </c>
      <c r="AC24">
        <f t="shared" si="17"/>
        <v>1.6955872815410016</v>
      </c>
      <c r="AD24">
        <f t="shared" si="18"/>
        <v>-151.33818379511129</v>
      </c>
      <c r="AE24">
        <f t="shared" si="19"/>
        <v>-287.98259553885583</v>
      </c>
      <c r="AF24">
        <f t="shared" si="20"/>
        <v>-27.374529645586474</v>
      </c>
      <c r="AG24">
        <f t="shared" si="21"/>
        <v>-113.36037084820825</v>
      </c>
      <c r="AH24">
        <v>-4.1183069685010003E-2</v>
      </c>
      <c r="AI24">
        <v>4.6231603556480497E-2</v>
      </c>
      <c r="AJ24">
        <v>3.4551757162493502</v>
      </c>
      <c r="AK24">
        <v>0</v>
      </c>
      <c r="AL24">
        <v>0</v>
      </c>
      <c r="AM24">
        <f t="shared" si="22"/>
        <v>1</v>
      </c>
      <c r="AN24">
        <f t="shared" si="23"/>
        <v>0</v>
      </c>
      <c r="AO24">
        <f t="shared" si="24"/>
        <v>52883.266497507691</v>
      </c>
      <c r="AP24" t="s">
        <v>290</v>
      </c>
      <c r="AQ24">
        <v>413.64615384615399</v>
      </c>
      <c r="AR24">
        <v>1914.9</v>
      </c>
      <c r="AS24">
        <f t="shared" si="25"/>
        <v>1501.2538461538461</v>
      </c>
      <c r="AT24">
        <f t="shared" si="26"/>
        <v>0.78398550637309838</v>
      </c>
      <c r="AU24">
        <v>-0.61508576146989002</v>
      </c>
      <c r="AV24" t="s">
        <v>333</v>
      </c>
      <c r="AW24">
        <v>816.80761538461502</v>
      </c>
      <c r="AX24">
        <v>1144.55</v>
      </c>
      <c r="AY24">
        <f t="shared" si="27"/>
        <v>0.28635042996407756</v>
      </c>
      <c r="AZ24">
        <v>0.5</v>
      </c>
      <c r="BA24">
        <f t="shared" si="28"/>
        <v>1849.1550484140739</v>
      </c>
      <c r="BB24">
        <f t="shared" si="29"/>
        <v>48.415261625041218</v>
      </c>
      <c r="BC24">
        <f t="shared" si="30"/>
        <v>264.75317159180736</v>
      </c>
      <c r="BD24">
        <f t="shared" si="31"/>
        <v>0.52138395002402693</v>
      </c>
      <c r="BE24">
        <f t="shared" si="32"/>
        <v>2.6515000691024769E-2</v>
      </c>
      <c r="BF24">
        <f t="shared" si="33"/>
        <v>0.67305928094010758</v>
      </c>
      <c r="BG24" t="s">
        <v>334</v>
      </c>
      <c r="BH24">
        <v>547.79999999999995</v>
      </c>
      <c r="BI24">
        <f t="shared" si="34"/>
        <v>596.75</v>
      </c>
      <c r="BJ24">
        <f t="shared" si="35"/>
        <v>0.54921220714769159</v>
      </c>
      <c r="BK24">
        <f t="shared" si="36"/>
        <v>0.56349206349206349</v>
      </c>
      <c r="BL24">
        <f t="shared" si="37"/>
        <v>0.44840697766201021</v>
      </c>
      <c r="BM24">
        <f t="shared" si="38"/>
        <v>0.51313773614875779</v>
      </c>
      <c r="BN24">
        <v>322</v>
      </c>
      <c r="BO24">
        <v>300</v>
      </c>
      <c r="BP24">
        <v>300</v>
      </c>
      <c r="BQ24">
        <v>300</v>
      </c>
      <c r="BR24">
        <v>8104.66</v>
      </c>
      <c r="BS24">
        <v>1042.1600000000001</v>
      </c>
      <c r="BT24">
        <v>-2.9481400000000001E-3</v>
      </c>
      <c r="BU24">
        <v>4.5886199999999997</v>
      </c>
      <c r="BV24">
        <f t="shared" si="39"/>
        <v>2199.9619354838701</v>
      </c>
      <c r="BW24">
        <f t="shared" si="40"/>
        <v>1849.1550484140739</v>
      </c>
      <c r="BX24">
        <f t="shared" si="41"/>
        <v>0.84053956506632099</v>
      </c>
      <c r="BY24">
        <f t="shared" si="42"/>
        <v>0.19107913013264233</v>
      </c>
      <c r="BZ24">
        <v>1564345648.9000001</v>
      </c>
      <c r="CA24">
        <v>938.49212903225805</v>
      </c>
      <c r="CB24">
        <v>1000.45322580645</v>
      </c>
      <c r="CC24">
        <v>19.553116129032301</v>
      </c>
      <c r="CD24">
        <v>15.5157193548387</v>
      </c>
      <c r="CE24">
        <v>500.01590322580603</v>
      </c>
      <c r="CF24">
        <v>99.316941935483896</v>
      </c>
      <c r="CG24">
        <v>0.100029167741935</v>
      </c>
      <c r="CH24">
        <v>24.910825806451601</v>
      </c>
      <c r="CI24">
        <v>27.284948387096801</v>
      </c>
      <c r="CJ24">
        <v>999.9</v>
      </c>
      <c r="CK24">
        <v>9999.8019354838707</v>
      </c>
      <c r="CL24">
        <v>0</v>
      </c>
      <c r="CM24">
        <v>-97.832148387096794</v>
      </c>
      <c r="CN24">
        <v>2199.9619354838701</v>
      </c>
      <c r="CO24">
        <v>0.98199877419354797</v>
      </c>
      <c r="CP24">
        <v>1.8001274193548401E-2</v>
      </c>
      <c r="CQ24">
        <v>0</v>
      </c>
      <c r="CR24">
        <v>816.85825806451601</v>
      </c>
      <c r="CS24">
        <v>1.9999499999999999</v>
      </c>
      <c r="CT24">
        <v>18746.580645161299</v>
      </c>
      <c r="CU24">
        <v>17937.9290322581</v>
      </c>
      <c r="CV24">
        <v>48.137</v>
      </c>
      <c r="CW24">
        <v>48.999935483870999</v>
      </c>
      <c r="CX24">
        <v>48.487806451612897</v>
      </c>
      <c r="CY24">
        <v>48.233677419354798</v>
      </c>
      <c r="CZ24">
        <v>49.0843548387097</v>
      </c>
      <c r="DA24">
        <v>2158.3945161290299</v>
      </c>
      <c r="DB24">
        <v>39.567419354838698</v>
      </c>
      <c r="DC24">
        <v>0</v>
      </c>
      <c r="DD24">
        <v>178.10000014305101</v>
      </c>
      <c r="DE24">
        <v>816.80761538461502</v>
      </c>
      <c r="DF24">
        <v>-9.0640000035799702</v>
      </c>
      <c r="DG24">
        <v>-196.83418800939401</v>
      </c>
      <c r="DH24">
        <v>18745.753846153799</v>
      </c>
      <c r="DI24">
        <v>15</v>
      </c>
      <c r="DJ24">
        <v>1564345687.4000001</v>
      </c>
      <c r="DK24" t="s">
        <v>335</v>
      </c>
      <c r="DL24">
        <v>121</v>
      </c>
      <c r="DM24">
        <v>1.032</v>
      </c>
      <c r="DN24">
        <v>8.5999999999999993E-2</v>
      </c>
      <c r="DO24">
        <v>1000</v>
      </c>
      <c r="DP24">
        <v>14</v>
      </c>
      <c r="DQ24">
        <v>0.04</v>
      </c>
      <c r="DR24">
        <v>0.02</v>
      </c>
      <c r="DS24">
        <v>49.304220711859003</v>
      </c>
      <c r="DT24">
        <v>-0.43229609863607898</v>
      </c>
      <c r="DU24">
        <v>1.2595896210997499</v>
      </c>
      <c r="DV24">
        <v>0</v>
      </c>
      <c r="DW24">
        <v>936.86190410958898</v>
      </c>
      <c r="DX24">
        <v>6.1085172129486196</v>
      </c>
      <c r="DY24">
        <v>1.2065289982763501</v>
      </c>
      <c r="DZ24">
        <v>0</v>
      </c>
      <c r="EA24">
        <v>0.20317791639129701</v>
      </c>
      <c r="EB24">
        <v>-0.101584151050851</v>
      </c>
      <c r="EC24">
        <v>5.0455605381971497E-2</v>
      </c>
      <c r="ED24">
        <v>1</v>
      </c>
      <c r="EE24">
        <v>1</v>
      </c>
      <c r="EF24">
        <v>3</v>
      </c>
      <c r="EG24" t="s">
        <v>320</v>
      </c>
      <c r="EH24">
        <v>1.8666</v>
      </c>
      <c r="EI24">
        <v>1.8631</v>
      </c>
      <c r="EJ24">
        <v>1.8687100000000001</v>
      </c>
      <c r="EK24">
        <v>1.8666400000000001</v>
      </c>
      <c r="EL24">
        <v>1.87131</v>
      </c>
      <c r="EM24">
        <v>1.8637600000000001</v>
      </c>
      <c r="EN24">
        <v>1.8652899999999999</v>
      </c>
      <c r="EO24">
        <v>1.8652299999999999</v>
      </c>
      <c r="EP24" t="s">
        <v>295</v>
      </c>
      <c r="EQ24" t="s">
        <v>19</v>
      </c>
      <c r="ER24" t="s">
        <v>19</v>
      </c>
      <c r="ES24" t="s">
        <v>19</v>
      </c>
      <c r="ET24" t="s">
        <v>296</v>
      </c>
      <c r="EU24" t="s">
        <v>297</v>
      </c>
      <c r="EV24" t="s">
        <v>298</v>
      </c>
      <c r="EW24" t="s">
        <v>298</v>
      </c>
      <c r="EX24" t="s">
        <v>298</v>
      </c>
      <c r="EY24" t="s">
        <v>298</v>
      </c>
      <c r="EZ24">
        <v>0</v>
      </c>
      <c r="FA24">
        <v>100</v>
      </c>
      <c r="FB24">
        <v>100</v>
      </c>
      <c r="FC24">
        <v>1.032</v>
      </c>
      <c r="FD24">
        <v>8.5999999999999993E-2</v>
      </c>
      <c r="FE24">
        <v>2</v>
      </c>
      <c r="FF24">
        <v>504.755</v>
      </c>
      <c r="FG24">
        <v>484.80799999999999</v>
      </c>
      <c r="FH24">
        <v>18.53</v>
      </c>
      <c r="FI24">
        <v>35.1708</v>
      </c>
      <c r="FJ24">
        <v>30.000299999999999</v>
      </c>
      <c r="FK24">
        <v>35.068399999999997</v>
      </c>
      <c r="FL24">
        <v>35.041200000000003</v>
      </c>
      <c r="FM24">
        <v>46.382199999999997</v>
      </c>
      <c r="FN24">
        <v>81.850499999999997</v>
      </c>
      <c r="FO24">
        <v>0</v>
      </c>
      <c r="FP24">
        <v>17.541399999999999</v>
      </c>
      <c r="FQ24">
        <v>1000</v>
      </c>
      <c r="FR24">
        <v>13.2828</v>
      </c>
      <c r="FS24">
        <v>100.428</v>
      </c>
      <c r="FT24">
        <v>100.967</v>
      </c>
    </row>
    <row r="25" spans="1:176" x14ac:dyDescent="0.35">
      <c r="A25">
        <v>12</v>
      </c>
      <c r="B25">
        <v>1564345828.9000001</v>
      </c>
      <c r="C25">
        <v>1622.60000014305</v>
      </c>
      <c r="D25" t="s">
        <v>336</v>
      </c>
      <c r="E25" t="s">
        <v>337</v>
      </c>
      <c r="F25" t="s">
        <v>288</v>
      </c>
      <c r="G25" t="s">
        <v>289</v>
      </c>
      <c r="H25" t="s">
        <v>288</v>
      </c>
      <c r="J25" t="s">
        <v>288</v>
      </c>
      <c r="K25">
        <v>1564345820.9000001</v>
      </c>
      <c r="L25">
        <f t="shared" si="0"/>
        <v>3.4698791573278304E-3</v>
      </c>
      <c r="M25">
        <f t="shared" si="1"/>
        <v>47.892371305858909</v>
      </c>
      <c r="N25">
        <f t="shared" si="2"/>
        <v>1137.7361290322599</v>
      </c>
      <c r="O25">
        <f t="shared" si="3"/>
        <v>676.63078631832639</v>
      </c>
      <c r="P25">
        <f t="shared" si="4"/>
        <v>67.262518983886039</v>
      </c>
      <c r="Q25">
        <f t="shared" si="5"/>
        <v>113.1000828296374</v>
      </c>
      <c r="R25">
        <f t="shared" si="6"/>
        <v>0.18397454754254675</v>
      </c>
      <c r="S25">
        <f t="shared" si="7"/>
        <v>2.2496234627335836</v>
      </c>
      <c r="T25">
        <f t="shared" si="8"/>
        <v>0.17600603727693331</v>
      </c>
      <c r="U25">
        <f t="shared" si="9"/>
        <v>0.11069094965829523</v>
      </c>
      <c r="V25">
        <f t="shared" si="10"/>
        <v>353.34191888458764</v>
      </c>
      <c r="W25">
        <f t="shared" si="11"/>
        <v>26.147527994384376</v>
      </c>
      <c r="X25">
        <f t="shared" si="12"/>
        <v>27.123496774193502</v>
      </c>
      <c r="Y25">
        <f t="shared" si="13"/>
        <v>3.6052026408304361</v>
      </c>
      <c r="Z25">
        <f t="shared" si="14"/>
        <v>54.560590807141594</v>
      </c>
      <c r="AA25">
        <f t="shared" si="15"/>
        <v>1.6976909318370743</v>
      </c>
      <c r="AB25">
        <f t="shared" si="16"/>
        <v>3.111569920197526</v>
      </c>
      <c r="AC25">
        <f t="shared" si="17"/>
        <v>1.9075117089933618</v>
      </c>
      <c r="AD25">
        <f t="shared" si="18"/>
        <v>-153.02167083815732</v>
      </c>
      <c r="AE25">
        <f t="shared" si="19"/>
        <v>-301.52821545778147</v>
      </c>
      <c r="AF25">
        <f t="shared" si="20"/>
        <v>-28.604158799198522</v>
      </c>
      <c r="AG25">
        <f t="shared" si="21"/>
        <v>-129.81212621054965</v>
      </c>
      <c r="AH25">
        <v>-4.1173611163837498E-2</v>
      </c>
      <c r="AI25">
        <v>4.6220985537852297E-2</v>
      </c>
      <c r="AJ25">
        <v>3.45454755140462</v>
      </c>
      <c r="AK25">
        <v>0</v>
      </c>
      <c r="AL25">
        <v>0</v>
      </c>
      <c r="AM25">
        <f t="shared" si="22"/>
        <v>1</v>
      </c>
      <c r="AN25">
        <f t="shared" si="23"/>
        <v>0</v>
      </c>
      <c r="AO25">
        <f t="shared" si="24"/>
        <v>52920.00775021244</v>
      </c>
      <c r="AP25" t="s">
        <v>290</v>
      </c>
      <c r="AQ25">
        <v>413.64615384615399</v>
      </c>
      <c r="AR25">
        <v>1914.9</v>
      </c>
      <c r="AS25">
        <f t="shared" si="25"/>
        <v>1501.2538461538461</v>
      </c>
      <c r="AT25">
        <f t="shared" si="26"/>
        <v>0.78398550637309838</v>
      </c>
      <c r="AU25">
        <v>-0.61508576146989002</v>
      </c>
      <c r="AV25" t="s">
        <v>338</v>
      </c>
      <c r="AW25">
        <v>810.74396153846101</v>
      </c>
      <c r="AX25">
        <v>1124.1099999999999</v>
      </c>
      <c r="AY25">
        <f t="shared" si="27"/>
        <v>0.27876812630573422</v>
      </c>
      <c r="AZ25">
        <v>0.5</v>
      </c>
      <c r="BA25">
        <f t="shared" si="28"/>
        <v>1849.1884802417499</v>
      </c>
      <c r="BB25">
        <f t="shared" si="29"/>
        <v>47.892371305858909</v>
      </c>
      <c r="BC25">
        <f t="shared" si="30"/>
        <v>257.74740391157042</v>
      </c>
      <c r="BD25">
        <f t="shared" si="31"/>
        <v>0.50414105381145968</v>
      </c>
      <c r="BE25">
        <f t="shared" si="32"/>
        <v>2.623175386696508E-2</v>
      </c>
      <c r="BF25">
        <f t="shared" si="33"/>
        <v>0.70348097606106186</v>
      </c>
      <c r="BG25" t="s">
        <v>339</v>
      </c>
      <c r="BH25">
        <v>557.4</v>
      </c>
      <c r="BI25">
        <f t="shared" si="34"/>
        <v>566.70999999999992</v>
      </c>
      <c r="BJ25">
        <f t="shared" si="35"/>
        <v>0.55295660648574918</v>
      </c>
      <c r="BK25">
        <f t="shared" si="36"/>
        <v>0.58253406998158397</v>
      </c>
      <c r="BL25">
        <f t="shared" si="37"/>
        <v>0.44107246295215663</v>
      </c>
      <c r="BM25">
        <f t="shared" si="38"/>
        <v>0.52675302183303208</v>
      </c>
      <c r="BN25">
        <v>324</v>
      </c>
      <c r="BO25">
        <v>300</v>
      </c>
      <c r="BP25">
        <v>300</v>
      </c>
      <c r="BQ25">
        <v>300</v>
      </c>
      <c r="BR25">
        <v>8103.83</v>
      </c>
      <c r="BS25">
        <v>1024.77</v>
      </c>
      <c r="BT25">
        <v>-2.94772E-3</v>
      </c>
      <c r="BU25">
        <v>4.5443100000000003</v>
      </c>
      <c r="BV25">
        <f t="shared" si="39"/>
        <v>2200.0012903225802</v>
      </c>
      <c r="BW25">
        <f t="shared" si="40"/>
        <v>1849.1884802417499</v>
      </c>
      <c r="BX25">
        <f t="shared" si="41"/>
        <v>0.84053972530652854</v>
      </c>
      <c r="BY25">
        <f t="shared" si="42"/>
        <v>0.19107945061305714</v>
      </c>
      <c r="BZ25">
        <v>1564345820.9000001</v>
      </c>
      <c r="CA25">
        <v>1137.7361290322599</v>
      </c>
      <c r="CB25">
        <v>1199.9409677419401</v>
      </c>
      <c r="CC25">
        <v>17.078009677419399</v>
      </c>
      <c r="CD25">
        <v>12.9854870967742</v>
      </c>
      <c r="CE25">
        <v>500.02712903225802</v>
      </c>
      <c r="CF25">
        <v>99.307993548387103</v>
      </c>
      <c r="CG25">
        <v>0.100014990322581</v>
      </c>
      <c r="CH25">
        <v>24.6373161290323</v>
      </c>
      <c r="CI25">
        <v>27.123496774193502</v>
      </c>
      <c r="CJ25">
        <v>999.9</v>
      </c>
      <c r="CK25">
        <v>9998.4061290322607</v>
      </c>
      <c r="CL25">
        <v>0</v>
      </c>
      <c r="CM25">
        <v>-93.291158064516097</v>
      </c>
      <c r="CN25">
        <v>2200.0012903225802</v>
      </c>
      <c r="CO25">
        <v>0.98199499999999995</v>
      </c>
      <c r="CP25">
        <v>1.8005500000000001E-2</v>
      </c>
      <c r="CQ25">
        <v>0</v>
      </c>
      <c r="CR25">
        <v>810.75961290322596</v>
      </c>
      <c r="CS25">
        <v>1.9999499999999999</v>
      </c>
      <c r="CT25">
        <v>18617.3129032258</v>
      </c>
      <c r="CU25">
        <v>17938.2193548387</v>
      </c>
      <c r="CV25">
        <v>48.332322580645098</v>
      </c>
      <c r="CW25">
        <v>49.332322580645098</v>
      </c>
      <c r="CX25">
        <v>48.731645161290302</v>
      </c>
      <c r="CY25">
        <v>48.4898387096774</v>
      </c>
      <c r="CZ25">
        <v>49.243870967741898</v>
      </c>
      <c r="DA25">
        <v>2158.4280645161298</v>
      </c>
      <c r="DB25">
        <v>39.58</v>
      </c>
      <c r="DC25">
        <v>0</v>
      </c>
      <c r="DD25">
        <v>171.200000047684</v>
      </c>
      <c r="DE25">
        <v>810.74396153846101</v>
      </c>
      <c r="DF25">
        <v>-4.75258118218541</v>
      </c>
      <c r="DG25">
        <v>-84.540170828403902</v>
      </c>
      <c r="DH25">
        <v>18616.7</v>
      </c>
      <c r="DI25">
        <v>15</v>
      </c>
      <c r="DJ25">
        <v>1564345776.9000001</v>
      </c>
      <c r="DK25" t="s">
        <v>340</v>
      </c>
      <c r="DL25">
        <v>122</v>
      </c>
      <c r="DM25">
        <v>1.123</v>
      </c>
      <c r="DN25">
        <v>7.0999999999999994E-2</v>
      </c>
      <c r="DO25">
        <v>1200</v>
      </c>
      <c r="DP25">
        <v>13</v>
      </c>
      <c r="DQ25">
        <v>0.02</v>
      </c>
      <c r="DR25">
        <v>0.02</v>
      </c>
      <c r="DS25">
        <v>48.201201288105999</v>
      </c>
      <c r="DT25">
        <v>-1.3946879349291601</v>
      </c>
      <c r="DU25">
        <v>0.28847888572762598</v>
      </c>
      <c r="DV25">
        <v>0</v>
      </c>
      <c r="DW25">
        <v>1137.3687671232899</v>
      </c>
      <c r="DX25">
        <v>2.0880784894485398</v>
      </c>
      <c r="DY25">
        <v>0.36872956718122202</v>
      </c>
      <c r="DZ25">
        <v>1</v>
      </c>
      <c r="EA25">
        <v>0.18891687865130899</v>
      </c>
      <c r="EB25">
        <v>-2.0829715680266699E-2</v>
      </c>
      <c r="EC25">
        <v>4.1606463903524496E-3</v>
      </c>
      <c r="ED25">
        <v>1</v>
      </c>
      <c r="EE25">
        <v>2</v>
      </c>
      <c r="EF25">
        <v>3</v>
      </c>
      <c r="EG25" t="s">
        <v>314</v>
      </c>
      <c r="EH25">
        <v>1.8666</v>
      </c>
      <c r="EI25">
        <v>1.8631</v>
      </c>
      <c r="EJ25">
        <v>1.8687199999999999</v>
      </c>
      <c r="EK25">
        <v>1.8666499999999999</v>
      </c>
      <c r="EL25">
        <v>1.8713299999999999</v>
      </c>
      <c r="EM25">
        <v>1.8637699999999999</v>
      </c>
      <c r="EN25">
        <v>1.86528</v>
      </c>
      <c r="EO25">
        <v>1.8652299999999999</v>
      </c>
      <c r="EP25" t="s">
        <v>295</v>
      </c>
      <c r="EQ25" t="s">
        <v>19</v>
      </c>
      <c r="ER25" t="s">
        <v>19</v>
      </c>
      <c r="ES25" t="s">
        <v>19</v>
      </c>
      <c r="ET25" t="s">
        <v>296</v>
      </c>
      <c r="EU25" t="s">
        <v>297</v>
      </c>
      <c r="EV25" t="s">
        <v>298</v>
      </c>
      <c r="EW25" t="s">
        <v>298</v>
      </c>
      <c r="EX25" t="s">
        <v>298</v>
      </c>
      <c r="EY25" t="s">
        <v>298</v>
      </c>
      <c r="EZ25">
        <v>0</v>
      </c>
      <c r="FA25">
        <v>100</v>
      </c>
      <c r="FB25">
        <v>100</v>
      </c>
      <c r="FC25">
        <v>1.123</v>
      </c>
      <c r="FD25">
        <v>7.0999999999999994E-2</v>
      </c>
      <c r="FE25">
        <v>2</v>
      </c>
      <c r="FF25">
        <v>504.2</v>
      </c>
      <c r="FG25">
        <v>485.255</v>
      </c>
      <c r="FH25">
        <v>18.4132</v>
      </c>
      <c r="FI25">
        <v>35.309699999999999</v>
      </c>
      <c r="FJ25">
        <v>30.000499999999999</v>
      </c>
      <c r="FK25">
        <v>35.172899999999998</v>
      </c>
      <c r="FL25">
        <v>35.147100000000002</v>
      </c>
      <c r="FM25">
        <v>53.707599999999999</v>
      </c>
      <c r="FN25">
        <v>90.942800000000005</v>
      </c>
      <c r="FO25">
        <v>0</v>
      </c>
      <c r="FP25">
        <v>15.3691</v>
      </c>
      <c r="FQ25">
        <v>1200</v>
      </c>
      <c r="FR25">
        <v>13.2319</v>
      </c>
      <c r="FS25">
        <v>100.405</v>
      </c>
      <c r="FT25">
        <v>100.935</v>
      </c>
    </row>
    <row r="26" spans="1:176" x14ac:dyDescent="0.35">
      <c r="A26">
        <v>13</v>
      </c>
      <c r="B26">
        <v>1564345933.4000001</v>
      </c>
      <c r="C26">
        <v>1727.10000014305</v>
      </c>
      <c r="D26" t="s">
        <v>341</v>
      </c>
      <c r="E26" t="s">
        <v>342</v>
      </c>
      <c r="F26" t="s">
        <v>288</v>
      </c>
      <c r="G26" t="s">
        <v>289</v>
      </c>
      <c r="H26" t="s">
        <v>288</v>
      </c>
      <c r="J26" t="s">
        <v>288</v>
      </c>
      <c r="K26">
        <v>1564345925.4000001</v>
      </c>
      <c r="L26">
        <f t="shared" si="0"/>
        <v>2.9318431384981088E-3</v>
      </c>
      <c r="M26">
        <f t="shared" si="1"/>
        <v>48.688772051892613</v>
      </c>
      <c r="N26">
        <f t="shared" si="2"/>
        <v>1536.1919354838701</v>
      </c>
      <c r="O26">
        <f t="shared" si="3"/>
        <v>961.43134197237157</v>
      </c>
      <c r="P26">
        <f t="shared" si="4"/>
        <v>95.567851658738874</v>
      </c>
      <c r="Q26">
        <f t="shared" si="5"/>
        <v>152.69999697377486</v>
      </c>
      <c r="R26">
        <f t="shared" si="6"/>
        <v>0.15035348876294177</v>
      </c>
      <c r="S26">
        <f t="shared" si="7"/>
        <v>2.249003308199037</v>
      </c>
      <c r="T26">
        <f t="shared" si="8"/>
        <v>0.14498420182812405</v>
      </c>
      <c r="U26">
        <f t="shared" si="9"/>
        <v>9.1081560700502218E-2</v>
      </c>
      <c r="V26">
        <f t="shared" si="10"/>
        <v>353.33597928221872</v>
      </c>
      <c r="W26">
        <f t="shared" si="11"/>
        <v>26.457991323474324</v>
      </c>
      <c r="X26">
        <f t="shared" si="12"/>
        <v>27.3916161290323</v>
      </c>
      <c r="Y26">
        <f t="shared" si="13"/>
        <v>3.6623135689902271</v>
      </c>
      <c r="Z26">
        <f t="shared" si="14"/>
        <v>54.415314985588395</v>
      </c>
      <c r="AA26">
        <f t="shared" si="15"/>
        <v>1.7065161241702504</v>
      </c>
      <c r="AB26">
        <f t="shared" si="16"/>
        <v>3.1360952787321219</v>
      </c>
      <c r="AC26">
        <f t="shared" si="17"/>
        <v>1.9557974448199766</v>
      </c>
      <c r="AD26">
        <f t="shared" si="18"/>
        <v>-129.29428240776659</v>
      </c>
      <c r="AE26">
        <f t="shared" si="19"/>
        <v>-318.02286006056022</v>
      </c>
      <c r="AF26">
        <f t="shared" si="20"/>
        <v>-30.237830522681897</v>
      </c>
      <c r="AG26">
        <f t="shared" si="21"/>
        <v>-124.21899370879001</v>
      </c>
      <c r="AH26">
        <v>-4.1156920314268902E-2</v>
      </c>
      <c r="AI26">
        <v>4.6202248597012899E-2</v>
      </c>
      <c r="AJ26">
        <v>3.45343894793064</v>
      </c>
      <c r="AK26">
        <v>0</v>
      </c>
      <c r="AL26">
        <v>0</v>
      </c>
      <c r="AM26">
        <f t="shared" si="22"/>
        <v>1</v>
      </c>
      <c r="AN26">
        <f t="shared" si="23"/>
        <v>0</v>
      </c>
      <c r="AO26">
        <f t="shared" si="24"/>
        <v>52875.950089362275</v>
      </c>
      <c r="AP26" t="s">
        <v>290</v>
      </c>
      <c r="AQ26">
        <v>413.64615384615399</v>
      </c>
      <c r="AR26">
        <v>1914.9</v>
      </c>
      <c r="AS26">
        <f t="shared" si="25"/>
        <v>1501.2538461538461</v>
      </c>
      <c r="AT26">
        <f t="shared" si="26"/>
        <v>0.78398550637309838</v>
      </c>
      <c r="AU26">
        <v>-0.61508576146989002</v>
      </c>
      <c r="AV26" t="s">
        <v>343</v>
      </c>
      <c r="AW26">
        <v>808.63380769230798</v>
      </c>
      <c r="AX26">
        <v>1105.6099999999999</v>
      </c>
      <c r="AY26">
        <f t="shared" si="27"/>
        <v>0.26860845353035157</v>
      </c>
      <c r="AZ26">
        <v>0.5</v>
      </c>
      <c r="BA26">
        <f t="shared" si="28"/>
        <v>1849.1595000269774</v>
      </c>
      <c r="BB26">
        <f t="shared" si="29"/>
        <v>48.688772051892613</v>
      </c>
      <c r="BC26">
        <f t="shared" si="30"/>
        <v>248.34993681660225</v>
      </c>
      <c r="BD26">
        <f t="shared" si="31"/>
        <v>0.5019943741463988</v>
      </c>
      <c r="BE26">
        <f t="shared" si="32"/>
        <v>2.6662847532970092E-2</v>
      </c>
      <c r="BF26">
        <f t="shared" si="33"/>
        <v>0.73198505802226854</v>
      </c>
      <c r="BG26" t="s">
        <v>344</v>
      </c>
      <c r="BH26">
        <v>550.6</v>
      </c>
      <c r="BI26">
        <f t="shared" si="34"/>
        <v>555.00999999999988</v>
      </c>
      <c r="BJ26">
        <f t="shared" si="35"/>
        <v>0.53508259726435914</v>
      </c>
      <c r="BK26">
        <f t="shared" si="36"/>
        <v>0.59319064721835379</v>
      </c>
      <c r="BL26">
        <f t="shared" si="37"/>
        <v>0.42917876990016113</v>
      </c>
      <c r="BM26">
        <f t="shared" si="38"/>
        <v>0.53907605437506101</v>
      </c>
      <c r="BN26">
        <v>326</v>
      </c>
      <c r="BO26">
        <v>300</v>
      </c>
      <c r="BP26">
        <v>300</v>
      </c>
      <c r="BQ26">
        <v>300</v>
      </c>
      <c r="BR26">
        <v>8103.23</v>
      </c>
      <c r="BS26">
        <v>1008.65</v>
      </c>
      <c r="BT26">
        <v>-2.9475399999999998E-3</v>
      </c>
      <c r="BU26">
        <v>3.4738199999999999</v>
      </c>
      <c r="BV26">
        <f t="shared" si="39"/>
        <v>2199.9670967741899</v>
      </c>
      <c r="BW26">
        <f t="shared" si="40"/>
        <v>1849.1595000269774</v>
      </c>
      <c r="BX26">
        <f t="shared" si="41"/>
        <v>0.84053961658717469</v>
      </c>
      <c r="BY26">
        <f t="shared" si="42"/>
        <v>0.19107923317434969</v>
      </c>
      <c r="BZ26">
        <v>1564345925.4000001</v>
      </c>
      <c r="CA26">
        <v>1536.1919354838701</v>
      </c>
      <c r="CB26">
        <v>1600.0212903225799</v>
      </c>
      <c r="CC26">
        <v>17.167887096774201</v>
      </c>
      <c r="CD26">
        <v>13.710174193548401</v>
      </c>
      <c r="CE26">
        <v>500.01425806451601</v>
      </c>
      <c r="CF26">
        <v>99.301658064516104</v>
      </c>
      <c r="CG26">
        <v>9.9981435483871006E-2</v>
      </c>
      <c r="CH26">
        <v>24.768709677419402</v>
      </c>
      <c r="CI26">
        <v>27.3916161290323</v>
      </c>
      <c r="CJ26">
        <v>999.9</v>
      </c>
      <c r="CK26">
        <v>9994.9906451612896</v>
      </c>
      <c r="CL26">
        <v>0</v>
      </c>
      <c r="CM26">
        <v>-132.74287096774199</v>
      </c>
      <c r="CN26">
        <v>2199.9670967741899</v>
      </c>
      <c r="CO26">
        <v>0.98199564516129001</v>
      </c>
      <c r="CP26">
        <v>1.8004693548387098E-2</v>
      </c>
      <c r="CQ26">
        <v>0</v>
      </c>
      <c r="CR26">
        <v>808.78361290322596</v>
      </c>
      <c r="CS26">
        <v>1.9999499999999999</v>
      </c>
      <c r="CT26">
        <v>18590.512903225801</v>
      </c>
      <c r="CU26">
        <v>17937.961290322601</v>
      </c>
      <c r="CV26">
        <v>48.483741935483899</v>
      </c>
      <c r="CW26">
        <v>49.566064516129003</v>
      </c>
      <c r="CX26">
        <v>48.901000000000003</v>
      </c>
      <c r="CY26">
        <v>48.737806451612897</v>
      </c>
      <c r="CZ26">
        <v>49.413064516128998</v>
      </c>
      <c r="DA26">
        <v>2158.39580645161</v>
      </c>
      <c r="DB26">
        <v>39.571290322580602</v>
      </c>
      <c r="DC26">
        <v>0</v>
      </c>
      <c r="DD26">
        <v>104.10000014305101</v>
      </c>
      <c r="DE26">
        <v>808.63380769230798</v>
      </c>
      <c r="DF26">
        <v>-9.3725469945710795</v>
      </c>
      <c r="DG26">
        <v>-156.697435877966</v>
      </c>
      <c r="DH26">
        <v>18588.6538461538</v>
      </c>
      <c r="DI26">
        <v>15</v>
      </c>
      <c r="DJ26">
        <v>1564345961.9000001</v>
      </c>
      <c r="DK26" t="s">
        <v>345</v>
      </c>
      <c r="DL26">
        <v>123</v>
      </c>
      <c r="DM26">
        <v>1.0429999999999999</v>
      </c>
      <c r="DN26">
        <v>8.5999999999999993E-2</v>
      </c>
      <c r="DO26">
        <v>1600</v>
      </c>
      <c r="DP26">
        <v>14</v>
      </c>
      <c r="DQ26">
        <v>0.03</v>
      </c>
      <c r="DR26">
        <v>0.03</v>
      </c>
      <c r="DS26">
        <v>48.679071422226301</v>
      </c>
      <c r="DT26">
        <v>-0.275110011003182</v>
      </c>
      <c r="DU26">
        <v>0.14045432854284601</v>
      </c>
      <c r="DV26">
        <v>1</v>
      </c>
      <c r="DW26">
        <v>1536.10890410959</v>
      </c>
      <c r="DX26">
        <v>0.80845626794504799</v>
      </c>
      <c r="DY26">
        <v>0.16280555377283301</v>
      </c>
      <c r="DZ26">
        <v>1</v>
      </c>
      <c r="EA26">
        <v>0.15462002561244501</v>
      </c>
      <c r="EB26">
        <v>-2.2573687386040299E-2</v>
      </c>
      <c r="EC26">
        <v>4.48831798104239E-3</v>
      </c>
      <c r="ED26">
        <v>1</v>
      </c>
      <c r="EE26">
        <v>3</v>
      </c>
      <c r="EF26">
        <v>3</v>
      </c>
      <c r="EG26" t="s">
        <v>294</v>
      </c>
      <c r="EH26">
        <v>1.86659</v>
      </c>
      <c r="EI26">
        <v>1.8631</v>
      </c>
      <c r="EJ26">
        <v>1.8686799999999999</v>
      </c>
      <c r="EK26">
        <v>1.8666199999999999</v>
      </c>
      <c r="EL26">
        <v>1.8713200000000001</v>
      </c>
      <c r="EM26">
        <v>1.86375</v>
      </c>
      <c r="EN26">
        <v>1.8652500000000001</v>
      </c>
      <c r="EO26">
        <v>1.8652299999999999</v>
      </c>
      <c r="EP26" t="s">
        <v>295</v>
      </c>
      <c r="EQ26" t="s">
        <v>19</v>
      </c>
      <c r="ER26" t="s">
        <v>19</v>
      </c>
      <c r="ES26" t="s">
        <v>19</v>
      </c>
      <c r="ET26" t="s">
        <v>296</v>
      </c>
      <c r="EU26" t="s">
        <v>297</v>
      </c>
      <c r="EV26" t="s">
        <v>298</v>
      </c>
      <c r="EW26" t="s">
        <v>298</v>
      </c>
      <c r="EX26" t="s">
        <v>298</v>
      </c>
      <c r="EY26" t="s">
        <v>298</v>
      </c>
      <c r="EZ26">
        <v>0</v>
      </c>
      <c r="FA26">
        <v>100</v>
      </c>
      <c r="FB26">
        <v>100</v>
      </c>
      <c r="FC26">
        <v>1.0429999999999999</v>
      </c>
      <c r="FD26">
        <v>8.5999999999999993E-2</v>
      </c>
      <c r="FE26">
        <v>2</v>
      </c>
      <c r="FF26">
        <v>504.05900000000003</v>
      </c>
      <c r="FG26">
        <v>486.11799999999999</v>
      </c>
      <c r="FH26">
        <v>18.4939</v>
      </c>
      <c r="FI26">
        <v>35.394399999999997</v>
      </c>
      <c r="FJ26">
        <v>30.000399999999999</v>
      </c>
      <c r="FK26">
        <v>35.252299999999998</v>
      </c>
      <c r="FL26">
        <v>35.225700000000003</v>
      </c>
      <c r="FM26">
        <v>67.5501</v>
      </c>
      <c r="FN26">
        <v>87.727599999999995</v>
      </c>
      <c r="FO26">
        <v>0</v>
      </c>
      <c r="FP26">
        <v>15.4581</v>
      </c>
      <c r="FQ26">
        <v>1600</v>
      </c>
      <c r="FR26">
        <v>13.885999999999999</v>
      </c>
      <c r="FS26">
        <v>100.389</v>
      </c>
      <c r="FT26">
        <v>100.916</v>
      </c>
    </row>
  </sheetData>
  <sortState xmlns:xlrd2="http://schemas.microsoft.com/office/spreadsheetml/2017/richdata2" ref="N31:P43">
    <sortCondition ref="N3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  <row r="7" spans="1:2" x14ac:dyDescent="0.35">
      <c r="A7" t="s">
        <v>12</v>
      </c>
      <c r="B7" t="s">
        <v>13</v>
      </c>
    </row>
    <row r="8" spans="1:2" x14ac:dyDescent="0.35">
      <c r="A8" t="s">
        <v>14</v>
      </c>
      <c r="B8" t="s">
        <v>15</v>
      </c>
    </row>
    <row r="9" spans="1:2" x14ac:dyDescent="0.35">
      <c r="A9" t="s">
        <v>16</v>
      </c>
      <c r="B9" t="s">
        <v>17</v>
      </c>
    </row>
    <row r="10" spans="1:2" x14ac:dyDescent="0.35">
      <c r="A10" t="s">
        <v>18</v>
      </c>
      <c r="B10" t="s">
        <v>19</v>
      </c>
    </row>
    <row r="11" spans="1:2" x14ac:dyDescent="0.35">
      <c r="A11" t="s">
        <v>20</v>
      </c>
      <c r="B11" t="s">
        <v>19</v>
      </c>
    </row>
    <row r="12" spans="1:2" x14ac:dyDescent="0.35">
      <c r="A12" t="s">
        <v>21</v>
      </c>
      <c r="B12" t="s">
        <v>17</v>
      </c>
    </row>
    <row r="13" spans="1:2" x14ac:dyDescent="0.35">
      <c r="A13" t="s">
        <v>22</v>
      </c>
      <c r="B13" t="s">
        <v>11</v>
      </c>
    </row>
    <row r="14" spans="1:2" x14ac:dyDescent="0.35">
      <c r="A14" t="s">
        <v>23</v>
      </c>
      <c r="B1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Wu, Genghong</cp:lastModifiedBy>
  <dcterms:created xsi:type="dcterms:W3CDTF">2019-07-28T15:39:49Z</dcterms:created>
  <dcterms:modified xsi:type="dcterms:W3CDTF">2019-08-28T03:16:41Z</dcterms:modified>
</cp:coreProperties>
</file>