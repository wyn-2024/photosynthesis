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E5EA5286-F357-4C0A-B190-C6AC563AFFDE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Y28" i="1" l="1"/>
  <c r="BX28" i="1"/>
  <c r="BV28" i="1"/>
  <c r="BM28" i="1"/>
  <c r="BL28" i="1"/>
  <c r="BK28" i="1"/>
  <c r="BJ28" i="1"/>
  <c r="BI28" i="1"/>
  <c r="BD28" i="1" s="1"/>
  <c r="BF28" i="1"/>
  <c r="AY28" i="1"/>
  <c r="AS28" i="1"/>
  <c r="AT28" i="1" s="1"/>
  <c r="AO28" i="1"/>
  <c r="AM28" i="1" s="1"/>
  <c r="AN28" i="1" s="1"/>
  <c r="AB28" i="1"/>
  <c r="AA28" i="1"/>
  <c r="S28" i="1"/>
  <c r="BY27" i="1"/>
  <c r="BX27" i="1"/>
  <c r="BV27" i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 s="1"/>
  <c r="AB27" i="1"/>
  <c r="AA27" i="1"/>
  <c r="Z27" i="1" s="1"/>
  <c r="S27" i="1"/>
  <c r="BY26" i="1"/>
  <c r="BX26" i="1"/>
  <c r="BV26" i="1"/>
  <c r="BM26" i="1"/>
  <c r="BL26" i="1"/>
  <c r="BK26" i="1"/>
  <c r="BJ26" i="1"/>
  <c r="BI26" i="1"/>
  <c r="BD26" i="1" s="1"/>
  <c r="BF26" i="1"/>
  <c r="AY26" i="1"/>
  <c r="AS26" i="1"/>
  <c r="AT26" i="1" s="1"/>
  <c r="AO26" i="1"/>
  <c r="AM26" i="1"/>
  <c r="L26" i="1" s="1"/>
  <c r="AB26" i="1"/>
  <c r="Z26" i="1" s="1"/>
  <c r="AA26" i="1"/>
  <c r="S26" i="1"/>
  <c r="BY25" i="1"/>
  <c r="BX25" i="1"/>
  <c r="BW25" i="1"/>
  <c r="V25" i="1" s="1"/>
  <c r="BV25" i="1"/>
  <c r="BM25" i="1"/>
  <c r="BL25" i="1"/>
  <c r="BK25" i="1"/>
  <c r="BJ25" i="1"/>
  <c r="BI25" i="1"/>
  <c r="BF25" i="1"/>
  <c r="BD25" i="1"/>
  <c r="AY25" i="1"/>
  <c r="AS25" i="1"/>
  <c r="AT25" i="1" s="1"/>
  <c r="AO25" i="1"/>
  <c r="AM25" i="1" s="1"/>
  <c r="L25" i="1" s="1"/>
  <c r="AD25" i="1" s="1"/>
  <c r="AB25" i="1"/>
  <c r="AA25" i="1"/>
  <c r="S25" i="1"/>
  <c r="BY24" i="1"/>
  <c r="BX24" i="1"/>
  <c r="BV24" i="1"/>
  <c r="BM24" i="1"/>
  <c r="BL24" i="1"/>
  <c r="BK24" i="1"/>
  <c r="BJ24" i="1"/>
  <c r="BI24" i="1"/>
  <c r="BD24" i="1" s="1"/>
  <c r="BF24" i="1"/>
  <c r="AY24" i="1"/>
  <c r="AT24" i="1"/>
  <c r="AS24" i="1"/>
  <c r="AO24" i="1"/>
  <c r="AM24" i="1" s="1"/>
  <c r="AN24" i="1" s="1"/>
  <c r="AB24" i="1"/>
  <c r="AA24" i="1"/>
  <c r="Z24" i="1" s="1"/>
  <c r="S24" i="1"/>
  <c r="BY23" i="1"/>
  <c r="BX23" i="1"/>
  <c r="BV23" i="1"/>
  <c r="BW23" i="1" s="1"/>
  <c r="BA23" i="1" s="1"/>
  <c r="BC23" i="1" s="1"/>
  <c r="BM23" i="1"/>
  <c r="BL23" i="1"/>
  <c r="BK23" i="1"/>
  <c r="BJ23" i="1"/>
  <c r="BI23" i="1"/>
  <c r="BD23" i="1" s="1"/>
  <c r="BF23" i="1"/>
  <c r="AY23" i="1"/>
  <c r="AT23" i="1"/>
  <c r="AS23" i="1"/>
  <c r="AO23" i="1"/>
  <c r="AM23" i="1" s="1"/>
  <c r="AB23" i="1"/>
  <c r="AA23" i="1"/>
  <c r="Z23" i="1" s="1"/>
  <c r="S23" i="1"/>
  <c r="BY22" i="1"/>
  <c r="BX22" i="1"/>
  <c r="BW22" i="1" s="1"/>
  <c r="BV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AB22" i="1"/>
  <c r="AA22" i="1"/>
  <c r="Z22" i="1"/>
  <c r="S22" i="1"/>
  <c r="BY21" i="1"/>
  <c r="BX21" i="1"/>
  <c r="BV21" i="1"/>
  <c r="BM21" i="1"/>
  <c r="BL21" i="1"/>
  <c r="BK21" i="1"/>
  <c r="BJ21" i="1"/>
  <c r="BI21" i="1"/>
  <c r="BF21" i="1"/>
  <c r="BD21" i="1"/>
  <c r="AY21" i="1"/>
  <c r="AS21" i="1"/>
  <c r="AT21" i="1" s="1"/>
  <c r="AO21" i="1"/>
  <c r="AM21" i="1" s="1"/>
  <c r="AN21" i="1"/>
  <c r="AB21" i="1"/>
  <c r="AA21" i="1"/>
  <c r="S21" i="1"/>
  <c r="BY20" i="1"/>
  <c r="BX20" i="1"/>
  <c r="BV20" i="1"/>
  <c r="BM20" i="1"/>
  <c r="BL20" i="1"/>
  <c r="BK20" i="1"/>
  <c r="BJ20" i="1"/>
  <c r="BI20" i="1"/>
  <c r="BD20" i="1" s="1"/>
  <c r="BF20" i="1"/>
  <c r="AY20" i="1"/>
  <c r="AS20" i="1"/>
  <c r="AT20" i="1" s="1"/>
  <c r="AO20" i="1"/>
  <c r="AM20" i="1" s="1"/>
  <c r="AB20" i="1"/>
  <c r="AA20" i="1"/>
  <c r="Z20" i="1" s="1"/>
  <c r="S20" i="1"/>
  <c r="BY19" i="1"/>
  <c r="BX19" i="1"/>
  <c r="BV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/>
  <c r="L19" i="1" s="1"/>
  <c r="AB19" i="1"/>
  <c r="Z19" i="1" s="1"/>
  <c r="AA19" i="1"/>
  <c r="S19" i="1"/>
  <c r="BY18" i="1"/>
  <c r="BX18" i="1"/>
  <c r="BW18" i="1" s="1"/>
  <c r="V18" i="1" s="1"/>
  <c r="W18" i="1" s="1"/>
  <c r="X18" i="1" s="1"/>
  <c r="BV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M18" i="1" s="1"/>
  <c r="AB18" i="1"/>
  <c r="Z18" i="1" s="1"/>
  <c r="AA18" i="1"/>
  <c r="S18" i="1"/>
  <c r="L18" i="1"/>
  <c r="AD18" i="1" s="1"/>
  <c r="BY17" i="1"/>
  <c r="BX17" i="1"/>
  <c r="BV17" i="1"/>
  <c r="BM17" i="1"/>
  <c r="BL17" i="1"/>
  <c r="BK17" i="1"/>
  <c r="BJ17" i="1"/>
  <c r="BI17" i="1"/>
  <c r="BF17" i="1"/>
  <c r="BD17" i="1"/>
  <c r="AY17" i="1"/>
  <c r="AS17" i="1"/>
  <c r="AT17" i="1" s="1"/>
  <c r="AO17" i="1"/>
  <c r="AM17" i="1" s="1"/>
  <c r="AN17" i="1" s="1"/>
  <c r="AB17" i="1"/>
  <c r="AA17" i="1"/>
  <c r="S17" i="1"/>
  <c r="L22" i="1" l="1"/>
  <c r="M22" i="1"/>
  <c r="N22" i="1" s="1"/>
  <c r="V23" i="1"/>
  <c r="BW24" i="1"/>
  <c r="V24" i="1" s="1"/>
  <c r="BW27" i="1"/>
  <c r="Z28" i="1"/>
  <c r="BW28" i="1"/>
  <c r="Z17" i="1"/>
  <c r="BW17" i="1"/>
  <c r="V17" i="1" s="1"/>
  <c r="M19" i="1"/>
  <c r="BW20" i="1"/>
  <c r="BA20" i="1" s="1"/>
  <c r="BC20" i="1" s="1"/>
  <c r="Z21" i="1"/>
  <c r="BW19" i="1"/>
  <c r="BW21" i="1"/>
  <c r="BA25" i="1"/>
  <c r="M26" i="1"/>
  <c r="N26" i="1" s="1"/>
  <c r="BA17" i="1"/>
  <c r="Y18" i="1"/>
  <c r="AC18" i="1" s="1"/>
  <c r="AF18" i="1"/>
  <c r="BB18" i="1"/>
  <c r="Q18" i="1"/>
  <c r="AD19" i="1"/>
  <c r="N21" i="1"/>
  <c r="Q21" i="1"/>
  <c r="M21" i="1"/>
  <c r="BB21" i="1" s="1"/>
  <c r="L21" i="1"/>
  <c r="Q23" i="1"/>
  <c r="M23" i="1"/>
  <c r="L23" i="1"/>
  <c r="AN23" i="1"/>
  <c r="AN25" i="1"/>
  <c r="M25" i="1"/>
  <c r="BB25" i="1" s="1"/>
  <c r="M27" i="1"/>
  <c r="Q27" i="1" s="1"/>
  <c r="L27" i="1"/>
  <c r="AN27" i="1"/>
  <c r="V28" i="1"/>
  <c r="BA28" i="1"/>
  <c r="BC28" i="1" s="1"/>
  <c r="BA19" i="1"/>
  <c r="BC19" i="1" s="1"/>
  <c r="V19" i="1"/>
  <c r="L17" i="1"/>
  <c r="AE18" i="1"/>
  <c r="AG18" i="1" s="1"/>
  <c r="M17" i="1"/>
  <c r="BB17" i="1" s="1"/>
  <c r="BE17" i="1" s="1"/>
  <c r="BC17" i="1"/>
  <c r="T18" i="1"/>
  <c r="R18" i="1" s="1"/>
  <c r="U18" i="1" s="1"/>
  <c r="BA18" i="1"/>
  <c r="BC18" i="1" s="1"/>
  <c r="V20" i="1"/>
  <c r="Q22" i="1"/>
  <c r="Z25" i="1"/>
  <c r="W25" i="1"/>
  <c r="X25" i="1" s="1"/>
  <c r="AE25" i="1" s="1"/>
  <c r="Q26" i="1"/>
  <c r="BW26" i="1"/>
  <c r="W23" i="1"/>
  <c r="X23" i="1" s="1"/>
  <c r="AE23" i="1" s="1"/>
  <c r="N17" i="1"/>
  <c r="AN18" i="1"/>
  <c r="N18" i="1"/>
  <c r="M20" i="1"/>
  <c r="L20" i="1"/>
  <c r="AN20" i="1"/>
  <c r="BC21" i="1"/>
  <c r="V21" i="1"/>
  <c r="BA21" i="1"/>
  <c r="AD22" i="1"/>
  <c r="BB22" i="1"/>
  <c r="BA22" i="1"/>
  <c r="BC22" i="1" s="1"/>
  <c r="V22" i="1"/>
  <c r="M24" i="1"/>
  <c r="BB24" i="1" s="1"/>
  <c r="L24" i="1"/>
  <c r="BC25" i="1"/>
  <c r="AD26" i="1"/>
  <c r="BB26" i="1"/>
  <c r="M28" i="1"/>
  <c r="BB28" i="1" s="1"/>
  <c r="BE28" i="1" s="1"/>
  <c r="L28" i="1"/>
  <c r="AN19" i="1"/>
  <c r="AN22" i="1"/>
  <c r="AN26" i="1"/>
  <c r="Q24" i="1" l="1"/>
  <c r="BA24" i="1"/>
  <c r="BC24" i="1" s="1"/>
  <c r="Q17" i="1"/>
  <c r="BE24" i="1"/>
  <c r="BE25" i="1"/>
  <c r="N19" i="1"/>
  <c r="BB19" i="1"/>
  <c r="Q19" i="1"/>
  <c r="BA27" i="1"/>
  <c r="BC27" i="1" s="1"/>
  <c r="V27" i="1"/>
  <c r="W27" i="1" s="1"/>
  <c r="X27" i="1" s="1"/>
  <c r="AE27" i="1" s="1"/>
  <c r="Q28" i="1"/>
  <c r="N24" i="1"/>
  <c r="BE22" i="1"/>
  <c r="AD20" i="1"/>
  <c r="Y23" i="1"/>
  <c r="AC23" i="1" s="1"/>
  <c r="AF23" i="1"/>
  <c r="AD21" i="1"/>
  <c r="BE18" i="1"/>
  <c r="W19" i="1"/>
  <c r="X19" i="1" s="1"/>
  <c r="N28" i="1"/>
  <c r="AD24" i="1"/>
  <c r="W21" i="1"/>
  <c r="X21" i="1" s="1"/>
  <c r="BB20" i="1"/>
  <c r="BE20" i="1" s="1"/>
  <c r="N20" i="1"/>
  <c r="W24" i="1"/>
  <c r="X24" i="1" s="1"/>
  <c r="T24" i="1" s="1"/>
  <c r="R24" i="1" s="1"/>
  <c r="U24" i="1" s="1"/>
  <c r="O24" i="1" s="1"/>
  <c r="P24" i="1" s="1"/>
  <c r="O18" i="1"/>
  <c r="P18" i="1" s="1"/>
  <c r="AD27" i="1"/>
  <c r="Q25" i="1"/>
  <c r="T23" i="1"/>
  <c r="R23" i="1" s="1"/>
  <c r="U23" i="1" s="1"/>
  <c r="AD23" i="1"/>
  <c r="BE21" i="1"/>
  <c r="BE19" i="1"/>
  <c r="W17" i="1"/>
  <c r="X17" i="1" s="1"/>
  <c r="T17" i="1" s="1"/>
  <c r="R17" i="1" s="1"/>
  <c r="U17" i="1" s="1"/>
  <c r="O17" i="1" s="1"/>
  <c r="P17" i="1" s="1"/>
  <c r="BA26" i="1"/>
  <c r="BC26" i="1" s="1"/>
  <c r="V26" i="1"/>
  <c r="AD28" i="1"/>
  <c r="W22" i="1"/>
  <c r="X22" i="1" s="1"/>
  <c r="Q20" i="1"/>
  <c r="AF27" i="1"/>
  <c r="AG27" i="1" s="1"/>
  <c r="Y25" i="1"/>
  <c r="AC25" i="1" s="1"/>
  <c r="AF25" i="1"/>
  <c r="AG25" i="1" s="1"/>
  <c r="T25" i="1"/>
  <c r="R25" i="1" s="1"/>
  <c r="U25" i="1" s="1"/>
  <c r="O25" i="1" s="1"/>
  <c r="P25" i="1" s="1"/>
  <c r="W20" i="1"/>
  <c r="X20" i="1" s="1"/>
  <c r="T20" i="1" s="1"/>
  <c r="R20" i="1" s="1"/>
  <c r="U20" i="1" s="1"/>
  <c r="O20" i="1" s="1"/>
  <c r="P20" i="1" s="1"/>
  <c r="AD17" i="1"/>
  <c r="W28" i="1"/>
  <c r="X28" i="1" s="1"/>
  <c r="T28" i="1" s="1"/>
  <c r="R28" i="1" s="1"/>
  <c r="U28" i="1" s="1"/>
  <c r="O28" i="1" s="1"/>
  <c r="P28" i="1" s="1"/>
  <c r="BB27" i="1"/>
  <c r="BE27" i="1" s="1"/>
  <c r="N27" i="1"/>
  <c r="N25" i="1"/>
  <c r="BB23" i="1"/>
  <c r="BE23" i="1" s="1"/>
  <c r="N23" i="1"/>
  <c r="Y27" i="1" l="1"/>
  <c r="AC27" i="1" s="1"/>
  <c r="T27" i="1"/>
  <c r="R27" i="1" s="1"/>
  <c r="U27" i="1" s="1"/>
  <c r="O27" i="1" s="1"/>
  <c r="P27" i="1" s="1"/>
  <c r="AF22" i="1"/>
  <c r="Y22" i="1"/>
  <c r="AC22" i="1" s="1"/>
  <c r="T22" i="1"/>
  <c r="R22" i="1" s="1"/>
  <c r="U22" i="1" s="1"/>
  <c r="O22" i="1" s="1"/>
  <c r="P22" i="1" s="1"/>
  <c r="AE22" i="1"/>
  <c r="BE26" i="1"/>
  <c r="AF19" i="1"/>
  <c r="AG19" i="1" s="1"/>
  <c r="Y19" i="1"/>
  <c r="AC19" i="1" s="1"/>
  <c r="T19" i="1"/>
  <c r="R19" i="1" s="1"/>
  <c r="U19" i="1" s="1"/>
  <c r="O19" i="1" s="1"/>
  <c r="P19" i="1" s="1"/>
  <c r="AE19" i="1"/>
  <c r="AG23" i="1"/>
  <c r="Y28" i="1"/>
  <c r="AC28" i="1" s="1"/>
  <c r="AF28" i="1"/>
  <c r="AG28" i="1" s="1"/>
  <c r="AE28" i="1"/>
  <c r="Y20" i="1"/>
  <c r="AC20" i="1" s="1"/>
  <c r="AF20" i="1"/>
  <c r="AE20" i="1"/>
  <c r="W26" i="1"/>
  <c r="X26" i="1" s="1"/>
  <c r="AF17" i="1"/>
  <c r="Y17" i="1"/>
  <c r="AC17" i="1" s="1"/>
  <c r="AE17" i="1"/>
  <c r="O23" i="1"/>
  <c r="P23" i="1" s="1"/>
  <c r="Y24" i="1"/>
  <c r="AC24" i="1" s="1"/>
  <c r="AF24" i="1"/>
  <c r="AE24" i="1"/>
  <c r="Y21" i="1"/>
  <c r="AC21" i="1" s="1"/>
  <c r="AF21" i="1"/>
  <c r="AE21" i="1"/>
  <c r="T21" i="1"/>
  <c r="R21" i="1" s="1"/>
  <c r="U21" i="1" s="1"/>
  <c r="O21" i="1" s="1"/>
  <c r="P21" i="1" s="1"/>
  <c r="AG21" i="1" l="1"/>
  <c r="AG20" i="1"/>
  <c r="AF26" i="1"/>
  <c r="Y26" i="1"/>
  <c r="AC26" i="1" s="1"/>
  <c r="AE26" i="1"/>
  <c r="T26" i="1"/>
  <c r="R26" i="1" s="1"/>
  <c r="U26" i="1" s="1"/>
  <c r="O26" i="1" s="1"/>
  <c r="P26" i="1" s="1"/>
  <c r="AG24" i="1"/>
  <c r="AG17" i="1"/>
  <c r="AG22" i="1"/>
  <c r="AG26" i="1" l="1"/>
</calcChain>
</file>

<file path=xl/sharedStrings.xml><?xml version="1.0" encoding="utf-8"?>
<sst xmlns="http://schemas.openxmlformats.org/spreadsheetml/2006/main" count="803" uniqueCount="356">
  <si>
    <t>File opened</t>
  </si>
  <si>
    <t>2019-07-28 13:49:11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</si>
  <si>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</si>
  <si>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</si>
  <si>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</si>
  <si>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</si>
  <si>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</si>
  <si>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</si>
  <si>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</si>
  <si>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</si>
  <si>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</si>
  <si>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</si>
  <si>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</si>
  <si>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{"co2bspan1": "0.992131", "h2obspan2a": "0.0975941", "h2oaspan1": "1.00223", "co2aspan1": "0.992625", "h2oaspanconc2": "0", "h2oaspan2b": "0.0662632", "tbzero": "0.197721", "h2oaspan2": "0", "chamberpressurezero": "2.57337", "co2bspanconc1": "1002", "co2azero": "0.869071", "flowmeterzero": "0.991801", "tazero": "0.00774765", "co2aspanconc1": "1002", "h2obzero": "1.01783", "oxygen": "21", "h2oazero": "1.00263", "h2obspanconc2": "0", "h2obspan2b": "0.0963575", "co2bspan2": "0", "co2aspan2": "0", "h2oaspan2a": "0.0661155", "co2aspanconc2": "0", "flowbzero": "0.20796", "co2bspan2b": "0.162103", "co2aspan2a": "0.164928", "h2obspan2": "0", "h2obspanconc1": "20", "co2bspan2a": "0.163389", "ssb_ref": "36526.8", "h2obspan1": "0.998578", "co2bzero": "0.880288", "co2aspan2b": "0.163711", "flowazero": "0.4286", "h2oaspanconc1": "12.19", "co2bspanconc2": "0", "ssa_ref": "36614.9"}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</si>
  <si>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</si>
  <si>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</si>
  <si>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</si>
  <si>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</si>
  <si>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</si>
  <si>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</si>
  <si>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</si>
  <si>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</si>
  <si>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</si>
  <si>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13:49:11</t>
  </si>
  <si>
    <t>Stability Definition:	CO2_s (Meas): Slp&lt;2.5	A (GasEx): Slp&lt;0.3 Std&lt;0.5	gsw (GasEx): Slp&lt;1 Std&lt;1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</si>
  <si>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</si>
  <si>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</si>
  <si>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</si>
  <si>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</si>
  <si>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</si>
  <si>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</si>
  <si>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</si>
  <si>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</si>
  <si>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</si>
  <si>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</si>
  <si>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</si>
  <si>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</si>
  <si>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</si>
  <si>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</si>
  <si>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</si>
  <si>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</si>
  <si>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</si>
  <si>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</si>
  <si>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</si>
  <si>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</si>
  <si>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</si>
  <si>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</si>
  <si>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</si>
  <si>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</si>
  <si>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</si>
  <si>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</si>
  <si>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</si>
  <si>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</si>
  <si>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</si>
  <si>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</si>
  <si>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</si>
  <si>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</si>
  <si>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</si>
  <si>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</si>
  <si>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</si>
  <si>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</si>
  <si>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</si>
  <si>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</si>
  <si>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</si>
  <si>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</si>
  <si>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</si>
  <si>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</si>
  <si>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</si>
  <si>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</si>
  <si>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</si>
  <si>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</si>
  <si>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</si>
  <si>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</si>
  <si>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-0.487199 72.7212 382.101 616.812 844.974 1052.93 1229.78 1413.24</t>
  </si>
  <si>
    <t>Fs_true</t>
  </si>
  <si>
    <t>-0.150589 99.3698 402.583 601.269 799.997 1000.16 1200.73 1401.5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</si>
  <si>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</si>
  <si>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</si>
  <si>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</si>
  <si>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</si>
  <si>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</si>
  <si>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</si>
  <si>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</si>
  <si>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</si>
  <si>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</si>
  <si>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</si>
  <si>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</si>
  <si>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</si>
  <si>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</si>
  <si>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</si>
  <si>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</si>
  <si>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</si>
  <si>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</si>
  <si>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</si>
  <si>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</si>
  <si>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</si>
  <si>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</si>
  <si>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</si>
  <si>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</si>
  <si>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</si>
  <si>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</si>
  <si>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</si>
  <si>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</si>
  <si>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</si>
  <si>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</si>
  <si>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</si>
  <si>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</si>
  <si>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</si>
  <si>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</si>
  <si>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</si>
  <si>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</si>
  <si>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</si>
  <si>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</si>
  <si>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</si>
  <si>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</si>
  <si>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</si>
  <si>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</si>
  <si>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</si>
  <si>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</si>
  <si>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</si>
  <si>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</si>
  <si>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</si>
  <si>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</si>
  <si>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</si>
  <si>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</si>
  <si>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</si>
  <si>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</si>
  <si>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</si>
  <si>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</si>
  <si>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</si>
  <si>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</si>
  <si>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</si>
  <si>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</si>
  <si>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</si>
  <si>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</si>
  <si>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</si>
  <si>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</si>
  <si>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</si>
  <si>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</si>
  <si>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</si>
  <si>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</si>
  <si>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</si>
  <si>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</si>
  <si>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</si>
  <si>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</si>
  <si>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</si>
  <si>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</si>
  <si>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</si>
  <si>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</si>
  <si>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</si>
  <si>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</si>
  <si>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</si>
  <si>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</si>
  <si>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</si>
  <si>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</si>
  <si>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</si>
  <si>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</si>
  <si>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</si>
  <si>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</si>
  <si>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</si>
  <si>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</si>
  <si>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</si>
  <si>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</si>
  <si>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</si>
  <si>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</si>
  <si>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</si>
  <si>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</si>
  <si>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</si>
  <si>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</si>
  <si>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</si>
  <si>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</si>
  <si>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</si>
  <si>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</si>
  <si>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</si>
  <si>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</si>
  <si>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</si>
  <si>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</si>
  <si>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</si>
  <si>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</si>
  <si>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</si>
  <si>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</si>
  <si>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</si>
  <si>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</si>
  <si>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</si>
  <si>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</si>
  <si>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</si>
  <si>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</si>
  <si>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</si>
  <si>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</si>
  <si>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</si>
  <si>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</si>
  <si>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</si>
  <si>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</si>
  <si>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</si>
  <si>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</si>
  <si>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</si>
  <si>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</si>
  <si>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</si>
  <si>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</si>
  <si>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</si>
  <si>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</si>
  <si>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</si>
  <si>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</si>
  <si>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</si>
  <si>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</si>
  <si>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</si>
  <si>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</si>
  <si>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</si>
  <si>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</si>
  <si>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</si>
  <si>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</si>
  <si>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</si>
  <si>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</si>
  <si>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</si>
  <si>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</si>
  <si>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</si>
  <si>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</si>
  <si>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</si>
  <si>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</si>
  <si>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</si>
  <si>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</si>
  <si>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</si>
  <si>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</si>
  <si>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</si>
  <si>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</si>
  <si>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</si>
  <si>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</si>
  <si>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</si>
  <si>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</si>
  <si>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</si>
  <si>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</si>
  <si>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</si>
  <si>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</si>
  <si>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</si>
  <si>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</si>
  <si>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</si>
  <si>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</si>
  <si>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</si>
  <si>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</si>
  <si>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</si>
  <si>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</si>
  <si>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</si>
  <si>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</si>
  <si>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</si>
  <si>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</si>
  <si>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</si>
  <si>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</si>
  <si>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</si>
  <si>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</si>
  <si>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</si>
  <si>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</si>
  <si>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</si>
  <si>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</si>
  <si>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</si>
  <si>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</si>
  <si>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</si>
  <si>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</si>
  <si>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</si>
  <si>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</si>
  <si>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</si>
  <si>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</si>
  <si>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</si>
  <si>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</si>
  <si>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</si>
  <si>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</si>
  <si>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</si>
  <si>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</si>
  <si>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</si>
  <si>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</si>
  <si>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</si>
  <si>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</si>
  <si>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</si>
  <si>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</si>
  <si>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</si>
  <si>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</si>
  <si>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</si>
  <si>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</si>
  <si>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</si>
  <si>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</si>
  <si>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</si>
  <si>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</si>
  <si>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</si>
  <si>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</si>
  <si>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</si>
  <si>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</si>
  <si>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</si>
  <si>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20190728 14:10:40</t>
  </si>
  <si>
    <t>14:10:40</t>
  </si>
  <si>
    <t>1</t>
  </si>
  <si>
    <t>G2</t>
  </si>
  <si>
    <t>RECT-85-20190728-05_32_22</t>
  </si>
  <si>
    <t>MPF-276-20190728-14_10_41</t>
  </si>
  <si>
    <t>DARK-277-20190728-14_10_49</t>
  </si>
  <si>
    <t>14:09:30</t>
  </si>
  <si>
    <t>3/3</t>
  </si>
  <si>
    <t>5</t>
  </si>
  <si>
    <t>11111111</t>
  </si>
  <si>
    <t>oooooooo</t>
  </si>
  <si>
    <t>off</t>
  </si>
  <si>
    <t>20190728 14:12:41</t>
  </si>
  <si>
    <t>14:12:41</t>
  </si>
  <si>
    <t>MPF-278-20190728-14_12_43</t>
  </si>
  <si>
    <t>DARK-279-20190728-14_12_50</t>
  </si>
  <si>
    <t>14:11:54</t>
  </si>
  <si>
    <t>20190728 14:14:41</t>
  </si>
  <si>
    <t>14:14:41</t>
  </si>
  <si>
    <t>MPF-280-20190728-14_14_43</t>
  </si>
  <si>
    <t>DARK-281-20190728-14_14_50</t>
  </si>
  <si>
    <t>14:13:53</t>
  </si>
  <si>
    <t>20190728 14:16:57</t>
  </si>
  <si>
    <t>14:16:57</t>
  </si>
  <si>
    <t>MPF-282-20190728-14_16_59</t>
  </si>
  <si>
    <t>DARK-283-20190728-14_17_06</t>
  </si>
  <si>
    <t>14:16:10</t>
  </si>
  <si>
    <t>20190728 14:19:05</t>
  </si>
  <si>
    <t>14:19:05</t>
  </si>
  <si>
    <t>MPF-284-20190728-14_19_06</t>
  </si>
  <si>
    <t>DARK-285-20190728-14_19_14</t>
  </si>
  <si>
    <t>14:18:19</t>
  </si>
  <si>
    <t>1/3</t>
  </si>
  <si>
    <t>20190728 14:23:27</t>
  </si>
  <si>
    <t>14:23:27</t>
  </si>
  <si>
    <t>MPF-288-20190728-14_23_29</t>
  </si>
  <si>
    <t>DARK-289-20190728-14_23_36</t>
  </si>
  <si>
    <t>14:22:40</t>
  </si>
  <si>
    <t>20190728 14:25:48</t>
  </si>
  <si>
    <t>14:25:48</t>
  </si>
  <si>
    <t>MPF-290-20190728-14_25_49</t>
  </si>
  <si>
    <t>DARK-291-20190728-14_25_57</t>
  </si>
  <si>
    <t>14:26:25</t>
  </si>
  <si>
    <t>2/3</t>
  </si>
  <si>
    <t>20190728 14:28:47</t>
  </si>
  <si>
    <t>14:28:47</t>
  </si>
  <si>
    <t>MPF-292-20190728-14_28_48</t>
  </si>
  <si>
    <t>DARK-293-20190728-14_28_56</t>
  </si>
  <si>
    <t>14:27:38</t>
  </si>
  <si>
    <t>20190728 14:31:07</t>
  </si>
  <si>
    <t>14:31:07</t>
  </si>
  <si>
    <t>MPF-294-20190728-14_31_09</t>
  </si>
  <si>
    <t>DARK-295-20190728-14_31_16</t>
  </si>
  <si>
    <t>14:31:41</t>
  </si>
  <si>
    <t>20190728 14:34:03</t>
  </si>
  <si>
    <t>14:34:03</t>
  </si>
  <si>
    <t>MPF-296-20190728-14_34_04</t>
  </si>
  <si>
    <t>DARK-297-20190728-14_34_12</t>
  </si>
  <si>
    <t>14:33:17</t>
  </si>
  <si>
    <t>20190728 14:36:23</t>
  </si>
  <si>
    <t>14:36:23</t>
  </si>
  <si>
    <t>MPF-298-20190728-14_36_25</t>
  </si>
  <si>
    <t>DARK-299-20190728-14_36_32</t>
  </si>
  <si>
    <t>14:35:07</t>
  </si>
  <si>
    <t>20190728 14:38:44</t>
  </si>
  <si>
    <t>14:38:44</t>
  </si>
  <si>
    <t>MPF-300-20190728-14_38_45</t>
  </si>
  <si>
    <t>DARK-301-20190728-14_38_53</t>
  </si>
  <si>
    <t>14:37:31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</si>
</sst>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T28"/>
  <sheetViews>
    <sheetView tabSelected="1" topLeftCell="A13" workbookViewId="0">
      <selection activeCell="A22" sqref="A22:XFD22"/>
    </sheetView>
  </sheetViews>
  <sheetFormatPr defaultRowHeight="14.5" x14ac:dyDescent="0.35"/>
  <sheetData>
    <row r="2" spans="1:176" x14ac:dyDescent="0.35">
      <c r="A2" t="s">
        <v>25</v>
      </c>
      <c r="B2" t="s">
        <v>26</v>
      </c>
      <c r="C2" t="s">
        <v>28</v>
      </c>
      <c r="D2" t="s">
        <v>30</v>
      </c>
    </row>
    <row r="3" spans="1:176" x14ac:dyDescent="0.35">
      <c r="B3" t="s">
        <v>27</v>
      </c>
      <c r="C3" t="s">
        <v>29</v>
      </c>
      <c r="D3" t="s">
        <v>15</v>
      </c>
    </row>
    <row r="4" spans="1:176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76" x14ac:dyDescent="0.35">
      <c r="B5">
        <v>6</v>
      </c>
      <c r="C5">
        <v>0.5</v>
      </c>
      <c r="D5" t="s">
        <v>35</v>
      </c>
      <c r="E5">
        <v>2</v>
      </c>
    </row>
    <row r="6" spans="1:176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76" x14ac:dyDescent="0.35">
      <c r="B7">
        <v>0</v>
      </c>
      <c r="C7">
        <v>1</v>
      </c>
      <c r="D7">
        <v>0</v>
      </c>
      <c r="E7">
        <v>0</v>
      </c>
    </row>
    <row r="8" spans="1:176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76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6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76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76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76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76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82</v>
      </c>
      <c r="BS14" t="s">
        <v>82</v>
      </c>
      <c r="BT14" t="s">
        <v>82</v>
      </c>
      <c r="BU14" t="s">
        <v>82</v>
      </c>
      <c r="BV14" t="s">
        <v>83</v>
      </c>
      <c r="BW14" t="s">
        <v>83</v>
      </c>
      <c r="BX14" t="s">
        <v>83</v>
      </c>
      <c r="BY14" t="s">
        <v>83</v>
      </c>
      <c r="BZ14" t="s">
        <v>84</v>
      </c>
      <c r="CA14" t="s">
        <v>84</v>
      </c>
      <c r="CB14" t="s">
        <v>84</v>
      </c>
      <c r="CC14" t="s">
        <v>84</v>
      </c>
      <c r="CD14" t="s">
        <v>84</v>
      </c>
      <c r="CE14" t="s">
        <v>84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85</v>
      </c>
      <c r="CO14" t="s">
        <v>85</v>
      </c>
      <c r="CP14" t="s">
        <v>85</v>
      </c>
      <c r="CQ14" t="s">
        <v>85</v>
      </c>
      <c r="CR14" t="s">
        <v>85</v>
      </c>
      <c r="CS14" t="s">
        <v>85</v>
      </c>
      <c r="CT14" t="s">
        <v>85</v>
      </c>
      <c r="CU14" t="s">
        <v>85</v>
      </c>
      <c r="CV14" t="s">
        <v>85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85</v>
      </c>
      <c r="DC14" t="s">
        <v>85</v>
      </c>
      <c r="DD14" t="s">
        <v>85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87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88</v>
      </c>
      <c r="DT14" t="s">
        <v>88</v>
      </c>
      <c r="DU14" t="s">
        <v>88</v>
      </c>
      <c r="DV14" t="s">
        <v>88</v>
      </c>
      <c r="DW14" t="s">
        <v>88</v>
      </c>
      <c r="DX14" t="s">
        <v>88</v>
      </c>
      <c r="DY14" t="s">
        <v>88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89</v>
      </c>
      <c r="EI14" t="s">
        <v>89</v>
      </c>
      <c r="EJ14" t="s">
        <v>89</v>
      </c>
      <c r="EK14" t="s">
        <v>89</v>
      </c>
      <c r="EL14" t="s">
        <v>89</v>
      </c>
      <c r="EM14" t="s">
        <v>89</v>
      </c>
      <c r="EN14" t="s">
        <v>89</v>
      </c>
      <c r="EO14" t="s">
        <v>89</v>
      </c>
      <c r="EP14" t="s">
        <v>89</v>
      </c>
      <c r="EQ14" t="s">
        <v>89</v>
      </c>
      <c r="ER14" t="s">
        <v>89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90</v>
      </c>
      <c r="FB14" t="s">
        <v>90</v>
      </c>
      <c r="FC14" t="s">
        <v>90</v>
      </c>
      <c r="FD14" t="s">
        <v>90</v>
      </c>
      <c r="FE14" t="s">
        <v>90</v>
      </c>
      <c r="FF14" t="s">
        <v>90</v>
      </c>
      <c r="FG14" t="s">
        <v>90</v>
      </c>
      <c r="FH14" t="s">
        <v>90</v>
      </c>
      <c r="FI14" t="s">
        <v>90</v>
      </c>
      <c r="FJ14" t="s">
        <v>90</v>
      </c>
      <c r="FK14" t="s">
        <v>90</v>
      </c>
      <c r="FL14" t="s">
        <v>90</v>
      </c>
      <c r="FM14" t="s">
        <v>90</v>
      </c>
      <c r="FN14" t="s">
        <v>90</v>
      </c>
      <c r="FO14" t="s">
        <v>90</v>
      </c>
      <c r="FP14" t="s">
        <v>90</v>
      </c>
      <c r="FQ14" t="s">
        <v>90</v>
      </c>
      <c r="FR14" t="s">
        <v>90</v>
      </c>
      <c r="FS14" t="s">
        <v>90</v>
      </c>
      <c r="FT14" t="s">
        <v>90</v>
      </c>
    </row>
    <row r="15" spans="1:176" x14ac:dyDescent="0.35">
      <c r="A15" t="s">
        <v>91</v>
      </c>
      <c r="B15" t="s">
        <v>92</v>
      </c>
      <c r="C15" t="s">
        <v>93</v>
      </c>
      <c r="D15" t="s">
        <v>94</v>
      </c>
      <c r="E15" t="s">
        <v>95</v>
      </c>
      <c r="F15" t="s">
        <v>96</v>
      </c>
      <c r="G15" t="s">
        <v>97</v>
      </c>
      <c r="H15" t="s">
        <v>98</v>
      </c>
      <c r="I15" t="s">
        <v>99</v>
      </c>
      <c r="J15" t="s">
        <v>100</v>
      </c>
      <c r="K15" t="s">
        <v>101</v>
      </c>
      <c r="L15" t="s">
        <v>102</v>
      </c>
      <c r="M15" t="s">
        <v>103</v>
      </c>
      <c r="N15" t="s">
        <v>104</v>
      </c>
      <c r="O15" t="s">
        <v>105</v>
      </c>
      <c r="P15" t="s">
        <v>106</v>
      </c>
      <c r="Q15" t="s">
        <v>107</v>
      </c>
      <c r="R15" t="s">
        <v>108</v>
      </c>
      <c r="S15" t="s">
        <v>109</v>
      </c>
      <c r="T15" t="s">
        <v>110</v>
      </c>
      <c r="U15" t="s">
        <v>111</v>
      </c>
      <c r="V15" t="s">
        <v>112</v>
      </c>
      <c r="W15" t="s">
        <v>113</v>
      </c>
      <c r="X15" t="s">
        <v>114</v>
      </c>
      <c r="Y15" t="s">
        <v>115</v>
      </c>
      <c r="Z15" t="s">
        <v>116</v>
      </c>
      <c r="AA15" t="s">
        <v>117</v>
      </c>
      <c r="AB15" t="s">
        <v>118</v>
      </c>
      <c r="AC15" t="s">
        <v>119</v>
      </c>
      <c r="AD15" t="s">
        <v>120</v>
      </c>
      <c r="AE15" t="s">
        <v>121</v>
      </c>
      <c r="AF15" t="s">
        <v>122</v>
      </c>
      <c r="AG15" t="s">
        <v>123</v>
      </c>
      <c r="AH15" t="s">
        <v>124</v>
      </c>
      <c r="AI15" t="s">
        <v>125</v>
      </c>
      <c r="AJ15" t="s">
        <v>126</v>
      </c>
      <c r="AK15" t="s">
        <v>80</v>
      </c>
      <c r="AL15" t="s">
        <v>127</v>
      </c>
      <c r="AM15" t="s">
        <v>128</v>
      </c>
      <c r="AN15" t="s">
        <v>129</v>
      </c>
      <c r="AO15" t="s">
        <v>130</v>
      </c>
      <c r="AP15" t="s">
        <v>131</v>
      </c>
      <c r="AQ15" t="s">
        <v>132</v>
      </c>
      <c r="AR15" t="s">
        <v>133</v>
      </c>
      <c r="AS15" t="s">
        <v>134</v>
      </c>
      <c r="AT15" t="s">
        <v>135</v>
      </c>
      <c r="AU15" t="s">
        <v>136</v>
      </c>
      <c r="AV15" t="s">
        <v>137</v>
      </c>
      <c r="AW15" t="s">
        <v>138</v>
      </c>
      <c r="AX15" t="s">
        <v>139</v>
      </c>
      <c r="AY15" t="s">
        <v>140</v>
      </c>
      <c r="AZ15" t="s">
        <v>141</v>
      </c>
      <c r="BA15" t="s">
        <v>142</v>
      </c>
      <c r="BB15" t="s">
        <v>143</v>
      </c>
      <c r="BC15" t="s">
        <v>144</v>
      </c>
      <c r="BD15" t="s">
        <v>145</v>
      </c>
      <c r="BE15" t="s">
        <v>146</v>
      </c>
      <c r="BF15" t="s">
        <v>147</v>
      </c>
      <c r="BG15" t="s">
        <v>148</v>
      </c>
      <c r="BH15" t="s">
        <v>149</v>
      </c>
      <c r="BI15" t="s">
        <v>150</v>
      </c>
      <c r="BJ15" t="s">
        <v>151</v>
      </c>
      <c r="BK15" t="s">
        <v>152</v>
      </c>
      <c r="BL15" t="s">
        <v>153</v>
      </c>
      <c r="BM15" t="s">
        <v>154</v>
      </c>
      <c r="BN15" t="s">
        <v>155</v>
      </c>
      <c r="BO15" t="s">
        <v>156</v>
      </c>
      <c r="BP15" t="s">
        <v>157</v>
      </c>
      <c r="BQ15" t="s">
        <v>158</v>
      </c>
      <c r="BR15" t="s">
        <v>159</v>
      </c>
      <c r="BS15" t="s">
        <v>160</v>
      </c>
      <c r="BT15" t="s">
        <v>161</v>
      </c>
      <c r="BU15" t="s">
        <v>162</v>
      </c>
      <c r="BV15" t="s">
        <v>163</v>
      </c>
      <c r="BW15" t="s">
        <v>164</v>
      </c>
      <c r="BX15" t="s">
        <v>165</v>
      </c>
      <c r="BY15" t="s">
        <v>166</v>
      </c>
      <c r="BZ15" t="s">
        <v>101</v>
      </c>
      <c r="CA15" t="s">
        <v>167</v>
      </c>
      <c r="CB15" t="s">
        <v>168</v>
      </c>
      <c r="CC15" t="s">
        <v>169</v>
      </c>
      <c r="CD15" t="s">
        <v>170</v>
      </c>
      <c r="CE15" t="s">
        <v>171</v>
      </c>
      <c r="CF15" t="s">
        <v>172</v>
      </c>
      <c r="CG15" t="s">
        <v>173</v>
      </c>
      <c r="CH15" t="s">
        <v>174</v>
      </c>
      <c r="CI15" t="s">
        <v>175</v>
      </c>
      <c r="CJ15" t="s">
        <v>176</v>
      </c>
      <c r="CK15" t="s">
        <v>177</v>
      </c>
      <c r="CL15" t="s">
        <v>178</v>
      </c>
      <c r="CM15" t="s">
        <v>179</v>
      </c>
      <c r="CN15" t="s">
        <v>180</v>
      </c>
      <c r="CO15" t="s">
        <v>181</v>
      </c>
      <c r="CP15" t="s">
        <v>182</v>
      </c>
      <c r="CQ15" t="s">
        <v>183</v>
      </c>
      <c r="CR15" t="s">
        <v>184</v>
      </c>
      <c r="CS15" t="s">
        <v>185</v>
      </c>
      <c r="CT15" t="s">
        <v>186</v>
      </c>
      <c r="CU15" t="s">
        <v>187</v>
      </c>
      <c r="CV15" t="s">
        <v>188</v>
      </c>
      <c r="CW15" t="s">
        <v>189</v>
      </c>
      <c r="CX15" t="s">
        <v>190</v>
      </c>
      <c r="CY15" t="s">
        <v>191</v>
      </c>
      <c r="CZ15" t="s">
        <v>192</v>
      </c>
      <c r="DA15" t="s">
        <v>193</v>
      </c>
      <c r="DB15" t="s">
        <v>194</v>
      </c>
      <c r="DC15" t="s">
        <v>195</v>
      </c>
      <c r="DD15" t="s">
        <v>196</v>
      </c>
      <c r="DE15" t="s">
        <v>197</v>
      </c>
      <c r="DF15" t="s">
        <v>198</v>
      </c>
      <c r="DG15" t="s">
        <v>199</v>
      </c>
      <c r="DH15" t="s">
        <v>200</v>
      </c>
      <c r="DI15" t="s">
        <v>201</v>
      </c>
      <c r="DJ15" t="s">
        <v>92</v>
      </c>
      <c r="DK15" t="s">
        <v>95</v>
      </c>
      <c r="DL15" t="s">
        <v>202</v>
      </c>
      <c r="DM15" t="s">
        <v>203</v>
      </c>
      <c r="DN15" t="s">
        <v>204</v>
      </c>
      <c r="DO15" t="s">
        <v>205</v>
      </c>
      <c r="DP15" t="s">
        <v>206</v>
      </c>
      <c r="DQ15" t="s">
        <v>207</v>
      </c>
      <c r="DR15" t="s">
        <v>208</v>
      </c>
      <c r="DS15" t="s">
        <v>209</v>
      </c>
      <c r="DT15" t="s">
        <v>210</v>
      </c>
      <c r="DU15" t="s">
        <v>211</v>
      </c>
      <c r="DV15" t="s">
        <v>212</v>
      </c>
      <c r="DW15" t="s">
        <v>213</v>
      </c>
      <c r="DX15" t="s">
        <v>214</v>
      </c>
      <c r="DY15" t="s">
        <v>215</v>
      </c>
      <c r="DZ15" t="s">
        <v>216</v>
      </c>
      <c r="EA15" t="s">
        <v>217</v>
      </c>
      <c r="EB15" t="s">
        <v>218</v>
      </c>
      <c r="EC15" t="s">
        <v>219</v>
      </c>
      <c r="ED15" t="s">
        <v>220</v>
      </c>
      <c r="EE15" t="s">
        <v>221</v>
      </c>
      <c r="EF15" t="s">
        <v>222</v>
      </c>
      <c r="EG15" t="s">
        <v>223</v>
      </c>
      <c r="EH15" t="s">
        <v>224</v>
      </c>
      <c r="EI15" t="s">
        <v>225</v>
      </c>
      <c r="EJ15" t="s">
        <v>226</v>
      </c>
      <c r="EK15" t="s">
        <v>227</v>
      </c>
      <c r="EL15" t="s">
        <v>228</v>
      </c>
      <c r="EM15" t="s">
        <v>229</v>
      </c>
      <c r="EN15" t="s">
        <v>230</v>
      </c>
      <c r="EO15" t="s">
        <v>231</v>
      </c>
      <c r="EP15" t="s">
        <v>232</v>
      </c>
      <c r="EQ15" t="s">
        <v>233</v>
      </c>
      <c r="ER15" t="s">
        <v>234</v>
      </c>
      <c r="ES15" t="s">
        <v>235</v>
      </c>
      <c r="ET15" t="s">
        <v>236</v>
      </c>
      <c r="EU15" t="s">
        <v>237</v>
      </c>
      <c r="EV15" t="s">
        <v>238</v>
      </c>
      <c r="EW15" t="s">
        <v>239</v>
      </c>
      <c r="EX15" t="s">
        <v>240</v>
      </c>
      <c r="EY15" t="s">
        <v>241</v>
      </c>
      <c r="EZ15" t="s">
        <v>242</v>
      </c>
      <c r="FA15" t="s">
        <v>243</v>
      </c>
      <c r="FB15" t="s">
        <v>244</v>
      </c>
      <c r="FC15" t="s">
        <v>245</v>
      </c>
      <c r="FD15" t="s">
        <v>246</v>
      </c>
      <c r="FE15" t="s">
        <v>247</v>
      </c>
      <c r="FF15" t="s">
        <v>248</v>
      </c>
      <c r="FG15" t="s">
        <v>249</v>
      </c>
      <c r="FH15" t="s">
        <v>250</v>
      </c>
      <c r="FI15" t="s">
        <v>251</v>
      </c>
      <c r="FJ15" t="s">
        <v>252</v>
      </c>
      <c r="FK15" t="s">
        <v>253</v>
      </c>
      <c r="FL15" t="s">
        <v>254</v>
      </c>
      <c r="FM15" t="s">
        <v>255</v>
      </c>
      <c r="FN15" t="s">
        <v>256</v>
      </c>
      <c r="FO15" t="s">
        <v>257</v>
      </c>
      <c r="FP15" t="s">
        <v>258</v>
      </c>
      <c r="FQ15" t="s">
        <v>259</v>
      </c>
      <c r="FR15" t="s">
        <v>260</v>
      </c>
      <c r="FS15" t="s">
        <v>261</v>
      </c>
      <c r="FT15" t="s">
        <v>262</v>
      </c>
    </row>
    <row r="16" spans="1:176" x14ac:dyDescent="0.35">
      <c r="B16" t="s">
        <v>263</v>
      </c>
      <c r="C16" t="s">
        <v>263</v>
      </c>
      <c r="K16" t="s">
        <v>263</v>
      </c>
      <c r="L16" t="s">
        <v>264</v>
      </c>
      <c r="M16" t="s">
        <v>265</v>
      </c>
      <c r="N16" t="s">
        <v>266</v>
      </c>
      <c r="O16" t="s">
        <v>266</v>
      </c>
      <c r="P16" t="s">
        <v>172</v>
      </c>
      <c r="Q16" t="s">
        <v>172</v>
      </c>
      <c r="R16" t="s">
        <v>264</v>
      </c>
      <c r="S16" t="s">
        <v>264</v>
      </c>
      <c r="T16" t="s">
        <v>264</v>
      </c>
      <c r="U16" t="s">
        <v>264</v>
      </c>
      <c r="V16" t="s">
        <v>267</v>
      </c>
      <c r="W16" t="s">
        <v>268</v>
      </c>
      <c r="X16" t="s">
        <v>268</v>
      </c>
      <c r="Y16" t="s">
        <v>269</v>
      </c>
      <c r="Z16" t="s">
        <v>270</v>
      </c>
      <c r="AA16" t="s">
        <v>269</v>
      </c>
      <c r="AB16" t="s">
        <v>269</v>
      </c>
      <c r="AC16" t="s">
        <v>269</v>
      </c>
      <c r="AD16" t="s">
        <v>267</v>
      </c>
      <c r="AE16" t="s">
        <v>267</v>
      </c>
      <c r="AF16" t="s">
        <v>267</v>
      </c>
      <c r="AG16" t="s">
        <v>267</v>
      </c>
      <c r="AK16" t="s">
        <v>271</v>
      </c>
      <c r="AL16" t="s">
        <v>270</v>
      </c>
      <c r="AN16" t="s">
        <v>270</v>
      </c>
      <c r="AO16" t="s">
        <v>271</v>
      </c>
      <c r="AU16" t="s">
        <v>265</v>
      </c>
      <c r="BA16" t="s">
        <v>265</v>
      </c>
      <c r="BB16" t="s">
        <v>265</v>
      </c>
      <c r="BC16" t="s">
        <v>265</v>
      </c>
      <c r="BE16" t="s">
        <v>272</v>
      </c>
      <c r="BO16" t="s">
        <v>273</v>
      </c>
      <c r="BP16" t="s">
        <v>273</v>
      </c>
      <c r="BQ16" t="s">
        <v>273</v>
      </c>
      <c r="BR16" t="s">
        <v>265</v>
      </c>
      <c r="BT16" t="s">
        <v>274</v>
      </c>
      <c r="BV16" t="s">
        <v>265</v>
      </c>
      <c r="BW16" t="s">
        <v>265</v>
      </c>
      <c r="BY16" t="s">
        <v>275</v>
      </c>
      <c r="BZ16" t="s">
        <v>263</v>
      </c>
      <c r="CA16" t="s">
        <v>266</v>
      </c>
      <c r="CB16" t="s">
        <v>266</v>
      </c>
      <c r="CC16" t="s">
        <v>276</v>
      </c>
      <c r="CD16" t="s">
        <v>276</v>
      </c>
      <c r="CE16" t="s">
        <v>271</v>
      </c>
      <c r="CF16" t="s">
        <v>269</v>
      </c>
      <c r="CG16" t="s">
        <v>269</v>
      </c>
      <c r="CH16" t="s">
        <v>268</v>
      </c>
      <c r="CI16" t="s">
        <v>268</v>
      </c>
      <c r="CJ16" t="s">
        <v>268</v>
      </c>
      <c r="CK16" t="s">
        <v>277</v>
      </c>
      <c r="CL16" t="s">
        <v>265</v>
      </c>
      <c r="CM16" t="s">
        <v>265</v>
      </c>
      <c r="CN16" t="s">
        <v>265</v>
      </c>
      <c r="CS16" t="s">
        <v>265</v>
      </c>
      <c r="CV16" t="s">
        <v>268</v>
      </c>
      <c r="CW16" t="s">
        <v>268</v>
      </c>
      <c r="CX16" t="s">
        <v>268</v>
      </c>
      <c r="CY16" t="s">
        <v>268</v>
      </c>
      <c r="CZ16" t="s">
        <v>268</v>
      </c>
      <c r="DA16" t="s">
        <v>265</v>
      </c>
      <c r="DB16" t="s">
        <v>265</v>
      </c>
      <c r="DC16" t="s">
        <v>265</v>
      </c>
      <c r="DD16" t="s">
        <v>263</v>
      </c>
      <c r="DF16" t="s">
        <v>278</v>
      </c>
      <c r="DG16" t="s">
        <v>278</v>
      </c>
      <c r="DI16" t="s">
        <v>263</v>
      </c>
      <c r="DJ16" t="s">
        <v>279</v>
      </c>
      <c r="DM16" t="s">
        <v>280</v>
      </c>
      <c r="DN16" t="s">
        <v>281</v>
      </c>
      <c r="DO16" t="s">
        <v>280</v>
      </c>
      <c r="DP16" t="s">
        <v>281</v>
      </c>
      <c r="DQ16" t="s">
        <v>270</v>
      </c>
      <c r="DR16" t="s">
        <v>270</v>
      </c>
      <c r="DS16" t="s">
        <v>265</v>
      </c>
      <c r="DT16" t="s">
        <v>282</v>
      </c>
      <c r="DU16" t="s">
        <v>265</v>
      </c>
      <c r="DW16" t="s">
        <v>266</v>
      </c>
      <c r="DX16" t="s">
        <v>283</v>
      </c>
      <c r="DY16" t="s">
        <v>266</v>
      </c>
      <c r="EA16" t="s">
        <v>264</v>
      </c>
      <c r="EB16" t="s">
        <v>284</v>
      </c>
      <c r="EC16" t="s">
        <v>264</v>
      </c>
      <c r="EH16" t="s">
        <v>285</v>
      </c>
      <c r="EI16" t="s">
        <v>285</v>
      </c>
      <c r="EJ16" t="s">
        <v>285</v>
      </c>
      <c r="EK16" t="s">
        <v>285</v>
      </c>
      <c r="EL16" t="s">
        <v>285</v>
      </c>
      <c r="EM16" t="s">
        <v>285</v>
      </c>
      <c r="EN16" t="s">
        <v>285</v>
      </c>
      <c r="EO16" t="s">
        <v>285</v>
      </c>
      <c r="EP16" t="s">
        <v>285</v>
      </c>
      <c r="EQ16" t="s">
        <v>285</v>
      </c>
      <c r="ER16" t="s">
        <v>285</v>
      </c>
      <c r="ES16" t="s">
        <v>285</v>
      </c>
      <c r="EZ16" t="s">
        <v>285</v>
      </c>
      <c r="FA16" t="s">
        <v>270</v>
      </c>
      <c r="FB16" t="s">
        <v>270</v>
      </c>
      <c r="FC16" t="s">
        <v>280</v>
      </c>
      <c r="FD16" t="s">
        <v>281</v>
      </c>
      <c r="FF16" t="s">
        <v>271</v>
      </c>
      <c r="FG16" t="s">
        <v>271</v>
      </c>
      <c r="FH16" t="s">
        <v>268</v>
      </c>
      <c r="FI16" t="s">
        <v>268</v>
      </c>
      <c r="FJ16" t="s">
        <v>268</v>
      </c>
      <c r="FK16" t="s">
        <v>268</v>
      </c>
      <c r="FL16" t="s">
        <v>268</v>
      </c>
      <c r="FM16" t="s">
        <v>270</v>
      </c>
      <c r="FN16" t="s">
        <v>270</v>
      </c>
      <c r="FO16" t="s">
        <v>270</v>
      </c>
      <c r="FP16" t="s">
        <v>268</v>
      </c>
      <c r="FQ16" t="s">
        <v>266</v>
      </c>
      <c r="FR16" t="s">
        <v>276</v>
      </c>
      <c r="FS16" t="s">
        <v>270</v>
      </c>
      <c r="FT16" t="s">
        <v>270</v>
      </c>
    </row>
    <row r="17" spans="1:176" x14ac:dyDescent="0.35">
      <c r="A17">
        <v>1</v>
      </c>
      <c r="B17">
        <v>1564341040</v>
      </c>
      <c r="C17">
        <v>0</v>
      </c>
      <c r="D17" t="s">
        <v>286</v>
      </c>
      <c r="E17" t="s">
        <v>287</v>
      </c>
      <c r="F17" t="s">
        <v>288</v>
      </c>
      <c r="G17" t="s">
        <v>289</v>
      </c>
      <c r="H17" t="s">
        <v>288</v>
      </c>
      <c r="J17" t="s">
        <v>288</v>
      </c>
      <c r="K17">
        <v>1564341032</v>
      </c>
      <c r="L17">
        <f t="shared" ref="L17:L28" si="0">CE17*AM17*(CC17-CD17)/(100*$B$5*(1000-AM17*CC17))</f>
        <v>5.3995329112961846E-3</v>
      </c>
      <c r="M17">
        <f t="shared" ref="M17:M28" si="1">CE17*AM17*(CB17-CA17*(1000-AM17*CD17)/(1000-AM17*CC17))/(100*$B$5)</f>
        <v>30.880694583501203</v>
      </c>
      <c r="N17">
        <f t="shared" ref="N17:N28" si="2">CA17 - IF(AM17&gt;1, M17*$B$5*100/(AO17*CK17), 0)</f>
        <v>360.6252875756922</v>
      </c>
      <c r="O17">
        <f t="shared" ref="O17:O28" si="3">((U17-L17/2)*N17-M17)/(U17+L17/2)</f>
        <v>178.89956672395644</v>
      </c>
      <c r="P17">
        <f t="shared" ref="P17:P28" si="4">O17*(CF17+CG17)/1000</f>
        <v>17.795093789225888</v>
      </c>
      <c r="Q17">
        <f t="shared" ref="Q17:Q28" si="5">(CA17 - IF(AM17&gt;1, M17*$B$5*100/(AO17*CK17), 0))*(CF17+CG17)/1000</f>
        <v>35.871304401077971</v>
      </c>
      <c r="R17">
        <f t="shared" ref="R17:R28" si="6">2/((1/T17-1/S17)+SIGN(T17)*SQRT((1/T17-1/S17)*(1/T17-1/S17) + 4*$C$5/(($C$5+1)*($C$5+1))*(2*1/T17*1/S17-1/S17*1/S17)))</f>
        <v>0.30284791176602199</v>
      </c>
      <c r="S17">
        <f t="shared" ref="S17:S28" si="7">AJ17+AI17*$B$5+AH17*$B$5*$B$5</f>
        <v>2.2507190613782377</v>
      </c>
      <c r="T17">
        <f t="shared" ref="T17:T28" si="8">L17*(1000-(1000*0.61365*EXP(17.502*X17/(240.97+X17))/(CF17+CG17)+CC17)/2)/(1000*0.61365*EXP(17.502*X17/(240.97+X17))/(CF17+CG17)-CC17)</f>
        <v>0.28189427272776446</v>
      </c>
      <c r="U17">
        <f t="shared" ref="U17:U28" si="9">1/(($C$5+1)/(R17/1.6)+1/(S17/1.37)) + $C$5/(($C$5+1)/(R17/1.6) + $C$5/(S17/1.37))</f>
        <v>0.17794556288215679</v>
      </c>
      <c r="V17">
        <f t="shared" ref="V17:V28" si="10">(BW17*BY17)</f>
        <v>353.34208485354196</v>
      </c>
      <c r="W17">
        <f t="shared" ref="W17:W28" si="11">(CH17+(V17+2*0.95*0.0000000567*(((CH17+$B$7)+273)^4-(CH17+273)^4)-44100*L17)/(1.84*29.3*S17+8*0.95*0.0000000567*(CH17+273)^3))</f>
        <v>25.637309193216488</v>
      </c>
      <c r="X17">
        <f t="shared" ref="X17:X28" si="12">($C$7*CI17+$D$7*CJ17+$E$7*W17)</f>
        <v>26.969783870967699</v>
      </c>
      <c r="Y17">
        <f t="shared" ref="Y17:Y28" si="13">0.61365*EXP(17.502*X17/(240.97+X17))</f>
        <v>3.5728127902335536</v>
      </c>
      <c r="Z17">
        <f t="shared" ref="Z17:Z28" si="14">(AA17/AB17*100)</f>
        <v>54.786387964680493</v>
      </c>
      <c r="AA17">
        <f t="shared" ref="AA17:AA28" si="15">CC17*(CF17+CG17)/1000</f>
        <v>1.718196689148664</v>
      </c>
      <c r="AB17">
        <f t="shared" ref="AB17:AB28" si="16">0.61365*EXP(17.502*CH17/(240.97+CH17))</f>
        <v>3.1361744275901988</v>
      </c>
      <c r="AC17">
        <f t="shared" ref="AC17:AC28" si="17">(Y17-CC17*(CF17+CG17)/1000)</f>
        <v>1.8546161010848896</v>
      </c>
      <c r="AD17">
        <f t="shared" ref="AD17:AD28" si="18">(-L17*44100)</f>
        <v>-238.11940138816175</v>
      </c>
      <c r="AE17">
        <f t="shared" ref="AE17:AE28" si="19">2*29.3*S17*0.92*(CH17-X17)</f>
        <v>-267.02875249028585</v>
      </c>
      <c r="AF17">
        <f t="shared" ref="AF17:AF28" si="20">2*0.95*0.0000000567*(((CH17+$B$7)+273)^4-(X17+273)^4)</f>
        <v>-25.316195478330442</v>
      </c>
      <c r="AG17">
        <f t="shared" ref="AG17:AG28" si="21">V17+AF17+AD17+AE17</f>
        <v>-177.12226450323607</v>
      </c>
      <c r="AH17">
        <v>-4.1203108289969002E-2</v>
      </c>
      <c r="AI17">
        <v>4.6254098646025199E-2</v>
      </c>
      <c r="AJ17">
        <v>3.4565063679409702</v>
      </c>
      <c r="AK17">
        <v>14</v>
      </c>
      <c r="AL17">
        <v>3</v>
      </c>
      <c r="AM17">
        <f t="shared" ref="AM17:AM28" si="22">IF(AK17*$H$13&gt;=AO17,1,(AO17/(AO17-AK17*$H$13)))</f>
        <v>1.0005292378174246</v>
      </c>
      <c r="AN17">
        <f t="shared" ref="AN17:AN28" si="23">(AM17-1)*100</f>
        <v>5.2923781742464371E-2</v>
      </c>
      <c r="AO17">
        <f t="shared" ref="AO17:AO28" si="24">MAX(0,($B$13+$C$13*CK17)/(1+$D$13*CK17)*CF17/(CH17+273)*$E$13)</f>
        <v>52934.272148593016</v>
      </c>
      <c r="AP17" t="s">
        <v>290</v>
      </c>
      <c r="AQ17">
        <v>413.64615384615399</v>
      </c>
      <c r="AR17">
        <v>1914.9</v>
      </c>
      <c r="AS17">
        <f t="shared" ref="AS17:AS28" si="25">AR17-AQ17</f>
        <v>1501.2538461538461</v>
      </c>
      <c r="AT17">
        <f t="shared" ref="AT17:AT28" si="26">AS17/AR17</f>
        <v>0.78398550637309838</v>
      </c>
      <c r="AU17">
        <v>-0.61508576146989002</v>
      </c>
      <c r="AV17" t="s">
        <v>291</v>
      </c>
      <c r="AW17">
        <v>830.30638461538501</v>
      </c>
      <c r="AX17">
        <v>1204.6600000000001</v>
      </c>
      <c r="AY17">
        <f t="shared" ref="AY17:AY28" si="27">1-AW17/AX17</f>
        <v>0.31075458252504029</v>
      </c>
      <c r="AZ17">
        <v>0.5</v>
      </c>
      <c r="BA17">
        <f t="shared" ref="BA17:BA28" si="28">BW17</f>
        <v>1849.191977446332</v>
      </c>
      <c r="BB17">
        <f t="shared" ref="BB17:BB28" si="29">M17</f>
        <v>30.880694583501203</v>
      </c>
      <c r="BC17">
        <f t="shared" ref="BC17:BC28" si="30">AY17*AZ17*BA17</f>
        <v>287.32244047999433</v>
      </c>
      <c r="BD17">
        <f t="shared" ref="BD17:BD28" si="31">BI17/AX17</f>
        <v>0.50973718725615524</v>
      </c>
      <c r="BE17">
        <f t="shared" ref="BE17:BE28" si="32">(BB17-AU17)/BA17</f>
        <v>1.703218526205464E-2</v>
      </c>
      <c r="BF17">
        <f t="shared" ref="BF17:BF28" si="33">(AR17-AX17)/AX17</f>
        <v>0.58957714209818535</v>
      </c>
      <c r="BG17" t="s">
        <v>292</v>
      </c>
      <c r="BH17">
        <v>590.6</v>
      </c>
      <c r="BI17">
        <f t="shared" ref="BI17:BI28" si="34">AX17-BH17</f>
        <v>614.06000000000006</v>
      </c>
      <c r="BJ17">
        <f t="shared" ref="BJ17:BJ28" si="35">(AX17-AW17)/(AX17-BH17)</f>
        <v>0.60963686835914244</v>
      </c>
      <c r="BK17">
        <f t="shared" ref="BK17:BK28" si="36">(AR17-AX17)/(AR17-BH17)</f>
        <v>0.53631352412595323</v>
      </c>
      <c r="BL17">
        <f t="shared" ref="BL17:BL28" si="37">(AX17-AW17)/(AX17-AQ17)</f>
        <v>0.4732579805079748</v>
      </c>
      <c r="BM17">
        <f t="shared" ref="BM17:BM28" si="38">(AR17-AX17)/(AR17-AQ17)</f>
        <v>0.47309787203517062</v>
      </c>
      <c r="BN17">
        <v>276</v>
      </c>
      <c r="BO17">
        <v>300</v>
      </c>
      <c r="BP17">
        <v>300</v>
      </c>
      <c r="BQ17">
        <v>300</v>
      </c>
      <c r="BR17">
        <v>8102.16</v>
      </c>
      <c r="BS17">
        <v>1076.9100000000001</v>
      </c>
      <c r="BT17">
        <v>-2.9471900000000001E-3</v>
      </c>
      <c r="BU17">
        <v>4.0903299999999998</v>
      </c>
      <c r="BV17">
        <f t="shared" ref="BV17:BV28" si="39">$B$11*CL17+$C$11*CM17+$F$11*CN17</f>
        <v>2200.0058064516102</v>
      </c>
      <c r="BW17">
        <f t="shared" ref="BW17:BW28" si="40">BV17*BX17</f>
        <v>1849.191977446332</v>
      </c>
      <c r="BX17">
        <f t="shared" ref="BX17:BX28" si="41">($B$11*$D$9+$C$11*$D$9+$F$11*((DA17+CS17)/MAX(DA17+CS17+DB17, 0.1)*$I$9+DB17/MAX(DA17+CS17+DB17, 0.1)*$J$9))/($B$11+$C$11+$F$11)</f>
        <v>0.84053958949721774</v>
      </c>
      <c r="BY17">
        <f t="shared" ref="BY17:BY28" si="42">($B$11*$K$9+$C$11*$K$9+$F$11*((DA17+CS17)/MAX(DA17+CS17+DB17, 0.1)*$P$9+DB17/MAX(DA17+CS17+DB17, 0.1)*$Q$9))/($B$11+$C$11+$F$11)</f>
        <v>0.19107917899443558</v>
      </c>
      <c r="BZ17">
        <v>1564341032</v>
      </c>
      <c r="CA17">
        <v>360.62532258064499</v>
      </c>
      <c r="CB17">
        <v>399.99625806451598</v>
      </c>
      <c r="CC17">
        <v>17.273561290322601</v>
      </c>
      <c r="CD17">
        <v>10.909948387096801</v>
      </c>
      <c r="CE17">
        <v>500.03741935483902</v>
      </c>
      <c r="CF17">
        <v>99.369735483870997</v>
      </c>
      <c r="CG17">
        <v>0.100006758064516</v>
      </c>
      <c r="CH17">
        <v>24.769132258064499</v>
      </c>
      <c r="CI17">
        <v>26.969783870967699</v>
      </c>
      <c r="CJ17">
        <v>999.9</v>
      </c>
      <c r="CK17">
        <v>9999.3522580645204</v>
      </c>
      <c r="CL17">
        <v>0</v>
      </c>
      <c r="CM17">
        <v>-244.03703225806501</v>
      </c>
      <c r="CN17">
        <v>2200.0058064516102</v>
      </c>
      <c r="CO17">
        <v>0.98199796774193504</v>
      </c>
      <c r="CP17">
        <v>1.8001790322580601E-2</v>
      </c>
      <c r="CQ17">
        <v>0</v>
      </c>
      <c r="CR17">
        <v>830.26774193548397</v>
      </c>
      <c r="CS17">
        <v>1.9999499999999999</v>
      </c>
      <c r="CT17">
        <v>18948.461290322601</v>
      </c>
      <c r="CU17">
        <v>17938.2903225806</v>
      </c>
      <c r="CV17">
        <v>47.816064516129003</v>
      </c>
      <c r="CW17">
        <v>48.620935483871001</v>
      </c>
      <c r="CX17">
        <v>48.170999999999999</v>
      </c>
      <c r="CY17">
        <v>47.745870967741901</v>
      </c>
      <c r="CZ17">
        <v>48.800064516128998</v>
      </c>
      <c r="DA17">
        <v>2158.43580645161</v>
      </c>
      <c r="DB17">
        <v>39.57</v>
      </c>
      <c r="DC17">
        <v>0</v>
      </c>
      <c r="DD17">
        <v>1354.7999999523199</v>
      </c>
      <c r="DE17">
        <v>830.30638461538501</v>
      </c>
      <c r="DF17">
        <v>-0.94570942667934499</v>
      </c>
      <c r="DG17">
        <v>-36.273504267334303</v>
      </c>
      <c r="DH17">
        <v>18948.176923076899</v>
      </c>
      <c r="DI17">
        <v>15</v>
      </c>
      <c r="DJ17">
        <v>1564340970.5</v>
      </c>
      <c r="DK17" t="s">
        <v>293</v>
      </c>
      <c r="DL17">
        <v>98</v>
      </c>
      <c r="DM17">
        <v>0.40100000000000002</v>
      </c>
      <c r="DN17">
        <v>4.2000000000000003E-2</v>
      </c>
      <c r="DO17">
        <v>400</v>
      </c>
      <c r="DP17">
        <v>10</v>
      </c>
      <c r="DQ17">
        <v>0.03</v>
      </c>
      <c r="DR17">
        <v>0.02</v>
      </c>
      <c r="DS17">
        <v>30.966778144778999</v>
      </c>
      <c r="DT17">
        <v>-0.29933098660901702</v>
      </c>
      <c r="DU17">
        <v>7.0825364655938403E-2</v>
      </c>
      <c r="DV17">
        <v>1</v>
      </c>
      <c r="DW17">
        <v>360.52602739726001</v>
      </c>
      <c r="DX17">
        <v>0.51341355053688897</v>
      </c>
      <c r="DY17">
        <v>9.1707093674438495E-2</v>
      </c>
      <c r="DZ17">
        <v>1</v>
      </c>
      <c r="EA17">
        <v>0.306397758185321</v>
      </c>
      <c r="EB17">
        <v>-1.2569281328666301E-2</v>
      </c>
      <c r="EC17">
        <v>2.6803095654019098E-3</v>
      </c>
      <c r="ED17">
        <v>1</v>
      </c>
      <c r="EE17">
        <v>3</v>
      </c>
      <c r="EF17">
        <v>3</v>
      </c>
      <c r="EG17" t="s">
        <v>294</v>
      </c>
      <c r="EH17">
        <v>1.8666100000000001</v>
      </c>
      <c r="EI17">
        <v>1.8631500000000001</v>
      </c>
      <c r="EJ17">
        <v>1.86879</v>
      </c>
      <c r="EK17">
        <v>1.8667499999999999</v>
      </c>
      <c r="EL17">
        <v>1.87134</v>
      </c>
      <c r="EM17">
        <v>1.8638600000000001</v>
      </c>
      <c r="EN17">
        <v>1.8653900000000001</v>
      </c>
      <c r="EO17">
        <v>1.8653</v>
      </c>
      <c r="EP17" t="s">
        <v>295</v>
      </c>
      <c r="EQ17" t="s">
        <v>19</v>
      </c>
      <c r="ER17" t="s">
        <v>19</v>
      </c>
      <c r="ES17" t="s">
        <v>19</v>
      </c>
      <c r="ET17" t="s">
        <v>296</v>
      </c>
      <c r="EU17" t="s">
        <v>297</v>
      </c>
      <c r="EV17" t="s">
        <v>298</v>
      </c>
      <c r="EW17" t="s">
        <v>298</v>
      </c>
      <c r="EX17" t="s">
        <v>298</v>
      </c>
      <c r="EY17" t="s">
        <v>298</v>
      </c>
      <c r="EZ17">
        <v>0</v>
      </c>
      <c r="FA17">
        <v>100</v>
      </c>
      <c r="FB17">
        <v>100</v>
      </c>
      <c r="FC17">
        <v>0.40100000000000002</v>
      </c>
      <c r="FD17">
        <v>4.2000000000000003E-2</v>
      </c>
      <c r="FE17">
        <v>2</v>
      </c>
      <c r="FF17">
        <v>480.21300000000002</v>
      </c>
      <c r="FG17">
        <v>478.34899999999999</v>
      </c>
      <c r="FH17">
        <v>19.1784</v>
      </c>
      <c r="FI17">
        <v>34.897100000000002</v>
      </c>
      <c r="FJ17">
        <v>29.998799999999999</v>
      </c>
      <c r="FK17">
        <v>34.896000000000001</v>
      </c>
      <c r="FL17">
        <v>34.871299999999998</v>
      </c>
      <c r="FM17">
        <v>22.233699999999999</v>
      </c>
      <c r="FN17">
        <v>66.918999999999997</v>
      </c>
      <c r="FO17">
        <v>0</v>
      </c>
      <c r="FP17">
        <v>19.190799999999999</v>
      </c>
      <c r="FQ17">
        <v>400</v>
      </c>
      <c r="FR17">
        <v>10.956799999999999</v>
      </c>
      <c r="FS17">
        <v>100.474</v>
      </c>
      <c r="FT17">
        <v>101.02</v>
      </c>
    </row>
    <row r="18" spans="1:176" x14ac:dyDescent="0.35">
      <c r="A18">
        <v>2</v>
      </c>
      <c r="B18">
        <v>1564341161.5</v>
      </c>
      <c r="C18">
        <v>121.5</v>
      </c>
      <c r="D18" t="s">
        <v>299</v>
      </c>
      <c r="E18" t="s">
        <v>300</v>
      </c>
      <c r="F18" t="s">
        <v>288</v>
      </c>
      <c r="G18" t="s">
        <v>289</v>
      </c>
      <c r="H18" t="s">
        <v>288</v>
      </c>
      <c r="J18" t="s">
        <v>288</v>
      </c>
      <c r="K18">
        <v>1564341153.5</v>
      </c>
      <c r="L18">
        <f t="shared" si="0"/>
        <v>5.2082745767537764E-3</v>
      </c>
      <c r="M18">
        <f t="shared" si="1"/>
        <v>22.251126244750182</v>
      </c>
      <c r="N18">
        <f t="shared" si="2"/>
        <v>271.62013609500508</v>
      </c>
      <c r="O18">
        <f t="shared" si="3"/>
        <v>136.53549387044612</v>
      </c>
      <c r="P18">
        <f t="shared" si="4"/>
        <v>13.58178228869437</v>
      </c>
      <c r="Q18">
        <f t="shared" si="5"/>
        <v>27.019242023384354</v>
      </c>
      <c r="R18">
        <f t="shared" si="6"/>
        <v>0.29316662836631774</v>
      </c>
      <c r="S18">
        <f t="shared" si="7"/>
        <v>2.2512279780199855</v>
      </c>
      <c r="T18">
        <f t="shared" si="8"/>
        <v>0.27348870185124657</v>
      </c>
      <c r="U18">
        <f t="shared" si="9"/>
        <v>0.1725882317654433</v>
      </c>
      <c r="V18">
        <f t="shared" si="10"/>
        <v>353.33755428942851</v>
      </c>
      <c r="W18">
        <f t="shared" si="11"/>
        <v>25.556105627893523</v>
      </c>
      <c r="X18">
        <f t="shared" si="12"/>
        <v>26.976987096774199</v>
      </c>
      <c r="Y18">
        <f t="shared" si="13"/>
        <v>3.5743249363367524</v>
      </c>
      <c r="Z18">
        <f t="shared" si="14"/>
        <v>55.656490909892476</v>
      </c>
      <c r="AA18">
        <f t="shared" si="15"/>
        <v>1.7304628858964342</v>
      </c>
      <c r="AB18">
        <f t="shared" si="16"/>
        <v>3.1091843154431769</v>
      </c>
      <c r="AC18">
        <f t="shared" si="17"/>
        <v>1.8438620504403183</v>
      </c>
      <c r="AD18">
        <f t="shared" si="18"/>
        <v>-229.68490883484154</v>
      </c>
      <c r="AE18">
        <f t="shared" si="19"/>
        <v>-285.51869697175908</v>
      </c>
      <c r="AF18">
        <f t="shared" si="20"/>
        <v>-27.044440851306128</v>
      </c>
      <c r="AG18">
        <f t="shared" si="21"/>
        <v>-188.91049236847826</v>
      </c>
      <c r="AH18">
        <v>-4.1216814423046401E-2</v>
      </c>
      <c r="AI18">
        <v>4.62694849811277E-2</v>
      </c>
      <c r="AJ18">
        <v>3.45741638736289</v>
      </c>
      <c r="AK18">
        <v>14</v>
      </c>
      <c r="AL18">
        <v>3</v>
      </c>
      <c r="AM18">
        <f t="shared" si="22"/>
        <v>1.0005288107864188</v>
      </c>
      <c r="AN18">
        <f t="shared" si="23"/>
        <v>5.2881078641875412E-2</v>
      </c>
      <c r="AO18">
        <f t="shared" si="24"/>
        <v>52976.995593720203</v>
      </c>
      <c r="AP18" t="s">
        <v>290</v>
      </c>
      <c r="AQ18">
        <v>413.64615384615399</v>
      </c>
      <c r="AR18">
        <v>1914.9</v>
      </c>
      <c r="AS18">
        <f t="shared" si="25"/>
        <v>1501.2538461538461</v>
      </c>
      <c r="AT18">
        <f t="shared" si="26"/>
        <v>0.78398550637309838</v>
      </c>
      <c r="AU18">
        <v>-0.61508576146989002</v>
      </c>
      <c r="AV18" t="s">
        <v>301</v>
      </c>
      <c r="AW18">
        <v>815.76961538461501</v>
      </c>
      <c r="AX18">
        <v>1126.98</v>
      </c>
      <c r="AY18">
        <f t="shared" si="27"/>
        <v>0.2761454370222941</v>
      </c>
      <c r="AZ18">
        <v>0.5</v>
      </c>
      <c r="BA18">
        <f t="shared" si="28"/>
        <v>1849.1681322850452</v>
      </c>
      <c r="BB18">
        <f t="shared" si="29"/>
        <v>22.251126244750182</v>
      </c>
      <c r="BC18">
        <f t="shared" si="30"/>
        <v>255.3196710087766</v>
      </c>
      <c r="BD18">
        <f t="shared" si="31"/>
        <v>0.47523469804255625</v>
      </c>
      <c r="BE18">
        <f t="shared" si="32"/>
        <v>1.2365674925386014E-2</v>
      </c>
      <c r="BF18">
        <f t="shared" si="33"/>
        <v>0.69914284193153386</v>
      </c>
      <c r="BG18" t="s">
        <v>302</v>
      </c>
      <c r="BH18">
        <v>591.4</v>
      </c>
      <c r="BI18">
        <f t="shared" si="34"/>
        <v>535.58000000000004</v>
      </c>
      <c r="BJ18">
        <f t="shared" si="35"/>
        <v>0.5810717065898372</v>
      </c>
      <c r="BK18">
        <f t="shared" si="36"/>
        <v>0.59533056290139785</v>
      </c>
      <c r="BL18">
        <f t="shared" si="37"/>
        <v>0.43627592647309449</v>
      </c>
      <c r="BM18">
        <f t="shared" si="38"/>
        <v>0.52484128651434958</v>
      </c>
      <c r="BN18">
        <v>278</v>
      </c>
      <c r="BO18">
        <v>300</v>
      </c>
      <c r="BP18">
        <v>300</v>
      </c>
      <c r="BQ18">
        <v>300</v>
      </c>
      <c r="BR18">
        <v>8102.26</v>
      </c>
      <c r="BS18">
        <v>1032.5</v>
      </c>
      <c r="BT18">
        <v>-2.9471300000000001E-3</v>
      </c>
      <c r="BU18">
        <v>6.0214800000000004</v>
      </c>
      <c r="BV18">
        <f t="shared" si="39"/>
        <v>2199.9774193548401</v>
      </c>
      <c r="BW18">
        <f t="shared" si="40"/>
        <v>1849.1681322850452</v>
      </c>
      <c r="BX18">
        <f t="shared" si="41"/>
        <v>0.84053959645973442</v>
      </c>
      <c r="BY18">
        <f t="shared" si="42"/>
        <v>0.19107919291946909</v>
      </c>
      <c r="BZ18">
        <v>1564341153.5</v>
      </c>
      <c r="CA18">
        <v>271.62016129032298</v>
      </c>
      <c r="CB18">
        <v>300.00358064516098</v>
      </c>
      <c r="CC18">
        <v>17.3960677419355</v>
      </c>
      <c r="CD18">
        <v>11.2584741935484</v>
      </c>
      <c r="CE18">
        <v>500.02512903225801</v>
      </c>
      <c r="CF18">
        <v>99.374364516129006</v>
      </c>
      <c r="CG18">
        <v>0.10000587419354801</v>
      </c>
      <c r="CH18">
        <v>24.6244870967742</v>
      </c>
      <c r="CI18">
        <v>26.976987096774199</v>
      </c>
      <c r="CJ18">
        <v>999.9</v>
      </c>
      <c r="CK18">
        <v>10002.2125806452</v>
      </c>
      <c r="CL18">
        <v>0</v>
      </c>
      <c r="CM18">
        <v>-326.41670967741902</v>
      </c>
      <c r="CN18">
        <v>2199.9774193548401</v>
      </c>
      <c r="CO18">
        <v>0.98199770967741895</v>
      </c>
      <c r="CP18">
        <v>1.80021129032258E-2</v>
      </c>
      <c r="CQ18">
        <v>0</v>
      </c>
      <c r="CR18">
        <v>815.78409677419404</v>
      </c>
      <c r="CS18">
        <v>1.9999499999999999</v>
      </c>
      <c r="CT18">
        <v>18623.0193548387</v>
      </c>
      <c r="CU18">
        <v>17938.058064516099</v>
      </c>
      <c r="CV18">
        <v>47.697161290322597</v>
      </c>
      <c r="CW18">
        <v>48.4431612903226</v>
      </c>
      <c r="CX18">
        <v>47.995935483871001</v>
      </c>
      <c r="CY18">
        <v>47.578258064516099</v>
      </c>
      <c r="CZ18">
        <v>48.661000000000001</v>
      </c>
      <c r="DA18">
        <v>2158.4074193548399</v>
      </c>
      <c r="DB18">
        <v>39.57</v>
      </c>
      <c r="DC18">
        <v>0</v>
      </c>
      <c r="DD18">
        <v>120.90000009536701</v>
      </c>
      <c r="DE18">
        <v>815.76961538461501</v>
      </c>
      <c r="DF18">
        <v>-1.8632478682214</v>
      </c>
      <c r="DG18">
        <v>-52.485470078534703</v>
      </c>
      <c r="DH18">
        <v>18622.7076923077</v>
      </c>
      <c r="DI18">
        <v>15</v>
      </c>
      <c r="DJ18">
        <v>1564341114</v>
      </c>
      <c r="DK18" t="s">
        <v>303</v>
      </c>
      <c r="DL18">
        <v>99</v>
      </c>
      <c r="DM18">
        <v>0.28299999999999997</v>
      </c>
      <c r="DN18">
        <v>5.2999999999999999E-2</v>
      </c>
      <c r="DO18">
        <v>300</v>
      </c>
      <c r="DP18">
        <v>11</v>
      </c>
      <c r="DQ18">
        <v>0.05</v>
      </c>
      <c r="DR18">
        <v>0.01</v>
      </c>
      <c r="DS18">
        <v>22.2795632949714</v>
      </c>
      <c r="DT18">
        <v>-0.111393284779067</v>
      </c>
      <c r="DU18">
        <v>6.0693902733557403E-2</v>
      </c>
      <c r="DV18">
        <v>1</v>
      </c>
      <c r="DW18">
        <v>271.61747945205502</v>
      </c>
      <c r="DX18">
        <v>2.0266567937771901E-2</v>
      </c>
      <c r="DY18">
        <v>1.11823118508574E-2</v>
      </c>
      <c r="DZ18">
        <v>1</v>
      </c>
      <c r="EA18">
        <v>0.28836485108924598</v>
      </c>
      <c r="EB18">
        <v>2.9183614336754801E-2</v>
      </c>
      <c r="EC18">
        <v>6.7109665166022398E-3</v>
      </c>
      <c r="ED18">
        <v>1</v>
      </c>
      <c r="EE18">
        <v>3</v>
      </c>
      <c r="EF18">
        <v>3</v>
      </c>
      <c r="EG18" t="s">
        <v>294</v>
      </c>
      <c r="EH18">
        <v>1.86673</v>
      </c>
      <c r="EI18">
        <v>1.8632299999999999</v>
      </c>
      <c r="EJ18">
        <v>1.8688400000000001</v>
      </c>
      <c r="EK18">
        <v>1.86677</v>
      </c>
      <c r="EL18">
        <v>1.8714200000000001</v>
      </c>
      <c r="EM18">
        <v>1.86389</v>
      </c>
      <c r="EN18">
        <v>1.8653900000000001</v>
      </c>
      <c r="EO18">
        <v>1.8653900000000001</v>
      </c>
      <c r="EP18" t="s">
        <v>295</v>
      </c>
      <c r="EQ18" t="s">
        <v>19</v>
      </c>
      <c r="ER18" t="s">
        <v>19</v>
      </c>
      <c r="ES18" t="s">
        <v>19</v>
      </c>
      <c r="ET18" t="s">
        <v>296</v>
      </c>
      <c r="EU18" t="s">
        <v>297</v>
      </c>
      <c r="EV18" t="s">
        <v>298</v>
      </c>
      <c r="EW18" t="s">
        <v>298</v>
      </c>
      <c r="EX18" t="s">
        <v>298</v>
      </c>
      <c r="EY18" t="s">
        <v>298</v>
      </c>
      <c r="EZ18">
        <v>0</v>
      </c>
      <c r="FA18">
        <v>100</v>
      </c>
      <c r="FB18">
        <v>100</v>
      </c>
      <c r="FC18">
        <v>0.28299999999999997</v>
      </c>
      <c r="FD18">
        <v>5.2999999999999999E-2</v>
      </c>
      <c r="FE18">
        <v>2</v>
      </c>
      <c r="FF18">
        <v>480.298</v>
      </c>
      <c r="FG18">
        <v>479.83300000000003</v>
      </c>
      <c r="FH18">
        <v>18.6418</v>
      </c>
      <c r="FI18">
        <v>34.605400000000003</v>
      </c>
      <c r="FJ18">
        <v>29.992100000000001</v>
      </c>
      <c r="FK18">
        <v>34.674900000000001</v>
      </c>
      <c r="FL18">
        <v>34.664200000000001</v>
      </c>
      <c r="FM18">
        <v>17.720199999999998</v>
      </c>
      <c r="FN18">
        <v>66.903599999999997</v>
      </c>
      <c r="FO18">
        <v>0</v>
      </c>
      <c r="FP18">
        <v>19.013100000000001</v>
      </c>
      <c r="FQ18">
        <v>300</v>
      </c>
      <c r="FR18">
        <v>10.9628</v>
      </c>
      <c r="FS18">
        <v>100.526</v>
      </c>
      <c r="FT18">
        <v>101.081</v>
      </c>
    </row>
    <row r="19" spans="1:176" x14ac:dyDescent="0.35">
      <c r="A19">
        <v>3</v>
      </c>
      <c r="B19">
        <v>1564341281.5</v>
      </c>
      <c r="C19">
        <v>241.5</v>
      </c>
      <c r="D19" t="s">
        <v>304</v>
      </c>
      <c r="E19" t="s">
        <v>305</v>
      </c>
      <c r="F19" t="s">
        <v>288</v>
      </c>
      <c r="G19" t="s">
        <v>289</v>
      </c>
      <c r="H19" t="s">
        <v>288</v>
      </c>
      <c r="J19" t="s">
        <v>288</v>
      </c>
      <c r="K19">
        <v>1564341273.5</v>
      </c>
      <c r="L19">
        <f t="shared" si="0"/>
        <v>5.4081808432254411E-3</v>
      </c>
      <c r="M19">
        <f t="shared" si="1"/>
        <v>14.078272042057076</v>
      </c>
      <c r="N19">
        <f t="shared" si="2"/>
        <v>181.9253066414488</v>
      </c>
      <c r="O19">
        <f t="shared" si="3"/>
        <v>98.900179456342002</v>
      </c>
      <c r="P19">
        <f t="shared" si="4"/>
        <v>9.8382214073551317</v>
      </c>
      <c r="Q19">
        <f t="shared" si="5"/>
        <v>18.097251756045985</v>
      </c>
      <c r="R19">
        <f t="shared" si="6"/>
        <v>0.30423008853122019</v>
      </c>
      <c r="S19">
        <f t="shared" si="7"/>
        <v>2.2514929795383249</v>
      </c>
      <c r="T19">
        <f t="shared" si="8"/>
        <v>0.28309863163773541</v>
      </c>
      <c r="U19">
        <f t="shared" si="9"/>
        <v>0.17871275904314968</v>
      </c>
      <c r="V19">
        <f t="shared" si="10"/>
        <v>353.34290859247295</v>
      </c>
      <c r="W19">
        <f t="shared" si="11"/>
        <v>25.550322865647214</v>
      </c>
      <c r="X19">
        <f t="shared" si="12"/>
        <v>27.037754838709699</v>
      </c>
      <c r="Y19">
        <f t="shared" si="13"/>
        <v>3.5871039326047987</v>
      </c>
      <c r="Z19">
        <f t="shared" si="14"/>
        <v>55.684071009216638</v>
      </c>
      <c r="AA19">
        <f t="shared" si="15"/>
        <v>1.737617228959075</v>
      </c>
      <c r="AB19">
        <f t="shared" si="16"/>
        <v>3.1204924450862626</v>
      </c>
      <c r="AC19">
        <f t="shared" si="17"/>
        <v>1.8494867036457237</v>
      </c>
      <c r="AD19">
        <f t="shared" si="18"/>
        <v>-238.50077518624195</v>
      </c>
      <c r="AE19">
        <f t="shared" si="19"/>
        <v>-285.55622214320294</v>
      </c>
      <c r="AF19">
        <f t="shared" si="20"/>
        <v>-27.061310989798329</v>
      </c>
      <c r="AG19">
        <f t="shared" si="21"/>
        <v>-197.77539972677025</v>
      </c>
      <c r="AH19">
        <v>-4.1223952549719799E-2</v>
      </c>
      <c r="AI19">
        <v>4.6277498153652903E-2</v>
      </c>
      <c r="AJ19">
        <v>3.45789028240632</v>
      </c>
      <c r="AK19">
        <v>14</v>
      </c>
      <c r="AL19">
        <v>3</v>
      </c>
      <c r="AM19">
        <f t="shared" si="22"/>
        <v>1.0005288304620867</v>
      </c>
      <c r="AN19">
        <f t="shared" si="23"/>
        <v>5.288304620867379E-2</v>
      </c>
      <c r="AO19">
        <f t="shared" si="24"/>
        <v>52975.025573216364</v>
      </c>
      <c r="AP19" t="s">
        <v>290</v>
      </c>
      <c r="AQ19">
        <v>413.64615384615399</v>
      </c>
      <c r="AR19">
        <v>1914.9</v>
      </c>
      <c r="AS19">
        <f t="shared" si="25"/>
        <v>1501.2538461538461</v>
      </c>
      <c r="AT19">
        <f t="shared" si="26"/>
        <v>0.78398550637309838</v>
      </c>
      <c r="AU19">
        <v>-0.61508576146989002</v>
      </c>
      <c r="AV19" t="s">
        <v>306</v>
      </c>
      <c r="AW19">
        <v>811.08888461538504</v>
      </c>
      <c r="AX19">
        <v>1077.0899999999999</v>
      </c>
      <c r="AY19">
        <f t="shared" si="27"/>
        <v>0.24696275648702981</v>
      </c>
      <c r="AZ19">
        <v>0.5</v>
      </c>
      <c r="BA19">
        <f t="shared" si="28"/>
        <v>1849.1963129302087</v>
      </c>
      <c r="BB19">
        <f t="shared" si="29"/>
        <v>14.078272042057076</v>
      </c>
      <c r="BC19">
        <f t="shared" si="30"/>
        <v>228.34130936344826</v>
      </c>
      <c r="BD19">
        <f t="shared" si="31"/>
        <v>0.43217372735797371</v>
      </c>
      <c r="BE19">
        <f t="shared" si="32"/>
        <v>7.9458074303880109E-3</v>
      </c>
      <c r="BF19">
        <f t="shared" si="33"/>
        <v>0.77784586246274712</v>
      </c>
      <c r="BG19" t="s">
        <v>307</v>
      </c>
      <c r="BH19">
        <v>611.6</v>
      </c>
      <c r="BI19">
        <f t="shared" si="34"/>
        <v>465.4899999999999</v>
      </c>
      <c r="BJ19">
        <f t="shared" si="35"/>
        <v>0.57144324343082542</v>
      </c>
      <c r="BK19">
        <f t="shared" si="36"/>
        <v>0.64283741272155304</v>
      </c>
      <c r="BL19">
        <f t="shared" si="37"/>
        <v>0.40093990912221367</v>
      </c>
      <c r="BM19">
        <f t="shared" si="38"/>
        <v>0.55807350778579967</v>
      </c>
      <c r="BN19">
        <v>280</v>
      </c>
      <c r="BO19">
        <v>300</v>
      </c>
      <c r="BP19">
        <v>300</v>
      </c>
      <c r="BQ19">
        <v>300</v>
      </c>
      <c r="BR19">
        <v>8102.75</v>
      </c>
      <c r="BS19">
        <v>998.05899999999997</v>
      </c>
      <c r="BT19">
        <v>-2.94721E-3</v>
      </c>
      <c r="BU19">
        <v>5.0163000000000002</v>
      </c>
      <c r="BV19">
        <f t="shared" si="39"/>
        <v>2200.01096774194</v>
      </c>
      <c r="BW19">
        <f t="shared" si="40"/>
        <v>1849.1963129302087</v>
      </c>
      <c r="BX19">
        <f t="shared" si="41"/>
        <v>0.8405395882313248</v>
      </c>
      <c r="BY19">
        <f t="shared" si="42"/>
        <v>0.19107917646264991</v>
      </c>
      <c r="BZ19">
        <v>1564341273.5</v>
      </c>
      <c r="CA19">
        <v>181.925322580645</v>
      </c>
      <c r="CB19">
        <v>199.99016129032299</v>
      </c>
      <c r="CC19">
        <v>17.467654838709699</v>
      </c>
      <c r="CD19">
        <v>11.0949193548387</v>
      </c>
      <c r="CE19">
        <v>500.02270967741902</v>
      </c>
      <c r="CF19">
        <v>99.376258064516193</v>
      </c>
      <c r="CG19">
        <v>0.100016512903226</v>
      </c>
      <c r="CH19">
        <v>24.685222580645199</v>
      </c>
      <c r="CI19">
        <v>27.037754838709699</v>
      </c>
      <c r="CJ19">
        <v>999.9</v>
      </c>
      <c r="CK19">
        <v>10003.754193548401</v>
      </c>
      <c r="CL19">
        <v>0</v>
      </c>
      <c r="CM19">
        <v>-178.818677419355</v>
      </c>
      <c r="CN19">
        <v>2200.01096774194</v>
      </c>
      <c r="CO19">
        <v>0.98199725806451599</v>
      </c>
      <c r="CP19">
        <v>1.8002677419354799E-2</v>
      </c>
      <c r="CQ19">
        <v>0</v>
      </c>
      <c r="CR19">
        <v>811.13932258064494</v>
      </c>
      <c r="CS19">
        <v>1.9999499999999999</v>
      </c>
      <c r="CT19">
        <v>18513.941935483901</v>
      </c>
      <c r="CU19">
        <v>17938.338709677399</v>
      </c>
      <c r="CV19">
        <v>47.545999999999999</v>
      </c>
      <c r="CW19">
        <v>48.311999999999998</v>
      </c>
      <c r="CX19">
        <v>47.828225806451599</v>
      </c>
      <c r="CY19">
        <v>47.512</v>
      </c>
      <c r="CZ19">
        <v>48.562129032257999</v>
      </c>
      <c r="DA19">
        <v>2158.4409677419399</v>
      </c>
      <c r="DB19">
        <v>39.57</v>
      </c>
      <c r="DC19">
        <v>0</v>
      </c>
      <c r="DD19">
        <v>119.39999985694899</v>
      </c>
      <c r="DE19">
        <v>811.08888461538504</v>
      </c>
      <c r="DF19">
        <v>-1.7960683515843801</v>
      </c>
      <c r="DG19">
        <v>-59.2683760586551</v>
      </c>
      <c r="DH19">
        <v>18513.3461538462</v>
      </c>
      <c r="DI19">
        <v>15</v>
      </c>
      <c r="DJ19">
        <v>1564341233.5</v>
      </c>
      <c r="DK19" t="s">
        <v>308</v>
      </c>
      <c r="DL19">
        <v>100</v>
      </c>
      <c r="DM19">
        <v>0.20899999999999999</v>
      </c>
      <c r="DN19">
        <v>4.9000000000000002E-2</v>
      </c>
      <c r="DO19">
        <v>200</v>
      </c>
      <c r="DP19">
        <v>11</v>
      </c>
      <c r="DQ19">
        <v>7.0000000000000007E-2</v>
      </c>
      <c r="DR19">
        <v>0.02</v>
      </c>
      <c r="DS19">
        <v>14.0349914170516</v>
      </c>
      <c r="DT19">
        <v>0.19454670442927499</v>
      </c>
      <c r="DU19">
        <v>5.8163803428285303E-2</v>
      </c>
      <c r="DV19">
        <v>1</v>
      </c>
      <c r="DW19">
        <v>181.99510958904099</v>
      </c>
      <c r="DX19">
        <v>-0.34262495372080898</v>
      </c>
      <c r="DY19">
        <v>6.4936335870369594E-2</v>
      </c>
      <c r="DZ19">
        <v>1</v>
      </c>
      <c r="EA19">
        <v>0.297478262016936</v>
      </c>
      <c r="EB19">
        <v>3.1700021734174001E-2</v>
      </c>
      <c r="EC19">
        <v>6.32393392991068E-3</v>
      </c>
      <c r="ED19">
        <v>1</v>
      </c>
      <c r="EE19">
        <v>3</v>
      </c>
      <c r="EF19">
        <v>3</v>
      </c>
      <c r="EG19" t="s">
        <v>294</v>
      </c>
      <c r="EH19">
        <v>1.8666</v>
      </c>
      <c r="EI19">
        <v>1.8631</v>
      </c>
      <c r="EJ19">
        <v>1.8687400000000001</v>
      </c>
      <c r="EK19">
        <v>1.86666</v>
      </c>
      <c r="EL19">
        <v>1.8713299999999999</v>
      </c>
      <c r="EM19">
        <v>1.8637999999999999</v>
      </c>
      <c r="EN19">
        <v>1.86528</v>
      </c>
      <c r="EO19">
        <v>1.8652299999999999</v>
      </c>
      <c r="EP19" t="s">
        <v>295</v>
      </c>
      <c r="EQ19" t="s">
        <v>19</v>
      </c>
      <c r="ER19" t="s">
        <v>19</v>
      </c>
      <c r="ES19" t="s">
        <v>19</v>
      </c>
      <c r="ET19" t="s">
        <v>296</v>
      </c>
      <c r="EU19" t="s">
        <v>297</v>
      </c>
      <c r="EV19" t="s">
        <v>298</v>
      </c>
      <c r="EW19" t="s">
        <v>298</v>
      </c>
      <c r="EX19" t="s">
        <v>298</v>
      </c>
      <c r="EY19" t="s">
        <v>298</v>
      </c>
      <c r="EZ19">
        <v>0</v>
      </c>
      <c r="FA19">
        <v>100</v>
      </c>
      <c r="FB19">
        <v>100</v>
      </c>
      <c r="FC19">
        <v>0.20899999999999999</v>
      </c>
      <c r="FD19">
        <v>4.9000000000000002E-2</v>
      </c>
      <c r="FE19">
        <v>2</v>
      </c>
      <c r="FF19">
        <v>480.31299999999999</v>
      </c>
      <c r="FG19">
        <v>480.779</v>
      </c>
      <c r="FH19">
        <v>17.990600000000001</v>
      </c>
      <c r="FI19">
        <v>34.396999999999998</v>
      </c>
      <c r="FJ19">
        <v>29.999600000000001</v>
      </c>
      <c r="FK19">
        <v>34.478900000000003</v>
      </c>
      <c r="FL19">
        <v>34.472900000000003</v>
      </c>
      <c r="FM19">
        <v>13.025600000000001</v>
      </c>
      <c r="FN19">
        <v>68.006</v>
      </c>
      <c r="FO19">
        <v>0</v>
      </c>
      <c r="FP19">
        <v>17.971800000000002</v>
      </c>
      <c r="FQ19">
        <v>200</v>
      </c>
      <c r="FR19">
        <v>10.8178</v>
      </c>
      <c r="FS19">
        <v>100.559</v>
      </c>
      <c r="FT19">
        <v>101.124</v>
      </c>
    </row>
    <row r="20" spans="1:176" x14ac:dyDescent="0.35">
      <c r="A20">
        <v>4</v>
      </c>
      <c r="B20">
        <v>1564341417.5</v>
      </c>
      <c r="C20">
        <v>377.5</v>
      </c>
      <c r="D20" t="s">
        <v>309</v>
      </c>
      <c r="E20" t="s">
        <v>310</v>
      </c>
      <c r="F20" t="s">
        <v>288</v>
      </c>
      <c r="G20" t="s">
        <v>289</v>
      </c>
      <c r="H20" t="s">
        <v>288</v>
      </c>
      <c r="J20" t="s">
        <v>288</v>
      </c>
      <c r="K20">
        <v>1564341409.5193501</v>
      </c>
      <c r="L20">
        <f t="shared" si="0"/>
        <v>6.0052787641039947E-3</v>
      </c>
      <c r="M20">
        <f t="shared" si="1"/>
        <v>5.5669146963792713</v>
      </c>
      <c r="N20">
        <f t="shared" si="2"/>
        <v>92.648442066124559</v>
      </c>
      <c r="O20">
        <f t="shared" si="3"/>
        <v>62.440373193244511</v>
      </c>
      <c r="P20">
        <f t="shared" si="4"/>
        <v>6.2112045035386387</v>
      </c>
      <c r="Q20">
        <f t="shared" si="5"/>
        <v>9.2161271814629551</v>
      </c>
      <c r="R20">
        <f t="shared" si="6"/>
        <v>0.34254186134860842</v>
      </c>
      <c r="S20">
        <f t="shared" si="7"/>
        <v>2.2493431904046539</v>
      </c>
      <c r="T20">
        <f t="shared" si="8"/>
        <v>0.3159786075920078</v>
      </c>
      <c r="U20">
        <f t="shared" si="9"/>
        <v>0.19970129524594443</v>
      </c>
      <c r="V20">
        <f t="shared" si="10"/>
        <v>353.33892910051338</v>
      </c>
      <c r="W20">
        <f t="shared" si="11"/>
        <v>25.39731439246837</v>
      </c>
      <c r="X20">
        <f t="shared" si="12"/>
        <v>26.958538709677399</v>
      </c>
      <c r="Y20">
        <f t="shared" si="13"/>
        <v>3.5704532522025332</v>
      </c>
      <c r="Z20">
        <f t="shared" si="14"/>
        <v>55.300783950025142</v>
      </c>
      <c r="AA20">
        <f t="shared" si="15"/>
        <v>1.7302845751732634</v>
      </c>
      <c r="AB20">
        <f t="shared" si="16"/>
        <v>3.1288608435224119</v>
      </c>
      <c r="AC20">
        <f t="shared" si="17"/>
        <v>1.8401686770292698</v>
      </c>
      <c r="AD20">
        <f t="shared" si="18"/>
        <v>-264.83279349698614</v>
      </c>
      <c r="AE20">
        <f t="shared" si="19"/>
        <v>-270.24181363062485</v>
      </c>
      <c r="AF20">
        <f t="shared" si="20"/>
        <v>-25.630021164877704</v>
      </c>
      <c r="AG20">
        <f t="shared" si="21"/>
        <v>-207.3656991919753</v>
      </c>
      <c r="AH20">
        <v>-4.1166067394787703E-2</v>
      </c>
      <c r="AI20">
        <v>4.6212516996223502E-2</v>
      </c>
      <c r="AJ20">
        <v>3.4540465146396699</v>
      </c>
      <c r="AK20">
        <v>14</v>
      </c>
      <c r="AL20">
        <v>3</v>
      </c>
      <c r="AM20">
        <f t="shared" si="22"/>
        <v>1.0005296243203672</v>
      </c>
      <c r="AN20">
        <f t="shared" si="23"/>
        <v>5.2962432036718354E-2</v>
      </c>
      <c r="AO20">
        <f t="shared" si="24"/>
        <v>52895.662838035751</v>
      </c>
      <c r="AP20" t="s">
        <v>290</v>
      </c>
      <c r="AQ20">
        <v>413.64615384615399</v>
      </c>
      <c r="AR20">
        <v>1914.9</v>
      </c>
      <c r="AS20">
        <f t="shared" si="25"/>
        <v>1501.2538461538461</v>
      </c>
      <c r="AT20">
        <f t="shared" si="26"/>
        <v>0.78398550637309838</v>
      </c>
      <c r="AU20">
        <v>-0.61508576146989002</v>
      </c>
      <c r="AV20" t="s">
        <v>311</v>
      </c>
      <c r="AW20">
        <v>813.04261538461503</v>
      </c>
      <c r="AX20">
        <v>1033.76</v>
      </c>
      <c r="AY20">
        <f t="shared" si="27"/>
        <v>0.21350931029966813</v>
      </c>
      <c r="AZ20">
        <v>0.5</v>
      </c>
      <c r="BA20">
        <f t="shared" si="28"/>
        <v>1849.1751968011711</v>
      </c>
      <c r="BB20">
        <f t="shared" si="29"/>
        <v>5.5669146963792713</v>
      </c>
      <c r="BC20">
        <f t="shared" si="30"/>
        <v>197.40806044613555</v>
      </c>
      <c r="BD20">
        <f t="shared" si="31"/>
        <v>0.39192849404117008</v>
      </c>
      <c r="BE20">
        <f t="shared" si="32"/>
        <v>3.3431123608748409E-3</v>
      </c>
      <c r="BF20">
        <f t="shared" si="33"/>
        <v>0.85236418511066414</v>
      </c>
      <c r="BG20" t="s">
        <v>312</v>
      </c>
      <c r="BH20">
        <v>628.6</v>
      </c>
      <c r="BI20">
        <f t="shared" si="34"/>
        <v>405.15999999999997</v>
      </c>
      <c r="BJ20">
        <f t="shared" si="35"/>
        <v>0.54476598039141322</v>
      </c>
      <c r="BK20">
        <f t="shared" si="36"/>
        <v>0.68501904687864412</v>
      </c>
      <c r="BL20">
        <f t="shared" si="37"/>
        <v>0.35593042468628655</v>
      </c>
      <c r="BM20">
        <f t="shared" si="38"/>
        <v>0.58693604832883295</v>
      </c>
      <c r="BN20">
        <v>282</v>
      </c>
      <c r="BO20">
        <v>300</v>
      </c>
      <c r="BP20">
        <v>300</v>
      </c>
      <c r="BQ20">
        <v>300</v>
      </c>
      <c r="BR20">
        <v>8103.46</v>
      </c>
      <c r="BS20">
        <v>969.649</v>
      </c>
      <c r="BT20">
        <v>-2.9473500000000001E-3</v>
      </c>
      <c r="BU20">
        <v>4.4550799999999997</v>
      </c>
      <c r="BV20">
        <f t="shared" si="39"/>
        <v>2199.9858064516102</v>
      </c>
      <c r="BW20">
        <f t="shared" si="40"/>
        <v>1849.1751968011711</v>
      </c>
      <c r="BX20">
        <f t="shared" si="41"/>
        <v>0.8405396032003194</v>
      </c>
      <c r="BY20">
        <f t="shared" si="42"/>
        <v>0.19107920640063908</v>
      </c>
      <c r="BZ20">
        <v>1564341409.5193501</v>
      </c>
      <c r="CA20">
        <v>92.648448387096806</v>
      </c>
      <c r="CB20">
        <v>99.992474193548404</v>
      </c>
      <c r="CC20">
        <v>17.3943096774194</v>
      </c>
      <c r="CD20">
        <v>10.317516129032301</v>
      </c>
      <c r="CE20">
        <v>500.02664516128999</v>
      </c>
      <c r="CF20">
        <v>99.374174193548399</v>
      </c>
      <c r="CG20">
        <v>9.9999099999999994E-2</v>
      </c>
      <c r="CH20">
        <v>24.730045161290299</v>
      </c>
      <c r="CI20">
        <v>26.958538709677399</v>
      </c>
      <c r="CJ20">
        <v>999.9</v>
      </c>
      <c r="CK20">
        <v>9989.9167741935507</v>
      </c>
      <c r="CL20">
        <v>0</v>
      </c>
      <c r="CM20">
        <v>-172.90922580645201</v>
      </c>
      <c r="CN20">
        <v>2199.9858064516102</v>
      </c>
      <c r="CO20">
        <v>0.981995774193549</v>
      </c>
      <c r="CP20">
        <v>1.80045322580645E-2</v>
      </c>
      <c r="CQ20">
        <v>0</v>
      </c>
      <c r="CR20">
        <v>813.10190322580604</v>
      </c>
      <c r="CS20">
        <v>1.9999499999999999</v>
      </c>
      <c r="CT20">
        <v>18570.5903225806</v>
      </c>
      <c r="CU20">
        <v>17938.099999999999</v>
      </c>
      <c r="CV20">
        <v>47.362806451612897</v>
      </c>
      <c r="CW20">
        <v>48.124935483870999</v>
      </c>
      <c r="CX20">
        <v>47.586354838709703</v>
      </c>
      <c r="CY20">
        <v>47.362806451612897</v>
      </c>
      <c r="CZ20">
        <v>48.375</v>
      </c>
      <c r="DA20">
        <v>2158.4151612903202</v>
      </c>
      <c r="DB20">
        <v>39.570645161290301</v>
      </c>
      <c r="DC20">
        <v>0</v>
      </c>
      <c r="DD20">
        <v>135.59999990463299</v>
      </c>
      <c r="DE20">
        <v>813.04261538461503</v>
      </c>
      <c r="DF20">
        <v>-2.47562393467939</v>
      </c>
      <c r="DG20">
        <v>-77.442735214366195</v>
      </c>
      <c r="DH20">
        <v>18569.876923076899</v>
      </c>
      <c r="DI20">
        <v>15</v>
      </c>
      <c r="DJ20">
        <v>1564341370.5</v>
      </c>
      <c r="DK20" t="s">
        <v>313</v>
      </c>
      <c r="DL20">
        <v>101</v>
      </c>
      <c r="DM20">
        <v>0.11799999999999999</v>
      </c>
      <c r="DN20">
        <v>4.4999999999999998E-2</v>
      </c>
      <c r="DO20">
        <v>100</v>
      </c>
      <c r="DP20">
        <v>10</v>
      </c>
      <c r="DQ20">
        <v>0.16</v>
      </c>
      <c r="DR20">
        <v>0.01</v>
      </c>
      <c r="DS20">
        <v>5.5581026326391001</v>
      </c>
      <c r="DT20">
        <v>7.8462146817558295E-2</v>
      </c>
      <c r="DU20">
        <v>6.3387774438271094E-2</v>
      </c>
      <c r="DV20">
        <v>1</v>
      </c>
      <c r="DW20">
        <v>92.665372602739694</v>
      </c>
      <c r="DX20">
        <v>-7.1097339548733401E-2</v>
      </c>
      <c r="DY20">
        <v>2.3641565788918E-2</v>
      </c>
      <c r="DZ20">
        <v>1</v>
      </c>
      <c r="EA20">
        <v>0.335926362088737</v>
      </c>
      <c r="EB20">
        <v>3.7310455553100398E-2</v>
      </c>
      <c r="EC20">
        <v>8.2596002112673202E-3</v>
      </c>
      <c r="ED20">
        <v>1</v>
      </c>
      <c r="EE20">
        <v>3</v>
      </c>
      <c r="EF20">
        <v>3</v>
      </c>
      <c r="EG20" t="s">
        <v>294</v>
      </c>
      <c r="EH20">
        <v>1.8666199999999999</v>
      </c>
      <c r="EI20">
        <v>1.86313</v>
      </c>
      <c r="EJ20">
        <v>1.8687499999999999</v>
      </c>
      <c r="EK20">
        <v>1.86676</v>
      </c>
      <c r="EL20">
        <v>1.8713599999999999</v>
      </c>
      <c r="EM20">
        <v>1.8638600000000001</v>
      </c>
      <c r="EN20">
        <v>1.8653900000000001</v>
      </c>
      <c r="EO20">
        <v>1.8653299999999999</v>
      </c>
      <c r="EP20" t="s">
        <v>295</v>
      </c>
      <c r="EQ20" t="s">
        <v>19</v>
      </c>
      <c r="ER20" t="s">
        <v>19</v>
      </c>
      <c r="ES20" t="s">
        <v>19</v>
      </c>
      <c r="ET20" t="s">
        <v>296</v>
      </c>
      <c r="EU20" t="s">
        <v>297</v>
      </c>
      <c r="EV20" t="s">
        <v>298</v>
      </c>
      <c r="EW20" t="s">
        <v>298</v>
      </c>
      <c r="EX20" t="s">
        <v>298</v>
      </c>
      <c r="EY20" t="s">
        <v>298</v>
      </c>
      <c r="EZ20">
        <v>0</v>
      </c>
      <c r="FA20">
        <v>100</v>
      </c>
      <c r="FB20">
        <v>100</v>
      </c>
      <c r="FC20">
        <v>0.11799999999999999</v>
      </c>
      <c r="FD20">
        <v>4.4999999999999998E-2</v>
      </c>
      <c r="FE20">
        <v>2</v>
      </c>
      <c r="FF20">
        <v>480.86399999999998</v>
      </c>
      <c r="FG20">
        <v>480.61700000000002</v>
      </c>
      <c r="FH20">
        <v>19.122199999999999</v>
      </c>
      <c r="FI20">
        <v>34.2408</v>
      </c>
      <c r="FJ20">
        <v>29.999500000000001</v>
      </c>
      <c r="FK20">
        <v>34.306899999999999</v>
      </c>
      <c r="FL20">
        <v>34.298200000000001</v>
      </c>
      <c r="FM20">
        <v>8.1512799999999999</v>
      </c>
      <c r="FN20">
        <v>70.636799999999994</v>
      </c>
      <c r="FO20">
        <v>0</v>
      </c>
      <c r="FP20">
        <v>19.134499999999999</v>
      </c>
      <c r="FQ20">
        <v>100</v>
      </c>
      <c r="FR20">
        <v>10.1774</v>
      </c>
      <c r="FS20">
        <v>100.58799999999999</v>
      </c>
      <c r="FT20">
        <v>101.157</v>
      </c>
    </row>
    <row r="21" spans="1:176" x14ac:dyDescent="0.35">
      <c r="A21">
        <v>5</v>
      </c>
      <c r="B21">
        <v>1564341545.0999999</v>
      </c>
      <c r="C21">
        <v>505.09999990463302</v>
      </c>
      <c r="D21" t="s">
        <v>314</v>
      </c>
      <c r="E21" t="s">
        <v>315</v>
      </c>
      <c r="F21" t="s">
        <v>288</v>
      </c>
      <c r="G21" t="s">
        <v>289</v>
      </c>
      <c r="H21" t="s">
        <v>288</v>
      </c>
      <c r="J21" t="s">
        <v>288</v>
      </c>
      <c r="K21">
        <v>1564341537.0451601</v>
      </c>
      <c r="L21">
        <f t="shared" si="0"/>
        <v>6.8343601316948211E-3</v>
      </c>
      <c r="M21">
        <f t="shared" si="1"/>
        <v>-3.0513098395654983</v>
      </c>
      <c r="N21">
        <f t="shared" si="2"/>
        <v>16.02265184488914</v>
      </c>
      <c r="O21">
        <f t="shared" si="3"/>
        <v>28.69697814311872</v>
      </c>
      <c r="P21">
        <f t="shared" si="4"/>
        <v>2.8546323509590077</v>
      </c>
      <c r="Q21">
        <f t="shared" si="5"/>
        <v>1.5938535436192371</v>
      </c>
      <c r="R21">
        <f t="shared" si="6"/>
        <v>0.39635427710864213</v>
      </c>
      <c r="S21">
        <f t="shared" si="7"/>
        <v>2.2514285506515992</v>
      </c>
      <c r="T21">
        <f t="shared" si="8"/>
        <v>0.3612766780487735</v>
      </c>
      <c r="U21">
        <f t="shared" si="9"/>
        <v>0.22869024697772566</v>
      </c>
      <c r="V21">
        <f t="shared" si="10"/>
        <v>353.33877464946488</v>
      </c>
      <c r="W21">
        <f t="shared" si="11"/>
        <v>25.326739308813536</v>
      </c>
      <c r="X21">
        <f t="shared" si="12"/>
        <v>27.1165032258065</v>
      </c>
      <c r="Y21">
        <f t="shared" si="13"/>
        <v>3.6037234385000358</v>
      </c>
      <c r="Z21">
        <f t="shared" si="14"/>
        <v>55.968364103857716</v>
      </c>
      <c r="AA21">
        <f t="shared" si="15"/>
        <v>1.7727843654531785</v>
      </c>
      <c r="AB21">
        <f t="shared" si="16"/>
        <v>3.1674757585615878</v>
      </c>
      <c r="AC21">
        <f t="shared" si="17"/>
        <v>1.8309390730468573</v>
      </c>
      <c r="AD21">
        <f t="shared" si="18"/>
        <v>-301.39528180774158</v>
      </c>
      <c r="AE21">
        <f t="shared" si="19"/>
        <v>-264.72489312908857</v>
      </c>
      <c r="AF21">
        <f t="shared" si="20"/>
        <v>-25.129307086303299</v>
      </c>
      <c r="AG21">
        <f t="shared" si="21"/>
        <v>-237.91070737366857</v>
      </c>
      <c r="AH21">
        <v>-4.1222217012077102E-2</v>
      </c>
      <c r="AI21">
        <v>4.6275549860607501E-2</v>
      </c>
      <c r="AJ21">
        <v>3.45777506392273</v>
      </c>
      <c r="AK21">
        <v>13</v>
      </c>
      <c r="AL21">
        <v>3</v>
      </c>
      <c r="AM21">
        <f t="shared" si="22"/>
        <v>1.0004914715025421</v>
      </c>
      <c r="AN21">
        <f t="shared" si="23"/>
        <v>4.9147150254214012E-2</v>
      </c>
      <c r="AO21">
        <f t="shared" si="24"/>
        <v>52928.355203739826</v>
      </c>
      <c r="AP21" t="s">
        <v>290</v>
      </c>
      <c r="AQ21">
        <v>413.64615384615399</v>
      </c>
      <c r="AR21">
        <v>1914.9</v>
      </c>
      <c r="AS21">
        <f t="shared" si="25"/>
        <v>1501.2538461538461</v>
      </c>
      <c r="AT21">
        <f t="shared" si="26"/>
        <v>0.78398550637309838</v>
      </c>
      <c r="AU21">
        <v>-0.61508576146989002</v>
      </c>
      <c r="AV21" t="s">
        <v>316</v>
      </c>
      <c r="AW21">
        <v>823.29330769230796</v>
      </c>
      <c r="AX21">
        <v>1000.25</v>
      </c>
      <c r="AY21">
        <f t="shared" si="27"/>
        <v>0.17691246419164408</v>
      </c>
      <c r="AZ21">
        <v>0.5</v>
      </c>
      <c r="BA21">
        <f t="shared" si="28"/>
        <v>1849.1743838979498</v>
      </c>
      <c r="BB21">
        <f t="shared" si="29"/>
        <v>-3.0513098395654983</v>
      </c>
      <c r="BC21">
        <f t="shared" si="30"/>
        <v>163.57099848772577</v>
      </c>
      <c r="BD21">
        <f t="shared" si="31"/>
        <v>0.35216195951012247</v>
      </c>
      <c r="BE21">
        <f t="shared" si="32"/>
        <v>-1.3174658373539614E-3</v>
      </c>
      <c r="BF21">
        <f t="shared" si="33"/>
        <v>0.9144213946513372</v>
      </c>
      <c r="BG21" t="s">
        <v>317</v>
      </c>
      <c r="BH21">
        <v>648</v>
      </c>
      <c r="BI21">
        <f t="shared" si="34"/>
        <v>352.25</v>
      </c>
      <c r="BJ21">
        <f t="shared" si="35"/>
        <v>0.50236108533056645</v>
      </c>
      <c r="BK21">
        <f t="shared" si="36"/>
        <v>0.72195911279501146</v>
      </c>
      <c r="BL21">
        <f t="shared" si="37"/>
        <v>0.30166302772805614</v>
      </c>
      <c r="BM21">
        <f t="shared" si="38"/>
        <v>0.60925738997658374</v>
      </c>
      <c r="BN21">
        <v>284</v>
      </c>
      <c r="BO21">
        <v>300</v>
      </c>
      <c r="BP21">
        <v>300</v>
      </c>
      <c r="BQ21">
        <v>300</v>
      </c>
      <c r="BR21">
        <v>8103.37</v>
      </c>
      <c r="BS21">
        <v>951.43399999999997</v>
      </c>
      <c r="BT21">
        <v>-2.9472700000000001E-3</v>
      </c>
      <c r="BU21">
        <v>3.6848100000000001</v>
      </c>
      <c r="BV21">
        <f t="shared" si="39"/>
        <v>2199.9848387096799</v>
      </c>
      <c r="BW21">
        <f t="shared" si="40"/>
        <v>1849.1743838979498</v>
      </c>
      <c r="BX21">
        <f t="shared" si="41"/>
        <v>0.84053960343768319</v>
      </c>
      <c r="BY21">
        <f t="shared" si="42"/>
        <v>0.19107920687536659</v>
      </c>
      <c r="BZ21">
        <v>1564341537.0451601</v>
      </c>
      <c r="CA21">
        <v>16.022648387096801</v>
      </c>
      <c r="CB21">
        <v>12.494474193548401</v>
      </c>
      <c r="CC21">
        <v>17.821403225806499</v>
      </c>
      <c r="CD21">
        <v>9.77079870967742</v>
      </c>
      <c r="CE21">
        <v>500.02741935483903</v>
      </c>
      <c r="CF21">
        <v>99.374993548387096</v>
      </c>
      <c r="CG21">
        <v>0.10002213870967699</v>
      </c>
      <c r="CH21">
        <v>24.935525806451601</v>
      </c>
      <c r="CI21">
        <v>27.1165032258065</v>
      </c>
      <c r="CJ21">
        <v>999.9</v>
      </c>
      <c r="CK21">
        <v>10003.4603225806</v>
      </c>
      <c r="CL21">
        <v>0</v>
      </c>
      <c r="CM21">
        <v>-195.18654838709699</v>
      </c>
      <c r="CN21">
        <v>2199.9848387096799</v>
      </c>
      <c r="CO21">
        <v>0.981995709677419</v>
      </c>
      <c r="CP21">
        <v>1.8004612903225799E-2</v>
      </c>
      <c r="CQ21">
        <v>0</v>
      </c>
      <c r="CR21">
        <v>823.28609677419399</v>
      </c>
      <c r="CS21">
        <v>1.9999499999999999</v>
      </c>
      <c r="CT21">
        <v>18791.390322580599</v>
      </c>
      <c r="CU21">
        <v>17938.099999999999</v>
      </c>
      <c r="CV21">
        <v>47.316193548387098</v>
      </c>
      <c r="CW21">
        <v>48.061999999999998</v>
      </c>
      <c r="CX21">
        <v>47.471548387096803</v>
      </c>
      <c r="CY21">
        <v>47.420999999999999</v>
      </c>
      <c r="CZ21">
        <v>48.383000000000003</v>
      </c>
      <c r="DA21">
        <v>2158.4141935483899</v>
      </c>
      <c r="DB21">
        <v>39.570645161290301</v>
      </c>
      <c r="DC21">
        <v>0</v>
      </c>
      <c r="DD21">
        <v>126.59999990463299</v>
      </c>
      <c r="DE21">
        <v>823.29330769230796</v>
      </c>
      <c r="DF21">
        <v>4.0304957466448004</v>
      </c>
      <c r="DG21">
        <v>52.533333324949901</v>
      </c>
      <c r="DH21">
        <v>18791.523076923098</v>
      </c>
      <c r="DI21">
        <v>15</v>
      </c>
      <c r="DJ21">
        <v>1564341499.0999999</v>
      </c>
      <c r="DK21" t="s">
        <v>318</v>
      </c>
      <c r="DL21">
        <v>102</v>
      </c>
      <c r="DM21">
        <v>0.109</v>
      </c>
      <c r="DN21">
        <v>4.5999999999999999E-2</v>
      </c>
      <c r="DO21">
        <v>12</v>
      </c>
      <c r="DP21">
        <v>10</v>
      </c>
      <c r="DQ21">
        <v>0.2</v>
      </c>
      <c r="DR21">
        <v>0.02</v>
      </c>
      <c r="DS21">
        <v>-3.05094552746937</v>
      </c>
      <c r="DT21">
        <v>-6.6733637074725696E-2</v>
      </c>
      <c r="DU21">
        <v>8.9692582768202203E-2</v>
      </c>
      <c r="DV21">
        <v>1</v>
      </c>
      <c r="DW21">
        <v>16.0360452054795</v>
      </c>
      <c r="DX21">
        <v>-6.1899979506914601E-2</v>
      </c>
      <c r="DY21">
        <v>2.19514098595236E-2</v>
      </c>
      <c r="DZ21">
        <v>1</v>
      </c>
      <c r="EA21">
        <v>0.38200664368623699</v>
      </c>
      <c r="EB21">
        <v>8.6702847246803397E-2</v>
      </c>
      <c r="EC21">
        <v>2.5040364957220101E-2</v>
      </c>
      <c r="ED21">
        <v>1</v>
      </c>
      <c r="EE21">
        <v>3</v>
      </c>
      <c r="EF21">
        <v>3</v>
      </c>
      <c r="EG21" t="s">
        <v>294</v>
      </c>
      <c r="EH21">
        <v>1.8666100000000001</v>
      </c>
      <c r="EI21">
        <v>1.8631</v>
      </c>
      <c r="EJ21">
        <v>1.8687400000000001</v>
      </c>
      <c r="EK21">
        <v>1.8666700000000001</v>
      </c>
      <c r="EL21">
        <v>1.8713299999999999</v>
      </c>
      <c r="EM21">
        <v>1.8637699999999999</v>
      </c>
      <c r="EN21">
        <v>1.8652899999999999</v>
      </c>
      <c r="EO21">
        <v>1.8652299999999999</v>
      </c>
      <c r="EP21" t="s">
        <v>295</v>
      </c>
      <c r="EQ21" t="s">
        <v>19</v>
      </c>
      <c r="ER21" t="s">
        <v>19</v>
      </c>
      <c r="ES21" t="s">
        <v>19</v>
      </c>
      <c r="ET21" t="s">
        <v>296</v>
      </c>
      <c r="EU21" t="s">
        <v>297</v>
      </c>
      <c r="EV21" t="s">
        <v>298</v>
      </c>
      <c r="EW21" t="s">
        <v>298</v>
      </c>
      <c r="EX21" t="s">
        <v>298</v>
      </c>
      <c r="EY21" t="s">
        <v>298</v>
      </c>
      <c r="EZ21">
        <v>0</v>
      </c>
      <c r="FA21">
        <v>100</v>
      </c>
      <c r="FB21">
        <v>100</v>
      </c>
      <c r="FC21">
        <v>0.109</v>
      </c>
      <c r="FD21">
        <v>4.5999999999999999E-2</v>
      </c>
      <c r="FE21">
        <v>2</v>
      </c>
      <c r="FF21">
        <v>481.59399999999999</v>
      </c>
      <c r="FG21">
        <v>480.24900000000002</v>
      </c>
      <c r="FH21">
        <v>18.154199999999999</v>
      </c>
      <c r="FI21">
        <v>34.198099999999997</v>
      </c>
      <c r="FJ21">
        <v>30.000499999999999</v>
      </c>
      <c r="FK21">
        <v>34.2256</v>
      </c>
      <c r="FL21">
        <v>34.218699999999998</v>
      </c>
      <c r="FM21">
        <v>3.8729399999999998</v>
      </c>
      <c r="FN21">
        <v>72.994900000000001</v>
      </c>
      <c r="FO21">
        <v>0</v>
      </c>
      <c r="FP21">
        <v>16.1252</v>
      </c>
      <c r="FQ21">
        <v>12.5</v>
      </c>
      <c r="FR21">
        <v>9.5750299999999999</v>
      </c>
      <c r="FS21">
        <v>100.59099999999999</v>
      </c>
      <c r="FT21">
        <v>101.15600000000001</v>
      </c>
    </row>
    <row r="22" spans="1:176" x14ac:dyDescent="0.35">
      <c r="A22">
        <v>7</v>
      </c>
      <c r="B22">
        <v>1564341807.5999999</v>
      </c>
      <c r="C22">
        <v>767.59999990463302</v>
      </c>
      <c r="D22" t="s">
        <v>320</v>
      </c>
      <c r="E22" t="s">
        <v>321</v>
      </c>
      <c r="F22" t="s">
        <v>288</v>
      </c>
      <c r="G22" t="s">
        <v>289</v>
      </c>
      <c r="H22" t="s">
        <v>288</v>
      </c>
      <c r="J22" t="s">
        <v>288</v>
      </c>
      <c r="K22">
        <v>1564341799.5741899</v>
      </c>
      <c r="L22">
        <f t="shared" si="0"/>
        <v>8.4644570238055737E-3</v>
      </c>
      <c r="M22">
        <f t="shared" si="1"/>
        <v>36.322980324276841</v>
      </c>
      <c r="N22">
        <f t="shared" si="2"/>
        <v>352.85521676332502</v>
      </c>
      <c r="O22">
        <f t="shared" si="3"/>
        <v>222.92428380938347</v>
      </c>
      <c r="P22">
        <f t="shared" si="4"/>
        <v>22.173796418058757</v>
      </c>
      <c r="Q22">
        <f t="shared" si="5"/>
        <v>35.097745332447367</v>
      </c>
      <c r="R22">
        <f t="shared" si="6"/>
        <v>0.53037255426637853</v>
      </c>
      <c r="S22">
        <f t="shared" si="7"/>
        <v>2.2501802685673091</v>
      </c>
      <c r="T22">
        <f t="shared" si="8"/>
        <v>0.46947921056887126</v>
      </c>
      <c r="U22">
        <f t="shared" si="9"/>
        <v>0.29831087841807113</v>
      </c>
      <c r="V22">
        <f t="shared" si="10"/>
        <v>353.342337599046</v>
      </c>
      <c r="W22">
        <f t="shared" si="11"/>
        <v>25.337602628879548</v>
      </c>
      <c r="X22">
        <f t="shared" si="12"/>
        <v>26.920348387096801</v>
      </c>
      <c r="Y22">
        <f t="shared" si="13"/>
        <v>3.5624500442854652</v>
      </c>
      <c r="Z22">
        <f t="shared" si="14"/>
        <v>55.527488364756373</v>
      </c>
      <c r="AA22">
        <f t="shared" si="15"/>
        <v>1.8175982535843405</v>
      </c>
      <c r="AB22">
        <f t="shared" si="16"/>
        <v>3.2733305739396288</v>
      </c>
      <c r="AC22">
        <f t="shared" si="17"/>
        <v>1.7448517907011247</v>
      </c>
      <c r="AD22">
        <f t="shared" si="18"/>
        <v>-373.28255474982581</v>
      </c>
      <c r="AE22">
        <f t="shared" si="19"/>
        <v>-173.78647218473952</v>
      </c>
      <c r="AF22">
        <f t="shared" si="20"/>
        <v>-16.535404849653894</v>
      </c>
      <c r="AG22">
        <f t="shared" si="21"/>
        <v>-210.26209418517323</v>
      </c>
      <c r="AH22">
        <v>-4.11886005886948E-2</v>
      </c>
      <c r="AI22">
        <v>4.6237812480400403E-2</v>
      </c>
      <c r="AJ22">
        <v>3.4555430148779198</v>
      </c>
      <c r="AK22">
        <v>12</v>
      </c>
      <c r="AL22">
        <v>2</v>
      </c>
      <c r="AM22">
        <f t="shared" si="22"/>
        <v>1.0004548473981381</v>
      </c>
      <c r="AN22">
        <f t="shared" si="23"/>
        <v>4.5484739813805852E-2</v>
      </c>
      <c r="AO22">
        <f t="shared" si="24"/>
        <v>52788.949515472115</v>
      </c>
      <c r="AP22" t="s">
        <v>290</v>
      </c>
      <c r="AQ22">
        <v>413.64615384615399</v>
      </c>
      <c r="AR22">
        <v>1914.9</v>
      </c>
      <c r="AS22">
        <f t="shared" si="25"/>
        <v>1501.2538461538461</v>
      </c>
      <c r="AT22">
        <f t="shared" si="26"/>
        <v>0.78398550637309838</v>
      </c>
      <c r="AU22">
        <v>-0.61508576146989002</v>
      </c>
      <c r="AV22" t="s">
        <v>322</v>
      </c>
      <c r="AW22">
        <v>816.66665384615396</v>
      </c>
      <c r="AX22">
        <v>1185.32</v>
      </c>
      <c r="AY22">
        <f t="shared" si="27"/>
        <v>0.31101588276064351</v>
      </c>
      <c r="AZ22">
        <v>0.5</v>
      </c>
      <c r="BA22">
        <f t="shared" si="28"/>
        <v>1849.1906516398881</v>
      </c>
      <c r="BB22">
        <f t="shared" si="29"/>
        <v>36.322980324276841</v>
      </c>
      <c r="BC22">
        <f t="shared" si="30"/>
        <v>287.56383145625472</v>
      </c>
      <c r="BD22">
        <f t="shared" si="31"/>
        <v>0.52704754834137613</v>
      </c>
      <c r="BE22">
        <f t="shared" si="32"/>
        <v>1.9975261097599395E-2</v>
      </c>
      <c r="BF22">
        <f t="shared" si="33"/>
        <v>0.61551311038369405</v>
      </c>
      <c r="BG22" t="s">
        <v>323</v>
      </c>
      <c r="BH22">
        <v>560.6</v>
      </c>
      <c r="BI22">
        <f t="shared" si="34"/>
        <v>624.71999999999991</v>
      </c>
      <c r="BJ22">
        <f t="shared" si="35"/>
        <v>0.59010972300205855</v>
      </c>
      <c r="BK22">
        <f t="shared" si="36"/>
        <v>0.53871372664845307</v>
      </c>
      <c r="BL22">
        <f t="shared" si="37"/>
        <v>0.47773207293635406</v>
      </c>
      <c r="BM22">
        <f t="shared" si="38"/>
        <v>0.4859804368655945</v>
      </c>
      <c r="BN22">
        <v>288</v>
      </c>
      <c r="BO22">
        <v>300</v>
      </c>
      <c r="BP22">
        <v>300</v>
      </c>
      <c r="BQ22">
        <v>300</v>
      </c>
      <c r="BR22">
        <v>8104.72</v>
      </c>
      <c r="BS22">
        <v>1057.95</v>
      </c>
      <c r="BT22">
        <v>-2.9480800000000001E-3</v>
      </c>
      <c r="BU22">
        <v>3.6612499999999999</v>
      </c>
      <c r="BV22">
        <f t="shared" si="39"/>
        <v>2200.0038709677401</v>
      </c>
      <c r="BW22">
        <f t="shared" si="40"/>
        <v>1849.1906516398881</v>
      </c>
      <c r="BX22">
        <f t="shared" si="41"/>
        <v>0.8405397263353287</v>
      </c>
      <c r="BY22">
        <f t="shared" si="42"/>
        <v>0.19107945267065735</v>
      </c>
      <c r="BZ22">
        <v>1564341799.5741899</v>
      </c>
      <c r="CA22">
        <v>352.85525806451602</v>
      </c>
      <c r="CB22">
        <v>400.00625806451598</v>
      </c>
      <c r="CC22">
        <v>18.273225806451599</v>
      </c>
      <c r="CD22">
        <v>8.3062790322580593</v>
      </c>
      <c r="CE22">
        <v>500.00883870967698</v>
      </c>
      <c r="CF22">
        <v>99.367858064516099</v>
      </c>
      <c r="CG22">
        <v>9.9979351612903195E-2</v>
      </c>
      <c r="CH22">
        <v>25.487787096774198</v>
      </c>
      <c r="CI22">
        <v>26.920348387096801</v>
      </c>
      <c r="CJ22">
        <v>999.9</v>
      </c>
      <c r="CK22">
        <v>9996.0203225806508</v>
      </c>
      <c r="CL22">
        <v>0</v>
      </c>
      <c r="CM22">
        <v>-97.032225806451606</v>
      </c>
      <c r="CN22">
        <v>2200.0038709677401</v>
      </c>
      <c r="CO22">
        <v>0.98199393548387104</v>
      </c>
      <c r="CP22">
        <v>1.8006387096774198E-2</v>
      </c>
      <c r="CQ22">
        <v>0</v>
      </c>
      <c r="CR22">
        <v>816.65009677419403</v>
      </c>
      <c r="CS22">
        <v>1.9999499999999999</v>
      </c>
      <c r="CT22">
        <v>18620.900000000001</v>
      </c>
      <c r="CU22">
        <v>17938.2387096774</v>
      </c>
      <c r="CV22">
        <v>47.203258064516099</v>
      </c>
      <c r="CW22">
        <v>47.908999999999999</v>
      </c>
      <c r="CX22">
        <v>47.358741935483899</v>
      </c>
      <c r="CY22">
        <v>47.316129032257997</v>
      </c>
      <c r="CZ22">
        <v>48.312129032257999</v>
      </c>
      <c r="DA22">
        <v>2158.4238709677402</v>
      </c>
      <c r="DB22">
        <v>39.58</v>
      </c>
      <c r="DC22">
        <v>0</v>
      </c>
      <c r="DD22">
        <v>120.700000047684</v>
      </c>
      <c r="DE22">
        <v>816.66665384615396</v>
      </c>
      <c r="DF22">
        <v>1.68030766442573</v>
      </c>
      <c r="DG22">
        <v>41.179487151054801</v>
      </c>
      <c r="DH22">
        <v>18621.065384615398</v>
      </c>
      <c r="DI22">
        <v>15</v>
      </c>
      <c r="DJ22">
        <v>1564341760.0999999</v>
      </c>
      <c r="DK22" t="s">
        <v>324</v>
      </c>
      <c r="DL22">
        <v>104</v>
      </c>
      <c r="DM22">
        <v>0.35399999999999998</v>
      </c>
      <c r="DN22">
        <v>2.3E-2</v>
      </c>
      <c r="DO22">
        <v>400</v>
      </c>
      <c r="DP22">
        <v>8</v>
      </c>
      <c r="DQ22">
        <v>0.03</v>
      </c>
      <c r="DR22">
        <v>0.01</v>
      </c>
      <c r="DS22">
        <v>36.244574162586503</v>
      </c>
      <c r="DT22">
        <v>0.27423411886993898</v>
      </c>
      <c r="DU22">
        <v>0.114284846399781</v>
      </c>
      <c r="DV22">
        <v>1</v>
      </c>
      <c r="DW22">
        <v>352.94847945205498</v>
      </c>
      <c r="DX22">
        <v>-0.55957756915461399</v>
      </c>
      <c r="DY22">
        <v>0.105221632963641</v>
      </c>
      <c r="DZ22">
        <v>1</v>
      </c>
      <c r="EA22">
        <v>0.52432602696577002</v>
      </c>
      <c r="EB22">
        <v>4.4286506110718299E-2</v>
      </c>
      <c r="EC22">
        <v>1.31005192380447E-2</v>
      </c>
      <c r="ED22">
        <v>1</v>
      </c>
      <c r="EE22">
        <v>3</v>
      </c>
      <c r="EF22">
        <v>3</v>
      </c>
      <c r="EG22" t="s">
        <v>294</v>
      </c>
      <c r="EH22">
        <v>1.86663</v>
      </c>
      <c r="EI22">
        <v>1.8632</v>
      </c>
      <c r="EJ22">
        <v>1.86879</v>
      </c>
      <c r="EK22">
        <v>1.86676</v>
      </c>
      <c r="EL22">
        <v>1.87137</v>
      </c>
      <c r="EM22">
        <v>1.8638600000000001</v>
      </c>
      <c r="EN22">
        <v>1.8653900000000001</v>
      </c>
      <c r="EO22">
        <v>1.8653500000000001</v>
      </c>
      <c r="EP22" t="s">
        <v>295</v>
      </c>
      <c r="EQ22" t="s">
        <v>19</v>
      </c>
      <c r="ER22" t="s">
        <v>19</v>
      </c>
      <c r="ES22" t="s">
        <v>19</v>
      </c>
      <c r="ET22" t="s">
        <v>296</v>
      </c>
      <c r="EU22" t="s">
        <v>297</v>
      </c>
      <c r="EV22" t="s">
        <v>298</v>
      </c>
      <c r="EW22" t="s">
        <v>298</v>
      </c>
      <c r="EX22" t="s">
        <v>298</v>
      </c>
      <c r="EY22" t="s">
        <v>298</v>
      </c>
      <c r="EZ22">
        <v>0</v>
      </c>
      <c r="FA22">
        <v>100</v>
      </c>
      <c r="FB22">
        <v>100</v>
      </c>
      <c r="FC22">
        <v>0.35399999999999998</v>
      </c>
      <c r="FD22">
        <v>2.3E-2</v>
      </c>
      <c r="FE22">
        <v>2</v>
      </c>
      <c r="FF22">
        <v>482.779</v>
      </c>
      <c r="FG22">
        <v>479.61799999999999</v>
      </c>
      <c r="FH22">
        <v>20.1523</v>
      </c>
      <c r="FI22">
        <v>34.363300000000002</v>
      </c>
      <c r="FJ22">
        <v>29.999600000000001</v>
      </c>
      <c r="FK22">
        <v>34.311199999999999</v>
      </c>
      <c r="FL22">
        <v>34.284100000000002</v>
      </c>
      <c r="FM22">
        <v>22.186900000000001</v>
      </c>
      <c r="FN22">
        <v>78.795100000000005</v>
      </c>
      <c r="FO22">
        <v>0</v>
      </c>
      <c r="FP22">
        <v>20.181000000000001</v>
      </c>
      <c r="FQ22">
        <v>400</v>
      </c>
      <c r="FR22">
        <v>8.1754599999999993</v>
      </c>
      <c r="FS22">
        <v>100.55800000000001</v>
      </c>
      <c r="FT22">
        <v>101.121</v>
      </c>
    </row>
    <row r="23" spans="1:176" x14ac:dyDescent="0.35">
      <c r="A23">
        <v>8</v>
      </c>
      <c r="B23">
        <v>1564341948.0999999</v>
      </c>
      <c r="C23">
        <v>908.09999990463302</v>
      </c>
      <c r="D23" t="s">
        <v>325</v>
      </c>
      <c r="E23" t="s">
        <v>326</v>
      </c>
      <c r="F23" t="s">
        <v>288</v>
      </c>
      <c r="G23" t="s">
        <v>289</v>
      </c>
      <c r="H23" t="s">
        <v>288</v>
      </c>
      <c r="J23" t="s">
        <v>288</v>
      </c>
      <c r="K23">
        <v>1564341940.0999999</v>
      </c>
      <c r="L23">
        <f t="shared" si="0"/>
        <v>7.0392587495660885E-3</v>
      </c>
      <c r="M23">
        <f t="shared" si="1"/>
        <v>41.738791873438956</v>
      </c>
      <c r="N23">
        <f t="shared" si="2"/>
        <v>446.16730739742434</v>
      </c>
      <c r="O23">
        <f t="shared" si="3"/>
        <v>263.10892473553491</v>
      </c>
      <c r="P23">
        <f t="shared" si="4"/>
        <v>26.170950429673155</v>
      </c>
      <c r="Q23">
        <f t="shared" si="5"/>
        <v>44.37942383359114</v>
      </c>
      <c r="R23">
        <f t="shared" si="6"/>
        <v>0.42079198678180696</v>
      </c>
      <c r="S23">
        <f t="shared" si="7"/>
        <v>2.2505349389014198</v>
      </c>
      <c r="T23">
        <f t="shared" si="8"/>
        <v>0.38147088589584394</v>
      </c>
      <c r="U23">
        <f t="shared" si="9"/>
        <v>0.2416452100781003</v>
      </c>
      <c r="V23">
        <f t="shared" si="10"/>
        <v>353.34039523831365</v>
      </c>
      <c r="W23">
        <f t="shared" si="11"/>
        <v>25.832636984113932</v>
      </c>
      <c r="X23">
        <f t="shared" si="12"/>
        <v>27.009254838709701</v>
      </c>
      <c r="Y23">
        <f t="shared" si="13"/>
        <v>3.5811056409516566</v>
      </c>
      <c r="Z23">
        <f t="shared" si="14"/>
        <v>54.773458173084947</v>
      </c>
      <c r="AA23">
        <f t="shared" si="15"/>
        <v>1.7952311346317398</v>
      </c>
      <c r="AB23">
        <f t="shared" si="16"/>
        <v>3.2775566752765228</v>
      </c>
      <c r="AC23">
        <f t="shared" si="17"/>
        <v>1.7858745063199168</v>
      </c>
      <c r="AD23">
        <f t="shared" si="18"/>
        <v>-310.43131085586452</v>
      </c>
      <c r="AE23">
        <f t="shared" si="19"/>
        <v>-181.96533964446326</v>
      </c>
      <c r="AF23">
        <f t="shared" si="20"/>
        <v>-17.320489946979432</v>
      </c>
      <c r="AG23">
        <f t="shared" si="21"/>
        <v>-156.37674520899355</v>
      </c>
      <c r="AH23">
        <v>-4.1198150197962198E-2</v>
      </c>
      <c r="AI23">
        <v>4.62485327533948E-2</v>
      </c>
      <c r="AJ23">
        <v>3.4561771495076901</v>
      </c>
      <c r="AK23">
        <v>12</v>
      </c>
      <c r="AL23">
        <v>2</v>
      </c>
      <c r="AM23">
        <f t="shared" si="22"/>
        <v>1.000454779280882</v>
      </c>
      <c r="AN23">
        <f t="shared" si="23"/>
        <v>4.5477928088200059E-2</v>
      </c>
      <c r="AO23">
        <f t="shared" si="24"/>
        <v>52796.852697809925</v>
      </c>
      <c r="AP23" t="s">
        <v>290</v>
      </c>
      <c r="AQ23">
        <v>413.64615384615399</v>
      </c>
      <c r="AR23">
        <v>1914.9</v>
      </c>
      <c r="AS23">
        <f t="shared" si="25"/>
        <v>1501.2538461538461</v>
      </c>
      <c r="AT23">
        <f t="shared" si="26"/>
        <v>0.78398550637309838</v>
      </c>
      <c r="AU23">
        <v>-0.61508576146989002</v>
      </c>
      <c r="AV23" t="s">
        <v>327</v>
      </c>
      <c r="AW23">
        <v>836.74480769230797</v>
      </c>
      <c r="AX23">
        <v>1247.93</v>
      </c>
      <c r="AY23">
        <f t="shared" si="27"/>
        <v>0.32949379557162028</v>
      </c>
      <c r="AZ23">
        <v>0.5</v>
      </c>
      <c r="BA23">
        <f t="shared" si="28"/>
        <v>1849.1883968011625</v>
      </c>
      <c r="BB23">
        <f t="shared" si="29"/>
        <v>41.738791873438956</v>
      </c>
      <c r="BC23">
        <f t="shared" si="30"/>
        <v>304.64805179450724</v>
      </c>
      <c r="BD23">
        <f t="shared" si="31"/>
        <v>0.5450065308150297</v>
      </c>
      <c r="BE23">
        <f t="shared" si="32"/>
        <v>2.2904036012866582E-2</v>
      </c>
      <c r="BF23">
        <f t="shared" si="33"/>
        <v>0.53446106752782607</v>
      </c>
      <c r="BG23" t="s">
        <v>328</v>
      </c>
      <c r="BH23">
        <v>567.79999999999995</v>
      </c>
      <c r="BI23">
        <f t="shared" si="34"/>
        <v>680.13000000000011</v>
      </c>
      <c r="BJ23">
        <f t="shared" si="35"/>
        <v>0.60456852705760966</v>
      </c>
      <c r="BK23">
        <f t="shared" si="36"/>
        <v>0.49511543315269835</v>
      </c>
      <c r="BL23">
        <f t="shared" si="37"/>
        <v>0.49286006699435425</v>
      </c>
      <c r="BM23">
        <f t="shared" si="38"/>
        <v>0.4442752980841656</v>
      </c>
      <c r="BN23">
        <v>290</v>
      </c>
      <c r="BO23">
        <v>300</v>
      </c>
      <c r="BP23">
        <v>300</v>
      </c>
      <c r="BQ23">
        <v>300</v>
      </c>
      <c r="BR23">
        <v>8105.69</v>
      </c>
      <c r="BS23">
        <v>1105.06</v>
      </c>
      <c r="BT23">
        <v>-2.9485399999999999E-3</v>
      </c>
      <c r="BU23">
        <v>4.9747300000000001</v>
      </c>
      <c r="BV23">
        <f t="shared" si="39"/>
        <v>2200.00225806452</v>
      </c>
      <c r="BW23">
        <f t="shared" si="40"/>
        <v>1849.1883968011625</v>
      </c>
      <c r="BX23">
        <f t="shared" si="41"/>
        <v>0.84053931764052348</v>
      </c>
      <c r="BY23">
        <f t="shared" si="42"/>
        <v>0.19107863528104715</v>
      </c>
      <c r="BZ23">
        <v>1564341940.0999999</v>
      </c>
      <c r="CA23">
        <v>446.16735483871003</v>
      </c>
      <c r="CB23">
        <v>499.99754838709703</v>
      </c>
      <c r="CC23">
        <v>18.048306451612898</v>
      </c>
      <c r="CD23">
        <v>9.7578635483870997</v>
      </c>
      <c r="CE23">
        <v>500.02241935483897</v>
      </c>
      <c r="CF23">
        <v>99.368125806451602</v>
      </c>
      <c r="CG23">
        <v>9.99954516129032E-2</v>
      </c>
      <c r="CH23">
        <v>25.509509677419398</v>
      </c>
      <c r="CI23">
        <v>27.009254838709701</v>
      </c>
      <c r="CJ23">
        <v>999.9</v>
      </c>
      <c r="CK23">
        <v>9998.3109677419397</v>
      </c>
      <c r="CL23">
        <v>0</v>
      </c>
      <c r="CM23">
        <v>-384.44193548387102</v>
      </c>
      <c r="CN23">
        <v>2200.00225806452</v>
      </c>
      <c r="CO23">
        <v>0.98200690322580597</v>
      </c>
      <c r="CP23">
        <v>1.79931806451613E-2</v>
      </c>
      <c r="CQ23">
        <v>0</v>
      </c>
      <c r="CR23">
        <v>836.82341935483896</v>
      </c>
      <c r="CS23">
        <v>1.9999499999999999</v>
      </c>
      <c r="CT23">
        <v>19071.358064516098</v>
      </c>
      <c r="CU23">
        <v>17938.309677419398</v>
      </c>
      <c r="CV23">
        <v>46.983741935483899</v>
      </c>
      <c r="CW23">
        <v>47.625</v>
      </c>
      <c r="CX23">
        <v>47.155000000000001</v>
      </c>
      <c r="CY23">
        <v>46.963419354838699</v>
      </c>
      <c r="CZ23">
        <v>48.116870967741903</v>
      </c>
      <c r="DA23">
        <v>2158.4522580645198</v>
      </c>
      <c r="DB23">
        <v>39.549999999999997</v>
      </c>
      <c r="DC23">
        <v>0</v>
      </c>
      <c r="DD23">
        <v>140.09999990463299</v>
      </c>
      <c r="DE23">
        <v>836.74480769230797</v>
      </c>
      <c r="DF23">
        <v>-3.7470427345308801</v>
      </c>
      <c r="DG23">
        <v>-119.89743600223601</v>
      </c>
      <c r="DH23">
        <v>19069.7923076923</v>
      </c>
      <c r="DI23">
        <v>15</v>
      </c>
      <c r="DJ23">
        <v>1564341985.5999999</v>
      </c>
      <c r="DK23" t="s">
        <v>329</v>
      </c>
      <c r="DL23">
        <v>105</v>
      </c>
      <c r="DM23">
        <v>0.43</v>
      </c>
      <c r="DN23">
        <v>3.7999999999999999E-2</v>
      </c>
      <c r="DO23">
        <v>500</v>
      </c>
      <c r="DP23">
        <v>10</v>
      </c>
      <c r="DQ23">
        <v>0.02</v>
      </c>
      <c r="DR23">
        <v>0.01</v>
      </c>
      <c r="DS23">
        <v>42.107379689439703</v>
      </c>
      <c r="DT23">
        <v>-1.44080914638129</v>
      </c>
      <c r="DU23">
        <v>0.28614090381442803</v>
      </c>
      <c r="DV23">
        <v>0</v>
      </c>
      <c r="DW23">
        <v>445.70739726027398</v>
      </c>
      <c r="DX23">
        <v>2.1612143650493199</v>
      </c>
      <c r="DY23">
        <v>0.380176842042452</v>
      </c>
      <c r="DZ23">
        <v>1</v>
      </c>
      <c r="EA23">
        <v>0.43113967891433103</v>
      </c>
      <c r="EB23">
        <v>-5.5124237398744003E-2</v>
      </c>
      <c r="EC23">
        <v>1.09131553938901E-2</v>
      </c>
      <c r="ED23">
        <v>1</v>
      </c>
      <c r="EE23">
        <v>2</v>
      </c>
      <c r="EF23">
        <v>3</v>
      </c>
      <c r="EG23" t="s">
        <v>330</v>
      </c>
      <c r="EH23">
        <v>1.8666700000000001</v>
      </c>
      <c r="EI23">
        <v>1.8631800000000001</v>
      </c>
      <c r="EJ23">
        <v>1.8688199999999999</v>
      </c>
      <c r="EK23">
        <v>1.86677</v>
      </c>
      <c r="EL23">
        <v>1.87138</v>
      </c>
      <c r="EM23">
        <v>1.8638600000000001</v>
      </c>
      <c r="EN23">
        <v>1.8653999999999999</v>
      </c>
      <c r="EO23">
        <v>1.86534</v>
      </c>
      <c r="EP23" t="s">
        <v>295</v>
      </c>
      <c r="EQ23" t="s">
        <v>19</v>
      </c>
      <c r="ER23" t="s">
        <v>19</v>
      </c>
      <c r="ES23" t="s">
        <v>19</v>
      </c>
      <c r="ET23" t="s">
        <v>296</v>
      </c>
      <c r="EU23" t="s">
        <v>297</v>
      </c>
      <c r="EV23" t="s">
        <v>298</v>
      </c>
      <c r="EW23" t="s">
        <v>298</v>
      </c>
      <c r="EX23" t="s">
        <v>298</v>
      </c>
      <c r="EY23" t="s">
        <v>298</v>
      </c>
      <c r="EZ23">
        <v>0</v>
      </c>
      <c r="FA23">
        <v>100</v>
      </c>
      <c r="FB23">
        <v>100</v>
      </c>
      <c r="FC23">
        <v>0.43</v>
      </c>
      <c r="FD23">
        <v>3.7999999999999999E-2</v>
      </c>
      <c r="FE23">
        <v>2</v>
      </c>
      <c r="FF23">
        <v>482.73899999999998</v>
      </c>
      <c r="FG23">
        <v>482.78100000000001</v>
      </c>
      <c r="FH23">
        <v>19.596800000000002</v>
      </c>
      <c r="FI23">
        <v>34.146599999999999</v>
      </c>
      <c r="FJ23">
        <v>29.997599999999998</v>
      </c>
      <c r="FK23">
        <v>34.166699999999999</v>
      </c>
      <c r="FL23">
        <v>34.151000000000003</v>
      </c>
      <c r="FM23">
        <v>26.528600000000001</v>
      </c>
      <c r="FN23">
        <v>72.269099999999995</v>
      </c>
      <c r="FO23">
        <v>0</v>
      </c>
      <c r="FP23">
        <v>20.367699999999999</v>
      </c>
      <c r="FQ23">
        <v>500</v>
      </c>
      <c r="FR23">
        <v>9.9088899999999995</v>
      </c>
      <c r="FS23">
        <v>100.59699999999999</v>
      </c>
      <c r="FT23">
        <v>101.167</v>
      </c>
    </row>
    <row r="24" spans="1:176" x14ac:dyDescent="0.35">
      <c r="A24">
        <v>9</v>
      </c>
      <c r="B24">
        <v>1564342127.0999999</v>
      </c>
      <c r="C24">
        <v>1087.0999999046301</v>
      </c>
      <c r="D24" t="s">
        <v>331</v>
      </c>
      <c r="E24" t="s">
        <v>332</v>
      </c>
      <c r="F24" t="s">
        <v>288</v>
      </c>
      <c r="G24" t="s">
        <v>289</v>
      </c>
      <c r="H24" t="s">
        <v>288</v>
      </c>
      <c r="J24" t="s">
        <v>288</v>
      </c>
      <c r="K24">
        <v>1564342119.0999999</v>
      </c>
      <c r="L24">
        <f t="shared" si="0"/>
        <v>5.8124185142806005E-3</v>
      </c>
      <c r="M24">
        <f t="shared" si="1"/>
        <v>44.487785245615356</v>
      </c>
      <c r="N24">
        <f t="shared" si="2"/>
        <v>542.87091733723082</v>
      </c>
      <c r="O24">
        <f t="shared" si="3"/>
        <v>304.20660051599441</v>
      </c>
      <c r="P24">
        <f t="shared" si="4"/>
        <v>30.257574307219787</v>
      </c>
      <c r="Q24">
        <f t="shared" si="5"/>
        <v>53.99605758947429</v>
      </c>
      <c r="R24">
        <f t="shared" si="6"/>
        <v>0.33704190008896689</v>
      </c>
      <c r="S24">
        <f t="shared" si="7"/>
        <v>2.2514319927680262</v>
      </c>
      <c r="T24">
        <f t="shared" si="8"/>
        <v>0.31131240699624396</v>
      </c>
      <c r="U24">
        <f t="shared" si="9"/>
        <v>0.19671801128394845</v>
      </c>
      <c r="V24">
        <f t="shared" si="10"/>
        <v>353.34120479421478</v>
      </c>
      <c r="W24">
        <f t="shared" si="11"/>
        <v>25.642979659580512</v>
      </c>
      <c r="X24">
        <f t="shared" si="12"/>
        <v>26.928841935483899</v>
      </c>
      <c r="Y24">
        <f t="shared" si="13"/>
        <v>3.5642286066204578</v>
      </c>
      <c r="Z24">
        <f t="shared" si="14"/>
        <v>55.54195019252257</v>
      </c>
      <c r="AA24">
        <f t="shared" si="15"/>
        <v>1.756842703181992</v>
      </c>
      <c r="AB24">
        <f t="shared" si="16"/>
        <v>3.1630914958735281</v>
      </c>
      <c r="AC24">
        <f t="shared" si="17"/>
        <v>1.8073859034384658</v>
      </c>
      <c r="AD24">
        <f t="shared" si="18"/>
        <v>-256.32765647977448</v>
      </c>
      <c r="AE24">
        <f t="shared" si="19"/>
        <v>-244.76546701845385</v>
      </c>
      <c r="AF24">
        <f t="shared" si="20"/>
        <v>-23.209986302696166</v>
      </c>
      <c r="AG24">
        <f t="shared" si="21"/>
        <v>-170.96190500670971</v>
      </c>
      <c r="AH24">
        <v>-4.1222309732123201E-2</v>
      </c>
      <c r="AI24">
        <v>4.6275653946981903E-2</v>
      </c>
      <c r="AJ24">
        <v>3.4577812194425701</v>
      </c>
      <c r="AK24">
        <v>13</v>
      </c>
      <c r="AL24">
        <v>3</v>
      </c>
      <c r="AM24">
        <f t="shared" si="22"/>
        <v>1.0004914343721578</v>
      </c>
      <c r="AN24">
        <f t="shared" si="23"/>
        <v>4.9143437215781738E-2</v>
      </c>
      <c r="AO24">
        <f t="shared" si="24"/>
        <v>52932.352247690411</v>
      </c>
      <c r="AP24" t="s">
        <v>290</v>
      </c>
      <c r="AQ24">
        <v>413.64615384615399</v>
      </c>
      <c r="AR24">
        <v>1914.9</v>
      </c>
      <c r="AS24">
        <f t="shared" si="25"/>
        <v>1501.2538461538461</v>
      </c>
      <c r="AT24">
        <f t="shared" si="26"/>
        <v>0.78398550637309838</v>
      </c>
      <c r="AU24">
        <v>-0.61508576146989002</v>
      </c>
      <c r="AV24" t="s">
        <v>333</v>
      </c>
      <c r="AW24">
        <v>847.26703846153896</v>
      </c>
      <c r="AX24">
        <v>1282.8800000000001</v>
      </c>
      <c r="AY24">
        <f t="shared" si="27"/>
        <v>0.33955861930847864</v>
      </c>
      <c r="AZ24">
        <v>0.5</v>
      </c>
      <c r="BA24">
        <f t="shared" si="28"/>
        <v>1849.1893161560097</v>
      </c>
      <c r="BB24">
        <f t="shared" si="29"/>
        <v>44.487785245615356</v>
      </c>
      <c r="BC24">
        <f t="shared" si="30"/>
        <v>313.95408551696221</v>
      </c>
      <c r="BD24">
        <f t="shared" si="31"/>
        <v>0.55412821152407088</v>
      </c>
      <c r="BE24">
        <f t="shared" si="32"/>
        <v>2.4390618425615043E-2</v>
      </c>
      <c r="BF24">
        <f t="shared" si="33"/>
        <v>0.49265714642055369</v>
      </c>
      <c r="BG24" t="s">
        <v>334</v>
      </c>
      <c r="BH24">
        <v>572</v>
      </c>
      <c r="BI24">
        <f t="shared" si="34"/>
        <v>710.88000000000011</v>
      </c>
      <c r="BJ24">
        <f t="shared" si="35"/>
        <v>0.61277988062466393</v>
      </c>
      <c r="BK24">
        <f t="shared" si="36"/>
        <v>0.47063817112219819</v>
      </c>
      <c r="BL24">
        <f t="shared" si="37"/>
        <v>0.50114588089953627</v>
      </c>
      <c r="BM24">
        <f t="shared" si="38"/>
        <v>0.42099475822773785</v>
      </c>
      <c r="BN24">
        <v>292</v>
      </c>
      <c r="BO24">
        <v>300</v>
      </c>
      <c r="BP24">
        <v>300</v>
      </c>
      <c r="BQ24">
        <v>300</v>
      </c>
      <c r="BR24">
        <v>8105.86</v>
      </c>
      <c r="BS24">
        <v>1133.51</v>
      </c>
      <c r="BT24">
        <v>-2.94867E-3</v>
      </c>
      <c r="BU24">
        <v>4.3598600000000003</v>
      </c>
      <c r="BV24">
        <f t="shared" si="39"/>
        <v>2200.0029032258099</v>
      </c>
      <c r="BW24">
        <f t="shared" si="40"/>
        <v>1849.1893161560097</v>
      </c>
      <c r="BX24">
        <f t="shared" si="41"/>
        <v>0.84053948903639586</v>
      </c>
      <c r="BY24">
        <f t="shared" si="42"/>
        <v>0.19107897807279164</v>
      </c>
      <c r="BZ24">
        <v>1564342119.0999999</v>
      </c>
      <c r="CA24">
        <v>542.87096774193503</v>
      </c>
      <c r="CB24">
        <v>600.013838709678</v>
      </c>
      <c r="CC24">
        <v>17.663119354838699</v>
      </c>
      <c r="CD24">
        <v>10.8151677419355</v>
      </c>
      <c r="CE24">
        <v>500.02380645161298</v>
      </c>
      <c r="CF24">
        <v>99.363887096774206</v>
      </c>
      <c r="CG24">
        <v>0.100010977419355</v>
      </c>
      <c r="CH24">
        <v>24.912306451612899</v>
      </c>
      <c r="CI24">
        <v>26.928841935483899</v>
      </c>
      <c r="CJ24">
        <v>999.9</v>
      </c>
      <c r="CK24">
        <v>10004.600967741901</v>
      </c>
      <c r="CL24">
        <v>0</v>
      </c>
      <c r="CM24">
        <v>-171.54154838709701</v>
      </c>
      <c r="CN24">
        <v>2200.0029032258099</v>
      </c>
      <c r="CO24">
        <v>0.98200070967741904</v>
      </c>
      <c r="CP24">
        <v>1.7999348387096801E-2</v>
      </c>
      <c r="CQ24">
        <v>0</v>
      </c>
      <c r="CR24">
        <v>847.22716129032301</v>
      </c>
      <c r="CS24">
        <v>1.9999499999999999</v>
      </c>
      <c r="CT24">
        <v>19307.225806451599</v>
      </c>
      <c r="CU24">
        <v>17938.274193548401</v>
      </c>
      <c r="CV24">
        <v>46.936999999999998</v>
      </c>
      <c r="CW24">
        <v>47.586387096774203</v>
      </c>
      <c r="CX24">
        <v>47.003999999999998</v>
      </c>
      <c r="CY24">
        <v>46.935032258064503</v>
      </c>
      <c r="CZ24">
        <v>48.026000000000003</v>
      </c>
      <c r="DA24">
        <v>2158.44032258065</v>
      </c>
      <c r="DB24">
        <v>39.562580645161297</v>
      </c>
      <c r="DC24">
        <v>0</v>
      </c>
      <c r="DD24">
        <v>178.39999985694899</v>
      </c>
      <c r="DE24">
        <v>847.26703846153896</v>
      </c>
      <c r="DF24">
        <v>-1.8876239130618999</v>
      </c>
      <c r="DG24">
        <v>-62.526495688595404</v>
      </c>
      <c r="DH24">
        <v>19306.5884615385</v>
      </c>
      <c r="DI24">
        <v>15</v>
      </c>
      <c r="DJ24">
        <v>1564342058.0999999</v>
      </c>
      <c r="DK24" t="s">
        <v>335</v>
      </c>
      <c r="DL24">
        <v>106</v>
      </c>
      <c r="DM24">
        <v>0.60299999999999998</v>
      </c>
      <c r="DN24">
        <v>4.9000000000000002E-2</v>
      </c>
      <c r="DO24">
        <v>600</v>
      </c>
      <c r="DP24">
        <v>11</v>
      </c>
      <c r="DQ24">
        <v>0.04</v>
      </c>
      <c r="DR24">
        <v>0.01</v>
      </c>
      <c r="DS24">
        <v>44.685248136417002</v>
      </c>
      <c r="DT24">
        <v>-1.0543751189861801</v>
      </c>
      <c r="DU24">
        <v>0.21772266114324501</v>
      </c>
      <c r="DV24">
        <v>0</v>
      </c>
      <c r="DW24">
        <v>542.674616438356</v>
      </c>
      <c r="DX24">
        <v>1.1644279896329399</v>
      </c>
      <c r="DY24">
        <v>0.206468255554449</v>
      </c>
      <c r="DZ24">
        <v>1</v>
      </c>
      <c r="EA24">
        <v>0.334761074263836</v>
      </c>
      <c r="EB24">
        <v>4.74519228119916E-3</v>
      </c>
      <c r="EC24">
        <v>3.64571039777993E-3</v>
      </c>
      <c r="ED24">
        <v>1</v>
      </c>
      <c r="EE24">
        <v>2</v>
      </c>
      <c r="EF24">
        <v>3</v>
      </c>
      <c r="EG24" t="s">
        <v>330</v>
      </c>
      <c r="EH24">
        <v>1.86666</v>
      </c>
      <c r="EI24">
        <v>1.86324</v>
      </c>
      <c r="EJ24">
        <v>1.8688100000000001</v>
      </c>
      <c r="EK24">
        <v>1.86677</v>
      </c>
      <c r="EL24">
        <v>1.8714</v>
      </c>
      <c r="EM24">
        <v>1.8638600000000001</v>
      </c>
      <c r="EN24">
        <v>1.8653999999999999</v>
      </c>
      <c r="EO24">
        <v>1.8653900000000001</v>
      </c>
      <c r="EP24" t="s">
        <v>295</v>
      </c>
      <c r="EQ24" t="s">
        <v>19</v>
      </c>
      <c r="ER24" t="s">
        <v>19</v>
      </c>
      <c r="ES24" t="s">
        <v>19</v>
      </c>
      <c r="ET24" t="s">
        <v>296</v>
      </c>
      <c r="EU24" t="s">
        <v>297</v>
      </c>
      <c r="EV24" t="s">
        <v>298</v>
      </c>
      <c r="EW24" t="s">
        <v>298</v>
      </c>
      <c r="EX24" t="s">
        <v>298</v>
      </c>
      <c r="EY24" t="s">
        <v>298</v>
      </c>
      <c r="EZ24">
        <v>0</v>
      </c>
      <c r="FA24">
        <v>100</v>
      </c>
      <c r="FB24">
        <v>100</v>
      </c>
      <c r="FC24">
        <v>0.60299999999999998</v>
      </c>
      <c r="FD24">
        <v>4.9000000000000002E-2</v>
      </c>
      <c r="FE24">
        <v>2</v>
      </c>
      <c r="FF24">
        <v>482.06299999999999</v>
      </c>
      <c r="FG24">
        <v>484.43799999999999</v>
      </c>
      <c r="FH24">
        <v>19.574000000000002</v>
      </c>
      <c r="FI24">
        <v>34.011499999999998</v>
      </c>
      <c r="FJ24">
        <v>29.999099999999999</v>
      </c>
      <c r="FK24">
        <v>34.014600000000002</v>
      </c>
      <c r="FL24">
        <v>34.005899999999997</v>
      </c>
      <c r="FM24">
        <v>30.721900000000002</v>
      </c>
      <c r="FN24">
        <v>70.448899999999995</v>
      </c>
      <c r="FO24">
        <v>0</v>
      </c>
      <c r="FP24">
        <v>19.6206</v>
      </c>
      <c r="FQ24">
        <v>600</v>
      </c>
      <c r="FR24">
        <v>10.5922</v>
      </c>
      <c r="FS24">
        <v>100.63</v>
      </c>
      <c r="FT24">
        <v>101.206</v>
      </c>
    </row>
    <row r="25" spans="1:176" x14ac:dyDescent="0.35">
      <c r="A25">
        <v>10</v>
      </c>
      <c r="B25">
        <v>1564342267.5999999</v>
      </c>
      <c r="C25">
        <v>1227.5999999046301</v>
      </c>
      <c r="D25" t="s">
        <v>336</v>
      </c>
      <c r="E25" t="s">
        <v>337</v>
      </c>
      <c r="F25" t="s">
        <v>288</v>
      </c>
      <c r="G25" t="s">
        <v>289</v>
      </c>
      <c r="H25" t="s">
        <v>288</v>
      </c>
      <c r="J25" t="s">
        <v>288</v>
      </c>
      <c r="K25">
        <v>1564342259.5999999</v>
      </c>
      <c r="L25">
        <f t="shared" si="0"/>
        <v>4.48083590064493E-3</v>
      </c>
      <c r="M25">
        <f t="shared" si="1"/>
        <v>49.369455381838826</v>
      </c>
      <c r="N25">
        <f t="shared" si="2"/>
        <v>736.80142784261147</v>
      </c>
      <c r="O25">
        <f t="shared" si="3"/>
        <v>383.11745681138916</v>
      </c>
      <c r="P25">
        <f t="shared" si="4"/>
        <v>38.105298874888362</v>
      </c>
      <c r="Q25">
        <f t="shared" si="5"/>
        <v>73.283109710161796</v>
      </c>
      <c r="R25">
        <f t="shared" si="6"/>
        <v>0.24689151374748991</v>
      </c>
      <c r="S25">
        <f t="shared" si="7"/>
        <v>2.2497052943625859</v>
      </c>
      <c r="T25">
        <f t="shared" si="8"/>
        <v>0.23276603538264332</v>
      </c>
      <c r="U25">
        <f t="shared" si="9"/>
        <v>0.14668050011614195</v>
      </c>
      <c r="V25">
        <f t="shared" si="10"/>
        <v>353.34135817991569</v>
      </c>
      <c r="W25">
        <f t="shared" si="11"/>
        <v>25.928859790960146</v>
      </c>
      <c r="X25">
        <f t="shared" si="12"/>
        <v>27.070851612903201</v>
      </c>
      <c r="Y25">
        <f t="shared" si="13"/>
        <v>3.5940806950326309</v>
      </c>
      <c r="Z25">
        <f t="shared" si="14"/>
        <v>55.230874436336052</v>
      </c>
      <c r="AA25">
        <f t="shared" si="15"/>
        <v>1.7306671436601746</v>
      </c>
      <c r="AB25">
        <f t="shared" si="16"/>
        <v>3.1335139291612939</v>
      </c>
      <c r="AC25">
        <f t="shared" si="17"/>
        <v>1.8634135513724563</v>
      </c>
      <c r="AD25">
        <f t="shared" si="18"/>
        <v>-197.60486321844141</v>
      </c>
      <c r="AE25">
        <f t="shared" si="19"/>
        <v>-280.89002759603665</v>
      </c>
      <c r="AF25">
        <f t="shared" si="20"/>
        <v>-26.65399632824484</v>
      </c>
      <c r="AG25">
        <f t="shared" si="21"/>
        <v>-151.8075289628072</v>
      </c>
      <c r="AH25">
        <v>-4.1175813892208799E-2</v>
      </c>
      <c r="AI25">
        <v>4.6223458293418798E-2</v>
      </c>
      <c r="AJ25">
        <v>3.4546938447215898</v>
      </c>
      <c r="AK25">
        <v>14</v>
      </c>
      <c r="AL25">
        <v>3</v>
      </c>
      <c r="AM25">
        <f t="shared" si="22"/>
        <v>1.0005295510829146</v>
      </c>
      <c r="AN25">
        <f t="shared" si="23"/>
        <v>5.2955108291463659E-2</v>
      </c>
      <c r="AO25">
        <f t="shared" si="24"/>
        <v>52902.974489512359</v>
      </c>
      <c r="AP25" t="s">
        <v>290</v>
      </c>
      <c r="AQ25">
        <v>413.64615384615399</v>
      </c>
      <c r="AR25">
        <v>1914.9</v>
      </c>
      <c r="AS25">
        <f t="shared" si="25"/>
        <v>1501.2538461538461</v>
      </c>
      <c r="AT25">
        <f t="shared" si="26"/>
        <v>0.78398550637309838</v>
      </c>
      <c r="AU25">
        <v>-0.61508576146989002</v>
      </c>
      <c r="AV25" t="s">
        <v>338</v>
      </c>
      <c r="AW25">
        <v>847.83942307692303</v>
      </c>
      <c r="AX25">
        <v>1287.51</v>
      </c>
      <c r="AY25">
        <f t="shared" si="27"/>
        <v>0.34148905788931894</v>
      </c>
      <c r="AZ25">
        <v>0.5</v>
      </c>
      <c r="BA25">
        <f t="shared" si="28"/>
        <v>1849.1932935753539</v>
      </c>
      <c r="BB25">
        <f t="shared" si="29"/>
        <v>49.369455381838826</v>
      </c>
      <c r="BC25">
        <f t="shared" si="30"/>
        <v>315.73963783914718</v>
      </c>
      <c r="BD25">
        <f t="shared" si="31"/>
        <v>0.55821702355709857</v>
      </c>
      <c r="BE25">
        <f t="shared" si="32"/>
        <v>2.7030457722818833E-2</v>
      </c>
      <c r="BF25">
        <f t="shared" si="33"/>
        <v>0.48728941911130796</v>
      </c>
      <c r="BG25" t="s">
        <v>339</v>
      </c>
      <c r="BH25">
        <v>568.79999999999995</v>
      </c>
      <c r="BI25">
        <f t="shared" si="34"/>
        <v>718.71</v>
      </c>
      <c r="BJ25">
        <f t="shared" si="35"/>
        <v>0.61174963048110775</v>
      </c>
      <c r="BK25">
        <f t="shared" si="36"/>
        <v>0.46607978604858485</v>
      </c>
      <c r="BL25">
        <f t="shared" si="37"/>
        <v>0.50313395943568062</v>
      </c>
      <c r="BM25">
        <f t="shared" si="38"/>
        <v>0.41791066954289502</v>
      </c>
      <c r="BN25">
        <v>294</v>
      </c>
      <c r="BO25">
        <v>300</v>
      </c>
      <c r="BP25">
        <v>300</v>
      </c>
      <c r="BQ25">
        <v>300</v>
      </c>
      <c r="BR25">
        <v>8106.09</v>
      </c>
      <c r="BS25">
        <v>1139.98</v>
      </c>
      <c r="BT25">
        <v>-2.9486500000000001E-3</v>
      </c>
      <c r="BU25">
        <v>6.1940900000000001</v>
      </c>
      <c r="BV25">
        <f t="shared" si="39"/>
        <v>2200.0080645161302</v>
      </c>
      <c r="BW25">
        <f t="shared" si="40"/>
        <v>1849.1932935753539</v>
      </c>
      <c r="BX25">
        <f t="shared" si="41"/>
        <v>0.8405393250147315</v>
      </c>
      <c r="BY25">
        <f t="shared" si="42"/>
        <v>0.19107865002946334</v>
      </c>
      <c r="BZ25">
        <v>1564342259.5999999</v>
      </c>
      <c r="CA25">
        <v>736.80148387096801</v>
      </c>
      <c r="CB25">
        <v>799.97180645161302</v>
      </c>
      <c r="CC25">
        <v>17.400435483871</v>
      </c>
      <c r="CD25">
        <v>12.120129032258101</v>
      </c>
      <c r="CE25">
        <v>500.02732258064498</v>
      </c>
      <c r="CF25">
        <v>99.361148387096804</v>
      </c>
      <c r="CG25">
        <v>9.9991264516129094E-2</v>
      </c>
      <c r="CH25">
        <v>24.7549225806452</v>
      </c>
      <c r="CI25">
        <v>27.070851612903201</v>
      </c>
      <c r="CJ25">
        <v>999.9</v>
      </c>
      <c r="CK25">
        <v>9993.5919354838697</v>
      </c>
      <c r="CL25">
        <v>0</v>
      </c>
      <c r="CM25">
        <v>-171.86403225806399</v>
      </c>
      <c r="CN25">
        <v>2200.0080645161302</v>
      </c>
      <c r="CO25">
        <v>0.98200622580645203</v>
      </c>
      <c r="CP25">
        <v>1.7993745161290299E-2</v>
      </c>
      <c r="CQ25">
        <v>0</v>
      </c>
      <c r="CR25">
        <v>847.89916129032304</v>
      </c>
      <c r="CS25">
        <v>1.9999499999999999</v>
      </c>
      <c r="CT25">
        <v>19332.670967741898</v>
      </c>
      <c r="CU25">
        <v>17938.341935483899</v>
      </c>
      <c r="CV25">
        <v>46.816064516129003</v>
      </c>
      <c r="CW25">
        <v>47.5</v>
      </c>
      <c r="CX25">
        <v>46.967483870967698</v>
      </c>
      <c r="CY25">
        <v>46.820129032258002</v>
      </c>
      <c r="CZ25">
        <v>47.927161290322601</v>
      </c>
      <c r="DA25">
        <v>2158.4574193548401</v>
      </c>
      <c r="DB25">
        <v>39.550645161290298</v>
      </c>
      <c r="DC25">
        <v>0</v>
      </c>
      <c r="DD25">
        <v>139.799999952316</v>
      </c>
      <c r="DE25">
        <v>847.83942307692303</v>
      </c>
      <c r="DF25">
        <v>-7.3699486985999902</v>
      </c>
      <c r="DG25">
        <v>-147.92820495780401</v>
      </c>
      <c r="DH25">
        <v>19331.603846153801</v>
      </c>
      <c r="DI25">
        <v>15</v>
      </c>
      <c r="DJ25">
        <v>1564342301.5999999</v>
      </c>
      <c r="DK25" t="s">
        <v>340</v>
      </c>
      <c r="DL25">
        <v>107</v>
      </c>
      <c r="DM25">
        <v>0.63300000000000001</v>
      </c>
      <c r="DN25">
        <v>6.3E-2</v>
      </c>
      <c r="DO25">
        <v>800</v>
      </c>
      <c r="DP25">
        <v>12</v>
      </c>
      <c r="DQ25">
        <v>0.01</v>
      </c>
      <c r="DR25">
        <v>0.02</v>
      </c>
      <c r="DS25">
        <v>49.859739230258</v>
      </c>
      <c r="DT25">
        <v>-1.9650253793691701</v>
      </c>
      <c r="DU25">
        <v>0.39152223982737899</v>
      </c>
      <c r="DV25">
        <v>0</v>
      </c>
      <c r="DW25">
        <v>736.28321917808205</v>
      </c>
      <c r="DX25">
        <v>2.81780821917831</v>
      </c>
      <c r="DY25">
        <v>0.49565728456443497</v>
      </c>
      <c r="DZ25">
        <v>0</v>
      </c>
      <c r="EA25">
        <v>0.25289838963628902</v>
      </c>
      <c r="EB25">
        <v>-2.83327425561694E-2</v>
      </c>
      <c r="EC25">
        <v>5.8511221269455299E-3</v>
      </c>
      <c r="ED25">
        <v>1</v>
      </c>
      <c r="EE25">
        <v>1</v>
      </c>
      <c r="EF25">
        <v>3</v>
      </c>
      <c r="EG25" t="s">
        <v>319</v>
      </c>
      <c r="EH25">
        <v>1.8666</v>
      </c>
      <c r="EI25">
        <v>1.8631</v>
      </c>
      <c r="EJ25">
        <v>1.8687400000000001</v>
      </c>
      <c r="EK25">
        <v>1.86666</v>
      </c>
      <c r="EL25">
        <v>1.87127</v>
      </c>
      <c r="EM25">
        <v>1.8637300000000001</v>
      </c>
      <c r="EN25">
        <v>1.8652899999999999</v>
      </c>
      <c r="EO25">
        <v>1.8652299999999999</v>
      </c>
      <c r="EP25" t="s">
        <v>295</v>
      </c>
      <c r="EQ25" t="s">
        <v>19</v>
      </c>
      <c r="ER25" t="s">
        <v>19</v>
      </c>
      <c r="ES25" t="s">
        <v>19</v>
      </c>
      <c r="ET25" t="s">
        <v>296</v>
      </c>
      <c r="EU25" t="s">
        <v>297</v>
      </c>
      <c r="EV25" t="s">
        <v>298</v>
      </c>
      <c r="EW25" t="s">
        <v>298</v>
      </c>
      <c r="EX25" t="s">
        <v>298</v>
      </c>
      <c r="EY25" t="s">
        <v>298</v>
      </c>
      <c r="EZ25">
        <v>0</v>
      </c>
      <c r="FA25">
        <v>100</v>
      </c>
      <c r="FB25">
        <v>100</v>
      </c>
      <c r="FC25">
        <v>0.63300000000000001</v>
      </c>
      <c r="FD25">
        <v>6.3E-2</v>
      </c>
      <c r="FE25">
        <v>2</v>
      </c>
      <c r="FF25">
        <v>480.89600000000002</v>
      </c>
      <c r="FG25">
        <v>486.20299999999997</v>
      </c>
      <c r="FH25">
        <v>18.0565</v>
      </c>
      <c r="FI25">
        <v>33.966900000000003</v>
      </c>
      <c r="FJ25">
        <v>29.9999</v>
      </c>
      <c r="FK25">
        <v>33.950499999999998</v>
      </c>
      <c r="FL25">
        <v>33.9373</v>
      </c>
      <c r="FM25">
        <v>38.792700000000004</v>
      </c>
      <c r="FN25">
        <v>64.330600000000004</v>
      </c>
      <c r="FO25">
        <v>0</v>
      </c>
      <c r="FP25">
        <v>16.899100000000001</v>
      </c>
      <c r="FQ25">
        <v>800</v>
      </c>
      <c r="FR25">
        <v>12.0947</v>
      </c>
      <c r="FS25">
        <v>100.634</v>
      </c>
      <c r="FT25">
        <v>101.208</v>
      </c>
    </row>
    <row r="26" spans="1:176" x14ac:dyDescent="0.35">
      <c r="A26">
        <v>11</v>
      </c>
      <c r="B26">
        <v>1564342443.0999999</v>
      </c>
      <c r="C26">
        <v>1403.0999999046301</v>
      </c>
      <c r="D26" t="s">
        <v>341</v>
      </c>
      <c r="E26" t="s">
        <v>342</v>
      </c>
      <c r="F26" t="s">
        <v>288</v>
      </c>
      <c r="G26" t="s">
        <v>289</v>
      </c>
      <c r="H26" t="s">
        <v>288</v>
      </c>
      <c r="J26" t="s">
        <v>288</v>
      </c>
      <c r="K26">
        <v>1564342435.0999999</v>
      </c>
      <c r="L26">
        <f t="shared" si="0"/>
        <v>3.2033868466687359E-3</v>
      </c>
      <c r="M26">
        <f t="shared" si="1"/>
        <v>48.809500730146929</v>
      </c>
      <c r="N26">
        <f t="shared" si="2"/>
        <v>937.86594475019592</v>
      </c>
      <c r="O26">
        <f t="shared" si="3"/>
        <v>438.30837402930291</v>
      </c>
      <c r="P26">
        <f t="shared" si="4"/>
        <v>43.592710101945315</v>
      </c>
      <c r="Q26">
        <f t="shared" si="5"/>
        <v>93.27706397242838</v>
      </c>
      <c r="R26">
        <f t="shared" si="6"/>
        <v>0.16921705107308502</v>
      </c>
      <c r="S26">
        <f t="shared" si="7"/>
        <v>2.2501894503411548</v>
      </c>
      <c r="T26">
        <f t="shared" si="8"/>
        <v>0.16245200520323713</v>
      </c>
      <c r="U26">
        <f t="shared" si="9"/>
        <v>0.10211777996334179</v>
      </c>
      <c r="V26">
        <f t="shared" si="10"/>
        <v>353.34362633125301</v>
      </c>
      <c r="W26">
        <f t="shared" si="11"/>
        <v>25.781906518762341</v>
      </c>
      <c r="X26">
        <f t="shared" si="12"/>
        <v>26.985616129032302</v>
      </c>
      <c r="Y26">
        <f t="shared" si="13"/>
        <v>3.5761371320966453</v>
      </c>
      <c r="Z26">
        <f t="shared" si="14"/>
        <v>55.040643941826964</v>
      </c>
      <c r="AA26">
        <f t="shared" si="15"/>
        <v>1.6666439408584939</v>
      </c>
      <c r="AB26">
        <f t="shared" si="16"/>
        <v>3.0280240591298084</v>
      </c>
      <c r="AC26">
        <f t="shared" si="17"/>
        <v>1.9094931912381514</v>
      </c>
      <c r="AD26">
        <f t="shared" si="18"/>
        <v>-141.26935993809124</v>
      </c>
      <c r="AE26">
        <f t="shared" si="19"/>
        <v>-340.01308974978713</v>
      </c>
      <c r="AF26">
        <f t="shared" si="20"/>
        <v>-32.151251279619117</v>
      </c>
      <c r="AG26">
        <f t="shared" si="21"/>
        <v>-160.09007463624445</v>
      </c>
      <c r="AH26">
        <v>-4.1188847793651E-2</v>
      </c>
      <c r="AI26">
        <v>4.6238089989620097E-2</v>
      </c>
      <c r="AJ26">
        <v>3.4555594309748701</v>
      </c>
      <c r="AK26">
        <v>15</v>
      </c>
      <c r="AL26">
        <v>3</v>
      </c>
      <c r="AM26">
        <f t="shared" si="22"/>
        <v>1.0005661358539288</v>
      </c>
      <c r="AN26">
        <f t="shared" si="23"/>
        <v>5.6613585392883969E-2</v>
      </c>
      <c r="AO26">
        <f t="shared" si="24"/>
        <v>53020.814469374629</v>
      </c>
      <c r="AP26" t="s">
        <v>290</v>
      </c>
      <c r="AQ26">
        <v>413.64615384615399</v>
      </c>
      <c r="AR26">
        <v>1914.9</v>
      </c>
      <c r="AS26">
        <f t="shared" si="25"/>
        <v>1501.2538461538461</v>
      </c>
      <c r="AT26">
        <f t="shared" si="26"/>
        <v>0.78398550637309838</v>
      </c>
      <c r="AU26">
        <v>-0.61508576146989002</v>
      </c>
      <c r="AV26" t="s">
        <v>343</v>
      </c>
      <c r="AW26">
        <v>839.90707692307706</v>
      </c>
      <c r="AX26">
        <v>1262.8399999999999</v>
      </c>
      <c r="AY26">
        <f t="shared" si="27"/>
        <v>0.33490618215840717</v>
      </c>
      <c r="AZ26">
        <v>0.5</v>
      </c>
      <c r="BA26">
        <f t="shared" si="28"/>
        <v>1849.2049742205145</v>
      </c>
      <c r="BB26">
        <f t="shared" si="29"/>
        <v>48.809500730146929</v>
      </c>
      <c r="BC26">
        <f t="shared" si="30"/>
        <v>309.65508897226414</v>
      </c>
      <c r="BD26">
        <f t="shared" si="31"/>
        <v>0.55544645402426274</v>
      </c>
      <c r="BE26">
        <f t="shared" si="32"/>
        <v>2.6727478662796969E-2</v>
      </c>
      <c r="BF26">
        <f t="shared" si="33"/>
        <v>0.51634411326850604</v>
      </c>
      <c r="BG26" t="s">
        <v>344</v>
      </c>
      <c r="BH26">
        <v>561.4</v>
      </c>
      <c r="BI26">
        <f t="shared" si="34"/>
        <v>701.43999999999994</v>
      </c>
      <c r="BJ26">
        <f t="shared" si="35"/>
        <v>0.60294953677709129</v>
      </c>
      <c r="BK26">
        <f t="shared" si="36"/>
        <v>0.4817584041374216</v>
      </c>
      <c r="BL26">
        <f t="shared" si="37"/>
        <v>0.49804049451425414</v>
      </c>
      <c r="BM26">
        <f t="shared" si="38"/>
        <v>0.43434359996515748</v>
      </c>
      <c r="BN26">
        <v>296</v>
      </c>
      <c r="BO26">
        <v>300</v>
      </c>
      <c r="BP26">
        <v>300</v>
      </c>
      <c r="BQ26">
        <v>300</v>
      </c>
      <c r="BR26">
        <v>8106.53</v>
      </c>
      <c r="BS26">
        <v>1125.42</v>
      </c>
      <c r="BT26">
        <v>-2.9488100000000001E-3</v>
      </c>
      <c r="BU26">
        <v>5.2047100000000004</v>
      </c>
      <c r="BV26">
        <f t="shared" si="39"/>
        <v>2200.02193548387</v>
      </c>
      <c r="BW26">
        <f t="shared" si="40"/>
        <v>1849.2049742205145</v>
      </c>
      <c r="BX26">
        <f t="shared" si="41"/>
        <v>0.84053933481067888</v>
      </c>
      <c r="BY26">
        <f t="shared" si="42"/>
        <v>0.19107866962135772</v>
      </c>
      <c r="BZ26">
        <v>1564342435.0999999</v>
      </c>
      <c r="CA26">
        <v>937.86599999999999</v>
      </c>
      <c r="CB26">
        <v>1000.00558064516</v>
      </c>
      <c r="CC26">
        <v>16.757480645161301</v>
      </c>
      <c r="CD26">
        <v>12.9802451612903</v>
      </c>
      <c r="CE26">
        <v>500.03135483871</v>
      </c>
      <c r="CF26">
        <v>99.356706451612894</v>
      </c>
      <c r="CG26">
        <v>0.100006412903226</v>
      </c>
      <c r="CH26">
        <v>24.182822580645201</v>
      </c>
      <c r="CI26">
        <v>26.985616129032302</v>
      </c>
      <c r="CJ26">
        <v>999.9</v>
      </c>
      <c r="CK26">
        <v>9997.2022580645207</v>
      </c>
      <c r="CL26">
        <v>0</v>
      </c>
      <c r="CM26">
        <v>-192.538806451613</v>
      </c>
      <c r="CN26">
        <v>2200.02193548387</v>
      </c>
      <c r="CO26">
        <v>0.98200477419354804</v>
      </c>
      <c r="CP26">
        <v>1.7994954838709699E-2</v>
      </c>
      <c r="CQ26">
        <v>0</v>
      </c>
      <c r="CR26">
        <v>840.00406451612901</v>
      </c>
      <c r="CS26">
        <v>1.9999499999999999</v>
      </c>
      <c r="CT26">
        <v>19146.525806451598</v>
      </c>
      <c r="CU26">
        <v>17938.454838709698</v>
      </c>
      <c r="CV26">
        <v>46.620935483871001</v>
      </c>
      <c r="CW26">
        <v>47.358741935483899</v>
      </c>
      <c r="CX26">
        <v>46.826225806451603</v>
      </c>
      <c r="CY26">
        <v>46.646999999999998</v>
      </c>
      <c r="CZ26">
        <v>47.701225806451603</v>
      </c>
      <c r="DA26">
        <v>2158.4703225806502</v>
      </c>
      <c r="DB26">
        <v>39.551612903225802</v>
      </c>
      <c r="DC26">
        <v>0</v>
      </c>
      <c r="DD26">
        <v>175.09999990463299</v>
      </c>
      <c r="DE26">
        <v>839.90707692307706</v>
      </c>
      <c r="DF26">
        <v>-5.7985640917459103</v>
      </c>
      <c r="DG26">
        <v>-145.329914528139</v>
      </c>
      <c r="DH26">
        <v>19144.8884615385</v>
      </c>
      <c r="DI26">
        <v>15</v>
      </c>
      <c r="DJ26">
        <v>1564342397.5999999</v>
      </c>
      <c r="DK26" t="s">
        <v>345</v>
      </c>
      <c r="DL26">
        <v>108</v>
      </c>
      <c r="DM26">
        <v>0.98399999999999999</v>
      </c>
      <c r="DN26">
        <v>7.3999999999999996E-2</v>
      </c>
      <c r="DO26">
        <v>1000</v>
      </c>
      <c r="DP26">
        <v>13</v>
      </c>
      <c r="DQ26">
        <v>0.03</v>
      </c>
      <c r="DR26">
        <v>0.02</v>
      </c>
      <c r="DS26">
        <v>49.064510896031699</v>
      </c>
      <c r="DT26">
        <v>0.12563214830675101</v>
      </c>
      <c r="DU26">
        <v>1.8108061691411099</v>
      </c>
      <c r="DV26">
        <v>0</v>
      </c>
      <c r="DW26">
        <v>937.37773972602702</v>
      </c>
      <c r="DX26">
        <v>2.8750092558312801</v>
      </c>
      <c r="DY26">
        <v>0.50645001450189397</v>
      </c>
      <c r="DZ26">
        <v>0</v>
      </c>
      <c r="EA26">
        <v>0.16716996326484401</v>
      </c>
      <c r="EB26">
        <v>1.7449326274346099E-2</v>
      </c>
      <c r="EC26">
        <v>7.2666620571504199E-3</v>
      </c>
      <c r="ED26">
        <v>1</v>
      </c>
      <c r="EE26">
        <v>1</v>
      </c>
      <c r="EF26">
        <v>3</v>
      </c>
      <c r="EG26" t="s">
        <v>319</v>
      </c>
      <c r="EH26">
        <v>1.8666199999999999</v>
      </c>
      <c r="EI26">
        <v>1.86313</v>
      </c>
      <c r="EJ26">
        <v>1.86876</v>
      </c>
      <c r="EK26">
        <v>1.86676</v>
      </c>
      <c r="EL26">
        <v>1.87134</v>
      </c>
      <c r="EM26">
        <v>1.8638600000000001</v>
      </c>
      <c r="EN26">
        <v>1.8653900000000001</v>
      </c>
      <c r="EO26">
        <v>1.86537</v>
      </c>
      <c r="EP26" t="s">
        <v>295</v>
      </c>
      <c r="EQ26" t="s">
        <v>19</v>
      </c>
      <c r="ER26" t="s">
        <v>19</v>
      </c>
      <c r="ES26" t="s">
        <v>19</v>
      </c>
      <c r="ET26" t="s">
        <v>296</v>
      </c>
      <c r="EU26" t="s">
        <v>297</v>
      </c>
      <c r="EV26" t="s">
        <v>298</v>
      </c>
      <c r="EW26" t="s">
        <v>298</v>
      </c>
      <c r="EX26" t="s">
        <v>298</v>
      </c>
      <c r="EY26" t="s">
        <v>298</v>
      </c>
      <c r="EZ26">
        <v>0</v>
      </c>
      <c r="FA26">
        <v>100</v>
      </c>
      <c r="FB26">
        <v>100</v>
      </c>
      <c r="FC26">
        <v>0.98399999999999999</v>
      </c>
      <c r="FD26">
        <v>7.3999999999999996E-2</v>
      </c>
      <c r="FE26">
        <v>2</v>
      </c>
      <c r="FF26">
        <v>480.01100000000002</v>
      </c>
      <c r="FG26">
        <v>487.767</v>
      </c>
      <c r="FH26">
        <v>18.3828</v>
      </c>
      <c r="FI26">
        <v>33.860100000000003</v>
      </c>
      <c r="FJ26">
        <v>29.997900000000001</v>
      </c>
      <c r="FK26">
        <v>33.837699999999998</v>
      </c>
      <c r="FL26">
        <v>33.8187</v>
      </c>
      <c r="FM26">
        <v>46.467100000000002</v>
      </c>
      <c r="FN26">
        <v>60.949300000000001</v>
      </c>
      <c r="FO26">
        <v>0</v>
      </c>
      <c r="FP26">
        <v>18.388400000000001</v>
      </c>
      <c r="FQ26">
        <v>1000</v>
      </c>
      <c r="FR26">
        <v>13.067500000000001</v>
      </c>
      <c r="FS26">
        <v>100.657</v>
      </c>
      <c r="FT26">
        <v>101.24</v>
      </c>
    </row>
    <row r="27" spans="1:176" x14ac:dyDescent="0.35">
      <c r="A27">
        <v>12</v>
      </c>
      <c r="B27">
        <v>1564342583.5999999</v>
      </c>
      <c r="C27">
        <v>1543.5999999046301</v>
      </c>
      <c r="D27" t="s">
        <v>346</v>
      </c>
      <c r="E27" t="s">
        <v>347</v>
      </c>
      <c r="F27" t="s">
        <v>288</v>
      </c>
      <c r="G27" t="s">
        <v>289</v>
      </c>
      <c r="H27" t="s">
        <v>288</v>
      </c>
      <c r="J27" t="s">
        <v>288</v>
      </c>
      <c r="K27">
        <v>1564342575.5999999</v>
      </c>
      <c r="L27">
        <f t="shared" si="0"/>
        <v>2.5891042035421762E-3</v>
      </c>
      <c r="M27">
        <f t="shared" si="1"/>
        <v>50.305363583789564</v>
      </c>
      <c r="N27">
        <f t="shared" si="2"/>
        <v>1136.1389754407917</v>
      </c>
      <c r="O27">
        <f t="shared" si="3"/>
        <v>487.02484308375642</v>
      </c>
      <c r="P27">
        <f t="shared" si="4"/>
        <v>48.438910832382859</v>
      </c>
      <c r="Q27">
        <f t="shared" si="5"/>
        <v>112.99902932283669</v>
      </c>
      <c r="R27">
        <f t="shared" si="6"/>
        <v>0.1327928134931679</v>
      </c>
      <c r="S27">
        <f t="shared" si="7"/>
        <v>2.2517857937444408</v>
      </c>
      <c r="T27">
        <f t="shared" si="8"/>
        <v>0.12859064239735296</v>
      </c>
      <c r="U27">
        <f t="shared" si="9"/>
        <v>8.0735622757561271E-2</v>
      </c>
      <c r="V27">
        <f t="shared" si="10"/>
        <v>353.34403820071901</v>
      </c>
      <c r="W27">
        <f t="shared" si="11"/>
        <v>25.929247972100299</v>
      </c>
      <c r="X27">
        <f t="shared" si="12"/>
        <v>27.190841935483899</v>
      </c>
      <c r="Y27">
        <f t="shared" si="13"/>
        <v>3.6194739319045803</v>
      </c>
      <c r="Z27">
        <f t="shared" si="14"/>
        <v>55.342399135816237</v>
      </c>
      <c r="AA27">
        <f t="shared" si="15"/>
        <v>1.6701758455442826</v>
      </c>
      <c r="AB27">
        <f t="shared" si="16"/>
        <v>3.0178956308805667</v>
      </c>
      <c r="AC27">
        <f t="shared" si="17"/>
        <v>1.9492980863602978</v>
      </c>
      <c r="AD27">
        <f t="shared" si="18"/>
        <v>-114.17949537620997</v>
      </c>
      <c r="AE27">
        <f t="shared" si="19"/>
        <v>-371.94747766698015</v>
      </c>
      <c r="AF27">
        <f t="shared" si="20"/>
        <v>-35.172530102285336</v>
      </c>
      <c r="AG27">
        <f t="shared" si="21"/>
        <v>-167.95546494475644</v>
      </c>
      <c r="AH27">
        <v>-4.1231840728909903E-2</v>
      </c>
      <c r="AI27">
        <v>4.6286353325836201E-2</v>
      </c>
      <c r="AJ27">
        <v>3.4584139400301801</v>
      </c>
      <c r="AK27">
        <v>15</v>
      </c>
      <c r="AL27">
        <v>3</v>
      </c>
      <c r="AM27">
        <f t="shared" si="22"/>
        <v>1.0005654625372153</v>
      </c>
      <c r="AN27">
        <f t="shared" si="23"/>
        <v>5.6546253721534434E-2</v>
      </c>
      <c r="AO27">
        <f t="shared" si="24"/>
        <v>53083.912550486777</v>
      </c>
      <c r="AP27" t="s">
        <v>290</v>
      </c>
      <c r="AQ27">
        <v>413.64615384615399</v>
      </c>
      <c r="AR27">
        <v>1914.9</v>
      </c>
      <c r="AS27">
        <f t="shared" si="25"/>
        <v>1501.2538461538461</v>
      </c>
      <c r="AT27">
        <f t="shared" si="26"/>
        <v>0.78398550637309838</v>
      </c>
      <c r="AU27">
        <v>-0.61508576146989002</v>
      </c>
      <c r="AV27" t="s">
        <v>348</v>
      </c>
      <c r="AW27">
        <v>837.29392307692297</v>
      </c>
      <c r="AX27">
        <v>1262.24</v>
      </c>
      <c r="AY27">
        <f t="shared" si="27"/>
        <v>0.33666028403716963</v>
      </c>
      <c r="AZ27">
        <v>0.5</v>
      </c>
      <c r="BA27">
        <f t="shared" si="28"/>
        <v>1849.2071419624485</v>
      </c>
      <c r="BB27">
        <f t="shared" si="29"/>
        <v>50.305363583789564</v>
      </c>
      <c r="BC27">
        <f t="shared" si="30"/>
        <v>311.27730082832028</v>
      </c>
      <c r="BD27">
        <f t="shared" si="31"/>
        <v>0.55444289517049061</v>
      </c>
      <c r="BE27">
        <f t="shared" si="32"/>
        <v>2.7536368527768473E-2</v>
      </c>
      <c r="BF27">
        <f t="shared" si="33"/>
        <v>0.51706490049435927</v>
      </c>
      <c r="BG27" t="s">
        <v>349</v>
      </c>
      <c r="BH27">
        <v>562.4</v>
      </c>
      <c r="BI27">
        <f t="shared" si="34"/>
        <v>699.84</v>
      </c>
      <c r="BJ27">
        <f t="shared" si="35"/>
        <v>0.60720461380183621</v>
      </c>
      <c r="BK27">
        <f t="shared" si="36"/>
        <v>0.48255822550831801</v>
      </c>
      <c r="BL27">
        <f t="shared" si="37"/>
        <v>0.50076497590584268</v>
      </c>
      <c r="BM27">
        <f t="shared" si="38"/>
        <v>0.43474326588543943</v>
      </c>
      <c r="BN27">
        <v>298</v>
      </c>
      <c r="BO27">
        <v>300</v>
      </c>
      <c r="BP27">
        <v>300</v>
      </c>
      <c r="BQ27">
        <v>300</v>
      </c>
      <c r="BR27">
        <v>8106.79</v>
      </c>
      <c r="BS27">
        <v>1121.95</v>
      </c>
      <c r="BT27">
        <v>-2.94889E-3</v>
      </c>
      <c r="BU27">
        <v>6.2470699999999999</v>
      </c>
      <c r="BV27">
        <f t="shared" si="39"/>
        <v>2200.02451612903</v>
      </c>
      <c r="BW27">
        <f t="shared" si="40"/>
        <v>1849.2071419624485</v>
      </c>
      <c r="BX27">
        <f t="shared" si="41"/>
        <v>0.84053933417803506</v>
      </c>
      <c r="BY27">
        <f t="shared" si="42"/>
        <v>0.19107866835607015</v>
      </c>
      <c r="BZ27">
        <v>1564342575.5999999</v>
      </c>
      <c r="CA27">
        <v>1136.1390322580601</v>
      </c>
      <c r="CB27">
        <v>1199.99870967742</v>
      </c>
      <c r="CC27">
        <v>16.792638709677401</v>
      </c>
      <c r="CD27">
        <v>13.739764516129</v>
      </c>
      <c r="CE27">
        <v>500.01990322580701</v>
      </c>
      <c r="CF27">
        <v>99.358832258064496</v>
      </c>
      <c r="CG27">
        <v>9.9976712903225795E-2</v>
      </c>
      <c r="CH27">
        <v>24.1269806451613</v>
      </c>
      <c r="CI27">
        <v>27.190841935483899</v>
      </c>
      <c r="CJ27">
        <v>999.9</v>
      </c>
      <c r="CK27">
        <v>10007.4232258065</v>
      </c>
      <c r="CL27">
        <v>0</v>
      </c>
      <c r="CM27">
        <v>-195.135903225806</v>
      </c>
      <c r="CN27">
        <v>2200.02451612903</v>
      </c>
      <c r="CO27">
        <v>0.98200438709677396</v>
      </c>
      <c r="CP27">
        <v>1.7995277419354801E-2</v>
      </c>
      <c r="CQ27">
        <v>0</v>
      </c>
      <c r="CR27">
        <v>837.33335483870997</v>
      </c>
      <c r="CS27">
        <v>1.9999499999999999</v>
      </c>
      <c r="CT27">
        <v>19106.787096774198</v>
      </c>
      <c r="CU27">
        <v>17938.467741935499</v>
      </c>
      <c r="CV27">
        <v>46.4695161290323</v>
      </c>
      <c r="CW27">
        <v>47.25</v>
      </c>
      <c r="CX27">
        <v>46.665064516129</v>
      </c>
      <c r="CY27">
        <v>46.526000000000003</v>
      </c>
      <c r="CZ27">
        <v>47.55</v>
      </c>
      <c r="DA27">
        <v>2158.4729032258101</v>
      </c>
      <c r="DB27">
        <v>39.551612903225802</v>
      </c>
      <c r="DC27">
        <v>0</v>
      </c>
      <c r="DD27">
        <v>139.799999952316</v>
      </c>
      <c r="DE27">
        <v>837.29392307692297</v>
      </c>
      <c r="DF27">
        <v>-4.7722393197488904</v>
      </c>
      <c r="DG27">
        <v>-104.321367254772</v>
      </c>
      <c r="DH27">
        <v>19105.8384615385</v>
      </c>
      <c r="DI27">
        <v>15</v>
      </c>
      <c r="DJ27">
        <v>1564342507.0999999</v>
      </c>
      <c r="DK27" t="s">
        <v>350</v>
      </c>
      <c r="DL27">
        <v>109</v>
      </c>
      <c r="DM27">
        <v>1.069</v>
      </c>
      <c r="DN27">
        <v>7.6999999999999999E-2</v>
      </c>
      <c r="DO27">
        <v>1201</v>
      </c>
      <c r="DP27">
        <v>13</v>
      </c>
      <c r="DQ27">
        <v>0.03</v>
      </c>
      <c r="DR27">
        <v>0.02</v>
      </c>
      <c r="DS27">
        <v>50.567198699101297</v>
      </c>
      <c r="DT27">
        <v>-1.22883667709154</v>
      </c>
      <c r="DU27">
        <v>0.25705588022764098</v>
      </c>
      <c r="DV27">
        <v>0</v>
      </c>
      <c r="DW27">
        <v>1135.9163013698601</v>
      </c>
      <c r="DX27">
        <v>1.3313957793409401</v>
      </c>
      <c r="DY27">
        <v>0.24296967987919199</v>
      </c>
      <c r="DZ27">
        <v>1</v>
      </c>
      <c r="EA27">
        <v>0.133253946290432</v>
      </c>
      <c r="EB27">
        <v>-1.64048392430741E-3</v>
      </c>
      <c r="EC27">
        <v>3.6731512280084502E-4</v>
      </c>
      <c r="ED27">
        <v>1</v>
      </c>
      <c r="EE27">
        <v>2</v>
      </c>
      <c r="EF27">
        <v>3</v>
      </c>
      <c r="EG27" t="s">
        <v>330</v>
      </c>
      <c r="EH27">
        <v>1.8665799999999999</v>
      </c>
      <c r="EI27">
        <v>1.8630899999999999</v>
      </c>
      <c r="EJ27">
        <v>1.8687400000000001</v>
      </c>
      <c r="EK27">
        <v>1.86663</v>
      </c>
      <c r="EL27">
        <v>1.8713</v>
      </c>
      <c r="EM27">
        <v>1.8637600000000001</v>
      </c>
      <c r="EN27">
        <v>1.8652500000000001</v>
      </c>
      <c r="EO27">
        <v>1.8652299999999999</v>
      </c>
      <c r="EP27" t="s">
        <v>295</v>
      </c>
      <c r="EQ27" t="s">
        <v>19</v>
      </c>
      <c r="ER27" t="s">
        <v>19</v>
      </c>
      <c r="ES27" t="s">
        <v>19</v>
      </c>
      <c r="ET27" t="s">
        <v>296</v>
      </c>
      <c r="EU27" t="s">
        <v>297</v>
      </c>
      <c r="EV27" t="s">
        <v>298</v>
      </c>
      <c r="EW27" t="s">
        <v>298</v>
      </c>
      <c r="EX27" t="s">
        <v>298</v>
      </c>
      <c r="EY27" t="s">
        <v>298</v>
      </c>
      <c r="EZ27">
        <v>0</v>
      </c>
      <c r="FA27">
        <v>100</v>
      </c>
      <c r="FB27">
        <v>100</v>
      </c>
      <c r="FC27">
        <v>1.069</v>
      </c>
      <c r="FD27">
        <v>7.6999999999999999E-2</v>
      </c>
      <c r="FE27">
        <v>2</v>
      </c>
      <c r="FF27">
        <v>479.43799999999999</v>
      </c>
      <c r="FG27">
        <v>489.19099999999997</v>
      </c>
      <c r="FH27">
        <v>17.4559</v>
      </c>
      <c r="FI27">
        <v>33.744399999999999</v>
      </c>
      <c r="FJ27">
        <v>30</v>
      </c>
      <c r="FK27">
        <v>33.731000000000002</v>
      </c>
      <c r="FL27">
        <v>33.7181</v>
      </c>
      <c r="FM27">
        <v>53.803800000000003</v>
      </c>
      <c r="FN27">
        <v>58.796599999999998</v>
      </c>
      <c r="FO27">
        <v>0</v>
      </c>
      <c r="FP27">
        <v>15.113</v>
      </c>
      <c r="FQ27">
        <v>1200</v>
      </c>
      <c r="FR27">
        <v>13.6356</v>
      </c>
      <c r="FS27">
        <v>100.67400000000001</v>
      </c>
      <c r="FT27">
        <v>101.25700000000001</v>
      </c>
    </row>
    <row r="28" spans="1:176" x14ac:dyDescent="0.35">
      <c r="A28">
        <v>13</v>
      </c>
      <c r="B28">
        <v>1564342724.0999999</v>
      </c>
      <c r="C28">
        <v>1684.0999999046301</v>
      </c>
      <c r="D28" t="s">
        <v>351</v>
      </c>
      <c r="E28" t="s">
        <v>352</v>
      </c>
      <c r="F28" t="s">
        <v>288</v>
      </c>
      <c r="G28" t="s">
        <v>289</v>
      </c>
      <c r="H28" t="s">
        <v>288</v>
      </c>
      <c r="J28" t="s">
        <v>288</v>
      </c>
      <c r="K28">
        <v>1564342716.0999999</v>
      </c>
      <c r="L28">
        <f t="shared" si="0"/>
        <v>2.2413728346451843E-3</v>
      </c>
      <c r="M28">
        <f t="shared" si="1"/>
        <v>51.230409832077328</v>
      </c>
      <c r="N28">
        <f t="shared" si="2"/>
        <v>1534.4480066522685</v>
      </c>
      <c r="O28">
        <f t="shared" si="3"/>
        <v>762.08879511696159</v>
      </c>
      <c r="P28">
        <f t="shared" si="4"/>
        <v>75.798096690964869</v>
      </c>
      <c r="Q28">
        <f t="shared" si="5"/>
        <v>152.61769904074833</v>
      </c>
      <c r="R28">
        <f t="shared" si="6"/>
        <v>0.11414300737525265</v>
      </c>
      <c r="S28">
        <f t="shared" si="7"/>
        <v>2.2507423423392994</v>
      </c>
      <c r="T28">
        <f t="shared" si="8"/>
        <v>0.11102195158949046</v>
      </c>
      <c r="U28">
        <f t="shared" si="9"/>
        <v>6.966202594483073E-2</v>
      </c>
      <c r="V28">
        <f t="shared" si="10"/>
        <v>353.33840549231491</v>
      </c>
      <c r="W28">
        <f t="shared" si="11"/>
        <v>25.652698105242067</v>
      </c>
      <c r="X28">
        <f t="shared" si="12"/>
        <v>26.999683870967701</v>
      </c>
      <c r="Y28">
        <f t="shared" si="13"/>
        <v>3.5790932389120873</v>
      </c>
      <c r="Z28">
        <f t="shared" si="14"/>
        <v>55.087960835640857</v>
      </c>
      <c r="AA28">
        <f t="shared" si="15"/>
        <v>1.6236375766844751</v>
      </c>
      <c r="AB28">
        <f t="shared" si="16"/>
        <v>2.9473546525505308</v>
      </c>
      <c r="AC28">
        <f t="shared" si="17"/>
        <v>1.9554556622276122</v>
      </c>
      <c r="AD28">
        <f t="shared" si="18"/>
        <v>-98.844542007852624</v>
      </c>
      <c r="AE28">
        <f t="shared" si="19"/>
        <v>-396.33122377217853</v>
      </c>
      <c r="AF28">
        <f t="shared" si="20"/>
        <v>-37.385845005193119</v>
      </c>
      <c r="AG28">
        <f t="shared" si="21"/>
        <v>-179.22320529290937</v>
      </c>
      <c r="AH28">
        <v>-4.1203735231133402E-2</v>
      </c>
      <c r="AI28">
        <v>4.6254802442405298E-2</v>
      </c>
      <c r="AJ28">
        <v>3.45654799600567</v>
      </c>
      <c r="AK28">
        <v>15</v>
      </c>
      <c r="AL28">
        <v>3</v>
      </c>
      <c r="AM28">
        <f t="shared" si="22"/>
        <v>1.0005650823104806</v>
      </c>
      <c r="AN28">
        <f t="shared" si="23"/>
        <v>5.6508231048058022E-2</v>
      </c>
      <c r="AO28">
        <f t="shared" si="24"/>
        <v>53119.610917888393</v>
      </c>
      <c r="AP28" t="s">
        <v>290</v>
      </c>
      <c r="AQ28">
        <v>413.64615384615399</v>
      </c>
      <c r="AR28">
        <v>1914.9</v>
      </c>
      <c r="AS28">
        <f t="shared" si="25"/>
        <v>1501.2538461538461</v>
      </c>
      <c r="AT28">
        <f t="shared" si="26"/>
        <v>0.78398550637309838</v>
      </c>
      <c r="AU28">
        <v>-0.61508576146989002</v>
      </c>
      <c r="AV28" t="s">
        <v>353</v>
      </c>
      <c r="AW28">
        <v>834.565807692308</v>
      </c>
      <c r="AX28">
        <v>1209.96</v>
      </c>
      <c r="AY28">
        <f t="shared" si="27"/>
        <v>0.31025339044901656</v>
      </c>
      <c r="AZ28">
        <v>0.5</v>
      </c>
      <c r="BA28">
        <f t="shared" si="28"/>
        <v>1849.1778387366392</v>
      </c>
      <c r="BB28">
        <f t="shared" si="29"/>
        <v>51.230409832077328</v>
      </c>
      <c r="BC28">
        <f t="shared" si="30"/>
        <v>286.85684700561353</v>
      </c>
      <c r="BD28">
        <f t="shared" si="31"/>
        <v>0.54560481338226063</v>
      </c>
      <c r="BE28">
        <f t="shared" si="32"/>
        <v>2.8037052200976048E-2</v>
      </c>
      <c r="BF28">
        <f t="shared" si="33"/>
        <v>0.58261430129921654</v>
      </c>
      <c r="BG28" t="s">
        <v>354</v>
      </c>
      <c r="BH28">
        <v>549.79999999999995</v>
      </c>
      <c r="BI28">
        <f t="shared" si="34"/>
        <v>660.16000000000008</v>
      </c>
      <c r="BJ28">
        <f t="shared" si="35"/>
        <v>0.56864122683545204</v>
      </c>
      <c r="BK28">
        <f t="shared" si="36"/>
        <v>0.51640172881107615</v>
      </c>
      <c r="BL28">
        <f t="shared" si="37"/>
        <v>0.47141487507824487</v>
      </c>
      <c r="BM28">
        <f t="shared" si="38"/>
        <v>0.46956748973934614</v>
      </c>
      <c r="BN28">
        <v>300</v>
      </c>
      <c r="BO28">
        <v>300</v>
      </c>
      <c r="BP28">
        <v>300</v>
      </c>
      <c r="BQ28">
        <v>300</v>
      </c>
      <c r="BR28">
        <v>8106.83</v>
      </c>
      <c r="BS28">
        <v>1090.25</v>
      </c>
      <c r="BT28">
        <v>-2.94882E-3</v>
      </c>
      <c r="BU28">
        <v>4.03674</v>
      </c>
      <c r="BV28">
        <f t="shared" si="39"/>
        <v>2199.9896774193498</v>
      </c>
      <c r="BW28">
        <f t="shared" si="40"/>
        <v>1849.1778387366392</v>
      </c>
      <c r="BX28">
        <f t="shared" si="41"/>
        <v>0.84053932512346019</v>
      </c>
      <c r="BY28">
        <f t="shared" si="42"/>
        <v>0.19107865024692064</v>
      </c>
      <c r="BZ28">
        <v>1564342716.0999999</v>
      </c>
      <c r="CA28">
        <v>1534.44806451613</v>
      </c>
      <c r="CB28">
        <v>1600.01322580645</v>
      </c>
      <c r="CC28">
        <v>16.3243677419355</v>
      </c>
      <c r="CD28">
        <v>13.680296774193501</v>
      </c>
      <c r="CE28">
        <v>500.02848387096799</v>
      </c>
      <c r="CF28">
        <v>99.360970967741906</v>
      </c>
      <c r="CG28">
        <v>0.100006777419355</v>
      </c>
      <c r="CH28">
        <v>23.733451612903199</v>
      </c>
      <c r="CI28">
        <v>26.999683870967701</v>
      </c>
      <c r="CJ28">
        <v>999.9</v>
      </c>
      <c r="CK28">
        <v>10000.3864516129</v>
      </c>
      <c r="CL28">
        <v>0</v>
      </c>
      <c r="CM28">
        <v>-422.82538709677402</v>
      </c>
      <c r="CN28">
        <v>2199.9896774193498</v>
      </c>
      <c r="CO28">
        <v>0.98200419354838697</v>
      </c>
      <c r="CP28">
        <v>1.7995438709677399E-2</v>
      </c>
      <c r="CQ28">
        <v>0</v>
      </c>
      <c r="CR28">
        <v>834.59816129032299</v>
      </c>
      <c r="CS28">
        <v>1.9999499999999999</v>
      </c>
      <c r="CT28">
        <v>19020.890322580599</v>
      </c>
      <c r="CU28">
        <v>17938.180645161301</v>
      </c>
      <c r="CV28">
        <v>46.435000000000002</v>
      </c>
      <c r="CW28">
        <v>47.243903225806399</v>
      </c>
      <c r="CX28">
        <v>46.649000000000001</v>
      </c>
      <c r="CY28">
        <v>46.511935483871</v>
      </c>
      <c r="CZ28">
        <v>47.485774193548401</v>
      </c>
      <c r="DA28">
        <v>2158.4393548387102</v>
      </c>
      <c r="DB28">
        <v>39.550322580645201</v>
      </c>
      <c r="DC28">
        <v>0</v>
      </c>
      <c r="DD28">
        <v>139.700000047684</v>
      </c>
      <c r="DE28">
        <v>834.565807692308</v>
      </c>
      <c r="DF28">
        <v>-8.7601025754200403</v>
      </c>
      <c r="DG28">
        <v>-204.48547017896999</v>
      </c>
      <c r="DH28">
        <v>19019.692307692301</v>
      </c>
      <c r="DI28">
        <v>15</v>
      </c>
      <c r="DJ28">
        <v>1564342651.0999999</v>
      </c>
      <c r="DK28" t="s">
        <v>355</v>
      </c>
      <c r="DL28">
        <v>110</v>
      </c>
      <c r="DM28">
        <v>1.1100000000000001</v>
      </c>
      <c r="DN28">
        <v>8.3000000000000004E-2</v>
      </c>
      <c r="DO28">
        <v>1601</v>
      </c>
      <c r="DP28">
        <v>14</v>
      </c>
      <c r="DQ28">
        <v>0.03</v>
      </c>
      <c r="DR28">
        <v>0.03</v>
      </c>
      <c r="DS28">
        <v>51.643822718396301</v>
      </c>
      <c r="DT28">
        <v>-1.7731885421845699</v>
      </c>
      <c r="DU28">
        <v>0.36719102433348699</v>
      </c>
      <c r="DV28">
        <v>0</v>
      </c>
      <c r="DW28">
        <v>1533.98054794521</v>
      </c>
      <c r="DX28">
        <v>2.6649542061138898</v>
      </c>
      <c r="DY28">
        <v>0.469887454933615</v>
      </c>
      <c r="DZ28">
        <v>0</v>
      </c>
      <c r="EA28">
        <v>0.116679550964402</v>
      </c>
      <c r="EB28">
        <v>-1.1240041680160399E-2</v>
      </c>
      <c r="EC28">
        <v>2.2195514552097498E-3</v>
      </c>
      <c r="ED28">
        <v>1</v>
      </c>
      <c r="EE28">
        <v>1</v>
      </c>
      <c r="EF28">
        <v>3</v>
      </c>
      <c r="EG28" t="s">
        <v>319</v>
      </c>
      <c r="EH28">
        <v>1.8666100000000001</v>
      </c>
      <c r="EI28">
        <v>1.8631</v>
      </c>
      <c r="EJ28">
        <v>1.86873</v>
      </c>
      <c r="EK28">
        <v>1.8666700000000001</v>
      </c>
      <c r="EL28">
        <v>1.8713200000000001</v>
      </c>
      <c r="EM28">
        <v>1.8637600000000001</v>
      </c>
      <c r="EN28">
        <v>1.8653299999999999</v>
      </c>
      <c r="EO28">
        <v>1.86524</v>
      </c>
      <c r="EP28" t="s">
        <v>295</v>
      </c>
      <c r="EQ28" t="s">
        <v>19</v>
      </c>
      <c r="ER28" t="s">
        <v>19</v>
      </c>
      <c r="ES28" t="s">
        <v>19</v>
      </c>
      <c r="ET28" t="s">
        <v>296</v>
      </c>
      <c r="EU28" t="s">
        <v>297</v>
      </c>
      <c r="EV28" t="s">
        <v>298</v>
      </c>
      <c r="EW28" t="s">
        <v>298</v>
      </c>
      <c r="EX28" t="s">
        <v>298</v>
      </c>
      <c r="EY28" t="s">
        <v>298</v>
      </c>
      <c r="EZ28">
        <v>0</v>
      </c>
      <c r="FA28">
        <v>100</v>
      </c>
      <c r="FB28">
        <v>100</v>
      </c>
      <c r="FC28">
        <v>1.1100000000000001</v>
      </c>
      <c r="FD28">
        <v>8.3000000000000004E-2</v>
      </c>
      <c r="FE28">
        <v>2</v>
      </c>
      <c r="FF28">
        <v>479.34</v>
      </c>
      <c r="FG28">
        <v>489.50299999999999</v>
      </c>
      <c r="FH28">
        <v>17.264199999999999</v>
      </c>
      <c r="FI28">
        <v>33.802300000000002</v>
      </c>
      <c r="FJ28">
        <v>30.000399999999999</v>
      </c>
      <c r="FK28">
        <v>33.734000000000002</v>
      </c>
      <c r="FL28">
        <v>33.715000000000003</v>
      </c>
      <c r="FM28">
        <v>67.648300000000006</v>
      </c>
      <c r="FN28">
        <v>58.558799999999998</v>
      </c>
      <c r="FO28">
        <v>0</v>
      </c>
      <c r="FP28">
        <v>17.347300000000001</v>
      </c>
      <c r="FQ28">
        <v>1600</v>
      </c>
      <c r="FR28">
        <v>13.6721</v>
      </c>
      <c r="FS28">
        <v>100.664</v>
      </c>
      <c r="FT28">
        <v>101.241</v>
      </c>
    </row>
  </sheetData>
  <sortState xmlns:xlrd2="http://schemas.microsoft.com/office/spreadsheetml/2017/richdata2" ref="N33:P45">
    <sortCondition ref="N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2019-07-28T14:42:58Z</dcterms:created>
  <dcterms:modified xsi:type="dcterms:W3CDTF">2019-08-28T03:03:13Z</dcterms:modified>
</cp:coreProperties>
</file>