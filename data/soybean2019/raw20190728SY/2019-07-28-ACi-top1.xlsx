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1848C756-24D0-4F77-94E1-48FF05C1B541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Y29" i="1" l="1"/>
  <c r="BX29" i="1"/>
  <c r="BV29" i="1"/>
  <c r="BM29" i="1"/>
  <c r="BL29" i="1"/>
  <c r="BK29" i="1"/>
  <c r="BJ29" i="1"/>
  <c r="BI29" i="1"/>
  <c r="BD29" i="1" s="1"/>
  <c r="BF29" i="1"/>
  <c r="AY29" i="1"/>
  <c r="AS29" i="1"/>
  <c r="AT29" i="1" s="1"/>
  <c r="AO29" i="1"/>
  <c r="AM29" i="1" s="1"/>
  <c r="AB29" i="1"/>
  <c r="AA29" i="1"/>
  <c r="S29" i="1"/>
  <c r="L29" i="1"/>
  <c r="AD29" i="1" s="1"/>
  <c r="BY28" i="1"/>
  <c r="BX28" i="1"/>
  <c r="BV28" i="1"/>
  <c r="BW28" i="1" s="1"/>
  <c r="BA28" i="1" s="1"/>
  <c r="BM28" i="1"/>
  <c r="BL28" i="1"/>
  <c r="BK28" i="1"/>
  <c r="BJ28" i="1"/>
  <c r="BI28" i="1"/>
  <c r="BD28" i="1" s="1"/>
  <c r="BF28" i="1"/>
  <c r="AY28" i="1"/>
  <c r="AT28" i="1"/>
  <c r="AS28" i="1"/>
  <c r="AO28" i="1"/>
  <c r="AM28" i="1"/>
  <c r="AN28" i="1" s="1"/>
  <c r="AB28" i="1"/>
  <c r="AA28" i="1"/>
  <c r="Z28" i="1" s="1"/>
  <c r="S28" i="1"/>
  <c r="BY27" i="1"/>
  <c r="BX27" i="1"/>
  <c r="BV27" i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/>
  <c r="AB27" i="1"/>
  <c r="AA27" i="1"/>
  <c r="Z27" i="1" s="1"/>
  <c r="S27" i="1"/>
  <c r="BY26" i="1"/>
  <c r="BX26" i="1"/>
  <c r="BV26" i="1"/>
  <c r="BM26" i="1"/>
  <c r="BL26" i="1"/>
  <c r="BK26" i="1"/>
  <c r="BJ26" i="1"/>
  <c r="BI26" i="1"/>
  <c r="BD26" i="1" s="1"/>
  <c r="BF26" i="1"/>
  <c r="AY26" i="1"/>
  <c r="AS26" i="1"/>
  <c r="AT26" i="1" s="1"/>
  <c r="AO26" i="1"/>
  <c r="AM26" i="1" s="1"/>
  <c r="M26" i="1" s="1"/>
  <c r="AB26" i="1"/>
  <c r="Z26" i="1" s="1"/>
  <c r="AA26" i="1"/>
  <c r="S26" i="1"/>
  <c r="L26" i="1"/>
  <c r="AD26" i="1" s="1"/>
  <c r="BY25" i="1"/>
  <c r="BX25" i="1"/>
  <c r="BV25" i="1"/>
  <c r="BW25" i="1" s="1"/>
  <c r="BM25" i="1"/>
  <c r="BL25" i="1"/>
  <c r="BK25" i="1"/>
  <c r="BJ25" i="1"/>
  <c r="BI25" i="1"/>
  <c r="BF25" i="1"/>
  <c r="BD25" i="1"/>
  <c r="AY25" i="1"/>
  <c r="AS25" i="1"/>
  <c r="AT25" i="1" s="1"/>
  <c r="AO25" i="1"/>
  <c r="AM25" i="1" s="1"/>
  <c r="AB25" i="1"/>
  <c r="AA25" i="1"/>
  <c r="S25" i="1"/>
  <c r="BY24" i="1"/>
  <c r="V24" i="1" s="1"/>
  <c r="BX24" i="1"/>
  <c r="BV24" i="1"/>
  <c r="BW24" i="1" s="1"/>
  <c r="BA24" i="1" s="1"/>
  <c r="BM24" i="1"/>
  <c r="BL24" i="1"/>
  <c r="BK24" i="1"/>
  <c r="BJ24" i="1"/>
  <c r="BI24" i="1"/>
  <c r="BD24" i="1" s="1"/>
  <c r="BF24" i="1"/>
  <c r="AY24" i="1"/>
  <c r="BC24" i="1" s="1"/>
  <c r="AT24" i="1"/>
  <c r="AS24" i="1"/>
  <c r="AO24" i="1"/>
  <c r="AM24" i="1" s="1"/>
  <c r="AB24" i="1"/>
  <c r="AA24" i="1"/>
  <c r="Z24" i="1" s="1"/>
  <c r="S24" i="1"/>
  <c r="BY23" i="1"/>
  <c r="BX23" i="1"/>
  <c r="BV23" i="1"/>
  <c r="BM23" i="1"/>
  <c r="BL23" i="1"/>
  <c r="BK23" i="1"/>
  <c r="BJ23" i="1"/>
  <c r="BI23" i="1"/>
  <c r="BD23" i="1" s="1"/>
  <c r="BF23" i="1"/>
  <c r="AY23" i="1"/>
  <c r="AT23" i="1"/>
  <c r="AS23" i="1"/>
  <c r="AO23" i="1"/>
  <c r="AM23" i="1" s="1"/>
  <c r="M23" i="1" s="1"/>
  <c r="BB23" i="1" s="1"/>
  <c r="AB23" i="1"/>
  <c r="AA23" i="1"/>
  <c r="Z23" i="1"/>
  <c r="S23" i="1"/>
  <c r="BY22" i="1"/>
  <c r="BX22" i="1"/>
  <c r="BV22" i="1"/>
  <c r="BW22" i="1" s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L22" i="1" s="1"/>
  <c r="AB22" i="1"/>
  <c r="AA22" i="1"/>
  <c r="S22" i="1"/>
  <c r="BY21" i="1"/>
  <c r="BX21" i="1"/>
  <c r="BV21" i="1"/>
  <c r="BW21" i="1" s="1"/>
  <c r="BA21" i="1" s="1"/>
  <c r="BM21" i="1"/>
  <c r="BL21" i="1"/>
  <c r="BK21" i="1"/>
  <c r="BJ21" i="1"/>
  <c r="BI21" i="1"/>
  <c r="BD21" i="1" s="1"/>
  <c r="BF21" i="1"/>
  <c r="AY21" i="1"/>
  <c r="AT21" i="1"/>
  <c r="AS21" i="1"/>
  <c r="AO21" i="1"/>
  <c r="AM21" i="1"/>
  <c r="N21" i="1" s="1"/>
  <c r="AB21" i="1"/>
  <c r="AA21" i="1"/>
  <c r="Z21" i="1" s="1"/>
  <c r="S21" i="1"/>
  <c r="BY20" i="1"/>
  <c r="BX20" i="1"/>
  <c r="BV20" i="1"/>
  <c r="BM20" i="1"/>
  <c r="BL20" i="1"/>
  <c r="BK20" i="1"/>
  <c r="BJ20" i="1"/>
  <c r="BI20" i="1"/>
  <c r="BD20" i="1" s="1"/>
  <c r="BF20" i="1"/>
  <c r="AY20" i="1"/>
  <c r="AT20" i="1"/>
  <c r="AS20" i="1"/>
  <c r="AO20" i="1"/>
  <c r="AM20" i="1" s="1"/>
  <c r="AB20" i="1"/>
  <c r="Z20" i="1" s="1"/>
  <c r="AA20" i="1"/>
  <c r="S20" i="1"/>
  <c r="BY19" i="1"/>
  <c r="BX19" i="1"/>
  <c r="BV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 s="1"/>
  <c r="M19" i="1" s="1"/>
  <c r="BB19" i="1" s="1"/>
  <c r="AB19" i="1"/>
  <c r="Z19" i="1" s="1"/>
  <c r="AA19" i="1"/>
  <c r="S19" i="1"/>
  <c r="Q19" i="1"/>
  <c r="L19" i="1"/>
  <c r="AD19" i="1" s="1"/>
  <c r="BY18" i="1"/>
  <c r="BX18" i="1"/>
  <c r="BV18" i="1"/>
  <c r="BM18" i="1"/>
  <c r="BL18" i="1"/>
  <c r="BK18" i="1"/>
  <c r="BJ18" i="1"/>
  <c r="BI18" i="1"/>
  <c r="BD18" i="1" s="1"/>
  <c r="BF18" i="1"/>
  <c r="AY18" i="1"/>
  <c r="AT18" i="1"/>
  <c r="AS18" i="1"/>
  <c r="AO18" i="1"/>
  <c r="AM18" i="1" s="1"/>
  <c r="AB18" i="1"/>
  <c r="Z18" i="1" s="1"/>
  <c r="AA18" i="1"/>
  <c r="S18" i="1"/>
  <c r="BY17" i="1"/>
  <c r="BX17" i="1"/>
  <c r="BV17" i="1"/>
  <c r="BM17" i="1"/>
  <c r="BL17" i="1"/>
  <c r="BK17" i="1"/>
  <c r="BJ17" i="1"/>
  <c r="BI17" i="1"/>
  <c r="BF17" i="1"/>
  <c r="BD17" i="1"/>
  <c r="AY17" i="1"/>
  <c r="AS17" i="1"/>
  <c r="AT17" i="1" s="1"/>
  <c r="AO17" i="1"/>
  <c r="AM17" i="1" s="1"/>
  <c r="AB17" i="1"/>
  <c r="AA17" i="1"/>
  <c r="Z17" i="1" s="1"/>
  <c r="S17" i="1"/>
  <c r="AN24" i="1" l="1"/>
  <c r="N24" i="1"/>
  <c r="BW18" i="1"/>
  <c r="V21" i="1"/>
  <c r="AN21" i="1"/>
  <c r="BC21" i="1"/>
  <c r="BW27" i="1"/>
  <c r="V28" i="1"/>
  <c r="BC28" i="1"/>
  <c r="BW29" i="1"/>
  <c r="V29" i="1" s="1"/>
  <c r="BW17" i="1"/>
  <c r="V17" i="1" s="1"/>
  <c r="BW19" i="1"/>
  <c r="V19" i="1" s="1"/>
  <c r="BW26" i="1"/>
  <c r="AD22" i="1"/>
  <c r="Q26" i="1"/>
  <c r="BB26" i="1"/>
  <c r="BA29" i="1"/>
  <c r="BA17" i="1"/>
  <c r="BC17" i="1" s="1"/>
  <c r="V25" i="1"/>
  <c r="BA25" i="1"/>
  <c r="BC25" i="1" s="1"/>
  <c r="BA18" i="1"/>
  <c r="V18" i="1"/>
  <c r="L17" i="1"/>
  <c r="AN17" i="1"/>
  <c r="M17" i="1"/>
  <c r="BB17" i="1" s="1"/>
  <c r="N17" i="1"/>
  <c r="V22" i="1"/>
  <c r="BA22" i="1"/>
  <c r="V26" i="1"/>
  <c r="BA26" i="1"/>
  <c r="BC26" i="1" s="1"/>
  <c r="L20" i="1"/>
  <c r="AN20" i="1"/>
  <c r="N25" i="1"/>
  <c r="Q25" i="1"/>
  <c r="M25" i="1"/>
  <c r="BB25" i="1" s="1"/>
  <c r="L27" i="1"/>
  <c r="AN27" i="1"/>
  <c r="M29" i="1"/>
  <c r="BB29" i="1" s="1"/>
  <c r="BE29" i="1" s="1"/>
  <c r="AN18" i="1"/>
  <c r="BC18" i="1"/>
  <c r="BW20" i="1"/>
  <c r="BW23" i="1"/>
  <c r="Q23" i="1"/>
  <c r="L25" i="1"/>
  <c r="L18" i="1"/>
  <c r="AN19" i="1"/>
  <c r="N19" i="1"/>
  <c r="M20" i="1"/>
  <c r="BB20" i="1" s="1"/>
  <c r="BC22" i="1"/>
  <c r="AN26" i="1"/>
  <c r="N26" i="1"/>
  <c r="M27" i="1"/>
  <c r="BB27" i="1" s="1"/>
  <c r="BC29" i="1"/>
  <c r="Q20" i="1"/>
  <c r="N22" i="1"/>
  <c r="Q22" i="1"/>
  <c r="M22" i="1"/>
  <c r="BB22" i="1" s="1"/>
  <c r="BE22" i="1" s="1"/>
  <c r="L23" i="1"/>
  <c r="AN23" i="1"/>
  <c r="M18" i="1"/>
  <c r="N20" i="1"/>
  <c r="Q21" i="1"/>
  <c r="M21" i="1"/>
  <c r="BB21" i="1" s="1"/>
  <c r="BE21" i="1" s="1"/>
  <c r="L21" i="1"/>
  <c r="Z22" i="1"/>
  <c r="AN22" i="1"/>
  <c r="N23" i="1"/>
  <c r="Q24" i="1"/>
  <c r="M24" i="1"/>
  <c r="BB24" i="1" s="1"/>
  <c r="BE24" i="1" s="1"/>
  <c r="L24" i="1"/>
  <c r="Z25" i="1"/>
  <c r="AN25" i="1"/>
  <c r="N27" i="1"/>
  <c r="M28" i="1"/>
  <c r="Q28" i="1" s="1"/>
  <c r="L28" i="1"/>
  <c r="Z29" i="1"/>
  <c r="AN29" i="1"/>
  <c r="BE17" i="1" l="1"/>
  <c r="BA19" i="1"/>
  <c r="BC19" i="1" s="1"/>
  <c r="BA27" i="1"/>
  <c r="BC27" i="1" s="1"/>
  <c r="V27" i="1"/>
  <c r="W27" i="1" s="1"/>
  <c r="X27" i="1" s="1"/>
  <c r="AE27" i="1" s="1"/>
  <c r="BE26" i="1"/>
  <c r="Q17" i="1"/>
  <c r="AD20" i="1"/>
  <c r="W22" i="1"/>
  <c r="X22" i="1" s="1"/>
  <c r="W18" i="1"/>
  <c r="X18" i="1" s="1"/>
  <c r="AD28" i="1"/>
  <c r="BA23" i="1"/>
  <c r="V23" i="1"/>
  <c r="Q29" i="1"/>
  <c r="W25" i="1"/>
  <c r="X25" i="1" s="1"/>
  <c r="W19" i="1"/>
  <c r="X19" i="1" s="1"/>
  <c r="BE19" i="1"/>
  <c r="AD25" i="1"/>
  <c r="T25" i="1"/>
  <c r="R25" i="1" s="1"/>
  <c r="U25" i="1" s="1"/>
  <c r="O25" i="1" s="1"/>
  <c r="P25" i="1" s="1"/>
  <c r="BB28" i="1"/>
  <c r="BE28" i="1" s="1"/>
  <c r="N28" i="1"/>
  <c r="AD21" i="1"/>
  <c r="BB18" i="1"/>
  <c r="BE18" i="1" s="1"/>
  <c r="N18" i="1"/>
  <c r="T18" i="1"/>
  <c r="R18" i="1" s="1"/>
  <c r="U18" i="1" s="1"/>
  <c r="AD18" i="1"/>
  <c r="N29" i="1"/>
  <c r="T27" i="1"/>
  <c r="R27" i="1" s="1"/>
  <c r="U27" i="1" s="1"/>
  <c r="O27" i="1" s="1"/>
  <c r="P27" i="1" s="1"/>
  <c r="AD27" i="1"/>
  <c r="AD17" i="1"/>
  <c r="W17" i="1"/>
  <c r="X17" i="1" s="1"/>
  <c r="T17" i="1" s="1"/>
  <c r="R17" i="1" s="1"/>
  <c r="U17" i="1" s="1"/>
  <c r="O17" i="1" s="1"/>
  <c r="P17" i="1" s="1"/>
  <c r="AD24" i="1"/>
  <c r="BA20" i="1"/>
  <c r="BC20" i="1" s="1"/>
  <c r="V20" i="1"/>
  <c r="W24" i="1"/>
  <c r="X24" i="1" s="1"/>
  <c r="AD23" i="1"/>
  <c r="Q27" i="1"/>
  <c r="W28" i="1"/>
  <c r="X28" i="1" s="1"/>
  <c r="W21" i="1"/>
  <c r="X21" i="1" s="1"/>
  <c r="T21" i="1" s="1"/>
  <c r="R21" i="1" s="1"/>
  <c r="U21" i="1" s="1"/>
  <c r="O21" i="1" s="1"/>
  <c r="P21" i="1" s="1"/>
  <c r="BE25" i="1"/>
  <c r="W26" i="1"/>
  <c r="X26" i="1" s="1"/>
  <c r="W29" i="1"/>
  <c r="X29" i="1" s="1"/>
  <c r="Q18" i="1"/>
  <c r="Y27" i="1" l="1"/>
  <c r="AC27" i="1" s="1"/>
  <c r="AF27" i="1"/>
  <c r="O18" i="1"/>
  <c r="P18" i="1" s="1"/>
  <c r="BE27" i="1"/>
  <c r="Y28" i="1"/>
  <c r="AC28" i="1" s="1"/>
  <c r="AF28" i="1"/>
  <c r="AE28" i="1"/>
  <c r="W20" i="1"/>
  <c r="X20" i="1" s="1"/>
  <c r="Y25" i="1"/>
  <c r="AC25" i="1" s="1"/>
  <c r="AF25" i="1"/>
  <c r="AE25" i="1"/>
  <c r="BC23" i="1"/>
  <c r="BE23" i="1"/>
  <c r="Y21" i="1"/>
  <c r="AC21" i="1" s="1"/>
  <c r="AF21" i="1"/>
  <c r="AE21" i="1"/>
  <c r="Y24" i="1"/>
  <c r="AC24" i="1" s="1"/>
  <c r="AF24" i="1"/>
  <c r="AE24" i="1"/>
  <c r="T24" i="1"/>
  <c r="R24" i="1" s="1"/>
  <c r="U24" i="1" s="1"/>
  <c r="O24" i="1" s="1"/>
  <c r="P24" i="1" s="1"/>
  <c r="Y19" i="1"/>
  <c r="AC19" i="1" s="1"/>
  <c r="AF19" i="1"/>
  <c r="AE19" i="1"/>
  <c r="T19" i="1"/>
  <c r="R19" i="1" s="1"/>
  <c r="U19" i="1" s="1"/>
  <c r="O19" i="1" s="1"/>
  <c r="P19" i="1" s="1"/>
  <c r="W23" i="1"/>
  <c r="X23" i="1" s="1"/>
  <c r="Y18" i="1"/>
  <c r="AC18" i="1" s="1"/>
  <c r="AF18" i="1"/>
  <c r="AE18" i="1"/>
  <c r="Y22" i="1"/>
  <c r="AC22" i="1" s="1"/>
  <c r="AF22" i="1"/>
  <c r="AG22" i="1" s="1"/>
  <c r="AE22" i="1"/>
  <c r="T22" i="1"/>
  <c r="R22" i="1" s="1"/>
  <c r="U22" i="1" s="1"/>
  <c r="O22" i="1" s="1"/>
  <c r="P22" i="1" s="1"/>
  <c r="Y26" i="1"/>
  <c r="AC26" i="1" s="1"/>
  <c r="AF26" i="1"/>
  <c r="T26" i="1"/>
  <c r="R26" i="1" s="1"/>
  <c r="U26" i="1" s="1"/>
  <c r="O26" i="1" s="1"/>
  <c r="P26" i="1" s="1"/>
  <c r="AE26" i="1"/>
  <c r="AF17" i="1"/>
  <c r="Y17" i="1"/>
  <c r="AC17" i="1" s="1"/>
  <c r="AE17" i="1"/>
  <c r="Y29" i="1"/>
  <c r="AC29" i="1" s="1"/>
  <c r="AF29" i="1"/>
  <c r="AE29" i="1"/>
  <c r="T29" i="1"/>
  <c r="R29" i="1" s="1"/>
  <c r="U29" i="1" s="1"/>
  <c r="O29" i="1" s="1"/>
  <c r="P29" i="1" s="1"/>
  <c r="BE20" i="1"/>
  <c r="AG27" i="1"/>
  <c r="T28" i="1"/>
  <c r="R28" i="1" s="1"/>
  <c r="U28" i="1" s="1"/>
  <c r="O28" i="1" s="1"/>
  <c r="P28" i="1" s="1"/>
  <c r="AG18" i="1" l="1"/>
  <c r="AG21" i="1"/>
  <c r="AG26" i="1"/>
  <c r="AF20" i="1"/>
  <c r="Y20" i="1"/>
  <c r="AC20" i="1" s="1"/>
  <c r="AE20" i="1"/>
  <c r="T20" i="1"/>
  <c r="R20" i="1" s="1"/>
  <c r="U20" i="1" s="1"/>
  <c r="O20" i="1" s="1"/>
  <c r="P20" i="1" s="1"/>
  <c r="AG29" i="1"/>
  <c r="AG17" i="1"/>
  <c r="AG19" i="1"/>
  <c r="AG24" i="1"/>
  <c r="AG25" i="1"/>
  <c r="AF23" i="1"/>
  <c r="Y23" i="1"/>
  <c r="AC23" i="1" s="1"/>
  <c r="AE23" i="1"/>
  <c r="T23" i="1"/>
  <c r="R23" i="1" s="1"/>
  <c r="U23" i="1" s="1"/>
  <c r="O23" i="1" s="1"/>
  <c r="P23" i="1" s="1"/>
  <c r="AG28" i="1"/>
  <c r="AG23" i="1" l="1"/>
  <c r="AG20" i="1"/>
</calcChain>
</file>

<file path=xl/sharedStrings.xml><?xml version="1.0" encoding="utf-8"?>
<sst xmlns="http://schemas.openxmlformats.org/spreadsheetml/2006/main" count="824" uniqueCount="362">
  <si>
    <t>File opened</t>
  </si>
  <si>
    <t>2019-07-28 12:52:38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</si>
  <si>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</si>
  <si>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</si>
  <si>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</si>
  <si>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</si>
  <si>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</si>
  <si>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</si>
  <si>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</si>
  <si>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</si>
  <si>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</si>
  <si>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</si>
  <si>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</si>
  <si>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{"co2bspan1": "0.992131", "h2obspan2a": "0.0975941", "h2oaspan1": "1.00223", "co2aspan1": "0.992625", "h2oaspanconc2": "0", "h2oaspan2b": "0.0662632", "tbzero": "0.197721", "h2oaspan2": "0", "chamberpressurezero": "2.57337", "co2bspanconc1": "1002", "co2azero": "0.869071", "flowmeterzero": "0.991801", "tazero": "0.00774765", "co2aspanconc1": "1002", "h2obzero": "1.01783", "oxygen": "21", "h2oazero": "1.00263", "h2obspanconc2": "0", "h2obspan2b": "0.0963575", "co2bspan2": "0", "co2aspan2": "0", "h2oaspan2a": "0.0661155", "co2aspanconc2": "0", "flowbzero": "0.20796", "co2bspan2b": "0.162103", "co2aspan2a": "0.164928", "h2obspan2": "0", "h2obspanconc1": "20", "co2bspan2a": "0.163389", "ssb_ref": "36526.8", "h2obspan1": "0.998578", "co2bzero": "0.880288", "co2aspan2b": "0.163711", "flowazero": "0.4286", "h2oaspanconc1": "12.19", "co2bspanconc2": "0", "ssa_ref": "36614.9"}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</si>
  <si>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</si>
  <si>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</si>
  <si>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</si>
  <si>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</si>
  <si>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</si>
  <si>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</si>
  <si>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</si>
  <si>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</si>
  <si>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</si>
  <si>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12:52:38</t>
  </si>
  <si>
    <t>Stability Definition:	CO2_s (Meas): Slp&lt;2.5	A (GasEx): Slp&lt;0.3 Std&lt;0.5	gsw (GasEx): Slp&lt;1 Std&lt;1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</si>
  <si>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</si>
  <si>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</si>
  <si>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</si>
  <si>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</si>
  <si>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</si>
  <si>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</si>
  <si>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</si>
  <si>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</si>
  <si>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</si>
  <si>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</si>
  <si>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</si>
  <si>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</si>
  <si>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</si>
  <si>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</si>
  <si>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</si>
  <si>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</si>
  <si>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</si>
  <si>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</si>
  <si>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</si>
  <si>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</si>
  <si>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</si>
  <si>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</si>
  <si>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</si>
  <si>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</si>
  <si>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</si>
  <si>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</si>
  <si>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</si>
  <si>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</si>
  <si>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</si>
  <si>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</si>
  <si>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</si>
  <si>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</si>
  <si>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</si>
  <si>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</si>
  <si>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</si>
  <si>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</si>
  <si>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</si>
  <si>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</si>
  <si>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</si>
  <si>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</si>
  <si>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</si>
  <si>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</si>
  <si>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</si>
  <si>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</si>
  <si>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</si>
  <si>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</si>
  <si>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</si>
  <si>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</si>
  <si>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-0.487199 72.7212 382.101 616.812 844.974 1052.93 1229.78 1413.24</t>
  </si>
  <si>
    <t>Fs_true</t>
  </si>
  <si>
    <t>-0.150589 99.3698 402.583 601.269 799.997 1000.16 1200.73 1401.5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</si>
  <si>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</si>
  <si>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</si>
  <si>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</si>
  <si>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</si>
  <si>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</si>
  <si>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</si>
  <si>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</si>
  <si>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</si>
  <si>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</si>
  <si>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</si>
  <si>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</si>
  <si>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</si>
  <si>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</si>
  <si>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</si>
  <si>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</si>
  <si>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</si>
  <si>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</si>
  <si>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</si>
  <si>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</si>
  <si>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</si>
  <si>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</si>
  <si>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</si>
  <si>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</si>
  <si>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</si>
  <si>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</si>
  <si>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</si>
  <si>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</si>
  <si>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</si>
  <si>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</si>
  <si>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</si>
  <si>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</si>
  <si>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</si>
  <si>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</si>
  <si>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</si>
  <si>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</si>
  <si>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</si>
  <si>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</si>
  <si>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</si>
  <si>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</si>
  <si>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</si>
  <si>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</si>
  <si>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</si>
  <si>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</si>
  <si>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</si>
  <si>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</si>
  <si>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</si>
  <si>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</si>
  <si>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</si>
  <si>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</si>
  <si>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</si>
  <si>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</si>
  <si>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</si>
  <si>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</si>
  <si>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</si>
  <si>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</si>
  <si>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</si>
  <si>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</si>
  <si>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</si>
  <si>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</si>
  <si>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</si>
  <si>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</si>
  <si>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</si>
  <si>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</si>
  <si>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</si>
  <si>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</si>
  <si>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</si>
  <si>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</si>
  <si>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</si>
  <si>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</si>
  <si>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</si>
  <si>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</si>
  <si>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</si>
  <si>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</si>
  <si>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</si>
  <si>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</si>
  <si>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</si>
  <si>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</si>
  <si>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</si>
  <si>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</si>
  <si>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</si>
  <si>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</si>
  <si>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</si>
  <si>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</si>
  <si>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</si>
  <si>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</si>
  <si>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</si>
  <si>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</si>
  <si>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</si>
  <si>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</si>
  <si>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</si>
  <si>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</si>
  <si>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</si>
  <si>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</si>
  <si>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</si>
  <si>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</si>
  <si>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</si>
  <si>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</si>
  <si>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</si>
  <si>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</si>
  <si>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</si>
  <si>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</si>
  <si>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</si>
  <si>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</si>
  <si>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</si>
  <si>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</si>
  <si>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</si>
  <si>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</si>
  <si>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</si>
  <si>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</si>
  <si>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</si>
  <si>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</si>
  <si>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</si>
  <si>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</si>
  <si>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</si>
  <si>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</si>
  <si>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</si>
  <si>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</si>
  <si>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</si>
  <si>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</si>
  <si>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</si>
  <si>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</si>
  <si>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</si>
  <si>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</si>
  <si>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</si>
  <si>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</si>
  <si>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</si>
  <si>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</si>
  <si>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</si>
  <si>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</si>
  <si>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</si>
  <si>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</si>
  <si>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</si>
  <si>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</si>
  <si>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</si>
  <si>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</si>
  <si>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</si>
  <si>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</si>
  <si>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</si>
  <si>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</si>
  <si>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</si>
  <si>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</si>
  <si>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</si>
  <si>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</si>
  <si>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</si>
  <si>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</si>
  <si>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</si>
  <si>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</si>
  <si>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</si>
  <si>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</si>
  <si>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</si>
  <si>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</si>
  <si>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</si>
  <si>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</si>
  <si>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</si>
  <si>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</si>
  <si>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</si>
  <si>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</si>
  <si>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</si>
  <si>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</si>
  <si>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</si>
  <si>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</si>
  <si>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</si>
  <si>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</si>
  <si>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</si>
  <si>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</si>
  <si>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</si>
  <si>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</si>
  <si>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</si>
  <si>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</si>
  <si>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</si>
  <si>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</si>
  <si>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</si>
  <si>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</si>
  <si>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</si>
  <si>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</si>
  <si>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</si>
  <si>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</si>
  <si>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</si>
  <si>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</si>
  <si>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</si>
  <si>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</si>
  <si>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</si>
  <si>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</si>
  <si>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</si>
  <si>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</si>
  <si>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</si>
  <si>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</si>
  <si>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</si>
  <si>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</si>
  <si>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</si>
  <si>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</si>
  <si>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</si>
  <si>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</si>
  <si>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</si>
  <si>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</si>
  <si>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</si>
  <si>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</si>
  <si>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</si>
  <si>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</si>
  <si>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</si>
  <si>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</si>
  <si>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</si>
  <si>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</si>
  <si>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</si>
  <si>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</si>
  <si>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</si>
  <si>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</si>
  <si>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</si>
  <si>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</si>
  <si>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</si>
  <si>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20190728 13:17:10</t>
  </si>
  <si>
    <t>13:17:10</t>
  </si>
  <si>
    <t>1</t>
  </si>
  <si>
    <t>G2</t>
  </si>
  <si>
    <t>RECT-85-20190728-05_32_22</t>
  </si>
  <si>
    <t>MPF-248-20190728-13_17_12</t>
  </si>
  <si>
    <t>DARK-249-20190728-13_17_19</t>
  </si>
  <si>
    <t>13:16:00</t>
  </si>
  <si>
    <t>2/3</t>
  </si>
  <si>
    <t>5</t>
  </si>
  <si>
    <t>11111111</t>
  </si>
  <si>
    <t>oooooooo</t>
  </si>
  <si>
    <t>off</t>
  </si>
  <si>
    <t>20190728 13:18:41</t>
  </si>
  <si>
    <t>13:18:41</t>
  </si>
  <si>
    <t>MPF-250-20190728-13_18_42</t>
  </si>
  <si>
    <t>DARK-251-20190728-13_18_50</t>
  </si>
  <si>
    <t>13:19:17</t>
  </si>
  <si>
    <t>3/3</t>
  </si>
  <si>
    <t>20190728 13:21:38</t>
  </si>
  <si>
    <t>13:21:38</t>
  </si>
  <si>
    <t>MPF-252-20190728-13_21_40</t>
  </si>
  <si>
    <t>DARK-253-20190728-13_21_48</t>
  </si>
  <si>
    <t>13:22:15</t>
  </si>
  <si>
    <t>20190728 13:24:37</t>
  </si>
  <si>
    <t>13:24:37</t>
  </si>
  <si>
    <t>MPF-254-20190728-13_24_38</t>
  </si>
  <si>
    <t>DARK-255-20190728-13_24_46</t>
  </si>
  <si>
    <t>13:24:12</t>
  </si>
  <si>
    <t>0/3</t>
  </si>
  <si>
    <t>20190728 13:26:55</t>
  </si>
  <si>
    <t>13:26:55</t>
  </si>
  <si>
    <t>MPF-256-20190728-13_26_57</t>
  </si>
  <si>
    <t>DARK-257-20190728-13_27_04</t>
  </si>
  <si>
    <t>13:26:09</t>
  </si>
  <si>
    <t>20190728 13:28:55</t>
  </si>
  <si>
    <t>13:28:55</t>
  </si>
  <si>
    <t>MPF-258-20190728-13_28_57</t>
  </si>
  <si>
    <t>DARK-259-20190728-13_29_04</t>
  </si>
  <si>
    <t>13:28:09</t>
  </si>
  <si>
    <t>20190728 13:33:30</t>
  </si>
  <si>
    <t>13:33:30</t>
  </si>
  <si>
    <t>MPF-262-20190728-13_33_32</t>
  </si>
  <si>
    <t>DARK-263-20190728-13_33_40</t>
  </si>
  <si>
    <t>13:32:31</t>
  </si>
  <si>
    <t>20190728 13:35:51</t>
  </si>
  <si>
    <t>13:35:51</t>
  </si>
  <si>
    <t>MPF-264-20190728-13_35_52</t>
  </si>
  <si>
    <t>DARK-265-20190728-13_36_00</t>
  </si>
  <si>
    <t>13:35:05</t>
  </si>
  <si>
    <t>20190728 13:38:11</t>
  </si>
  <si>
    <t>13:38:11</t>
  </si>
  <si>
    <t>MPF-266-20190728-13_38_13</t>
  </si>
  <si>
    <t>DARK-267-20190728-13_38_20</t>
  </si>
  <si>
    <t>13:37:13</t>
  </si>
  <si>
    <t>20190728 13:40:32</t>
  </si>
  <si>
    <t>13:40:32</t>
  </si>
  <si>
    <t>MPF-268-20190728-13_40_33</t>
  </si>
  <si>
    <t>DARK-269-20190728-13_40_41</t>
  </si>
  <si>
    <t>13:39:31</t>
  </si>
  <si>
    <t>1/3</t>
  </si>
  <si>
    <t>20190728 13:42:52</t>
  </si>
  <si>
    <t>13:42:52</t>
  </si>
  <si>
    <t>MPF-270-20190728-13_42_54</t>
  </si>
  <si>
    <t>DARK-271-20190728-13_43_02</t>
  </si>
  <si>
    <t>13:43:22</t>
  </si>
  <si>
    <t>20190728 13:45:43</t>
  </si>
  <si>
    <t>13:45:43</t>
  </si>
  <si>
    <t>MPF-272-20190728-13_45_45</t>
  </si>
  <si>
    <t>DARK-273-20190728-13_45_53</t>
  </si>
  <si>
    <t>13:44:42</t>
  </si>
  <si>
    <t>20190728 13:48:04</t>
  </si>
  <si>
    <t>13:48:04</t>
  </si>
  <si>
    <t>MPF-274-20190728-13_48_05</t>
  </si>
  <si>
    <t>DARK-275-20190728-13_48_13</t>
  </si>
  <si>
    <t>13:46:59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</si>
</sst>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T29"/>
  <sheetViews>
    <sheetView tabSelected="1" topLeftCell="A11" workbookViewId="0">
      <selection activeCell="A23" sqref="A23:XFD23"/>
    </sheetView>
  </sheetViews>
  <sheetFormatPr defaultRowHeight="14.5" x14ac:dyDescent="0.35"/>
  <sheetData>
    <row r="2" spans="1:176" x14ac:dyDescent="0.35">
      <c r="A2" t="s">
        <v>25</v>
      </c>
      <c r="B2" t="s">
        <v>26</v>
      </c>
      <c r="C2" t="s">
        <v>28</v>
      </c>
      <c r="D2" t="s">
        <v>30</v>
      </c>
    </row>
    <row r="3" spans="1:176" x14ac:dyDescent="0.35">
      <c r="B3" t="s">
        <v>27</v>
      </c>
      <c r="C3" t="s">
        <v>29</v>
      </c>
      <c r="D3" t="s">
        <v>15</v>
      </c>
    </row>
    <row r="4" spans="1:176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76" x14ac:dyDescent="0.35">
      <c r="B5">
        <v>6</v>
      </c>
      <c r="C5">
        <v>0.5</v>
      </c>
      <c r="D5" t="s">
        <v>35</v>
      </c>
      <c r="E5">
        <v>2</v>
      </c>
    </row>
    <row r="6" spans="1:176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76" x14ac:dyDescent="0.35">
      <c r="B7">
        <v>0</v>
      </c>
      <c r="C7">
        <v>1</v>
      </c>
      <c r="D7">
        <v>0</v>
      </c>
      <c r="E7">
        <v>0</v>
      </c>
    </row>
    <row r="8" spans="1:176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76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6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76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76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76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76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82</v>
      </c>
      <c r="BS14" t="s">
        <v>82</v>
      </c>
      <c r="BT14" t="s">
        <v>82</v>
      </c>
      <c r="BU14" t="s">
        <v>82</v>
      </c>
      <c r="BV14" t="s">
        <v>83</v>
      </c>
      <c r="BW14" t="s">
        <v>83</v>
      </c>
      <c r="BX14" t="s">
        <v>83</v>
      </c>
      <c r="BY14" t="s">
        <v>83</v>
      </c>
      <c r="BZ14" t="s">
        <v>84</v>
      </c>
      <c r="CA14" t="s">
        <v>84</v>
      </c>
      <c r="CB14" t="s">
        <v>84</v>
      </c>
      <c r="CC14" t="s">
        <v>84</v>
      </c>
      <c r="CD14" t="s">
        <v>84</v>
      </c>
      <c r="CE14" t="s">
        <v>84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85</v>
      </c>
      <c r="CO14" t="s">
        <v>85</v>
      </c>
      <c r="CP14" t="s">
        <v>85</v>
      </c>
      <c r="CQ14" t="s">
        <v>85</v>
      </c>
      <c r="CR14" t="s">
        <v>85</v>
      </c>
      <c r="CS14" t="s">
        <v>85</v>
      </c>
      <c r="CT14" t="s">
        <v>85</v>
      </c>
      <c r="CU14" t="s">
        <v>85</v>
      </c>
      <c r="CV14" t="s">
        <v>85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85</v>
      </c>
      <c r="DC14" t="s">
        <v>85</v>
      </c>
      <c r="DD14" t="s">
        <v>85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87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88</v>
      </c>
      <c r="DT14" t="s">
        <v>88</v>
      </c>
      <c r="DU14" t="s">
        <v>88</v>
      </c>
      <c r="DV14" t="s">
        <v>88</v>
      </c>
      <c r="DW14" t="s">
        <v>88</v>
      </c>
      <c r="DX14" t="s">
        <v>88</v>
      </c>
      <c r="DY14" t="s">
        <v>88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89</v>
      </c>
      <c r="EI14" t="s">
        <v>89</v>
      </c>
      <c r="EJ14" t="s">
        <v>89</v>
      </c>
      <c r="EK14" t="s">
        <v>89</v>
      </c>
      <c r="EL14" t="s">
        <v>89</v>
      </c>
      <c r="EM14" t="s">
        <v>89</v>
      </c>
      <c r="EN14" t="s">
        <v>89</v>
      </c>
      <c r="EO14" t="s">
        <v>89</v>
      </c>
      <c r="EP14" t="s">
        <v>89</v>
      </c>
      <c r="EQ14" t="s">
        <v>89</v>
      </c>
      <c r="ER14" t="s">
        <v>89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90</v>
      </c>
      <c r="FB14" t="s">
        <v>90</v>
      </c>
      <c r="FC14" t="s">
        <v>90</v>
      </c>
      <c r="FD14" t="s">
        <v>90</v>
      </c>
      <c r="FE14" t="s">
        <v>90</v>
      </c>
      <c r="FF14" t="s">
        <v>90</v>
      </c>
      <c r="FG14" t="s">
        <v>90</v>
      </c>
      <c r="FH14" t="s">
        <v>90</v>
      </c>
      <c r="FI14" t="s">
        <v>90</v>
      </c>
      <c r="FJ14" t="s">
        <v>90</v>
      </c>
      <c r="FK14" t="s">
        <v>90</v>
      </c>
      <c r="FL14" t="s">
        <v>90</v>
      </c>
      <c r="FM14" t="s">
        <v>90</v>
      </c>
      <c r="FN14" t="s">
        <v>90</v>
      </c>
      <c r="FO14" t="s">
        <v>90</v>
      </c>
      <c r="FP14" t="s">
        <v>90</v>
      </c>
      <c r="FQ14" t="s">
        <v>90</v>
      </c>
      <c r="FR14" t="s">
        <v>90</v>
      </c>
      <c r="FS14" t="s">
        <v>90</v>
      </c>
      <c r="FT14" t="s">
        <v>90</v>
      </c>
    </row>
    <row r="15" spans="1:176" x14ac:dyDescent="0.35">
      <c r="A15" t="s">
        <v>91</v>
      </c>
      <c r="B15" t="s">
        <v>92</v>
      </c>
      <c r="C15" t="s">
        <v>93</v>
      </c>
      <c r="D15" t="s">
        <v>94</v>
      </c>
      <c r="E15" t="s">
        <v>95</v>
      </c>
      <c r="F15" t="s">
        <v>96</v>
      </c>
      <c r="G15" t="s">
        <v>97</v>
      </c>
      <c r="H15" t="s">
        <v>98</v>
      </c>
      <c r="I15" t="s">
        <v>99</v>
      </c>
      <c r="J15" t="s">
        <v>100</v>
      </c>
      <c r="K15" t="s">
        <v>101</v>
      </c>
      <c r="L15" t="s">
        <v>102</v>
      </c>
      <c r="M15" t="s">
        <v>103</v>
      </c>
      <c r="N15" t="s">
        <v>104</v>
      </c>
      <c r="O15" t="s">
        <v>105</v>
      </c>
      <c r="P15" t="s">
        <v>106</v>
      </c>
      <c r="Q15" t="s">
        <v>107</v>
      </c>
      <c r="R15" t="s">
        <v>108</v>
      </c>
      <c r="S15" t="s">
        <v>109</v>
      </c>
      <c r="T15" t="s">
        <v>110</v>
      </c>
      <c r="U15" t="s">
        <v>111</v>
      </c>
      <c r="V15" t="s">
        <v>112</v>
      </c>
      <c r="W15" t="s">
        <v>113</v>
      </c>
      <c r="X15" t="s">
        <v>114</v>
      </c>
      <c r="Y15" t="s">
        <v>115</v>
      </c>
      <c r="Z15" t="s">
        <v>116</v>
      </c>
      <c r="AA15" t="s">
        <v>117</v>
      </c>
      <c r="AB15" t="s">
        <v>118</v>
      </c>
      <c r="AC15" t="s">
        <v>119</v>
      </c>
      <c r="AD15" t="s">
        <v>120</v>
      </c>
      <c r="AE15" t="s">
        <v>121</v>
      </c>
      <c r="AF15" t="s">
        <v>122</v>
      </c>
      <c r="AG15" t="s">
        <v>123</v>
      </c>
      <c r="AH15" t="s">
        <v>124</v>
      </c>
      <c r="AI15" t="s">
        <v>125</v>
      </c>
      <c r="AJ15" t="s">
        <v>126</v>
      </c>
      <c r="AK15" t="s">
        <v>80</v>
      </c>
      <c r="AL15" t="s">
        <v>127</v>
      </c>
      <c r="AM15" t="s">
        <v>128</v>
      </c>
      <c r="AN15" t="s">
        <v>129</v>
      </c>
      <c r="AO15" t="s">
        <v>130</v>
      </c>
      <c r="AP15" t="s">
        <v>131</v>
      </c>
      <c r="AQ15" t="s">
        <v>132</v>
      </c>
      <c r="AR15" t="s">
        <v>133</v>
      </c>
      <c r="AS15" t="s">
        <v>134</v>
      </c>
      <c r="AT15" t="s">
        <v>135</v>
      </c>
      <c r="AU15" t="s">
        <v>136</v>
      </c>
      <c r="AV15" t="s">
        <v>137</v>
      </c>
      <c r="AW15" t="s">
        <v>138</v>
      </c>
      <c r="AX15" t="s">
        <v>139</v>
      </c>
      <c r="AY15" t="s">
        <v>140</v>
      </c>
      <c r="AZ15" t="s">
        <v>141</v>
      </c>
      <c r="BA15" t="s">
        <v>142</v>
      </c>
      <c r="BB15" t="s">
        <v>143</v>
      </c>
      <c r="BC15" t="s">
        <v>144</v>
      </c>
      <c r="BD15" t="s">
        <v>145</v>
      </c>
      <c r="BE15" t="s">
        <v>146</v>
      </c>
      <c r="BF15" t="s">
        <v>147</v>
      </c>
      <c r="BG15" t="s">
        <v>148</v>
      </c>
      <c r="BH15" t="s">
        <v>149</v>
      </c>
      <c r="BI15" t="s">
        <v>150</v>
      </c>
      <c r="BJ15" t="s">
        <v>151</v>
      </c>
      <c r="BK15" t="s">
        <v>152</v>
      </c>
      <c r="BL15" t="s">
        <v>153</v>
      </c>
      <c r="BM15" t="s">
        <v>154</v>
      </c>
      <c r="BN15" t="s">
        <v>155</v>
      </c>
      <c r="BO15" t="s">
        <v>156</v>
      </c>
      <c r="BP15" t="s">
        <v>157</v>
      </c>
      <c r="BQ15" t="s">
        <v>158</v>
      </c>
      <c r="BR15" t="s">
        <v>159</v>
      </c>
      <c r="BS15" t="s">
        <v>160</v>
      </c>
      <c r="BT15" t="s">
        <v>161</v>
      </c>
      <c r="BU15" t="s">
        <v>162</v>
      </c>
      <c r="BV15" t="s">
        <v>163</v>
      </c>
      <c r="BW15" t="s">
        <v>164</v>
      </c>
      <c r="BX15" t="s">
        <v>165</v>
      </c>
      <c r="BY15" t="s">
        <v>166</v>
      </c>
      <c r="BZ15" t="s">
        <v>101</v>
      </c>
      <c r="CA15" t="s">
        <v>167</v>
      </c>
      <c r="CB15" t="s">
        <v>168</v>
      </c>
      <c r="CC15" t="s">
        <v>169</v>
      </c>
      <c r="CD15" t="s">
        <v>170</v>
      </c>
      <c r="CE15" t="s">
        <v>171</v>
      </c>
      <c r="CF15" t="s">
        <v>172</v>
      </c>
      <c r="CG15" t="s">
        <v>173</v>
      </c>
      <c r="CH15" t="s">
        <v>174</v>
      </c>
      <c r="CI15" t="s">
        <v>175</v>
      </c>
      <c r="CJ15" t="s">
        <v>176</v>
      </c>
      <c r="CK15" t="s">
        <v>177</v>
      </c>
      <c r="CL15" t="s">
        <v>178</v>
      </c>
      <c r="CM15" t="s">
        <v>179</v>
      </c>
      <c r="CN15" t="s">
        <v>180</v>
      </c>
      <c r="CO15" t="s">
        <v>181</v>
      </c>
      <c r="CP15" t="s">
        <v>182</v>
      </c>
      <c r="CQ15" t="s">
        <v>183</v>
      </c>
      <c r="CR15" t="s">
        <v>184</v>
      </c>
      <c r="CS15" t="s">
        <v>185</v>
      </c>
      <c r="CT15" t="s">
        <v>186</v>
      </c>
      <c r="CU15" t="s">
        <v>187</v>
      </c>
      <c r="CV15" t="s">
        <v>188</v>
      </c>
      <c r="CW15" t="s">
        <v>189</v>
      </c>
      <c r="CX15" t="s">
        <v>190</v>
      </c>
      <c r="CY15" t="s">
        <v>191</v>
      </c>
      <c r="CZ15" t="s">
        <v>192</v>
      </c>
      <c r="DA15" t="s">
        <v>193</v>
      </c>
      <c r="DB15" t="s">
        <v>194</v>
      </c>
      <c r="DC15" t="s">
        <v>195</v>
      </c>
      <c r="DD15" t="s">
        <v>196</v>
      </c>
      <c r="DE15" t="s">
        <v>197</v>
      </c>
      <c r="DF15" t="s">
        <v>198</v>
      </c>
      <c r="DG15" t="s">
        <v>199</v>
      </c>
      <c r="DH15" t="s">
        <v>200</v>
      </c>
      <c r="DI15" t="s">
        <v>201</v>
      </c>
      <c r="DJ15" t="s">
        <v>92</v>
      </c>
      <c r="DK15" t="s">
        <v>95</v>
      </c>
      <c r="DL15" t="s">
        <v>202</v>
      </c>
      <c r="DM15" t="s">
        <v>203</v>
      </c>
      <c r="DN15" t="s">
        <v>204</v>
      </c>
      <c r="DO15" t="s">
        <v>205</v>
      </c>
      <c r="DP15" t="s">
        <v>206</v>
      </c>
      <c r="DQ15" t="s">
        <v>207</v>
      </c>
      <c r="DR15" t="s">
        <v>208</v>
      </c>
      <c r="DS15" t="s">
        <v>209</v>
      </c>
      <c r="DT15" t="s">
        <v>210</v>
      </c>
      <c r="DU15" t="s">
        <v>211</v>
      </c>
      <c r="DV15" t="s">
        <v>212</v>
      </c>
      <c r="DW15" t="s">
        <v>213</v>
      </c>
      <c r="DX15" t="s">
        <v>214</v>
      </c>
      <c r="DY15" t="s">
        <v>215</v>
      </c>
      <c r="DZ15" t="s">
        <v>216</v>
      </c>
      <c r="EA15" t="s">
        <v>217</v>
      </c>
      <c r="EB15" t="s">
        <v>218</v>
      </c>
      <c r="EC15" t="s">
        <v>219</v>
      </c>
      <c r="ED15" t="s">
        <v>220</v>
      </c>
      <c r="EE15" t="s">
        <v>221</v>
      </c>
      <c r="EF15" t="s">
        <v>222</v>
      </c>
      <c r="EG15" t="s">
        <v>223</v>
      </c>
      <c r="EH15" t="s">
        <v>224</v>
      </c>
      <c r="EI15" t="s">
        <v>225</v>
      </c>
      <c r="EJ15" t="s">
        <v>226</v>
      </c>
      <c r="EK15" t="s">
        <v>227</v>
      </c>
      <c r="EL15" t="s">
        <v>228</v>
      </c>
      <c r="EM15" t="s">
        <v>229</v>
      </c>
      <c r="EN15" t="s">
        <v>230</v>
      </c>
      <c r="EO15" t="s">
        <v>231</v>
      </c>
      <c r="EP15" t="s">
        <v>232</v>
      </c>
      <c r="EQ15" t="s">
        <v>233</v>
      </c>
      <c r="ER15" t="s">
        <v>234</v>
      </c>
      <c r="ES15" t="s">
        <v>235</v>
      </c>
      <c r="ET15" t="s">
        <v>236</v>
      </c>
      <c r="EU15" t="s">
        <v>237</v>
      </c>
      <c r="EV15" t="s">
        <v>238</v>
      </c>
      <c r="EW15" t="s">
        <v>239</v>
      </c>
      <c r="EX15" t="s">
        <v>240</v>
      </c>
      <c r="EY15" t="s">
        <v>241</v>
      </c>
      <c r="EZ15" t="s">
        <v>242</v>
      </c>
      <c r="FA15" t="s">
        <v>243</v>
      </c>
      <c r="FB15" t="s">
        <v>244</v>
      </c>
      <c r="FC15" t="s">
        <v>245</v>
      </c>
      <c r="FD15" t="s">
        <v>246</v>
      </c>
      <c r="FE15" t="s">
        <v>247</v>
      </c>
      <c r="FF15" t="s">
        <v>248</v>
      </c>
      <c r="FG15" t="s">
        <v>249</v>
      </c>
      <c r="FH15" t="s">
        <v>250</v>
      </c>
      <c r="FI15" t="s">
        <v>251</v>
      </c>
      <c r="FJ15" t="s">
        <v>252</v>
      </c>
      <c r="FK15" t="s">
        <v>253</v>
      </c>
      <c r="FL15" t="s">
        <v>254</v>
      </c>
      <c r="FM15" t="s">
        <v>255</v>
      </c>
      <c r="FN15" t="s">
        <v>256</v>
      </c>
      <c r="FO15" t="s">
        <v>257</v>
      </c>
      <c r="FP15" t="s">
        <v>258</v>
      </c>
      <c r="FQ15" t="s">
        <v>259</v>
      </c>
      <c r="FR15" t="s">
        <v>260</v>
      </c>
      <c r="FS15" t="s">
        <v>261</v>
      </c>
      <c r="FT15" t="s">
        <v>262</v>
      </c>
    </row>
    <row r="16" spans="1:176" x14ac:dyDescent="0.35">
      <c r="B16" t="s">
        <v>263</v>
      </c>
      <c r="C16" t="s">
        <v>263</v>
      </c>
      <c r="K16" t="s">
        <v>263</v>
      </c>
      <c r="L16" t="s">
        <v>264</v>
      </c>
      <c r="M16" t="s">
        <v>265</v>
      </c>
      <c r="N16" t="s">
        <v>266</v>
      </c>
      <c r="O16" t="s">
        <v>266</v>
      </c>
      <c r="P16" t="s">
        <v>172</v>
      </c>
      <c r="Q16" t="s">
        <v>172</v>
      </c>
      <c r="R16" t="s">
        <v>264</v>
      </c>
      <c r="S16" t="s">
        <v>264</v>
      </c>
      <c r="T16" t="s">
        <v>264</v>
      </c>
      <c r="U16" t="s">
        <v>264</v>
      </c>
      <c r="V16" t="s">
        <v>267</v>
      </c>
      <c r="W16" t="s">
        <v>268</v>
      </c>
      <c r="X16" t="s">
        <v>268</v>
      </c>
      <c r="Y16" t="s">
        <v>269</v>
      </c>
      <c r="Z16" t="s">
        <v>270</v>
      </c>
      <c r="AA16" t="s">
        <v>269</v>
      </c>
      <c r="AB16" t="s">
        <v>269</v>
      </c>
      <c r="AC16" t="s">
        <v>269</v>
      </c>
      <c r="AD16" t="s">
        <v>267</v>
      </c>
      <c r="AE16" t="s">
        <v>267</v>
      </c>
      <c r="AF16" t="s">
        <v>267</v>
      </c>
      <c r="AG16" t="s">
        <v>267</v>
      </c>
      <c r="AK16" t="s">
        <v>271</v>
      </c>
      <c r="AL16" t="s">
        <v>270</v>
      </c>
      <c r="AN16" t="s">
        <v>270</v>
      </c>
      <c r="AO16" t="s">
        <v>271</v>
      </c>
      <c r="AU16" t="s">
        <v>265</v>
      </c>
      <c r="BA16" t="s">
        <v>265</v>
      </c>
      <c r="BB16" t="s">
        <v>265</v>
      </c>
      <c r="BC16" t="s">
        <v>265</v>
      </c>
      <c r="BE16" t="s">
        <v>272</v>
      </c>
      <c r="BO16" t="s">
        <v>273</v>
      </c>
      <c r="BP16" t="s">
        <v>273</v>
      </c>
      <c r="BQ16" t="s">
        <v>273</v>
      </c>
      <c r="BR16" t="s">
        <v>265</v>
      </c>
      <c r="BT16" t="s">
        <v>274</v>
      </c>
      <c r="BV16" t="s">
        <v>265</v>
      </c>
      <c r="BW16" t="s">
        <v>265</v>
      </c>
      <c r="BY16" t="s">
        <v>275</v>
      </c>
      <c r="BZ16" t="s">
        <v>263</v>
      </c>
      <c r="CA16" t="s">
        <v>266</v>
      </c>
      <c r="CB16" t="s">
        <v>266</v>
      </c>
      <c r="CC16" t="s">
        <v>276</v>
      </c>
      <c r="CD16" t="s">
        <v>276</v>
      </c>
      <c r="CE16" t="s">
        <v>271</v>
      </c>
      <c r="CF16" t="s">
        <v>269</v>
      </c>
      <c r="CG16" t="s">
        <v>269</v>
      </c>
      <c r="CH16" t="s">
        <v>268</v>
      </c>
      <c r="CI16" t="s">
        <v>268</v>
      </c>
      <c r="CJ16" t="s">
        <v>268</v>
      </c>
      <c r="CK16" t="s">
        <v>277</v>
      </c>
      <c r="CL16" t="s">
        <v>265</v>
      </c>
      <c r="CM16" t="s">
        <v>265</v>
      </c>
      <c r="CN16" t="s">
        <v>265</v>
      </c>
      <c r="CS16" t="s">
        <v>265</v>
      </c>
      <c r="CV16" t="s">
        <v>268</v>
      </c>
      <c r="CW16" t="s">
        <v>268</v>
      </c>
      <c r="CX16" t="s">
        <v>268</v>
      </c>
      <c r="CY16" t="s">
        <v>268</v>
      </c>
      <c r="CZ16" t="s">
        <v>268</v>
      </c>
      <c r="DA16" t="s">
        <v>265</v>
      </c>
      <c r="DB16" t="s">
        <v>265</v>
      </c>
      <c r="DC16" t="s">
        <v>265</v>
      </c>
      <c r="DD16" t="s">
        <v>263</v>
      </c>
      <c r="DF16" t="s">
        <v>278</v>
      </c>
      <c r="DG16" t="s">
        <v>278</v>
      </c>
      <c r="DI16" t="s">
        <v>263</v>
      </c>
      <c r="DJ16" t="s">
        <v>279</v>
      </c>
      <c r="DM16" t="s">
        <v>280</v>
      </c>
      <c r="DN16" t="s">
        <v>281</v>
      </c>
      <c r="DO16" t="s">
        <v>280</v>
      </c>
      <c r="DP16" t="s">
        <v>281</v>
      </c>
      <c r="DQ16" t="s">
        <v>270</v>
      </c>
      <c r="DR16" t="s">
        <v>270</v>
      </c>
      <c r="DS16" t="s">
        <v>265</v>
      </c>
      <c r="DT16" t="s">
        <v>282</v>
      </c>
      <c r="DU16" t="s">
        <v>265</v>
      </c>
      <c r="DW16" t="s">
        <v>266</v>
      </c>
      <c r="DX16" t="s">
        <v>283</v>
      </c>
      <c r="DY16" t="s">
        <v>266</v>
      </c>
      <c r="EA16" t="s">
        <v>264</v>
      </c>
      <c r="EB16" t="s">
        <v>284</v>
      </c>
      <c r="EC16" t="s">
        <v>264</v>
      </c>
      <c r="EH16" t="s">
        <v>285</v>
      </c>
      <c r="EI16" t="s">
        <v>285</v>
      </c>
      <c r="EJ16" t="s">
        <v>285</v>
      </c>
      <c r="EK16" t="s">
        <v>285</v>
      </c>
      <c r="EL16" t="s">
        <v>285</v>
      </c>
      <c r="EM16" t="s">
        <v>285</v>
      </c>
      <c r="EN16" t="s">
        <v>285</v>
      </c>
      <c r="EO16" t="s">
        <v>285</v>
      </c>
      <c r="EP16" t="s">
        <v>285</v>
      </c>
      <c r="EQ16" t="s">
        <v>285</v>
      </c>
      <c r="ER16" t="s">
        <v>285</v>
      </c>
      <c r="ES16" t="s">
        <v>285</v>
      </c>
      <c r="EZ16" t="s">
        <v>285</v>
      </c>
      <c r="FA16" t="s">
        <v>270</v>
      </c>
      <c r="FB16" t="s">
        <v>270</v>
      </c>
      <c r="FC16" t="s">
        <v>280</v>
      </c>
      <c r="FD16" t="s">
        <v>281</v>
      </c>
      <c r="FF16" t="s">
        <v>271</v>
      </c>
      <c r="FG16" t="s">
        <v>271</v>
      </c>
      <c r="FH16" t="s">
        <v>268</v>
      </c>
      <c r="FI16" t="s">
        <v>268</v>
      </c>
      <c r="FJ16" t="s">
        <v>268</v>
      </c>
      <c r="FK16" t="s">
        <v>268</v>
      </c>
      <c r="FL16" t="s">
        <v>268</v>
      </c>
      <c r="FM16" t="s">
        <v>270</v>
      </c>
      <c r="FN16" t="s">
        <v>270</v>
      </c>
      <c r="FO16" t="s">
        <v>270</v>
      </c>
      <c r="FP16" t="s">
        <v>268</v>
      </c>
      <c r="FQ16" t="s">
        <v>266</v>
      </c>
      <c r="FR16" t="s">
        <v>276</v>
      </c>
      <c r="FS16" t="s">
        <v>270</v>
      </c>
      <c r="FT16" t="s">
        <v>270</v>
      </c>
    </row>
    <row r="17" spans="1:176" x14ac:dyDescent="0.35">
      <c r="A17">
        <v>1</v>
      </c>
      <c r="B17">
        <v>1564337830.7</v>
      </c>
      <c r="C17">
        <v>0</v>
      </c>
      <c r="D17" t="s">
        <v>286</v>
      </c>
      <c r="E17" t="s">
        <v>287</v>
      </c>
      <c r="F17" t="s">
        <v>288</v>
      </c>
      <c r="G17" t="s">
        <v>289</v>
      </c>
      <c r="H17" t="s">
        <v>288</v>
      </c>
      <c r="J17" t="s">
        <v>288</v>
      </c>
      <c r="K17">
        <v>1564337822.7</v>
      </c>
      <c r="L17">
        <f t="shared" ref="L17:L29" si="0">CE17*AM17*(CC17-CD17)/(100*$B$5*(1000-AM17*CC17))</f>
        <v>7.2966292151019135E-3</v>
      </c>
      <c r="M17">
        <f t="shared" ref="M17:M29" si="1">CE17*AM17*(CB17-CA17*(1000-AM17*CD17)/(1000-AM17*CC17))/(100*$B$5)</f>
        <v>36.299329005000203</v>
      </c>
      <c r="N17">
        <f t="shared" ref="N17:N29" si="2">CA17 - IF(AM17&gt;1, M17*$B$5*100/(AO17*CK17), 0)</f>
        <v>353.31744262354925</v>
      </c>
      <c r="O17">
        <f t="shared" ref="O17:O29" si="3">((U17-L17/2)*N17-M17)/(U17+L17/2)</f>
        <v>201.16049814331535</v>
      </c>
      <c r="P17">
        <f t="shared" ref="P17:P29" si="4">O17*(CF17+CG17)/1000</f>
        <v>20.016433852766102</v>
      </c>
      <c r="Q17">
        <f t="shared" ref="Q17:Q29" si="5">(CA17 - IF(AM17&gt;1, M17*$B$5*100/(AO17*CK17), 0))*(CF17+CG17)/1000</f>
        <v>35.156779211514227</v>
      </c>
      <c r="R17">
        <f t="shared" ref="R17:R29" si="6">2/((1/T17-1/S17)+SIGN(T17)*SQRT((1/T17-1/S17)*(1/T17-1/S17) + 4*$C$5/(($C$5+1)*($C$5+1))*(2*1/T17*1/S17-1/S17*1/S17)))</f>
        <v>0.4401951734977177</v>
      </c>
      <c r="S17">
        <f t="shared" ref="S17:S29" si="7">AJ17+AI17*$B$5+AH17*$B$5*$B$5</f>
        <v>2.2514721648962523</v>
      </c>
      <c r="T17">
        <f t="shared" ref="T17:T29" si="8">L17*(1000-(1000*0.61365*EXP(17.502*X17/(240.97+X17))/(CF17+CG17)+CC17)/2)/(1000*0.61365*EXP(17.502*X17/(240.97+X17))/(CF17+CG17)-CC17)</f>
        <v>0.39737746992561257</v>
      </c>
      <c r="U17">
        <f t="shared" ref="U17:U29" si="9">1/(($C$5+1)/(R17/1.6)+1/(S17/1.37)) + $C$5/(($C$5+1)/(R17/1.6) + $C$5/(S17/1.37))</f>
        <v>0.25185994045012533</v>
      </c>
      <c r="V17">
        <f t="shared" ref="V17:V29" si="10">(BW17*BY17)</f>
        <v>353.34198188617574</v>
      </c>
      <c r="W17">
        <f t="shared" ref="W17:W29" si="11">(CH17+(V17+2*0.95*0.0000000567*(((CH17+$B$7)+273)^4-(CH17+273)^4)-44100*L17)/(1.84*29.3*S17+8*0.95*0.0000000567*(CH17+273)^3))</f>
        <v>25.918264574380352</v>
      </c>
      <c r="X17">
        <f t="shared" ref="X17:X29" si="12">($C$7*CI17+$D$7*CJ17+$E$7*W17)</f>
        <v>27.013222580645198</v>
      </c>
      <c r="Y17">
        <f t="shared" ref="Y17:Y29" si="13">0.61365*EXP(17.502*X17/(240.97+X17))</f>
        <v>3.5819401922299119</v>
      </c>
      <c r="Z17">
        <f t="shared" ref="Z17:Z29" si="14">(AA17/AB17*100)</f>
        <v>54.493203157220037</v>
      </c>
      <c r="AA17">
        <f t="shared" ref="AA17:AA29" si="15">CC17*(CF17+CG17)/1000</f>
        <v>1.8042880034545266</v>
      </c>
      <c r="AB17">
        <f t="shared" ref="AB17:AB29" si="16">0.61365*EXP(17.502*CH17/(240.97+CH17))</f>
        <v>3.3110331177429946</v>
      </c>
      <c r="AC17">
        <f t="shared" ref="AC17:AC29" si="17">(Y17-CC17*(CF17+CG17)/1000)</f>
        <v>1.7776521887753853</v>
      </c>
      <c r="AD17">
        <f t="shared" ref="AD17:AD29" si="18">(-L17*44100)</f>
        <v>-321.78134838599436</v>
      </c>
      <c r="AE17">
        <f t="shared" ref="AE17:AE29" si="19">2*29.3*S17*0.92*(CH17-X17)</f>
        <v>-161.74067199905409</v>
      </c>
      <c r="AF17">
        <f t="shared" ref="AF17:AF29" si="20">2*0.95*0.0000000567*(((CH17+$B$7)+273)^4-(X17+273)^4)</f>
        <v>-15.402479204978773</v>
      </c>
      <c r="AG17">
        <f t="shared" ref="AG17:AG29" si="21">V17+AF17+AD17+AE17</f>
        <v>-145.58251770385147</v>
      </c>
      <c r="AH17">
        <v>-4.1223391855385101E-2</v>
      </c>
      <c r="AI17">
        <v>4.6276868725142702E-2</v>
      </c>
      <c r="AJ17">
        <v>3.4578530593392598</v>
      </c>
      <c r="AK17">
        <v>1</v>
      </c>
      <c r="AL17">
        <v>0</v>
      </c>
      <c r="AM17">
        <f t="shared" ref="AM17:AM29" si="22">IF(AK17*$H$13&gt;=AO17,1,(AO17/(AO17-AK17*$H$13)))</f>
        <v>1.0000378813763027</v>
      </c>
      <c r="AN17">
        <f t="shared" ref="AN17:AN29" si="23">(AM17-1)*100</f>
        <v>3.7881376302673075E-3</v>
      </c>
      <c r="AO17">
        <f t="shared" ref="AO17:AO29" si="24">MAX(0,($B$13+$C$13*CK17)/(1+$D$13*CK17)*CF17/(CH17+273)*$E$13)</f>
        <v>52798.392190743587</v>
      </c>
      <c r="AP17" t="s">
        <v>290</v>
      </c>
      <c r="AQ17">
        <v>413.64615384615399</v>
      </c>
      <c r="AR17">
        <v>1914.9</v>
      </c>
      <c r="AS17">
        <f t="shared" ref="AS17:AS29" si="25">AR17-AQ17</f>
        <v>1501.2538461538461</v>
      </c>
      <c r="AT17">
        <f t="shared" ref="AT17:AT29" si="26">AS17/AR17</f>
        <v>0.78398550637309838</v>
      </c>
      <c r="AU17">
        <v>-0.61508576146989002</v>
      </c>
      <c r="AV17" t="s">
        <v>291</v>
      </c>
      <c r="AW17">
        <v>823.93003846153897</v>
      </c>
      <c r="AX17">
        <v>1242.1600000000001</v>
      </c>
      <c r="AY17">
        <f t="shared" ref="AY17:AY29" si="27">1-AW17/AX17</f>
        <v>0.33669572481681997</v>
      </c>
      <c r="AZ17">
        <v>0.5</v>
      </c>
      <c r="BA17">
        <f t="shared" ref="BA17:BA29" si="28">BW17</f>
        <v>1849.1914355108479</v>
      </c>
      <c r="BB17">
        <f t="shared" ref="BB17:BB29" si="29">M17</f>
        <v>36.299329005000203</v>
      </c>
      <c r="BC17">
        <f t="shared" ref="BC17:BC29" si="30">AY17*AZ17*BA17</f>
        <v>311.30742535219036</v>
      </c>
      <c r="BD17">
        <f t="shared" ref="BD17:BD29" si="31">BI17/AX17</f>
        <v>0.54208797578411805</v>
      </c>
      <c r="BE17">
        <f t="shared" ref="BE17:BE29" si="32">(BB17-AU17)/BA17</f>
        <v>1.9962462543134326E-2</v>
      </c>
      <c r="BF17">
        <f t="shared" ref="BF17:BF29" si="33">(AR17-AX17)/AX17</f>
        <v>0.54158884523732853</v>
      </c>
      <c r="BG17" t="s">
        <v>292</v>
      </c>
      <c r="BH17">
        <v>568.79999999999995</v>
      </c>
      <c r="BI17">
        <f t="shared" ref="BI17:BI29" si="34">AX17-BH17</f>
        <v>673.36000000000013</v>
      </c>
      <c r="BJ17">
        <f t="shared" ref="BJ17:BJ29" si="35">(AX17-AW17)/(AX17-BH17)</f>
        <v>0.62110900786868994</v>
      </c>
      <c r="BK17">
        <f t="shared" ref="BK17:BK29" si="36">(AR17-AX17)/(AR17-BH17)</f>
        <v>0.49976970507391721</v>
      </c>
      <c r="BL17">
        <f t="shared" ref="BL17:BL29" si="37">(AX17-AW17)/(AX17-AQ17)</f>
        <v>0.50479537967890564</v>
      </c>
      <c r="BM17">
        <f t="shared" ref="BM17:BM29" si="38">(AR17-AX17)/(AR17-AQ17)</f>
        <v>0.44811875201754431</v>
      </c>
      <c r="BN17">
        <v>248</v>
      </c>
      <c r="BO17">
        <v>300</v>
      </c>
      <c r="BP17">
        <v>300</v>
      </c>
      <c r="BQ17">
        <v>300</v>
      </c>
      <c r="BR17">
        <v>8102.71</v>
      </c>
      <c r="BS17">
        <v>1099.76</v>
      </c>
      <c r="BT17">
        <v>-2.9474599999999998E-3</v>
      </c>
      <c r="BU17">
        <v>1.5510299999999999</v>
      </c>
      <c r="BV17">
        <f t="shared" ref="BV17:BV29" si="39">$B$11*CL17+$C$11*CM17+$F$11*CN17</f>
        <v>2200.0051612903198</v>
      </c>
      <c r="BW17">
        <f t="shared" ref="BW17:BW29" si="40">BV17*BX17</f>
        <v>1849.1914355108479</v>
      </c>
      <c r="BX17">
        <f t="shared" ref="BX17:BX29" si="41">($B$11*$D$9+$C$11*$D$9+$F$11*((DA17+CS17)/MAX(DA17+CS17+DB17, 0.1)*$I$9+DB17/MAX(DA17+CS17+DB17, 0.1)*$J$9))/($B$11+$C$11+$F$11)</f>
        <v>0.84053958965545472</v>
      </c>
      <c r="BY17">
        <f t="shared" ref="BY17:BY29" si="42">($B$11*$K$9+$C$11*$K$9+$F$11*((DA17+CS17)/MAX(DA17+CS17+DB17, 0.1)*$P$9+DB17/MAX(DA17+CS17+DB17, 0.1)*$Q$9))/($B$11+$C$11+$F$11)</f>
        <v>0.19107917931090965</v>
      </c>
      <c r="BZ17">
        <v>1564337822.7</v>
      </c>
      <c r="CA17">
        <v>353.31748387096798</v>
      </c>
      <c r="CB17">
        <v>399.96645161290297</v>
      </c>
      <c r="CC17">
        <v>18.1326741935484</v>
      </c>
      <c r="CD17">
        <v>9.5362267741935494</v>
      </c>
      <c r="CE17">
        <v>500.02367741935501</v>
      </c>
      <c r="CF17">
        <v>99.404803225806404</v>
      </c>
      <c r="CG17">
        <v>9.9990396774193593E-2</v>
      </c>
      <c r="CH17">
        <v>25.680722580645199</v>
      </c>
      <c r="CI17">
        <v>27.013222580645198</v>
      </c>
      <c r="CJ17">
        <v>999.9</v>
      </c>
      <c r="CK17">
        <v>10000.745483871</v>
      </c>
      <c r="CL17">
        <v>0</v>
      </c>
      <c r="CM17">
        <v>-329.38670967741899</v>
      </c>
      <c r="CN17">
        <v>2200.0051612903198</v>
      </c>
      <c r="CO17">
        <v>0.98199751612903197</v>
      </c>
      <c r="CP17">
        <v>1.8002354838709701E-2</v>
      </c>
      <c r="CQ17">
        <v>0</v>
      </c>
      <c r="CR17">
        <v>823.92877419354795</v>
      </c>
      <c r="CS17">
        <v>1.9999499999999999</v>
      </c>
      <c r="CT17">
        <v>18829.345161290301</v>
      </c>
      <c r="CU17">
        <v>17938.277419354799</v>
      </c>
      <c r="CV17">
        <v>47.542000000000002</v>
      </c>
      <c r="CW17">
        <v>48.814096774193501</v>
      </c>
      <c r="CX17">
        <v>47.939064516129001</v>
      </c>
      <c r="CY17">
        <v>47.936999999999998</v>
      </c>
      <c r="CZ17">
        <v>48.633000000000003</v>
      </c>
      <c r="DA17">
        <v>2158.4351612903201</v>
      </c>
      <c r="DB17">
        <v>39.57</v>
      </c>
      <c r="DC17">
        <v>0</v>
      </c>
      <c r="DD17">
        <v>3050.4000000953702</v>
      </c>
      <c r="DE17">
        <v>823.93003846153897</v>
      </c>
      <c r="DF17">
        <v>-6.7057435809147599</v>
      </c>
      <c r="DG17">
        <v>-114.36923067523</v>
      </c>
      <c r="DH17">
        <v>18828.75</v>
      </c>
      <c r="DI17">
        <v>15</v>
      </c>
      <c r="DJ17">
        <v>1564337760.2</v>
      </c>
      <c r="DK17" t="s">
        <v>293</v>
      </c>
      <c r="DL17">
        <v>83</v>
      </c>
      <c r="DM17">
        <v>0.32600000000000001</v>
      </c>
      <c r="DN17">
        <v>1.7000000000000001E-2</v>
      </c>
      <c r="DO17">
        <v>400</v>
      </c>
      <c r="DP17">
        <v>8</v>
      </c>
      <c r="DQ17">
        <v>0.04</v>
      </c>
      <c r="DR17">
        <v>0.01</v>
      </c>
      <c r="DS17">
        <v>36.565411208171497</v>
      </c>
      <c r="DT17">
        <v>-1.12548406851537</v>
      </c>
      <c r="DU17">
        <v>0.224297707739572</v>
      </c>
      <c r="DV17">
        <v>0</v>
      </c>
      <c r="DW17">
        <v>353.01913698630102</v>
      </c>
      <c r="DX17">
        <v>1.6425694187337501</v>
      </c>
      <c r="DY17">
        <v>0.28876569233614102</v>
      </c>
      <c r="DZ17">
        <v>1</v>
      </c>
      <c r="EA17">
        <v>0.44937341325919899</v>
      </c>
      <c r="EB17">
        <v>-4.6268475078724801E-2</v>
      </c>
      <c r="EC17">
        <v>9.6928648237815697E-3</v>
      </c>
      <c r="ED17">
        <v>1</v>
      </c>
      <c r="EE17">
        <v>2</v>
      </c>
      <c r="EF17">
        <v>3</v>
      </c>
      <c r="EG17" t="s">
        <v>294</v>
      </c>
      <c r="EH17">
        <v>1.8666100000000001</v>
      </c>
      <c r="EI17">
        <v>1.86311</v>
      </c>
      <c r="EJ17">
        <v>1.8687400000000001</v>
      </c>
      <c r="EK17">
        <v>1.8667400000000001</v>
      </c>
      <c r="EL17">
        <v>1.87134</v>
      </c>
      <c r="EM17">
        <v>1.8638399999999999</v>
      </c>
      <c r="EN17">
        <v>1.8653</v>
      </c>
      <c r="EO17">
        <v>1.8652299999999999</v>
      </c>
      <c r="EP17" t="s">
        <v>295</v>
      </c>
      <c r="EQ17" t="s">
        <v>19</v>
      </c>
      <c r="ER17" t="s">
        <v>19</v>
      </c>
      <c r="ES17" t="s">
        <v>19</v>
      </c>
      <c r="ET17" t="s">
        <v>296</v>
      </c>
      <c r="EU17" t="s">
        <v>297</v>
      </c>
      <c r="EV17" t="s">
        <v>298</v>
      </c>
      <c r="EW17" t="s">
        <v>298</v>
      </c>
      <c r="EX17" t="s">
        <v>298</v>
      </c>
      <c r="EY17" t="s">
        <v>298</v>
      </c>
      <c r="EZ17">
        <v>0</v>
      </c>
      <c r="FA17">
        <v>100</v>
      </c>
      <c r="FB17">
        <v>100</v>
      </c>
      <c r="FC17">
        <v>0.32600000000000001</v>
      </c>
      <c r="FD17">
        <v>1.7000000000000001E-2</v>
      </c>
      <c r="FE17">
        <v>2</v>
      </c>
      <c r="FF17">
        <v>496.51299999999998</v>
      </c>
      <c r="FG17">
        <v>468.13400000000001</v>
      </c>
      <c r="FH17">
        <v>19.951000000000001</v>
      </c>
      <c r="FI17">
        <v>35.150199999999998</v>
      </c>
      <c r="FJ17">
        <v>29.9983</v>
      </c>
      <c r="FK17">
        <v>35.182600000000001</v>
      </c>
      <c r="FL17">
        <v>35.166499999999999</v>
      </c>
      <c r="FM17">
        <v>22.239000000000001</v>
      </c>
      <c r="FN17">
        <v>69.702200000000005</v>
      </c>
      <c r="FO17">
        <v>0</v>
      </c>
      <c r="FP17">
        <v>19.956700000000001</v>
      </c>
      <c r="FQ17">
        <v>400</v>
      </c>
      <c r="FR17">
        <v>9.7549499999999991</v>
      </c>
      <c r="FS17">
        <v>100.45</v>
      </c>
      <c r="FT17">
        <v>100.976</v>
      </c>
    </row>
    <row r="18" spans="1:176" x14ac:dyDescent="0.35">
      <c r="A18">
        <v>2</v>
      </c>
      <c r="B18">
        <v>1564337921.2</v>
      </c>
      <c r="C18">
        <v>90.5</v>
      </c>
      <c r="D18" t="s">
        <v>299</v>
      </c>
      <c r="E18" t="s">
        <v>300</v>
      </c>
      <c r="F18" t="s">
        <v>288</v>
      </c>
      <c r="G18" t="s">
        <v>289</v>
      </c>
      <c r="H18" t="s">
        <v>288</v>
      </c>
      <c r="J18" t="s">
        <v>288</v>
      </c>
      <c r="K18">
        <v>1564337913.2032299</v>
      </c>
      <c r="L18">
        <f t="shared" si="0"/>
        <v>6.8006661330131044E-3</v>
      </c>
      <c r="M18">
        <f t="shared" si="1"/>
        <v>25.840916274423982</v>
      </c>
      <c r="N18">
        <f t="shared" si="2"/>
        <v>266.81077702799001</v>
      </c>
      <c r="O18">
        <f t="shared" si="3"/>
        <v>149.10455837255176</v>
      </c>
      <c r="P18">
        <f t="shared" si="4"/>
        <v>14.836646854393027</v>
      </c>
      <c r="Q18">
        <f t="shared" si="5"/>
        <v>26.549002384082787</v>
      </c>
      <c r="R18">
        <f t="shared" si="6"/>
        <v>0.40175418388689638</v>
      </c>
      <c r="S18">
        <f t="shared" si="7"/>
        <v>2.2498561295399853</v>
      </c>
      <c r="T18">
        <f t="shared" si="8"/>
        <v>0.36573796604038988</v>
      </c>
      <c r="U18">
        <f t="shared" si="9"/>
        <v>0.23155248085946706</v>
      </c>
      <c r="V18">
        <f t="shared" si="10"/>
        <v>353.3398710551682</v>
      </c>
      <c r="W18">
        <f t="shared" si="11"/>
        <v>26.076625171369425</v>
      </c>
      <c r="X18">
        <f t="shared" si="12"/>
        <v>27.2136322580645</v>
      </c>
      <c r="Y18">
        <f t="shared" si="13"/>
        <v>3.6243146434737454</v>
      </c>
      <c r="Z18">
        <f t="shared" si="14"/>
        <v>55.132278719678673</v>
      </c>
      <c r="AA18">
        <f t="shared" si="15"/>
        <v>1.8247432801207393</v>
      </c>
      <c r="AB18">
        <f t="shared" si="16"/>
        <v>3.3097548704610742</v>
      </c>
      <c r="AC18">
        <f t="shared" si="17"/>
        <v>1.7995713633530062</v>
      </c>
      <c r="AD18">
        <f t="shared" si="18"/>
        <v>-299.90937646587793</v>
      </c>
      <c r="AE18">
        <f t="shared" si="19"/>
        <v>-186.72270631419758</v>
      </c>
      <c r="AF18">
        <f t="shared" si="20"/>
        <v>-17.811601613989886</v>
      </c>
      <c r="AG18">
        <f t="shared" si="21"/>
        <v>-151.10381333889717</v>
      </c>
      <c r="AH18">
        <v>-4.1179874234872502E-2</v>
      </c>
      <c r="AI18">
        <v>4.6228016383764302E-2</v>
      </c>
      <c r="AJ18">
        <v>3.4549635036928099</v>
      </c>
      <c r="AK18">
        <v>1</v>
      </c>
      <c r="AL18">
        <v>0</v>
      </c>
      <c r="AM18">
        <f t="shared" si="22"/>
        <v>1.000037918947478</v>
      </c>
      <c r="AN18">
        <f t="shared" si="23"/>
        <v>3.7918947477955101E-3</v>
      </c>
      <c r="AO18">
        <f t="shared" si="24"/>
        <v>52746.080018661392</v>
      </c>
      <c r="AP18" t="s">
        <v>290</v>
      </c>
      <c r="AQ18">
        <v>413.64615384615399</v>
      </c>
      <c r="AR18">
        <v>1914.9</v>
      </c>
      <c r="AS18">
        <f t="shared" si="25"/>
        <v>1501.2538461538461</v>
      </c>
      <c r="AT18">
        <f t="shared" si="26"/>
        <v>0.78398550637309838</v>
      </c>
      <c r="AU18">
        <v>-0.61508576146989002</v>
      </c>
      <c r="AV18" t="s">
        <v>301</v>
      </c>
      <c r="AW18">
        <v>798.76369230769205</v>
      </c>
      <c r="AX18">
        <v>1145.21</v>
      </c>
      <c r="AY18">
        <f t="shared" si="27"/>
        <v>0.30251771089346757</v>
      </c>
      <c r="AZ18">
        <v>0.5</v>
      </c>
      <c r="BA18">
        <f t="shared" si="28"/>
        <v>1849.1803258334301</v>
      </c>
      <c r="BB18">
        <f t="shared" si="29"/>
        <v>25.840916274423982</v>
      </c>
      <c r="BC18">
        <f t="shared" si="30"/>
        <v>279.7048996001829</v>
      </c>
      <c r="BD18">
        <f t="shared" si="31"/>
        <v>0.49965508509356366</v>
      </c>
      <c r="BE18">
        <f t="shared" si="32"/>
        <v>1.4306880549342902E-2</v>
      </c>
      <c r="BF18">
        <f t="shared" si="33"/>
        <v>0.67209507426585524</v>
      </c>
      <c r="BG18" t="s">
        <v>302</v>
      </c>
      <c r="BH18">
        <v>573</v>
      </c>
      <c r="BI18">
        <f t="shared" si="34"/>
        <v>572.21</v>
      </c>
      <c r="BJ18">
        <f t="shared" si="35"/>
        <v>0.60545308137276166</v>
      </c>
      <c r="BK18">
        <f t="shared" si="36"/>
        <v>0.57358223414561438</v>
      </c>
      <c r="BL18">
        <f t="shared" si="37"/>
        <v>0.47356947655864773</v>
      </c>
      <c r="BM18">
        <f t="shared" si="38"/>
        <v>0.51269810363644752</v>
      </c>
      <c r="BN18">
        <v>250</v>
      </c>
      <c r="BO18">
        <v>300</v>
      </c>
      <c r="BP18">
        <v>300</v>
      </c>
      <c r="BQ18">
        <v>300</v>
      </c>
      <c r="BR18">
        <v>8101.98</v>
      </c>
      <c r="BS18">
        <v>1032.77</v>
      </c>
      <c r="BT18">
        <v>-2.9470799999999999E-3</v>
      </c>
      <c r="BU18">
        <v>3.6517300000000001</v>
      </c>
      <c r="BV18">
        <f t="shared" si="39"/>
        <v>2199.9919354838698</v>
      </c>
      <c r="BW18">
        <f t="shared" si="40"/>
        <v>1849.1803258334301</v>
      </c>
      <c r="BX18">
        <f t="shared" si="41"/>
        <v>0.84053959289933411</v>
      </c>
      <c r="BY18">
        <f t="shared" si="42"/>
        <v>0.19107918579866842</v>
      </c>
      <c r="BZ18">
        <v>1564337913.2032299</v>
      </c>
      <c r="CA18">
        <v>266.81080645161302</v>
      </c>
      <c r="CB18">
        <v>299.99451612903198</v>
      </c>
      <c r="CC18">
        <v>18.3382096774194</v>
      </c>
      <c r="CD18">
        <v>10.3277612903226</v>
      </c>
      <c r="CE18">
        <v>500.02416129032201</v>
      </c>
      <c r="CF18">
        <v>99.404996774193606</v>
      </c>
      <c r="CG18">
        <v>9.9988293548387105E-2</v>
      </c>
      <c r="CH18">
        <v>25.674212903225801</v>
      </c>
      <c r="CI18">
        <v>27.2136322580645</v>
      </c>
      <c r="CJ18">
        <v>999.9</v>
      </c>
      <c r="CK18">
        <v>9990.1687096774203</v>
      </c>
      <c r="CL18">
        <v>0</v>
      </c>
      <c r="CM18">
        <v>-1500.49129032258</v>
      </c>
      <c r="CN18">
        <v>2199.9919354838698</v>
      </c>
      <c r="CO18">
        <v>0.98199861290322599</v>
      </c>
      <c r="CP18">
        <v>1.8000983870967699E-2</v>
      </c>
      <c r="CQ18">
        <v>0</v>
      </c>
      <c r="CR18">
        <v>798.86209677419401</v>
      </c>
      <c r="CS18">
        <v>1.9999499999999999</v>
      </c>
      <c r="CT18">
        <v>18314.4096774194</v>
      </c>
      <c r="CU18">
        <v>17938.180645161301</v>
      </c>
      <c r="CV18">
        <v>47.538064516128998</v>
      </c>
      <c r="CW18">
        <v>48.715451612903202</v>
      </c>
      <c r="CX18">
        <v>47.923000000000002</v>
      </c>
      <c r="CY18">
        <v>47.802</v>
      </c>
      <c r="CZ18">
        <v>48.622967741935497</v>
      </c>
      <c r="DA18">
        <v>2158.4219354838701</v>
      </c>
      <c r="DB18">
        <v>39.57</v>
      </c>
      <c r="DC18">
        <v>0</v>
      </c>
      <c r="DD18">
        <v>89.799999952316298</v>
      </c>
      <c r="DE18">
        <v>798.76369230769205</v>
      </c>
      <c r="DF18">
        <v>-13.0391111116119</v>
      </c>
      <c r="DG18">
        <v>-234.13675173163099</v>
      </c>
      <c r="DH18">
        <v>18312.280769230802</v>
      </c>
      <c r="DI18">
        <v>15</v>
      </c>
      <c r="DJ18">
        <v>1564337957.2</v>
      </c>
      <c r="DK18" t="s">
        <v>303</v>
      </c>
      <c r="DL18">
        <v>84</v>
      </c>
      <c r="DM18">
        <v>0.27</v>
      </c>
      <c r="DN18">
        <v>4.3999999999999997E-2</v>
      </c>
      <c r="DO18">
        <v>300</v>
      </c>
      <c r="DP18">
        <v>10</v>
      </c>
      <c r="DQ18">
        <v>0.03</v>
      </c>
      <c r="DR18">
        <v>0.01</v>
      </c>
      <c r="DS18">
        <v>25.853230422322799</v>
      </c>
      <c r="DT18">
        <v>-0.25177598085177999</v>
      </c>
      <c r="DU18">
        <v>5.6105048154850998E-2</v>
      </c>
      <c r="DV18">
        <v>1</v>
      </c>
      <c r="DW18">
        <v>266.79760273972602</v>
      </c>
      <c r="DX18">
        <v>0.41272455225292498</v>
      </c>
      <c r="DY18">
        <v>8.1186701746274806E-2</v>
      </c>
      <c r="DZ18">
        <v>1</v>
      </c>
      <c r="EA18">
        <v>0.400527051980275</v>
      </c>
      <c r="EB18">
        <v>-1.11245589165541E-2</v>
      </c>
      <c r="EC18">
        <v>3.65916631637062E-3</v>
      </c>
      <c r="ED18">
        <v>1</v>
      </c>
      <c r="EE18">
        <v>3</v>
      </c>
      <c r="EF18">
        <v>3</v>
      </c>
      <c r="EG18" t="s">
        <v>304</v>
      </c>
      <c r="EH18">
        <v>1.8665700000000001</v>
      </c>
      <c r="EI18">
        <v>1.8630800000000001</v>
      </c>
      <c r="EJ18">
        <v>1.8686700000000001</v>
      </c>
      <c r="EK18">
        <v>1.8666199999999999</v>
      </c>
      <c r="EL18">
        <v>1.87127</v>
      </c>
      <c r="EM18">
        <v>1.86371</v>
      </c>
      <c r="EN18">
        <v>1.8652299999999999</v>
      </c>
      <c r="EO18">
        <v>1.8651599999999999</v>
      </c>
      <c r="EP18" t="s">
        <v>295</v>
      </c>
      <c r="EQ18" t="s">
        <v>19</v>
      </c>
      <c r="ER18" t="s">
        <v>19</v>
      </c>
      <c r="ES18" t="s">
        <v>19</v>
      </c>
      <c r="ET18" t="s">
        <v>296</v>
      </c>
      <c r="EU18" t="s">
        <v>297</v>
      </c>
      <c r="EV18" t="s">
        <v>298</v>
      </c>
      <c r="EW18" t="s">
        <v>298</v>
      </c>
      <c r="EX18" t="s">
        <v>298</v>
      </c>
      <c r="EY18" t="s">
        <v>298</v>
      </c>
      <c r="EZ18">
        <v>0</v>
      </c>
      <c r="FA18">
        <v>100</v>
      </c>
      <c r="FB18">
        <v>100</v>
      </c>
      <c r="FC18">
        <v>0.27</v>
      </c>
      <c r="FD18">
        <v>4.3999999999999997E-2</v>
      </c>
      <c r="FE18">
        <v>2</v>
      </c>
      <c r="FF18">
        <v>496.29899999999998</v>
      </c>
      <c r="FG18">
        <v>470.59399999999999</v>
      </c>
      <c r="FH18">
        <v>18.741599999999998</v>
      </c>
      <c r="FI18">
        <v>34.879899999999999</v>
      </c>
      <c r="FJ18">
        <v>29.999500000000001</v>
      </c>
      <c r="FK18">
        <v>34.972200000000001</v>
      </c>
      <c r="FL18">
        <v>34.97</v>
      </c>
      <c r="FM18">
        <v>17.7285</v>
      </c>
      <c r="FN18">
        <v>66.919200000000004</v>
      </c>
      <c r="FO18">
        <v>0</v>
      </c>
      <c r="FP18">
        <v>18.433800000000002</v>
      </c>
      <c r="FQ18">
        <v>300</v>
      </c>
      <c r="FR18">
        <v>10.276899999999999</v>
      </c>
      <c r="FS18">
        <v>100.49299999999999</v>
      </c>
      <c r="FT18">
        <v>101.026</v>
      </c>
    </row>
    <row r="19" spans="1:176" x14ac:dyDescent="0.35">
      <c r="A19">
        <v>3</v>
      </c>
      <c r="B19">
        <v>1564338098.7</v>
      </c>
      <c r="C19">
        <v>268</v>
      </c>
      <c r="D19" t="s">
        <v>305</v>
      </c>
      <c r="E19" t="s">
        <v>306</v>
      </c>
      <c r="F19" t="s">
        <v>288</v>
      </c>
      <c r="G19" t="s">
        <v>289</v>
      </c>
      <c r="H19" t="s">
        <v>288</v>
      </c>
      <c r="J19" t="s">
        <v>288</v>
      </c>
      <c r="K19">
        <v>1564338090.7</v>
      </c>
      <c r="L19">
        <f t="shared" si="0"/>
        <v>8.3141508869837427E-3</v>
      </c>
      <c r="M19">
        <f t="shared" si="1"/>
        <v>17.523497697219156</v>
      </c>
      <c r="N19">
        <f t="shared" si="2"/>
        <v>177.20758064516099</v>
      </c>
      <c r="O19">
        <f t="shared" si="3"/>
        <v>112.98527154534735</v>
      </c>
      <c r="P19">
        <f t="shared" si="4"/>
        <v>11.242195488513959</v>
      </c>
      <c r="Q19">
        <f t="shared" si="5"/>
        <v>17.632406741262017</v>
      </c>
      <c r="R19">
        <f t="shared" si="6"/>
        <v>0.5171878993969844</v>
      </c>
      <c r="S19">
        <f t="shared" si="7"/>
        <v>2.2522269477812711</v>
      </c>
      <c r="T19">
        <f t="shared" si="8"/>
        <v>0.45915403975558705</v>
      </c>
      <c r="U19">
        <f t="shared" si="9"/>
        <v>0.29164088833722002</v>
      </c>
      <c r="V19">
        <f t="shared" si="10"/>
        <v>353.34389145553189</v>
      </c>
      <c r="W19">
        <f t="shared" si="11"/>
        <v>25.333026636026268</v>
      </c>
      <c r="X19">
        <f t="shared" si="12"/>
        <v>26.942477419354798</v>
      </c>
      <c r="Y19">
        <f t="shared" si="13"/>
        <v>3.5670855194060849</v>
      </c>
      <c r="Z19">
        <f t="shared" si="14"/>
        <v>55.600020506759527</v>
      </c>
      <c r="AA19">
        <f t="shared" si="15"/>
        <v>1.8140791617271597</v>
      </c>
      <c r="AB19">
        <f t="shared" si="16"/>
        <v>3.2627311018826233</v>
      </c>
      <c r="AC19">
        <f t="shared" si="17"/>
        <v>1.7530063576789252</v>
      </c>
      <c r="AD19">
        <f t="shared" si="18"/>
        <v>-366.65405411598306</v>
      </c>
      <c r="AE19">
        <f t="shared" si="19"/>
        <v>-183.25996385943452</v>
      </c>
      <c r="AF19">
        <f t="shared" si="20"/>
        <v>-17.418117636818753</v>
      </c>
      <c r="AG19">
        <f t="shared" si="21"/>
        <v>-213.98824415670444</v>
      </c>
      <c r="AH19">
        <v>-4.1243726819231503E-2</v>
      </c>
      <c r="AI19">
        <v>4.6299696503500902E-2</v>
      </c>
      <c r="AJ19">
        <v>3.4592029342526001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52867.108504888405</v>
      </c>
      <c r="AP19" t="s">
        <v>290</v>
      </c>
      <c r="AQ19">
        <v>413.64615384615399</v>
      </c>
      <c r="AR19">
        <v>1914.9</v>
      </c>
      <c r="AS19">
        <f t="shared" si="25"/>
        <v>1501.2538461538461</v>
      </c>
      <c r="AT19">
        <f t="shared" si="26"/>
        <v>0.78398550637309838</v>
      </c>
      <c r="AU19">
        <v>-0.61508576146989002</v>
      </c>
      <c r="AV19" t="s">
        <v>307</v>
      </c>
      <c r="AW19">
        <v>783.21773076923103</v>
      </c>
      <c r="AX19">
        <v>1064.76</v>
      </c>
      <c r="AY19">
        <f t="shared" si="27"/>
        <v>0.26441852551820966</v>
      </c>
      <c r="AZ19">
        <v>0.5</v>
      </c>
      <c r="BA19">
        <f t="shared" si="28"/>
        <v>1849.2041419624561</v>
      </c>
      <c r="BB19">
        <f t="shared" si="29"/>
        <v>17.523497697219156</v>
      </c>
      <c r="BC19">
        <f t="shared" si="30"/>
        <v>244.48191629993934</v>
      </c>
      <c r="BD19">
        <f t="shared" si="31"/>
        <v>0.46410458694917162</v>
      </c>
      <c r="BE19">
        <f t="shared" si="32"/>
        <v>9.8088594152939707E-3</v>
      </c>
      <c r="BF19">
        <f t="shared" si="33"/>
        <v>0.79843344979150244</v>
      </c>
      <c r="BG19" t="s">
        <v>308</v>
      </c>
      <c r="BH19">
        <v>570.6</v>
      </c>
      <c r="BI19">
        <f t="shared" si="34"/>
        <v>494.15999999999997</v>
      </c>
      <c r="BJ19">
        <f t="shared" si="35"/>
        <v>0.56973909104494291</v>
      </c>
      <c r="BK19">
        <f t="shared" si="36"/>
        <v>0.63240348136576652</v>
      </c>
      <c r="BL19">
        <f t="shared" si="37"/>
        <v>0.43240098623896533</v>
      </c>
      <c r="BM19">
        <f t="shared" si="38"/>
        <v>0.56628664244759519</v>
      </c>
      <c r="BN19">
        <v>252</v>
      </c>
      <c r="BO19">
        <v>300</v>
      </c>
      <c r="BP19">
        <v>300</v>
      </c>
      <c r="BQ19">
        <v>300</v>
      </c>
      <c r="BR19">
        <v>8099.89</v>
      </c>
      <c r="BS19">
        <v>976.61800000000005</v>
      </c>
      <c r="BT19">
        <v>-2.94619E-3</v>
      </c>
      <c r="BU19">
        <v>3.6033300000000001</v>
      </c>
      <c r="BV19">
        <f t="shared" si="39"/>
        <v>2200.0206451612898</v>
      </c>
      <c r="BW19">
        <f t="shared" si="40"/>
        <v>1849.2041419624561</v>
      </c>
      <c r="BX19">
        <f t="shared" si="41"/>
        <v>0.84053944949543213</v>
      </c>
      <c r="BY19">
        <f t="shared" si="42"/>
        <v>0.19107889899086422</v>
      </c>
      <c r="BZ19">
        <v>1564338090.7</v>
      </c>
      <c r="CA19">
        <v>177.20758064516099</v>
      </c>
      <c r="CB19">
        <v>200.00216129032299</v>
      </c>
      <c r="CC19">
        <v>18.231690322580601</v>
      </c>
      <c r="CD19">
        <v>8.4372996774193503</v>
      </c>
      <c r="CE19">
        <v>500.035387096774</v>
      </c>
      <c r="CF19">
        <v>99.401396774193501</v>
      </c>
      <c r="CG19">
        <v>0.100027922580645</v>
      </c>
      <c r="CH19">
        <v>25.4331967741936</v>
      </c>
      <c r="CI19">
        <v>26.942477419354798</v>
      </c>
      <c r="CJ19">
        <v>999.9</v>
      </c>
      <c r="CK19">
        <v>10006.0216129032</v>
      </c>
      <c r="CL19">
        <v>0</v>
      </c>
      <c r="CM19">
        <v>-1530.77322580645</v>
      </c>
      <c r="CN19">
        <v>2200.0206451612898</v>
      </c>
      <c r="CO19">
        <v>0.98200341935483904</v>
      </c>
      <c r="CP19">
        <v>1.7996225806451601E-2</v>
      </c>
      <c r="CQ19">
        <v>0</v>
      </c>
      <c r="CR19">
        <v>783.27012903225796</v>
      </c>
      <c r="CS19">
        <v>1.9999499999999999</v>
      </c>
      <c r="CT19">
        <v>18001.558064516099</v>
      </c>
      <c r="CU19">
        <v>17938.445161290299</v>
      </c>
      <c r="CV19">
        <v>48.003999999999998</v>
      </c>
      <c r="CW19">
        <v>49.618903225806498</v>
      </c>
      <c r="CX19">
        <v>48.387</v>
      </c>
      <c r="CY19">
        <v>48.54</v>
      </c>
      <c r="CZ19">
        <v>49.070193548387103</v>
      </c>
      <c r="DA19">
        <v>2158.4606451612899</v>
      </c>
      <c r="DB19">
        <v>39.56</v>
      </c>
      <c r="DC19">
        <v>0</v>
      </c>
      <c r="DD19">
        <v>176.80000019073501</v>
      </c>
      <c r="DE19">
        <v>783.21773076923103</v>
      </c>
      <c r="DF19">
        <v>-3.3605811805854202</v>
      </c>
      <c r="DG19">
        <v>-48.724786259344803</v>
      </c>
      <c r="DH19">
        <v>18001.276923076901</v>
      </c>
      <c r="DI19">
        <v>15</v>
      </c>
      <c r="DJ19">
        <v>1564338135.7</v>
      </c>
      <c r="DK19" t="s">
        <v>309</v>
      </c>
      <c r="DL19">
        <v>85</v>
      </c>
      <c r="DM19">
        <v>0.105</v>
      </c>
      <c r="DN19">
        <v>1.9E-2</v>
      </c>
      <c r="DO19">
        <v>200</v>
      </c>
      <c r="DP19">
        <v>8</v>
      </c>
      <c r="DQ19">
        <v>0.04</v>
      </c>
      <c r="DR19">
        <v>0.01</v>
      </c>
      <c r="DS19">
        <v>17.2390878070232</v>
      </c>
      <c r="DT19">
        <v>0.62354205285184205</v>
      </c>
      <c r="DU19">
        <v>0.125703638113913</v>
      </c>
      <c r="DV19">
        <v>0</v>
      </c>
      <c r="DW19">
        <v>177.53</v>
      </c>
      <c r="DX19">
        <v>-0.88209922251017803</v>
      </c>
      <c r="DY19">
        <v>0.15523053999759701</v>
      </c>
      <c r="DZ19">
        <v>1</v>
      </c>
      <c r="EA19">
        <v>0.50886996057178502</v>
      </c>
      <c r="EB19">
        <v>4.76826888672627E-2</v>
      </c>
      <c r="EC19">
        <v>9.52189164288747E-3</v>
      </c>
      <c r="ED19">
        <v>1</v>
      </c>
      <c r="EE19">
        <v>2</v>
      </c>
      <c r="EF19">
        <v>3</v>
      </c>
      <c r="EG19" t="s">
        <v>294</v>
      </c>
      <c r="EH19">
        <v>1.8666</v>
      </c>
      <c r="EI19">
        <v>1.8631</v>
      </c>
      <c r="EJ19">
        <v>1.86873</v>
      </c>
      <c r="EK19">
        <v>1.86663</v>
      </c>
      <c r="EL19">
        <v>1.8713299999999999</v>
      </c>
      <c r="EM19">
        <v>1.8637300000000001</v>
      </c>
      <c r="EN19">
        <v>1.8652299999999999</v>
      </c>
      <c r="EO19">
        <v>1.86521</v>
      </c>
      <c r="EP19" t="s">
        <v>295</v>
      </c>
      <c r="EQ19" t="s">
        <v>19</v>
      </c>
      <c r="ER19" t="s">
        <v>19</v>
      </c>
      <c r="ES19" t="s">
        <v>19</v>
      </c>
      <c r="ET19" t="s">
        <v>296</v>
      </c>
      <c r="EU19" t="s">
        <v>297</v>
      </c>
      <c r="EV19" t="s">
        <v>298</v>
      </c>
      <c r="EW19" t="s">
        <v>298</v>
      </c>
      <c r="EX19" t="s">
        <v>298</v>
      </c>
      <c r="EY19" t="s">
        <v>298</v>
      </c>
      <c r="EZ19">
        <v>0</v>
      </c>
      <c r="FA19">
        <v>100</v>
      </c>
      <c r="FB19">
        <v>100</v>
      </c>
      <c r="FC19">
        <v>0.105</v>
      </c>
      <c r="FD19">
        <v>1.9E-2</v>
      </c>
      <c r="FE19">
        <v>2</v>
      </c>
      <c r="FF19">
        <v>497.57600000000002</v>
      </c>
      <c r="FG19">
        <v>468.02300000000002</v>
      </c>
      <c r="FH19">
        <v>18.421099999999999</v>
      </c>
      <c r="FI19">
        <v>35.014800000000001</v>
      </c>
      <c r="FJ19">
        <v>30.000800000000002</v>
      </c>
      <c r="FK19">
        <v>34.958399999999997</v>
      </c>
      <c r="FL19">
        <v>34.954300000000003</v>
      </c>
      <c r="FM19">
        <v>13.0204</v>
      </c>
      <c r="FN19">
        <v>73.610299999999995</v>
      </c>
      <c r="FO19">
        <v>0</v>
      </c>
      <c r="FP19">
        <v>18.7761</v>
      </c>
      <c r="FQ19">
        <v>200</v>
      </c>
      <c r="FR19">
        <v>8.1855200000000004</v>
      </c>
      <c r="FS19">
        <v>100.476</v>
      </c>
      <c r="FT19">
        <v>100.996</v>
      </c>
    </row>
    <row r="20" spans="1:176" x14ac:dyDescent="0.35">
      <c r="A20">
        <v>4</v>
      </c>
      <c r="B20">
        <v>1564338277.2</v>
      </c>
      <c r="C20">
        <v>446.5</v>
      </c>
      <c r="D20" t="s">
        <v>310</v>
      </c>
      <c r="E20" t="s">
        <v>311</v>
      </c>
      <c r="F20" t="s">
        <v>288</v>
      </c>
      <c r="G20" t="s">
        <v>289</v>
      </c>
      <c r="H20" t="s">
        <v>288</v>
      </c>
      <c r="J20" t="s">
        <v>288</v>
      </c>
      <c r="K20">
        <v>1564338269.2</v>
      </c>
      <c r="L20">
        <f t="shared" si="0"/>
        <v>1.0023114287851586E-2</v>
      </c>
      <c r="M20">
        <f t="shared" si="1"/>
        <v>7.1637550976625199</v>
      </c>
      <c r="N20">
        <f t="shared" si="2"/>
        <v>90.338951612903202</v>
      </c>
      <c r="O20">
        <f t="shared" si="3"/>
        <v>68.565021212169</v>
      </c>
      <c r="P20">
        <f t="shared" si="4"/>
        <v>6.8221360727583891</v>
      </c>
      <c r="Q20">
        <f t="shared" si="5"/>
        <v>8.9886156188365494</v>
      </c>
      <c r="R20">
        <f t="shared" si="6"/>
        <v>0.66641985971560047</v>
      </c>
      <c r="S20">
        <f t="shared" si="7"/>
        <v>2.252401498794673</v>
      </c>
      <c r="T20">
        <f t="shared" si="8"/>
        <v>0.5732829375596763</v>
      </c>
      <c r="U20">
        <f t="shared" si="9"/>
        <v>0.36557990640053639</v>
      </c>
      <c r="V20">
        <f t="shared" si="10"/>
        <v>353.33658544574774</v>
      </c>
      <c r="W20">
        <f t="shared" si="11"/>
        <v>25.139141406380777</v>
      </c>
      <c r="X20">
        <f t="shared" si="12"/>
        <v>26.942109677419399</v>
      </c>
      <c r="Y20">
        <f t="shared" si="13"/>
        <v>3.5670084437270737</v>
      </c>
      <c r="Z20">
        <f t="shared" si="14"/>
        <v>56.208040075954123</v>
      </c>
      <c r="AA20">
        <f t="shared" si="15"/>
        <v>1.8749733358939589</v>
      </c>
      <c r="AB20">
        <f t="shared" si="16"/>
        <v>3.335774265319162</v>
      </c>
      <c r="AC20">
        <f t="shared" si="17"/>
        <v>1.6920351078331148</v>
      </c>
      <c r="AD20">
        <f t="shared" si="18"/>
        <v>-442.01934009425491</v>
      </c>
      <c r="AE20">
        <f t="shared" si="19"/>
        <v>-137.92421346162749</v>
      </c>
      <c r="AF20">
        <f t="shared" si="20"/>
        <v>-13.132596164469426</v>
      </c>
      <c r="AG20">
        <f t="shared" si="21"/>
        <v>-239.73956427460408</v>
      </c>
      <c r="AH20">
        <v>-4.1248430360555102E-2</v>
      </c>
      <c r="AI20">
        <v>4.6304976640689499E-2</v>
      </c>
      <c r="AJ20">
        <v>3.45951513193052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52806.814726393452</v>
      </c>
      <c r="AP20" t="s">
        <v>290</v>
      </c>
      <c r="AQ20">
        <v>413.64615384615399</v>
      </c>
      <c r="AR20">
        <v>1914.9</v>
      </c>
      <c r="AS20">
        <f t="shared" si="25"/>
        <v>1501.2538461538461</v>
      </c>
      <c r="AT20">
        <f t="shared" si="26"/>
        <v>0.78398550637309838</v>
      </c>
      <c r="AU20">
        <v>-0.61508576146989002</v>
      </c>
      <c r="AV20" t="s">
        <v>312</v>
      </c>
      <c r="AW20">
        <v>784.23830769230801</v>
      </c>
      <c r="AX20">
        <v>1010.03</v>
      </c>
      <c r="AY20">
        <f t="shared" si="27"/>
        <v>0.22354949091382625</v>
      </c>
      <c r="AZ20">
        <v>0.5</v>
      </c>
      <c r="BA20">
        <f t="shared" si="28"/>
        <v>1849.1683451882527</v>
      </c>
      <c r="BB20">
        <f t="shared" si="29"/>
        <v>7.1637550976625199</v>
      </c>
      <c r="BC20">
        <f t="shared" si="30"/>
        <v>206.69032109039821</v>
      </c>
      <c r="BD20">
        <f t="shared" si="31"/>
        <v>0.41962119937031567</v>
      </c>
      <c r="BE20">
        <f t="shared" si="32"/>
        <v>4.2066699223863762E-3</v>
      </c>
      <c r="BF20">
        <f t="shared" si="33"/>
        <v>0.89588428066493087</v>
      </c>
      <c r="BG20" t="s">
        <v>313</v>
      </c>
      <c r="BH20">
        <v>586.20000000000005</v>
      </c>
      <c r="BI20">
        <f t="shared" si="34"/>
        <v>423.82999999999993</v>
      </c>
      <c r="BJ20">
        <f t="shared" si="35"/>
        <v>0.53274117525350262</v>
      </c>
      <c r="BK20">
        <f t="shared" si="36"/>
        <v>0.68101904116805911</v>
      </c>
      <c r="BL20">
        <f t="shared" si="37"/>
        <v>0.37860128801920245</v>
      </c>
      <c r="BM20">
        <f t="shared" si="38"/>
        <v>0.60274283547598684</v>
      </c>
      <c r="BN20">
        <v>254</v>
      </c>
      <c r="BO20">
        <v>300</v>
      </c>
      <c r="BP20">
        <v>300</v>
      </c>
      <c r="BQ20">
        <v>300</v>
      </c>
      <c r="BR20">
        <v>8098.07</v>
      </c>
      <c r="BS20">
        <v>939.46199999999999</v>
      </c>
      <c r="BT20">
        <v>-2.94546E-3</v>
      </c>
      <c r="BU20">
        <v>2.5240499999999999</v>
      </c>
      <c r="BV20">
        <f t="shared" si="39"/>
        <v>2199.9783870967699</v>
      </c>
      <c r="BW20">
        <f t="shared" si="40"/>
        <v>1849.1683451882527</v>
      </c>
      <c r="BX20">
        <f t="shared" si="41"/>
        <v>0.84053932349241478</v>
      </c>
      <c r="BY20">
        <f t="shared" si="42"/>
        <v>0.19107864698482965</v>
      </c>
      <c r="BZ20">
        <v>1564338269.2</v>
      </c>
      <c r="CA20">
        <v>90.338951612903202</v>
      </c>
      <c r="CB20">
        <v>100.021458064516</v>
      </c>
      <c r="CC20">
        <v>18.844183870967701</v>
      </c>
      <c r="CD20">
        <v>7.0437977419354896</v>
      </c>
      <c r="CE20">
        <v>500.02958064516099</v>
      </c>
      <c r="CF20">
        <v>99.398751612903197</v>
      </c>
      <c r="CG20">
        <v>0.100030012903226</v>
      </c>
      <c r="CH20">
        <v>25.806290322580601</v>
      </c>
      <c r="CI20">
        <v>26.942109677419399</v>
      </c>
      <c r="CJ20">
        <v>999.9</v>
      </c>
      <c r="CK20">
        <v>10007.4290322581</v>
      </c>
      <c r="CL20">
        <v>0</v>
      </c>
      <c r="CM20">
        <v>-1484.6864516129001</v>
      </c>
      <c r="CN20">
        <v>2199.9783870967699</v>
      </c>
      <c r="CO20">
        <v>0.982006516129032</v>
      </c>
      <c r="CP20">
        <v>1.7993487096774199E-2</v>
      </c>
      <c r="CQ20">
        <v>0</v>
      </c>
      <c r="CR20">
        <v>784.25770967741903</v>
      </c>
      <c r="CS20">
        <v>1.9999499999999999</v>
      </c>
      <c r="CT20">
        <v>18051.9258064516</v>
      </c>
      <c r="CU20">
        <v>17938.106451612901</v>
      </c>
      <c r="CV20">
        <v>48.4695161290323</v>
      </c>
      <c r="CW20">
        <v>50.330290322580602</v>
      </c>
      <c r="CX20">
        <v>48.908999999999999</v>
      </c>
      <c r="CY20">
        <v>49.215451612903202</v>
      </c>
      <c r="CZ20">
        <v>49.554000000000002</v>
      </c>
      <c r="DA20">
        <v>2158.4283870967702</v>
      </c>
      <c r="DB20">
        <v>39.549999999999997</v>
      </c>
      <c r="DC20">
        <v>0</v>
      </c>
      <c r="DD20">
        <v>177.80000019073501</v>
      </c>
      <c r="DE20">
        <v>784.23830769230801</v>
      </c>
      <c r="DF20">
        <v>-3.5269743295796099</v>
      </c>
      <c r="DG20">
        <v>-59.671794832645197</v>
      </c>
      <c r="DH20">
        <v>18051.446153846198</v>
      </c>
      <c r="DI20">
        <v>15</v>
      </c>
      <c r="DJ20">
        <v>1564338252.2</v>
      </c>
      <c r="DK20" t="s">
        <v>314</v>
      </c>
      <c r="DL20">
        <v>86</v>
      </c>
      <c r="DM20">
        <v>0.17799999999999999</v>
      </c>
      <c r="DN20">
        <v>1.4E-2</v>
      </c>
      <c r="DO20">
        <v>100</v>
      </c>
      <c r="DP20">
        <v>7</v>
      </c>
      <c r="DQ20">
        <v>0.14000000000000001</v>
      </c>
      <c r="DR20">
        <v>0.01</v>
      </c>
      <c r="DS20">
        <v>3.6649669605849802</v>
      </c>
      <c r="DT20">
        <v>15.639881835907801</v>
      </c>
      <c r="DU20">
        <v>3.4518763547783098</v>
      </c>
      <c r="DV20">
        <v>0</v>
      </c>
      <c r="DW20">
        <v>94.324701369863007</v>
      </c>
      <c r="DX20">
        <v>-23.018763896200198</v>
      </c>
      <c r="DY20">
        <v>4.5693379434857899</v>
      </c>
      <c r="DZ20">
        <v>0</v>
      </c>
      <c r="EA20">
        <v>0.32970083887337998</v>
      </c>
      <c r="EB20">
        <v>1.4531635439339901</v>
      </c>
      <c r="EC20">
        <v>0.317689523923815</v>
      </c>
      <c r="ED20">
        <v>0</v>
      </c>
      <c r="EE20">
        <v>0</v>
      </c>
      <c r="EF20">
        <v>3</v>
      </c>
      <c r="EG20" t="s">
        <v>315</v>
      </c>
      <c r="EH20">
        <v>1.8666100000000001</v>
      </c>
      <c r="EI20">
        <v>1.8631</v>
      </c>
      <c r="EJ20">
        <v>1.8687400000000001</v>
      </c>
      <c r="EK20">
        <v>1.8667</v>
      </c>
      <c r="EL20">
        <v>1.87134</v>
      </c>
      <c r="EM20">
        <v>1.8638300000000001</v>
      </c>
      <c r="EN20">
        <v>1.8653</v>
      </c>
      <c r="EO20">
        <v>1.8652299999999999</v>
      </c>
      <c r="EP20" t="s">
        <v>295</v>
      </c>
      <c r="EQ20" t="s">
        <v>19</v>
      </c>
      <c r="ER20" t="s">
        <v>19</v>
      </c>
      <c r="ES20" t="s">
        <v>19</v>
      </c>
      <c r="ET20" t="s">
        <v>296</v>
      </c>
      <c r="EU20" t="s">
        <v>297</v>
      </c>
      <c r="EV20" t="s">
        <v>298</v>
      </c>
      <c r="EW20" t="s">
        <v>298</v>
      </c>
      <c r="EX20" t="s">
        <v>298</v>
      </c>
      <c r="EY20" t="s">
        <v>298</v>
      </c>
      <c r="EZ20">
        <v>0</v>
      </c>
      <c r="FA20">
        <v>100</v>
      </c>
      <c r="FB20">
        <v>100</v>
      </c>
      <c r="FC20">
        <v>0.17799999999999999</v>
      </c>
      <c r="FD20">
        <v>1.4E-2</v>
      </c>
      <c r="FE20">
        <v>2</v>
      </c>
      <c r="FF20">
        <v>497.67399999999998</v>
      </c>
      <c r="FG20">
        <v>465.44200000000001</v>
      </c>
      <c r="FH20">
        <v>19.5977</v>
      </c>
      <c r="FI20">
        <v>35.369999999999997</v>
      </c>
      <c r="FJ20">
        <v>30.001300000000001</v>
      </c>
      <c r="FK20">
        <v>35.208100000000002</v>
      </c>
      <c r="FL20">
        <v>35.173200000000001</v>
      </c>
      <c r="FM20">
        <v>8.1304200000000009</v>
      </c>
      <c r="FN20">
        <v>77.202100000000002</v>
      </c>
      <c r="FO20">
        <v>0</v>
      </c>
      <c r="FP20">
        <v>19.591999999999999</v>
      </c>
      <c r="FQ20">
        <v>100</v>
      </c>
      <c r="FR20">
        <v>6.7593100000000002</v>
      </c>
      <c r="FS20">
        <v>100.41800000000001</v>
      </c>
      <c r="FT20">
        <v>100.92700000000001</v>
      </c>
    </row>
    <row r="21" spans="1:176" x14ac:dyDescent="0.35">
      <c r="A21">
        <v>5</v>
      </c>
      <c r="B21">
        <v>1564338415.7</v>
      </c>
      <c r="C21">
        <v>585</v>
      </c>
      <c r="D21" t="s">
        <v>316</v>
      </c>
      <c r="E21" t="s">
        <v>317</v>
      </c>
      <c r="F21" t="s">
        <v>288</v>
      </c>
      <c r="G21" t="s">
        <v>289</v>
      </c>
      <c r="H21" t="s">
        <v>288</v>
      </c>
      <c r="J21" t="s">
        <v>288</v>
      </c>
      <c r="K21">
        <v>1564338407.7548399</v>
      </c>
      <c r="L21">
        <f t="shared" si="0"/>
        <v>1.0207655467188218E-2</v>
      </c>
      <c r="M21">
        <f t="shared" si="1"/>
        <v>-3.6237713408078966</v>
      </c>
      <c r="N21">
        <f t="shared" si="2"/>
        <v>16.6401161290323</v>
      </c>
      <c r="O21">
        <f t="shared" si="3"/>
        <v>25.8359450087288</v>
      </c>
      <c r="P21">
        <f t="shared" si="4"/>
        <v>2.5706865914690971</v>
      </c>
      <c r="Q21">
        <f t="shared" si="5"/>
        <v>1.6556980361639466</v>
      </c>
      <c r="R21">
        <f t="shared" si="6"/>
        <v>0.67668139780352465</v>
      </c>
      <c r="S21">
        <f t="shared" si="7"/>
        <v>2.2511159869871715</v>
      </c>
      <c r="T21">
        <f t="shared" si="8"/>
        <v>0.58082702276617404</v>
      </c>
      <c r="U21">
        <f t="shared" si="9"/>
        <v>0.37049197919302695</v>
      </c>
      <c r="V21">
        <f t="shared" si="10"/>
        <v>353.34163945453082</v>
      </c>
      <c r="W21">
        <f t="shared" si="11"/>
        <v>25.340178110369099</v>
      </c>
      <c r="X21">
        <f t="shared" si="12"/>
        <v>26.946212903225799</v>
      </c>
      <c r="Y21">
        <f t="shared" si="13"/>
        <v>3.5678685284345497</v>
      </c>
      <c r="Z21">
        <f t="shared" si="14"/>
        <v>55.105321378780012</v>
      </c>
      <c r="AA21">
        <f t="shared" si="15"/>
        <v>1.8669710648172753</v>
      </c>
      <c r="AB21">
        <f t="shared" si="16"/>
        <v>3.3880050385409954</v>
      </c>
      <c r="AC21">
        <f t="shared" si="17"/>
        <v>1.7008974636172745</v>
      </c>
      <c r="AD21">
        <f t="shared" si="18"/>
        <v>-450.15760610300043</v>
      </c>
      <c r="AE21">
        <f t="shared" si="19"/>
        <v>-106.4937339034522</v>
      </c>
      <c r="AF21">
        <f t="shared" si="20"/>
        <v>-10.159241752022552</v>
      </c>
      <c r="AG21">
        <f t="shared" si="21"/>
        <v>-213.46894230394435</v>
      </c>
      <c r="AH21">
        <v>-4.1213798041977799E-2</v>
      </c>
      <c r="AI21">
        <v>4.6266098829128702E-2</v>
      </c>
      <c r="AJ21">
        <v>3.4572161235236001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52718.026560432227</v>
      </c>
      <c r="AP21" t="s">
        <v>290</v>
      </c>
      <c r="AQ21">
        <v>413.64615384615399</v>
      </c>
      <c r="AR21">
        <v>1914.9</v>
      </c>
      <c r="AS21">
        <f t="shared" si="25"/>
        <v>1501.2538461538461</v>
      </c>
      <c r="AT21">
        <f t="shared" si="26"/>
        <v>0.78398550637309838</v>
      </c>
      <c r="AU21">
        <v>-0.61508576146989002</v>
      </c>
      <c r="AV21" t="s">
        <v>318</v>
      </c>
      <c r="AW21">
        <v>800.00584615384605</v>
      </c>
      <c r="AX21">
        <v>960.79399999999998</v>
      </c>
      <c r="AY21">
        <f t="shared" si="27"/>
        <v>0.16734924848214494</v>
      </c>
      <c r="AZ21">
        <v>0.5</v>
      </c>
      <c r="BA21">
        <f t="shared" si="28"/>
        <v>1849.1941742205124</v>
      </c>
      <c r="BB21">
        <f t="shared" si="29"/>
        <v>-3.6237713408078966</v>
      </c>
      <c r="BC21">
        <f t="shared" si="30"/>
        <v>154.73062767668168</v>
      </c>
      <c r="BD21">
        <f t="shared" si="31"/>
        <v>0.3401291015555884</v>
      </c>
      <c r="BE21">
        <f t="shared" si="32"/>
        <v>-1.6270252314667024E-3</v>
      </c>
      <c r="BF21">
        <f t="shared" si="33"/>
        <v>0.993039090585495</v>
      </c>
      <c r="BG21" t="s">
        <v>319</v>
      </c>
      <c r="BH21">
        <v>634</v>
      </c>
      <c r="BI21">
        <f t="shared" si="34"/>
        <v>326.79399999999998</v>
      </c>
      <c r="BJ21">
        <f t="shared" si="35"/>
        <v>0.49201684806377699</v>
      </c>
      <c r="BK21">
        <f t="shared" si="36"/>
        <v>0.74487157467405729</v>
      </c>
      <c r="BL21">
        <f t="shared" si="37"/>
        <v>0.29386600893416259</v>
      </c>
      <c r="BM21">
        <f t="shared" si="38"/>
        <v>0.63553942089432947</v>
      </c>
      <c r="BN21">
        <v>256</v>
      </c>
      <c r="BO21">
        <v>300</v>
      </c>
      <c r="BP21">
        <v>300</v>
      </c>
      <c r="BQ21">
        <v>300</v>
      </c>
      <c r="BR21">
        <v>8097.78</v>
      </c>
      <c r="BS21">
        <v>919.95600000000002</v>
      </c>
      <c r="BT21">
        <v>-2.9452699999999998E-3</v>
      </c>
      <c r="BU21">
        <v>2.9738799999999999</v>
      </c>
      <c r="BV21">
        <f t="shared" si="39"/>
        <v>2200.00903225806</v>
      </c>
      <c r="BW21">
        <f t="shared" si="40"/>
        <v>1849.1941742205124</v>
      </c>
      <c r="BX21">
        <f t="shared" si="41"/>
        <v>0.84053935556915604</v>
      </c>
      <c r="BY21">
        <f t="shared" si="42"/>
        <v>0.19107871113831207</v>
      </c>
      <c r="BZ21">
        <v>1564338407.7548399</v>
      </c>
      <c r="CA21">
        <v>16.6401161290323</v>
      </c>
      <c r="CB21">
        <v>12.495741935483901</v>
      </c>
      <c r="CC21">
        <v>18.763454838709698</v>
      </c>
      <c r="CD21">
        <v>6.7450435483871001</v>
      </c>
      <c r="CE21">
        <v>500.03903225806499</v>
      </c>
      <c r="CF21">
        <v>99.400361290322607</v>
      </c>
      <c r="CG21">
        <v>0.100028209677419</v>
      </c>
      <c r="CH21">
        <v>26.068725806451599</v>
      </c>
      <c r="CI21">
        <v>26.946212903225799</v>
      </c>
      <c r="CJ21">
        <v>999.9</v>
      </c>
      <c r="CK21">
        <v>9998.86483870968</v>
      </c>
      <c r="CL21">
        <v>0</v>
      </c>
      <c r="CM21">
        <v>-468.72338709677399</v>
      </c>
      <c r="CN21">
        <v>2200.00903225806</v>
      </c>
      <c r="CO21">
        <v>0.98200558064516097</v>
      </c>
      <c r="CP21">
        <v>1.79945129032258E-2</v>
      </c>
      <c r="CQ21">
        <v>0</v>
      </c>
      <c r="CR21">
        <v>799.93587096774195</v>
      </c>
      <c r="CS21">
        <v>1.9999499999999999</v>
      </c>
      <c r="CT21">
        <v>18364.561290322599</v>
      </c>
      <c r="CU21">
        <v>17938.3548387097</v>
      </c>
      <c r="CV21">
        <v>48.667000000000002</v>
      </c>
      <c r="CW21">
        <v>50.245870967741901</v>
      </c>
      <c r="CX21">
        <v>49.102645161290297</v>
      </c>
      <c r="CY21">
        <v>49.286000000000001</v>
      </c>
      <c r="CZ21">
        <v>49.745870967741901</v>
      </c>
      <c r="DA21">
        <v>2158.4561290322599</v>
      </c>
      <c r="DB21">
        <v>39.552903225806403</v>
      </c>
      <c r="DC21">
        <v>0</v>
      </c>
      <c r="DD21">
        <v>138</v>
      </c>
      <c r="DE21">
        <v>800.00584615384605</v>
      </c>
      <c r="DF21">
        <v>4.6038974462387099</v>
      </c>
      <c r="DG21">
        <v>89.258119646399393</v>
      </c>
      <c r="DH21">
        <v>18365.376923076899</v>
      </c>
      <c r="DI21">
        <v>15</v>
      </c>
      <c r="DJ21">
        <v>1564338369.2</v>
      </c>
      <c r="DK21" t="s">
        <v>320</v>
      </c>
      <c r="DL21">
        <v>87</v>
      </c>
      <c r="DM21">
        <v>0.13800000000000001</v>
      </c>
      <c r="DN21">
        <v>8.0000000000000002E-3</v>
      </c>
      <c r="DO21">
        <v>12</v>
      </c>
      <c r="DP21">
        <v>7</v>
      </c>
      <c r="DQ21">
        <v>0.27</v>
      </c>
      <c r="DR21">
        <v>0.01</v>
      </c>
      <c r="DS21">
        <v>-3.6445711830057701</v>
      </c>
      <c r="DT21">
        <v>7.4493720356913706E-2</v>
      </c>
      <c r="DU21">
        <v>4.6454922258260201E-2</v>
      </c>
      <c r="DV21">
        <v>1</v>
      </c>
      <c r="DW21">
        <v>16.668046575342501</v>
      </c>
      <c r="DX21">
        <v>-0.151562120762995</v>
      </c>
      <c r="DY21">
        <v>3.0699003072438301E-2</v>
      </c>
      <c r="DZ21">
        <v>1</v>
      </c>
      <c r="EA21">
        <v>0.67166150594643503</v>
      </c>
      <c r="EB21">
        <v>4.5715950631964999E-2</v>
      </c>
      <c r="EC21">
        <v>2.3314152958593001E-2</v>
      </c>
      <c r="ED21">
        <v>1</v>
      </c>
      <c r="EE21">
        <v>3</v>
      </c>
      <c r="EF21">
        <v>3</v>
      </c>
      <c r="EG21" t="s">
        <v>304</v>
      </c>
      <c r="EH21">
        <v>1.8666400000000001</v>
      </c>
      <c r="EI21">
        <v>1.86314</v>
      </c>
      <c r="EJ21">
        <v>1.86876</v>
      </c>
      <c r="EK21">
        <v>1.86676</v>
      </c>
      <c r="EL21">
        <v>1.8713599999999999</v>
      </c>
      <c r="EM21">
        <v>1.8638600000000001</v>
      </c>
      <c r="EN21">
        <v>1.8653500000000001</v>
      </c>
      <c r="EO21">
        <v>1.86524</v>
      </c>
      <c r="EP21" t="s">
        <v>295</v>
      </c>
      <c r="EQ21" t="s">
        <v>19</v>
      </c>
      <c r="ER21" t="s">
        <v>19</v>
      </c>
      <c r="ES21" t="s">
        <v>19</v>
      </c>
      <c r="ET21" t="s">
        <v>296</v>
      </c>
      <c r="EU21" t="s">
        <v>297</v>
      </c>
      <c r="EV21" t="s">
        <v>298</v>
      </c>
      <c r="EW21" t="s">
        <v>298</v>
      </c>
      <c r="EX21" t="s">
        <v>298</v>
      </c>
      <c r="EY21" t="s">
        <v>298</v>
      </c>
      <c r="EZ21">
        <v>0</v>
      </c>
      <c r="FA21">
        <v>100</v>
      </c>
      <c r="FB21">
        <v>100</v>
      </c>
      <c r="FC21">
        <v>0.13800000000000001</v>
      </c>
      <c r="FD21">
        <v>8.0000000000000002E-3</v>
      </c>
      <c r="FE21">
        <v>2</v>
      </c>
      <c r="FF21">
        <v>498.43</v>
      </c>
      <c r="FG21">
        <v>466.18099999999998</v>
      </c>
      <c r="FH21">
        <v>20.4101</v>
      </c>
      <c r="FI21">
        <v>35.435400000000001</v>
      </c>
      <c r="FJ21">
        <v>29.999300000000002</v>
      </c>
      <c r="FK21">
        <v>35.302599999999998</v>
      </c>
      <c r="FL21">
        <v>35.264699999999998</v>
      </c>
      <c r="FM21">
        <v>3.85867</v>
      </c>
      <c r="FN21">
        <v>77.354399999999998</v>
      </c>
      <c r="FO21">
        <v>0</v>
      </c>
      <c r="FP21">
        <v>20.463100000000001</v>
      </c>
      <c r="FQ21">
        <v>12.5</v>
      </c>
      <c r="FR21">
        <v>6.6952199999999999</v>
      </c>
      <c r="FS21">
        <v>100.399</v>
      </c>
      <c r="FT21">
        <v>100.91500000000001</v>
      </c>
    </row>
    <row r="22" spans="1:176" x14ac:dyDescent="0.35">
      <c r="A22">
        <v>6</v>
      </c>
      <c r="B22">
        <v>1564338535.8</v>
      </c>
      <c r="C22">
        <v>705.09999990463302</v>
      </c>
      <c r="D22" t="s">
        <v>321</v>
      </c>
      <c r="E22" t="s">
        <v>322</v>
      </c>
      <c r="F22" t="s">
        <v>288</v>
      </c>
      <c r="G22" t="s">
        <v>289</v>
      </c>
      <c r="H22" t="s">
        <v>288</v>
      </c>
      <c r="J22" t="s">
        <v>288</v>
      </c>
      <c r="K22">
        <v>1564338527.74839</v>
      </c>
      <c r="L22">
        <f t="shared" si="0"/>
        <v>1.006358607486048E-2</v>
      </c>
      <c r="M22">
        <f t="shared" si="1"/>
        <v>-5.4916909423536486</v>
      </c>
      <c r="N22">
        <f t="shared" si="2"/>
        <v>1.49593838709677</v>
      </c>
      <c r="O22">
        <f t="shared" si="3"/>
        <v>16.225074457987894</v>
      </c>
      <c r="P22">
        <f t="shared" si="4"/>
        <v>1.6144510287994314</v>
      </c>
      <c r="Q22">
        <f t="shared" si="5"/>
        <v>0.1488510437546828</v>
      </c>
      <c r="R22">
        <f t="shared" si="6"/>
        <v>0.66890655163692625</v>
      </c>
      <c r="S22">
        <f t="shared" si="7"/>
        <v>2.2530743404559401</v>
      </c>
      <c r="T22">
        <f t="shared" si="8"/>
        <v>0.57514912985016808</v>
      </c>
      <c r="U22">
        <f t="shared" si="9"/>
        <v>0.36679153803055897</v>
      </c>
      <c r="V22">
        <f t="shared" si="10"/>
        <v>353.33943516598202</v>
      </c>
      <c r="W22">
        <f t="shared" si="11"/>
        <v>25.43862894923981</v>
      </c>
      <c r="X22">
        <f t="shared" si="12"/>
        <v>26.988567741935501</v>
      </c>
      <c r="Y22">
        <f t="shared" si="13"/>
        <v>3.5767571887295282</v>
      </c>
      <c r="Z22">
        <f t="shared" si="14"/>
        <v>55.428193484395486</v>
      </c>
      <c r="AA22">
        <f t="shared" si="15"/>
        <v>1.8834801090958282</v>
      </c>
      <c r="AB22">
        <f t="shared" si="16"/>
        <v>3.3980542945641523</v>
      </c>
      <c r="AC22">
        <f t="shared" si="17"/>
        <v>1.6932770796337</v>
      </c>
      <c r="AD22">
        <f t="shared" si="18"/>
        <v>-443.80414590134717</v>
      </c>
      <c r="AE22">
        <f t="shared" si="19"/>
        <v>-105.64715795430483</v>
      </c>
      <c r="AF22">
        <f t="shared" si="20"/>
        <v>-10.074382655360688</v>
      </c>
      <c r="AG22">
        <f t="shared" si="21"/>
        <v>-206.18625134503066</v>
      </c>
      <c r="AH22">
        <v>-4.1266564191589701E-2</v>
      </c>
      <c r="AI22">
        <v>4.6325333454636602E-2</v>
      </c>
      <c r="AJ22">
        <v>3.46071865062535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52773.981897868995</v>
      </c>
      <c r="AP22" t="s">
        <v>290</v>
      </c>
      <c r="AQ22">
        <v>413.64615384615399</v>
      </c>
      <c r="AR22">
        <v>1914.9</v>
      </c>
      <c r="AS22">
        <f t="shared" si="25"/>
        <v>1501.2538461538461</v>
      </c>
      <c r="AT22">
        <f t="shared" si="26"/>
        <v>0.78398550637309838</v>
      </c>
      <c r="AU22">
        <v>-0.61508576146989002</v>
      </c>
      <c r="AV22" t="s">
        <v>323</v>
      </c>
      <c r="AW22">
        <v>810.18530769230802</v>
      </c>
      <c r="AX22">
        <v>940.63099999999997</v>
      </c>
      <c r="AY22">
        <f t="shared" si="27"/>
        <v>0.13867892117917857</v>
      </c>
      <c r="AZ22">
        <v>0.5</v>
      </c>
      <c r="BA22">
        <f t="shared" si="28"/>
        <v>1849.1832580914836</v>
      </c>
      <c r="BB22">
        <f t="shared" si="29"/>
        <v>-5.4916909423536486</v>
      </c>
      <c r="BC22">
        <f t="shared" si="30"/>
        <v>128.22136964736274</v>
      </c>
      <c r="BD22">
        <f t="shared" si="31"/>
        <v>0.31918042250361728</v>
      </c>
      <c r="BE22">
        <f t="shared" si="32"/>
        <v>-2.6371670625640613E-3</v>
      </c>
      <c r="BF22">
        <f t="shared" si="33"/>
        <v>1.0357611007929786</v>
      </c>
      <c r="BG22" t="s">
        <v>324</v>
      </c>
      <c r="BH22">
        <v>640.4</v>
      </c>
      <c r="BI22">
        <f t="shared" si="34"/>
        <v>300.23099999999999</v>
      </c>
      <c r="BJ22">
        <f t="shared" si="35"/>
        <v>0.43448442135453019</v>
      </c>
      <c r="BK22">
        <f t="shared" si="36"/>
        <v>0.76443232640251091</v>
      </c>
      <c r="BL22">
        <f t="shared" si="37"/>
        <v>0.24753215061066505</v>
      </c>
      <c r="BM22">
        <f t="shared" si="38"/>
        <v>0.6489701941454068</v>
      </c>
      <c r="BN22">
        <v>258</v>
      </c>
      <c r="BO22">
        <v>300</v>
      </c>
      <c r="BP22">
        <v>300</v>
      </c>
      <c r="BQ22">
        <v>300</v>
      </c>
      <c r="BR22">
        <v>8097.98</v>
      </c>
      <c r="BS22">
        <v>906.67600000000004</v>
      </c>
      <c r="BT22">
        <v>-2.94531E-3</v>
      </c>
      <c r="BU22">
        <v>2.47296</v>
      </c>
      <c r="BV22">
        <f t="shared" si="39"/>
        <v>2199.9961290322599</v>
      </c>
      <c r="BW22">
        <f t="shared" si="40"/>
        <v>1849.1832580914836</v>
      </c>
      <c r="BX22">
        <f t="shared" si="41"/>
        <v>0.84053932354185878</v>
      </c>
      <c r="BY22">
        <f t="shared" si="42"/>
        <v>0.1910786470837178</v>
      </c>
      <c r="BZ22">
        <v>1564338527.74839</v>
      </c>
      <c r="CA22">
        <v>1.49593838709677</v>
      </c>
      <c r="CB22">
        <v>-5.0757696774193599</v>
      </c>
      <c r="CC22">
        <v>18.9287903225806</v>
      </c>
      <c r="CD22">
        <v>7.0815377419354801</v>
      </c>
      <c r="CE22">
        <v>500.01945161290303</v>
      </c>
      <c r="CF22">
        <v>99.403458064516101</v>
      </c>
      <c r="CG22">
        <v>0.10000079354838699</v>
      </c>
      <c r="CH22">
        <v>26.118812903225798</v>
      </c>
      <c r="CI22">
        <v>26.988567741935501</v>
      </c>
      <c r="CJ22">
        <v>999.9</v>
      </c>
      <c r="CK22">
        <v>10011.354516129</v>
      </c>
      <c r="CL22">
        <v>0</v>
      </c>
      <c r="CM22">
        <v>-466.56574193548403</v>
      </c>
      <c r="CN22">
        <v>2199.9961290322599</v>
      </c>
      <c r="CO22">
        <v>0.98200593548387105</v>
      </c>
      <c r="CP22">
        <v>1.7993951612903201E-2</v>
      </c>
      <c r="CQ22">
        <v>0</v>
      </c>
      <c r="CR22">
        <v>810.15725806451599</v>
      </c>
      <c r="CS22">
        <v>1.9999499999999999</v>
      </c>
      <c r="CT22">
        <v>18583.564516129001</v>
      </c>
      <c r="CU22">
        <v>17938.2387096774</v>
      </c>
      <c r="CV22">
        <v>48.683</v>
      </c>
      <c r="CW22">
        <v>49.893000000000001</v>
      </c>
      <c r="CX22">
        <v>49.054000000000002</v>
      </c>
      <c r="CY22">
        <v>49.058064516129001</v>
      </c>
      <c r="CZ22">
        <v>49.745935483871001</v>
      </c>
      <c r="DA22">
        <v>2158.4458064516102</v>
      </c>
      <c r="DB22">
        <v>39.550322580645201</v>
      </c>
      <c r="DC22">
        <v>0</v>
      </c>
      <c r="DD22">
        <v>119.40000009536701</v>
      </c>
      <c r="DE22">
        <v>810.18530769230802</v>
      </c>
      <c r="DF22">
        <v>2.7227350166984698</v>
      </c>
      <c r="DG22">
        <v>75.716239209954097</v>
      </c>
      <c r="DH22">
        <v>18584.142307692298</v>
      </c>
      <c r="DI22">
        <v>15</v>
      </c>
      <c r="DJ22">
        <v>1564338489.8</v>
      </c>
      <c r="DK22" t="s">
        <v>325</v>
      </c>
      <c r="DL22">
        <v>88</v>
      </c>
      <c r="DM22">
        <v>3.3000000000000002E-2</v>
      </c>
      <c r="DN22">
        <v>1.2E-2</v>
      </c>
      <c r="DO22">
        <v>-5</v>
      </c>
      <c r="DP22">
        <v>7</v>
      </c>
      <c r="DQ22">
        <v>0.16</v>
      </c>
      <c r="DR22">
        <v>0.01</v>
      </c>
      <c r="DS22">
        <v>-5.5356480196239204</v>
      </c>
      <c r="DT22">
        <v>7.2468365726316403E-2</v>
      </c>
      <c r="DU22">
        <v>0.17932028202433201</v>
      </c>
      <c r="DV22">
        <v>1</v>
      </c>
      <c r="DW22">
        <v>1.5656727397260299</v>
      </c>
      <c r="DX22">
        <v>-0.37740048357522499</v>
      </c>
      <c r="DY22">
        <v>6.6671900557886798E-2</v>
      </c>
      <c r="DZ22">
        <v>1</v>
      </c>
      <c r="EA22">
        <v>0.65737902648709001</v>
      </c>
      <c r="EB22">
        <v>9.1464306408698598E-2</v>
      </c>
      <c r="EC22">
        <v>4.1517493000984798E-2</v>
      </c>
      <c r="ED22">
        <v>1</v>
      </c>
      <c r="EE22">
        <v>3</v>
      </c>
      <c r="EF22">
        <v>3</v>
      </c>
      <c r="EG22" t="s">
        <v>304</v>
      </c>
      <c r="EH22">
        <v>1.86676</v>
      </c>
      <c r="EI22">
        <v>1.8632500000000001</v>
      </c>
      <c r="EJ22">
        <v>1.8688800000000001</v>
      </c>
      <c r="EK22">
        <v>1.8667899999999999</v>
      </c>
      <c r="EL22">
        <v>1.8714900000000001</v>
      </c>
      <c r="EM22">
        <v>1.86388</v>
      </c>
      <c r="EN22">
        <v>1.8653900000000001</v>
      </c>
      <c r="EO22">
        <v>1.8653900000000001</v>
      </c>
      <c r="EP22" t="s">
        <v>295</v>
      </c>
      <c r="EQ22" t="s">
        <v>19</v>
      </c>
      <c r="ER22" t="s">
        <v>19</v>
      </c>
      <c r="ES22" t="s">
        <v>19</v>
      </c>
      <c r="ET22" t="s">
        <v>296</v>
      </c>
      <c r="EU22" t="s">
        <v>297</v>
      </c>
      <c r="EV22" t="s">
        <v>298</v>
      </c>
      <c r="EW22" t="s">
        <v>298</v>
      </c>
      <c r="EX22" t="s">
        <v>298</v>
      </c>
      <c r="EY22" t="s">
        <v>298</v>
      </c>
      <c r="EZ22">
        <v>0</v>
      </c>
      <c r="FA22">
        <v>100</v>
      </c>
      <c r="FB22">
        <v>100</v>
      </c>
      <c r="FC22">
        <v>3.3000000000000002E-2</v>
      </c>
      <c r="FD22">
        <v>1.2E-2</v>
      </c>
      <c r="FE22">
        <v>2</v>
      </c>
      <c r="FF22">
        <v>498.404</v>
      </c>
      <c r="FG22">
        <v>467.76</v>
      </c>
      <c r="FH22">
        <v>20.3245</v>
      </c>
      <c r="FI22">
        <v>35.234099999999998</v>
      </c>
      <c r="FJ22">
        <v>29.9924</v>
      </c>
      <c r="FK22">
        <v>35.195</v>
      </c>
      <c r="FL22">
        <v>35.167900000000003</v>
      </c>
      <c r="FM22">
        <v>0</v>
      </c>
      <c r="FN22">
        <v>76.571399999999997</v>
      </c>
      <c r="FO22">
        <v>0</v>
      </c>
      <c r="FP22">
        <v>20.525700000000001</v>
      </c>
      <c r="FQ22">
        <v>0</v>
      </c>
      <c r="FR22">
        <v>6.9003300000000003</v>
      </c>
      <c r="FS22">
        <v>100.435</v>
      </c>
      <c r="FT22">
        <v>100.96</v>
      </c>
    </row>
    <row r="23" spans="1:176" x14ac:dyDescent="0.35">
      <c r="A23">
        <v>8</v>
      </c>
      <c r="B23">
        <v>1564338810.8</v>
      </c>
      <c r="C23">
        <v>980.09999990463302</v>
      </c>
      <c r="D23" t="s">
        <v>326</v>
      </c>
      <c r="E23" t="s">
        <v>327</v>
      </c>
      <c r="F23" t="s">
        <v>288</v>
      </c>
      <c r="G23" t="s">
        <v>289</v>
      </c>
      <c r="H23" t="s">
        <v>288</v>
      </c>
      <c r="J23" t="s">
        <v>288</v>
      </c>
      <c r="K23">
        <v>1564338802.8</v>
      </c>
      <c r="L23">
        <f t="shared" si="0"/>
        <v>9.9199612809062684E-3</v>
      </c>
      <c r="M23">
        <f t="shared" si="1"/>
        <v>38.819379521520055</v>
      </c>
      <c r="N23">
        <f t="shared" si="2"/>
        <v>349.30338709677397</v>
      </c>
      <c r="O23">
        <f t="shared" si="3"/>
        <v>233.57496186947535</v>
      </c>
      <c r="P23">
        <f t="shared" si="4"/>
        <v>23.240649997322848</v>
      </c>
      <c r="Q23">
        <f t="shared" si="5"/>
        <v>34.755599219286026</v>
      </c>
      <c r="R23">
        <f t="shared" si="6"/>
        <v>0.65575468726565977</v>
      </c>
      <c r="S23">
        <f t="shared" si="7"/>
        <v>2.2517922617702228</v>
      </c>
      <c r="T23">
        <f t="shared" si="8"/>
        <v>0.5653389764772746</v>
      </c>
      <c r="U23">
        <f t="shared" si="9"/>
        <v>0.36041659398898518</v>
      </c>
      <c r="V23">
        <f t="shared" si="10"/>
        <v>353.34406508977185</v>
      </c>
      <c r="W23">
        <f t="shared" si="11"/>
        <v>25.527057740246075</v>
      </c>
      <c r="X23">
        <f t="shared" si="12"/>
        <v>27.004664516129001</v>
      </c>
      <c r="Y23">
        <f t="shared" si="13"/>
        <v>3.5801403515313455</v>
      </c>
      <c r="Z23">
        <f t="shared" si="14"/>
        <v>55.254685203622088</v>
      </c>
      <c r="AA23">
        <f t="shared" si="15"/>
        <v>1.8821488003034332</v>
      </c>
      <c r="AB23">
        <f t="shared" si="16"/>
        <v>3.4063153076837249</v>
      </c>
      <c r="AC23">
        <f t="shared" si="17"/>
        <v>1.6979915512279122</v>
      </c>
      <c r="AD23">
        <f t="shared" si="18"/>
        <v>-437.47029248796645</v>
      </c>
      <c r="AE23">
        <f t="shared" si="19"/>
        <v>-102.55442503938137</v>
      </c>
      <c r="AF23">
        <f t="shared" si="20"/>
        <v>-9.7878320072856475</v>
      </c>
      <c r="AG23">
        <f t="shared" si="21"/>
        <v>-196.46848444486164</v>
      </c>
      <c r="AH23">
        <v>-4.1232014982814598E-2</v>
      </c>
      <c r="AI23">
        <v>4.6286548941109701E-2</v>
      </c>
      <c r="AJ23">
        <v>3.4584255075048902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52724.289978793378</v>
      </c>
      <c r="AP23" t="s">
        <v>290</v>
      </c>
      <c r="AQ23">
        <v>413.64615384615399</v>
      </c>
      <c r="AR23">
        <v>1914.9</v>
      </c>
      <c r="AS23">
        <f t="shared" si="25"/>
        <v>1501.2538461538461</v>
      </c>
      <c r="AT23">
        <f t="shared" si="26"/>
        <v>0.78398550637309838</v>
      </c>
      <c r="AU23">
        <v>-0.61508576146989002</v>
      </c>
      <c r="AV23" t="s">
        <v>328</v>
      </c>
      <c r="AW23">
        <v>780.14946153846199</v>
      </c>
      <c r="AX23">
        <v>1161.01</v>
      </c>
      <c r="AY23">
        <f t="shared" si="27"/>
        <v>0.32804242725001331</v>
      </c>
      <c r="AZ23">
        <v>0.5</v>
      </c>
      <c r="BA23">
        <f t="shared" si="28"/>
        <v>1849.2018000269818</v>
      </c>
      <c r="BB23">
        <f t="shared" si="29"/>
        <v>38.819379521520055</v>
      </c>
      <c r="BC23">
        <f t="shared" si="30"/>
        <v>303.30832347797241</v>
      </c>
      <c r="BD23">
        <f t="shared" si="31"/>
        <v>0.52334605214425367</v>
      </c>
      <c r="BE23">
        <f t="shared" si="32"/>
        <v>2.1325128107929896E-2</v>
      </c>
      <c r="BF23">
        <f t="shared" si="33"/>
        <v>0.64933979896813987</v>
      </c>
      <c r="BG23" t="s">
        <v>329</v>
      </c>
      <c r="BH23">
        <v>553.4</v>
      </c>
      <c r="BI23">
        <f t="shared" si="34"/>
        <v>607.61</v>
      </c>
      <c r="BJ23">
        <f t="shared" si="35"/>
        <v>0.6268174297025032</v>
      </c>
      <c r="BK23">
        <f t="shared" si="36"/>
        <v>0.55372016158648552</v>
      </c>
      <c r="BL23">
        <f t="shared" si="37"/>
        <v>0.50960524839615706</v>
      </c>
      <c r="BM23">
        <f t="shared" si="38"/>
        <v>0.50217356773568766</v>
      </c>
      <c r="BN23">
        <v>262</v>
      </c>
      <c r="BO23">
        <v>300</v>
      </c>
      <c r="BP23">
        <v>300</v>
      </c>
      <c r="BQ23">
        <v>300</v>
      </c>
      <c r="BR23">
        <v>8096.38</v>
      </c>
      <c r="BS23">
        <v>1019.56</v>
      </c>
      <c r="BT23">
        <v>-2.9452300000000001E-3</v>
      </c>
      <c r="BU23">
        <v>-0.48345900000000003</v>
      </c>
      <c r="BV23">
        <f t="shared" si="39"/>
        <v>2200.0174193548401</v>
      </c>
      <c r="BW23">
        <f t="shared" si="40"/>
        <v>1849.2018000269818</v>
      </c>
      <c r="BX23">
        <f t="shared" si="41"/>
        <v>0.84053961744051298</v>
      </c>
      <c r="BY23">
        <f t="shared" si="42"/>
        <v>0.19107923488102607</v>
      </c>
      <c r="BZ23">
        <v>1564338802.8</v>
      </c>
      <c r="CA23">
        <v>349.30338709677397</v>
      </c>
      <c r="CB23">
        <v>400.04196774193599</v>
      </c>
      <c r="CC23">
        <v>18.9161161290323</v>
      </c>
      <c r="CD23">
        <v>7.23797580645161</v>
      </c>
      <c r="CE23">
        <v>500.02725806451599</v>
      </c>
      <c r="CF23">
        <v>99.399741935483803</v>
      </c>
      <c r="CG23">
        <v>0.100006716129032</v>
      </c>
      <c r="CH23">
        <v>26.159890322580601</v>
      </c>
      <c r="CI23">
        <v>27.004664516129001</v>
      </c>
      <c r="CJ23">
        <v>999.9</v>
      </c>
      <c r="CK23">
        <v>10003.3467741935</v>
      </c>
      <c r="CL23">
        <v>0</v>
      </c>
      <c r="CM23">
        <v>-667.58722580645201</v>
      </c>
      <c r="CN23">
        <v>2200.0174193548401</v>
      </c>
      <c r="CO23">
        <v>0.98199603225806498</v>
      </c>
      <c r="CP23">
        <v>1.8004109677419399E-2</v>
      </c>
      <c r="CQ23">
        <v>0</v>
      </c>
      <c r="CR23">
        <v>780.14525806451604</v>
      </c>
      <c r="CS23">
        <v>1.9999499999999999</v>
      </c>
      <c r="CT23">
        <v>17997.251612903201</v>
      </c>
      <c r="CU23">
        <v>17938.3870967742</v>
      </c>
      <c r="CV23">
        <v>48.983741935483899</v>
      </c>
      <c r="CW23">
        <v>50.495870967741901</v>
      </c>
      <c r="CX23">
        <v>49.344516129032201</v>
      </c>
      <c r="CY23">
        <v>49.441258064516099</v>
      </c>
      <c r="CZ23">
        <v>50.062064516128999</v>
      </c>
      <c r="DA23">
        <v>2158.4451612903199</v>
      </c>
      <c r="DB23">
        <v>39.572258064516099</v>
      </c>
      <c r="DC23">
        <v>0</v>
      </c>
      <c r="DD23">
        <v>133.59999990463299</v>
      </c>
      <c r="DE23">
        <v>780.14946153846199</v>
      </c>
      <c r="DF23">
        <v>9.6276239558153502</v>
      </c>
      <c r="DG23">
        <v>322.01709415006798</v>
      </c>
      <c r="DH23">
        <v>17998.461538461499</v>
      </c>
      <c r="DI23">
        <v>15</v>
      </c>
      <c r="DJ23">
        <v>1564338751.3</v>
      </c>
      <c r="DK23" t="s">
        <v>330</v>
      </c>
      <c r="DL23">
        <v>90</v>
      </c>
      <c r="DM23">
        <v>0.40100000000000002</v>
      </c>
      <c r="DN23">
        <v>1.2999999999999999E-2</v>
      </c>
      <c r="DO23">
        <v>400</v>
      </c>
      <c r="DP23">
        <v>7</v>
      </c>
      <c r="DQ23">
        <v>0.03</v>
      </c>
      <c r="DR23">
        <v>0.01</v>
      </c>
      <c r="DS23">
        <v>38.768967591899901</v>
      </c>
      <c r="DT23">
        <v>0.27956943714525401</v>
      </c>
      <c r="DU23">
        <v>7.2081571035742906E-2</v>
      </c>
      <c r="DV23">
        <v>1</v>
      </c>
      <c r="DW23">
        <v>349.321767123288</v>
      </c>
      <c r="DX23">
        <v>-0.123176601258841</v>
      </c>
      <c r="DY23">
        <v>3.6179734184998202E-2</v>
      </c>
      <c r="DZ23">
        <v>1</v>
      </c>
      <c r="EA23">
        <v>0.66148694442841405</v>
      </c>
      <c r="EB23">
        <v>-2.7490609241595E-2</v>
      </c>
      <c r="EC23">
        <v>5.5950804947936103E-3</v>
      </c>
      <c r="ED23">
        <v>1</v>
      </c>
      <c r="EE23">
        <v>3</v>
      </c>
      <c r="EF23">
        <v>3</v>
      </c>
      <c r="EG23" t="s">
        <v>304</v>
      </c>
      <c r="EH23">
        <v>1.8665799999999999</v>
      </c>
      <c r="EI23">
        <v>1.8631</v>
      </c>
      <c r="EJ23">
        <v>1.8686700000000001</v>
      </c>
      <c r="EK23">
        <v>1.8666100000000001</v>
      </c>
      <c r="EL23">
        <v>1.8712800000000001</v>
      </c>
      <c r="EM23">
        <v>1.86372</v>
      </c>
      <c r="EN23">
        <v>1.8652299999999999</v>
      </c>
      <c r="EO23">
        <v>1.8652</v>
      </c>
      <c r="EP23" t="s">
        <v>295</v>
      </c>
      <c r="EQ23" t="s">
        <v>19</v>
      </c>
      <c r="ER23" t="s">
        <v>19</v>
      </c>
      <c r="ES23" t="s">
        <v>19</v>
      </c>
      <c r="ET23" t="s">
        <v>296</v>
      </c>
      <c r="EU23" t="s">
        <v>297</v>
      </c>
      <c r="EV23" t="s">
        <v>298</v>
      </c>
      <c r="EW23" t="s">
        <v>298</v>
      </c>
      <c r="EX23" t="s">
        <v>298</v>
      </c>
      <c r="EY23" t="s">
        <v>298</v>
      </c>
      <c r="EZ23">
        <v>0</v>
      </c>
      <c r="FA23">
        <v>100</v>
      </c>
      <c r="FB23">
        <v>100</v>
      </c>
      <c r="FC23">
        <v>0.40100000000000002</v>
      </c>
      <c r="FD23">
        <v>1.2999999999999999E-2</v>
      </c>
      <c r="FE23">
        <v>2</v>
      </c>
      <c r="FF23">
        <v>498.83</v>
      </c>
      <c r="FG23">
        <v>468.673</v>
      </c>
      <c r="FH23">
        <v>19.0383</v>
      </c>
      <c r="FI23">
        <v>35.164700000000003</v>
      </c>
      <c r="FJ23">
        <v>30.000900000000001</v>
      </c>
      <c r="FK23">
        <v>35.085299999999997</v>
      </c>
      <c r="FL23">
        <v>35.075400000000002</v>
      </c>
      <c r="FM23">
        <v>22.218</v>
      </c>
      <c r="FN23">
        <v>76.680400000000006</v>
      </c>
      <c r="FO23">
        <v>0</v>
      </c>
      <c r="FP23">
        <v>19.5564</v>
      </c>
      <c r="FQ23">
        <v>400</v>
      </c>
      <c r="FR23">
        <v>7.1907899999999998</v>
      </c>
      <c r="FS23">
        <v>100.447</v>
      </c>
      <c r="FT23">
        <v>100.968</v>
      </c>
    </row>
    <row r="24" spans="1:176" x14ac:dyDescent="0.35">
      <c r="A24">
        <v>9</v>
      </c>
      <c r="B24">
        <v>1564338951.3</v>
      </c>
      <c r="C24">
        <v>1120.5999999046301</v>
      </c>
      <c r="D24" t="s">
        <v>331</v>
      </c>
      <c r="E24" t="s">
        <v>332</v>
      </c>
      <c r="F24" t="s">
        <v>288</v>
      </c>
      <c r="G24" t="s">
        <v>289</v>
      </c>
      <c r="H24" t="s">
        <v>288</v>
      </c>
      <c r="J24" t="s">
        <v>288</v>
      </c>
      <c r="K24">
        <v>1564338943.3</v>
      </c>
      <c r="L24">
        <f t="shared" si="0"/>
        <v>8.5331073052322248E-3</v>
      </c>
      <c r="M24">
        <f t="shared" si="1"/>
        <v>45.684624485056389</v>
      </c>
      <c r="N24">
        <f t="shared" si="2"/>
        <v>440.64890322580601</v>
      </c>
      <c r="O24">
        <f t="shared" si="3"/>
        <v>278.55717464312374</v>
      </c>
      <c r="P24">
        <f t="shared" si="4"/>
        <v>27.716456940974304</v>
      </c>
      <c r="Q24">
        <f t="shared" si="5"/>
        <v>43.844594446338355</v>
      </c>
      <c r="R24">
        <f t="shared" si="6"/>
        <v>0.53516813591616186</v>
      </c>
      <c r="S24">
        <f t="shared" si="7"/>
        <v>2.2529450702214024</v>
      </c>
      <c r="T24">
        <f t="shared" si="8"/>
        <v>0.47330384282850024</v>
      </c>
      <c r="U24">
        <f t="shared" si="9"/>
        <v>0.30077509956779214</v>
      </c>
      <c r="V24">
        <f t="shared" si="10"/>
        <v>353.34294769710084</v>
      </c>
      <c r="W24">
        <f t="shared" si="11"/>
        <v>25.942612497642326</v>
      </c>
      <c r="X24">
        <f t="shared" si="12"/>
        <v>27.046935483871</v>
      </c>
      <c r="Y24">
        <f t="shared" si="13"/>
        <v>3.5890380163543241</v>
      </c>
      <c r="Z24">
        <f t="shared" si="14"/>
        <v>54.281918500804728</v>
      </c>
      <c r="AA24">
        <f t="shared" si="15"/>
        <v>1.8441467196500991</v>
      </c>
      <c r="AB24">
        <f t="shared" si="16"/>
        <v>3.3973499290058431</v>
      </c>
      <c r="AC24">
        <f t="shared" si="17"/>
        <v>1.7448912967042249</v>
      </c>
      <c r="AD24">
        <f t="shared" si="18"/>
        <v>-376.31003216074112</v>
      </c>
      <c r="AE24">
        <f t="shared" si="19"/>
        <v>-113.15638392193124</v>
      </c>
      <c r="AF24">
        <f t="shared" si="20"/>
        <v>-10.794040407993549</v>
      </c>
      <c r="AG24">
        <f t="shared" si="21"/>
        <v>-146.91750879356505</v>
      </c>
      <c r="AH24">
        <v>-4.1263079833612902E-2</v>
      </c>
      <c r="AI24">
        <v>4.6321421957561101E-2</v>
      </c>
      <c r="AJ24">
        <v>3.4604874124861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52770.253637375688</v>
      </c>
      <c r="AP24" t="s">
        <v>290</v>
      </c>
      <c r="AQ24">
        <v>413.64615384615399</v>
      </c>
      <c r="AR24">
        <v>1914.9</v>
      </c>
      <c r="AS24">
        <f t="shared" si="25"/>
        <v>1501.2538461538461</v>
      </c>
      <c r="AT24">
        <f t="shared" si="26"/>
        <v>0.78398550637309838</v>
      </c>
      <c r="AU24">
        <v>-0.61508576146989002</v>
      </c>
      <c r="AV24" t="s">
        <v>333</v>
      </c>
      <c r="AW24">
        <v>817.41865384615403</v>
      </c>
      <c r="AX24">
        <v>1259.3</v>
      </c>
      <c r="AY24">
        <f t="shared" si="27"/>
        <v>0.35089442242026991</v>
      </c>
      <c r="AZ24">
        <v>0.5</v>
      </c>
      <c r="BA24">
        <f t="shared" si="28"/>
        <v>1849.196090349561</v>
      </c>
      <c r="BB24">
        <f t="shared" si="29"/>
        <v>45.684624485056389</v>
      </c>
      <c r="BC24">
        <f t="shared" si="30"/>
        <v>324.43629703251526</v>
      </c>
      <c r="BD24">
        <f t="shared" si="31"/>
        <v>0.55562614150718648</v>
      </c>
      <c r="BE24">
        <f t="shared" si="32"/>
        <v>2.5037750451751203E-2</v>
      </c>
      <c r="BF24">
        <f t="shared" si="33"/>
        <v>0.52060668625426842</v>
      </c>
      <c r="BG24" t="s">
        <v>334</v>
      </c>
      <c r="BH24">
        <v>559.6</v>
      </c>
      <c r="BI24">
        <f t="shared" si="34"/>
        <v>699.69999999999993</v>
      </c>
      <c r="BJ24">
        <f t="shared" si="35"/>
        <v>0.63152972152900666</v>
      </c>
      <c r="BK24">
        <f t="shared" si="36"/>
        <v>0.48373053936397847</v>
      </c>
      <c r="BL24">
        <f t="shared" si="37"/>
        <v>0.52253217810524388</v>
      </c>
      <c r="BM24">
        <f t="shared" si="38"/>
        <v>0.43670162889482134</v>
      </c>
      <c r="BN24">
        <v>264</v>
      </c>
      <c r="BO24">
        <v>300</v>
      </c>
      <c r="BP24">
        <v>300</v>
      </c>
      <c r="BQ24">
        <v>300</v>
      </c>
      <c r="BR24">
        <v>8096.69</v>
      </c>
      <c r="BS24">
        <v>1098.56</v>
      </c>
      <c r="BT24">
        <v>-2.9455000000000002E-3</v>
      </c>
      <c r="BU24">
        <v>0.106323</v>
      </c>
      <c r="BV24">
        <f t="shared" si="39"/>
        <v>2200.0106451612901</v>
      </c>
      <c r="BW24">
        <f t="shared" si="40"/>
        <v>1849.196090349561</v>
      </c>
      <c r="BX24">
        <f t="shared" si="41"/>
        <v>0.84053961030447211</v>
      </c>
      <c r="BY24">
        <f t="shared" si="42"/>
        <v>0.19107922060894417</v>
      </c>
      <c r="BZ24">
        <v>1564338943.3</v>
      </c>
      <c r="CA24">
        <v>440.64890322580601</v>
      </c>
      <c r="CB24">
        <v>499.97890322580599</v>
      </c>
      <c r="CC24">
        <v>18.534125806451598</v>
      </c>
      <c r="CD24">
        <v>8.48480387096774</v>
      </c>
      <c r="CE24">
        <v>500.03096774193602</v>
      </c>
      <c r="CF24">
        <v>99.400061290322597</v>
      </c>
      <c r="CG24">
        <v>0.100003558064516</v>
      </c>
      <c r="CH24">
        <v>26.115306451612899</v>
      </c>
      <c r="CI24">
        <v>27.046935483871</v>
      </c>
      <c r="CJ24">
        <v>999.9</v>
      </c>
      <c r="CK24">
        <v>10010.8512903226</v>
      </c>
      <c r="CL24">
        <v>0</v>
      </c>
      <c r="CM24">
        <v>-129.65935483870999</v>
      </c>
      <c r="CN24">
        <v>2200.0106451612901</v>
      </c>
      <c r="CO24">
        <v>0.98199616129032297</v>
      </c>
      <c r="CP24">
        <v>1.8003948387096801E-2</v>
      </c>
      <c r="CQ24">
        <v>0</v>
      </c>
      <c r="CR24">
        <v>817.44896774193603</v>
      </c>
      <c r="CS24">
        <v>1.9999499999999999</v>
      </c>
      <c r="CT24">
        <v>18831.938709677401</v>
      </c>
      <c r="CU24">
        <v>17938.322580645199</v>
      </c>
      <c r="CV24">
        <v>49.162999999999997</v>
      </c>
      <c r="CW24">
        <v>50.401000000000003</v>
      </c>
      <c r="CX24">
        <v>49.396999999999998</v>
      </c>
      <c r="CY24">
        <v>49.6046774193548</v>
      </c>
      <c r="CZ24">
        <v>50.175064516128998</v>
      </c>
      <c r="DA24">
        <v>2158.4390322580598</v>
      </c>
      <c r="DB24">
        <v>39.571612903225798</v>
      </c>
      <c r="DC24">
        <v>0</v>
      </c>
      <c r="DD24">
        <v>139.90000009536701</v>
      </c>
      <c r="DE24">
        <v>817.41865384615403</v>
      </c>
      <c r="DF24">
        <v>3.7449230638737401</v>
      </c>
      <c r="DG24">
        <v>64.543589806427804</v>
      </c>
      <c r="DH24">
        <v>18832.873076923101</v>
      </c>
      <c r="DI24">
        <v>15</v>
      </c>
      <c r="DJ24">
        <v>1564338905.8</v>
      </c>
      <c r="DK24" t="s">
        <v>335</v>
      </c>
      <c r="DL24">
        <v>91</v>
      </c>
      <c r="DM24">
        <v>0.45400000000000001</v>
      </c>
      <c r="DN24">
        <v>1.6E-2</v>
      </c>
      <c r="DO24">
        <v>500</v>
      </c>
      <c r="DP24">
        <v>7</v>
      </c>
      <c r="DQ24">
        <v>0.03</v>
      </c>
      <c r="DR24">
        <v>0.01</v>
      </c>
      <c r="DS24">
        <v>45.562850134147503</v>
      </c>
      <c r="DT24">
        <v>1.7647941911977101</v>
      </c>
      <c r="DU24">
        <v>1.69414377521412</v>
      </c>
      <c r="DV24">
        <v>0</v>
      </c>
      <c r="DW24">
        <v>440.432397260274</v>
      </c>
      <c r="DX24">
        <v>1.22252499074414</v>
      </c>
      <c r="DY24">
        <v>0.217743391748243</v>
      </c>
      <c r="DZ24">
        <v>1</v>
      </c>
      <c r="EA24">
        <v>0.53747745013728698</v>
      </c>
      <c r="EB24">
        <v>2.10085428217687E-2</v>
      </c>
      <c r="EC24">
        <v>2.8937750002971201E-2</v>
      </c>
      <c r="ED24">
        <v>1</v>
      </c>
      <c r="EE24">
        <v>2</v>
      </c>
      <c r="EF24">
        <v>3</v>
      </c>
      <c r="EG24" t="s">
        <v>294</v>
      </c>
      <c r="EH24">
        <v>1.8666100000000001</v>
      </c>
      <c r="EI24">
        <v>1.8631</v>
      </c>
      <c r="EJ24">
        <v>1.8687400000000001</v>
      </c>
      <c r="EK24">
        <v>1.8666499999999999</v>
      </c>
      <c r="EL24">
        <v>1.8713200000000001</v>
      </c>
      <c r="EM24">
        <v>1.86375</v>
      </c>
      <c r="EN24">
        <v>1.8652299999999999</v>
      </c>
      <c r="EO24">
        <v>1.8652200000000001</v>
      </c>
      <c r="EP24" t="s">
        <v>295</v>
      </c>
      <c r="EQ24" t="s">
        <v>19</v>
      </c>
      <c r="ER24" t="s">
        <v>19</v>
      </c>
      <c r="ES24" t="s">
        <v>19</v>
      </c>
      <c r="ET24" t="s">
        <v>296</v>
      </c>
      <c r="EU24" t="s">
        <v>297</v>
      </c>
      <c r="EV24" t="s">
        <v>298</v>
      </c>
      <c r="EW24" t="s">
        <v>298</v>
      </c>
      <c r="EX24" t="s">
        <v>298</v>
      </c>
      <c r="EY24" t="s">
        <v>298</v>
      </c>
      <c r="EZ24">
        <v>0</v>
      </c>
      <c r="FA24">
        <v>100</v>
      </c>
      <c r="FB24">
        <v>100</v>
      </c>
      <c r="FC24">
        <v>0.45400000000000001</v>
      </c>
      <c r="FD24">
        <v>1.6E-2</v>
      </c>
      <c r="FE24">
        <v>2</v>
      </c>
      <c r="FF24">
        <v>497.43400000000003</v>
      </c>
      <c r="FG24">
        <v>468.77499999999998</v>
      </c>
      <c r="FH24">
        <v>19.622499999999999</v>
      </c>
      <c r="FI24">
        <v>35.347499999999997</v>
      </c>
      <c r="FJ24">
        <v>30.000900000000001</v>
      </c>
      <c r="FK24">
        <v>35.218499999999999</v>
      </c>
      <c r="FL24">
        <v>35.194200000000002</v>
      </c>
      <c r="FM24">
        <v>26.554300000000001</v>
      </c>
      <c r="FN24">
        <v>71.751900000000006</v>
      </c>
      <c r="FO24">
        <v>0</v>
      </c>
      <c r="FP24">
        <v>19.560700000000001</v>
      </c>
      <c r="FQ24">
        <v>500</v>
      </c>
      <c r="FR24">
        <v>8.8335399999999993</v>
      </c>
      <c r="FS24">
        <v>100.414</v>
      </c>
      <c r="FT24">
        <v>100.928</v>
      </c>
    </row>
    <row r="25" spans="1:176" x14ac:dyDescent="0.35">
      <c r="A25">
        <v>10</v>
      </c>
      <c r="B25">
        <v>1564339091.8</v>
      </c>
      <c r="C25">
        <v>1261.0999999046301</v>
      </c>
      <c r="D25" t="s">
        <v>336</v>
      </c>
      <c r="E25" t="s">
        <v>337</v>
      </c>
      <c r="F25" t="s">
        <v>288</v>
      </c>
      <c r="G25" t="s">
        <v>289</v>
      </c>
      <c r="H25" t="s">
        <v>288</v>
      </c>
      <c r="J25" t="s">
        <v>288</v>
      </c>
      <c r="K25">
        <v>1564339083.8</v>
      </c>
      <c r="L25">
        <f t="shared" si="0"/>
        <v>7.1849296052160297E-3</v>
      </c>
      <c r="M25">
        <f t="shared" si="1"/>
        <v>49.906626268167258</v>
      </c>
      <c r="N25">
        <f t="shared" si="2"/>
        <v>535.46506451612902</v>
      </c>
      <c r="O25">
        <f t="shared" si="3"/>
        <v>321.33805541626162</v>
      </c>
      <c r="P25">
        <f t="shared" si="4"/>
        <v>31.973642630684466</v>
      </c>
      <c r="Q25">
        <f t="shared" si="5"/>
        <v>53.279617292377182</v>
      </c>
      <c r="R25">
        <f t="shared" si="6"/>
        <v>0.4317819979805439</v>
      </c>
      <c r="S25">
        <f t="shared" si="7"/>
        <v>2.2516267039467186</v>
      </c>
      <c r="T25">
        <f t="shared" si="8"/>
        <v>0.39050586589869751</v>
      </c>
      <c r="U25">
        <f t="shared" si="9"/>
        <v>0.24744501659095891</v>
      </c>
      <c r="V25">
        <f t="shared" si="10"/>
        <v>353.34166027913926</v>
      </c>
      <c r="W25">
        <f t="shared" si="11"/>
        <v>26.01387403734693</v>
      </c>
      <c r="X25">
        <f t="shared" si="12"/>
        <v>27.081490322580599</v>
      </c>
      <c r="Y25">
        <f t="shared" si="13"/>
        <v>3.5963258371388211</v>
      </c>
      <c r="Z25">
        <f t="shared" si="14"/>
        <v>54.638055102518614</v>
      </c>
      <c r="AA25">
        <f t="shared" si="15"/>
        <v>1.8153783117691191</v>
      </c>
      <c r="AB25">
        <f t="shared" si="16"/>
        <v>3.3225529502521347</v>
      </c>
      <c r="AC25">
        <f t="shared" si="17"/>
        <v>1.780947525369702</v>
      </c>
      <c r="AD25">
        <f t="shared" si="18"/>
        <v>-316.85539559002689</v>
      </c>
      <c r="AE25">
        <f t="shared" si="19"/>
        <v>-162.92925381415395</v>
      </c>
      <c r="AF25">
        <f t="shared" si="20"/>
        <v>-15.524465972245439</v>
      </c>
      <c r="AG25">
        <f t="shared" si="21"/>
        <v>-141.967455097287</v>
      </c>
      <c r="AH25">
        <v>-4.1227554862414001E-2</v>
      </c>
      <c r="AI25">
        <v>4.6281542065232099E-2</v>
      </c>
      <c r="AJ25">
        <v>3.45812942660223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52793.083941836951</v>
      </c>
      <c r="AP25" t="s">
        <v>290</v>
      </c>
      <c r="AQ25">
        <v>413.64615384615399</v>
      </c>
      <c r="AR25">
        <v>1914.9</v>
      </c>
      <c r="AS25">
        <f t="shared" si="25"/>
        <v>1501.2538461538461</v>
      </c>
      <c r="AT25">
        <f t="shared" si="26"/>
        <v>0.78398550637309838</v>
      </c>
      <c r="AU25">
        <v>-0.61508576146989002</v>
      </c>
      <c r="AV25" t="s">
        <v>338</v>
      </c>
      <c r="AW25">
        <v>838.01734615384601</v>
      </c>
      <c r="AX25">
        <v>1311.33</v>
      </c>
      <c r="AY25">
        <f t="shared" si="27"/>
        <v>0.36094091788196259</v>
      </c>
      <c r="AZ25">
        <v>0.5</v>
      </c>
      <c r="BA25">
        <f t="shared" si="28"/>
        <v>1849.1893159819431</v>
      </c>
      <c r="BB25">
        <f t="shared" si="29"/>
        <v>49.906626268167258</v>
      </c>
      <c r="BC25">
        <f t="shared" si="30"/>
        <v>333.72404452402054</v>
      </c>
      <c r="BD25">
        <f t="shared" si="31"/>
        <v>0.57417278640769298</v>
      </c>
      <c r="BE25">
        <f t="shared" si="32"/>
        <v>2.7321005801295945E-2</v>
      </c>
      <c r="BF25">
        <f t="shared" si="33"/>
        <v>0.46027315778636974</v>
      </c>
      <c r="BG25" t="s">
        <v>339</v>
      </c>
      <c r="BH25">
        <v>558.4</v>
      </c>
      <c r="BI25">
        <f t="shared" si="34"/>
        <v>752.93</v>
      </c>
      <c r="BJ25">
        <f t="shared" si="35"/>
        <v>0.62862769958183884</v>
      </c>
      <c r="BK25">
        <f t="shared" si="36"/>
        <v>0.44494655363066726</v>
      </c>
      <c r="BL25">
        <f t="shared" si="37"/>
        <v>0.5272598542059953</v>
      </c>
      <c r="BM25">
        <f t="shared" si="38"/>
        <v>0.40204393250769882</v>
      </c>
      <c r="BN25">
        <v>266</v>
      </c>
      <c r="BO25">
        <v>300</v>
      </c>
      <c r="BP25">
        <v>300</v>
      </c>
      <c r="BQ25">
        <v>300</v>
      </c>
      <c r="BR25">
        <v>8097.11</v>
      </c>
      <c r="BS25">
        <v>1144.6400000000001</v>
      </c>
      <c r="BT25">
        <v>-2.9456700000000001E-3</v>
      </c>
      <c r="BU25">
        <v>1.20374</v>
      </c>
      <c r="BV25">
        <f t="shared" si="39"/>
        <v>2200.0025806451599</v>
      </c>
      <c r="BW25">
        <f t="shared" si="40"/>
        <v>1849.1893159819431</v>
      </c>
      <c r="BX25">
        <f t="shared" si="41"/>
        <v>0.84053961220339146</v>
      </c>
      <c r="BY25">
        <f t="shared" si="42"/>
        <v>0.19107922440678302</v>
      </c>
      <c r="BZ25">
        <v>1564339083.8</v>
      </c>
      <c r="CA25">
        <v>535.46506451612902</v>
      </c>
      <c r="CB25">
        <v>599.96661290322595</v>
      </c>
      <c r="CC25">
        <v>18.244719354838701</v>
      </c>
      <c r="CD25">
        <v>9.7805199999999992</v>
      </c>
      <c r="CE25">
        <v>500.02432258064499</v>
      </c>
      <c r="CF25">
        <v>99.401583870967698</v>
      </c>
      <c r="CG25">
        <v>9.9991158064516195E-2</v>
      </c>
      <c r="CH25">
        <v>25.739290322580601</v>
      </c>
      <c r="CI25">
        <v>27.081490322580599</v>
      </c>
      <c r="CJ25">
        <v>999.9</v>
      </c>
      <c r="CK25">
        <v>10002.079354838699</v>
      </c>
      <c r="CL25">
        <v>0</v>
      </c>
      <c r="CM25">
        <v>-172.49941935483901</v>
      </c>
      <c r="CN25">
        <v>2200.0025806451599</v>
      </c>
      <c r="CO25">
        <v>0.98199538709677403</v>
      </c>
      <c r="CP25">
        <v>1.8004916129032301E-2</v>
      </c>
      <c r="CQ25">
        <v>0</v>
      </c>
      <c r="CR25">
        <v>838.04993548387097</v>
      </c>
      <c r="CS25">
        <v>1.9999499999999999</v>
      </c>
      <c r="CT25">
        <v>19310.5741935484</v>
      </c>
      <c r="CU25">
        <v>17938.254838709701</v>
      </c>
      <c r="CV25">
        <v>49.151032258064497</v>
      </c>
      <c r="CW25">
        <v>50.149000000000001</v>
      </c>
      <c r="CX25">
        <v>49.412999999999997</v>
      </c>
      <c r="CY25">
        <v>49.433</v>
      </c>
      <c r="CZ25">
        <v>50.137</v>
      </c>
      <c r="DA25">
        <v>2158.43129032258</v>
      </c>
      <c r="DB25">
        <v>39.571612903225798</v>
      </c>
      <c r="DC25">
        <v>0</v>
      </c>
      <c r="DD25">
        <v>139.90000009536701</v>
      </c>
      <c r="DE25">
        <v>838.01734615384601</v>
      </c>
      <c r="DF25">
        <v>-5.7285127772949096</v>
      </c>
      <c r="DG25">
        <v>-103.30598277634201</v>
      </c>
      <c r="DH25">
        <v>19309.926923076899</v>
      </c>
      <c r="DI25">
        <v>15</v>
      </c>
      <c r="DJ25">
        <v>1564339033.8</v>
      </c>
      <c r="DK25" t="s">
        <v>340</v>
      </c>
      <c r="DL25">
        <v>92</v>
      </c>
      <c r="DM25">
        <v>0.625</v>
      </c>
      <c r="DN25">
        <v>3.4000000000000002E-2</v>
      </c>
      <c r="DO25">
        <v>600</v>
      </c>
      <c r="DP25">
        <v>9</v>
      </c>
      <c r="DQ25">
        <v>0.03</v>
      </c>
      <c r="DR25">
        <v>0.01</v>
      </c>
      <c r="DS25">
        <v>50.241187547234802</v>
      </c>
      <c r="DT25">
        <v>-1.5037928977853301</v>
      </c>
      <c r="DU25">
        <v>0.30104019730222198</v>
      </c>
      <c r="DV25">
        <v>0</v>
      </c>
      <c r="DW25">
        <v>535.10605479452101</v>
      </c>
      <c r="DX25">
        <v>1.9871862273230201</v>
      </c>
      <c r="DY25">
        <v>0.34950579160783701</v>
      </c>
      <c r="DZ25">
        <v>1</v>
      </c>
      <c r="EA25">
        <v>0.44285693872642901</v>
      </c>
      <c r="EB25">
        <v>-4.2912090957785302E-2</v>
      </c>
      <c r="EC25">
        <v>8.9069030083572098E-3</v>
      </c>
      <c r="ED25">
        <v>1</v>
      </c>
      <c r="EE25">
        <v>2</v>
      </c>
      <c r="EF25">
        <v>3</v>
      </c>
      <c r="EG25" t="s">
        <v>294</v>
      </c>
      <c r="EH25">
        <v>1.8665799999999999</v>
      </c>
      <c r="EI25">
        <v>1.8630899999999999</v>
      </c>
      <c r="EJ25">
        <v>1.86869</v>
      </c>
      <c r="EK25">
        <v>1.8666199999999999</v>
      </c>
      <c r="EL25">
        <v>1.87131</v>
      </c>
      <c r="EM25">
        <v>1.8637300000000001</v>
      </c>
      <c r="EN25">
        <v>1.8652299999999999</v>
      </c>
      <c r="EO25">
        <v>1.8651899999999999</v>
      </c>
      <c r="EP25" t="s">
        <v>295</v>
      </c>
      <c r="EQ25" t="s">
        <v>19</v>
      </c>
      <c r="ER25" t="s">
        <v>19</v>
      </c>
      <c r="ES25" t="s">
        <v>19</v>
      </c>
      <c r="ET25" t="s">
        <v>296</v>
      </c>
      <c r="EU25" t="s">
        <v>297</v>
      </c>
      <c r="EV25" t="s">
        <v>298</v>
      </c>
      <c r="EW25" t="s">
        <v>298</v>
      </c>
      <c r="EX25" t="s">
        <v>298</v>
      </c>
      <c r="EY25" t="s">
        <v>298</v>
      </c>
      <c r="EZ25">
        <v>0</v>
      </c>
      <c r="FA25">
        <v>100</v>
      </c>
      <c r="FB25">
        <v>100</v>
      </c>
      <c r="FC25">
        <v>0.625</v>
      </c>
      <c r="FD25">
        <v>3.4000000000000002E-2</v>
      </c>
      <c r="FE25">
        <v>2</v>
      </c>
      <c r="FF25">
        <v>496.85500000000002</v>
      </c>
      <c r="FG25">
        <v>469.72300000000001</v>
      </c>
      <c r="FH25">
        <v>18.7165</v>
      </c>
      <c r="FI25">
        <v>35.392600000000002</v>
      </c>
      <c r="FJ25">
        <v>30.000299999999999</v>
      </c>
      <c r="FK25">
        <v>35.273800000000001</v>
      </c>
      <c r="FL25">
        <v>35.248699999999999</v>
      </c>
      <c r="FM25">
        <v>30.763999999999999</v>
      </c>
      <c r="FN25">
        <v>68.122200000000007</v>
      </c>
      <c r="FO25">
        <v>0</v>
      </c>
      <c r="FP25">
        <v>17.2623</v>
      </c>
      <c r="FQ25">
        <v>600</v>
      </c>
      <c r="FR25">
        <v>10.024800000000001</v>
      </c>
      <c r="FS25">
        <v>100.40300000000001</v>
      </c>
      <c r="FT25">
        <v>100.916</v>
      </c>
    </row>
    <row r="26" spans="1:176" x14ac:dyDescent="0.35">
      <c r="A26">
        <v>11</v>
      </c>
      <c r="B26">
        <v>1564339232.3</v>
      </c>
      <c r="C26">
        <v>1401.5999999046301</v>
      </c>
      <c r="D26" t="s">
        <v>341</v>
      </c>
      <c r="E26" t="s">
        <v>342</v>
      </c>
      <c r="F26" t="s">
        <v>288</v>
      </c>
      <c r="G26" t="s">
        <v>289</v>
      </c>
      <c r="H26" t="s">
        <v>288</v>
      </c>
      <c r="J26" t="s">
        <v>288</v>
      </c>
      <c r="K26">
        <v>1564339224.3</v>
      </c>
      <c r="L26">
        <f t="shared" si="0"/>
        <v>5.6615392312795139E-3</v>
      </c>
      <c r="M26">
        <f t="shared" si="1"/>
        <v>55.026006968547783</v>
      </c>
      <c r="N26">
        <f t="shared" si="2"/>
        <v>729.01219565049848</v>
      </c>
      <c r="O26">
        <f t="shared" si="3"/>
        <v>417.69940864898774</v>
      </c>
      <c r="P26">
        <f t="shared" si="4"/>
        <v>41.56232561862727</v>
      </c>
      <c r="Q26">
        <f t="shared" si="5"/>
        <v>72.53886797105443</v>
      </c>
      <c r="R26">
        <f t="shared" si="6"/>
        <v>0.31960298025788414</v>
      </c>
      <c r="S26">
        <f t="shared" si="7"/>
        <v>2.2523391181962138</v>
      </c>
      <c r="T26">
        <f t="shared" si="8"/>
        <v>0.29637745246818742</v>
      </c>
      <c r="U26">
        <f t="shared" si="9"/>
        <v>0.1871817855513192</v>
      </c>
      <c r="V26">
        <f t="shared" si="10"/>
        <v>353.34171398033743</v>
      </c>
      <c r="W26">
        <f t="shared" si="11"/>
        <v>26.258489101959881</v>
      </c>
      <c r="X26">
        <f t="shared" si="12"/>
        <v>27.280090322580602</v>
      </c>
      <c r="Y26">
        <f t="shared" si="13"/>
        <v>3.6384627522104322</v>
      </c>
      <c r="Z26">
        <f t="shared" si="14"/>
        <v>54.701383882679224</v>
      </c>
      <c r="AA26">
        <f t="shared" si="15"/>
        <v>1.7895555167684676</v>
      </c>
      <c r="AB26">
        <f t="shared" si="16"/>
        <v>3.2714995302616408</v>
      </c>
      <c r="AC26">
        <f t="shared" si="17"/>
        <v>1.8489072354419647</v>
      </c>
      <c r="AD26">
        <f t="shared" si="18"/>
        <v>-249.67388009942655</v>
      </c>
      <c r="AE26">
        <f t="shared" si="19"/>
        <v>-218.77976147844717</v>
      </c>
      <c r="AF26">
        <f t="shared" si="20"/>
        <v>-20.833080980003793</v>
      </c>
      <c r="AG26">
        <f t="shared" si="21"/>
        <v>-135.94500857754008</v>
      </c>
      <c r="AH26">
        <v>-4.1246749382929201E-2</v>
      </c>
      <c r="AI26">
        <v>4.6303089596042603E-2</v>
      </c>
      <c r="AJ26">
        <v>3.4594035584054099</v>
      </c>
      <c r="AK26">
        <v>1</v>
      </c>
      <c r="AL26">
        <v>0</v>
      </c>
      <c r="AM26">
        <f t="shared" si="22"/>
        <v>1.0000378351796411</v>
      </c>
      <c r="AN26">
        <f t="shared" si="23"/>
        <v>3.7835179641065864E-3</v>
      </c>
      <c r="AO26">
        <f t="shared" si="24"/>
        <v>52862.856456085188</v>
      </c>
      <c r="AP26" t="s">
        <v>290</v>
      </c>
      <c r="AQ26">
        <v>413.64615384615399</v>
      </c>
      <c r="AR26">
        <v>1914.9</v>
      </c>
      <c r="AS26">
        <f t="shared" si="25"/>
        <v>1501.2538461538461</v>
      </c>
      <c r="AT26">
        <f t="shared" si="26"/>
        <v>0.78398550637309838</v>
      </c>
      <c r="AU26">
        <v>-0.61508576146989002</v>
      </c>
      <c r="AV26" t="s">
        <v>343</v>
      </c>
      <c r="AW26">
        <v>838.56192307692299</v>
      </c>
      <c r="AX26">
        <v>1316.16</v>
      </c>
      <c r="AY26">
        <f t="shared" si="27"/>
        <v>0.36287235360676295</v>
      </c>
      <c r="AZ26">
        <v>0.5</v>
      </c>
      <c r="BA26">
        <f t="shared" si="28"/>
        <v>1849.1893446660524</v>
      </c>
      <c r="BB26">
        <f t="shared" si="29"/>
        <v>55.026006968547783</v>
      </c>
      <c r="BC26">
        <f t="shared" si="30"/>
        <v>335.50984488175902</v>
      </c>
      <c r="BD26">
        <f t="shared" si="31"/>
        <v>0.57482372963773398</v>
      </c>
      <c r="BE26">
        <f t="shared" si="32"/>
        <v>3.0089451299572557E-2</v>
      </c>
      <c r="BF26">
        <f t="shared" si="33"/>
        <v>0.45491429613420858</v>
      </c>
      <c r="BG26" t="s">
        <v>344</v>
      </c>
      <c r="BH26">
        <v>559.6</v>
      </c>
      <c r="BI26">
        <f t="shared" si="34"/>
        <v>756.56000000000006</v>
      </c>
      <c r="BJ26">
        <f t="shared" si="35"/>
        <v>0.63127587623331538</v>
      </c>
      <c r="BK26">
        <f t="shared" si="36"/>
        <v>0.44177672839961629</v>
      </c>
      <c r="BL26">
        <f t="shared" si="37"/>
        <v>0.52918642628964585</v>
      </c>
      <c r="BM26">
        <f t="shared" si="38"/>
        <v>0.39882662184942846</v>
      </c>
      <c r="BN26">
        <v>268</v>
      </c>
      <c r="BO26">
        <v>300</v>
      </c>
      <c r="BP26">
        <v>300</v>
      </c>
      <c r="BQ26">
        <v>300</v>
      </c>
      <c r="BR26">
        <v>8097.1</v>
      </c>
      <c r="BS26">
        <v>1156.75</v>
      </c>
      <c r="BT26">
        <v>-2.9457099999999998E-3</v>
      </c>
      <c r="BU26">
        <v>2.7949199999999998</v>
      </c>
      <c r="BV26">
        <f t="shared" si="39"/>
        <v>2200.0025806451599</v>
      </c>
      <c r="BW26">
        <f t="shared" si="40"/>
        <v>1849.1893446660524</v>
      </c>
      <c r="BX26">
        <f t="shared" si="41"/>
        <v>0.84053962524160764</v>
      </c>
      <c r="BY26">
        <f t="shared" si="42"/>
        <v>0.19107925048321533</v>
      </c>
      <c r="BZ26">
        <v>1564339224.3</v>
      </c>
      <c r="CA26">
        <v>729.012258064516</v>
      </c>
      <c r="CB26">
        <v>799.98958064516103</v>
      </c>
      <c r="CC26">
        <v>17.9849483870968</v>
      </c>
      <c r="CD26">
        <v>11.3139387096774</v>
      </c>
      <c r="CE26">
        <v>500.02948387096802</v>
      </c>
      <c r="CF26">
        <v>99.402948387096799</v>
      </c>
      <c r="CG26">
        <v>0.100006987096774</v>
      </c>
      <c r="CH26">
        <v>25.4783677419355</v>
      </c>
      <c r="CI26">
        <v>27.280090322580602</v>
      </c>
      <c r="CJ26">
        <v>999.9</v>
      </c>
      <c r="CK26">
        <v>10006.598709677401</v>
      </c>
      <c r="CL26">
        <v>0</v>
      </c>
      <c r="CM26">
        <v>-171.42003225806499</v>
      </c>
      <c r="CN26">
        <v>2200.0025806451599</v>
      </c>
      <c r="CO26">
        <v>0.98199532258064504</v>
      </c>
      <c r="CP26">
        <v>1.80049967741935E-2</v>
      </c>
      <c r="CQ26">
        <v>0</v>
      </c>
      <c r="CR26">
        <v>838.61061290322596</v>
      </c>
      <c r="CS26">
        <v>1.9999499999999999</v>
      </c>
      <c r="CT26">
        <v>19343.706451612899</v>
      </c>
      <c r="CU26">
        <v>17938.248387096799</v>
      </c>
      <c r="CV26">
        <v>49.125</v>
      </c>
      <c r="CW26">
        <v>50.126967741935502</v>
      </c>
      <c r="CX26">
        <v>49.465451612903202</v>
      </c>
      <c r="CY26">
        <v>49.328258064516099</v>
      </c>
      <c r="CZ26">
        <v>50.06</v>
      </c>
      <c r="DA26">
        <v>2158.4309677419401</v>
      </c>
      <c r="DB26">
        <v>39.572580645161302</v>
      </c>
      <c r="DC26">
        <v>0</v>
      </c>
      <c r="DD26">
        <v>139.80000019073501</v>
      </c>
      <c r="DE26">
        <v>838.56192307692299</v>
      </c>
      <c r="DF26">
        <v>-9.2823931577791008</v>
      </c>
      <c r="DG26">
        <v>-235.67521369466701</v>
      </c>
      <c r="DH26">
        <v>19341.719230769198</v>
      </c>
      <c r="DI26">
        <v>15</v>
      </c>
      <c r="DJ26">
        <v>1564339171.8</v>
      </c>
      <c r="DK26" t="s">
        <v>345</v>
      </c>
      <c r="DL26">
        <v>93</v>
      </c>
      <c r="DM26">
        <v>0.85</v>
      </c>
      <c r="DN26">
        <v>4.5999999999999999E-2</v>
      </c>
      <c r="DO26">
        <v>800</v>
      </c>
      <c r="DP26">
        <v>10</v>
      </c>
      <c r="DQ26">
        <v>0.01</v>
      </c>
      <c r="DR26">
        <v>0.01</v>
      </c>
      <c r="DS26">
        <v>55.397914331508701</v>
      </c>
      <c r="DT26">
        <v>-1.71078952284477</v>
      </c>
      <c r="DU26">
        <v>0.35074474268918399</v>
      </c>
      <c r="DV26">
        <v>0</v>
      </c>
      <c r="DW26">
        <v>728.54094520548006</v>
      </c>
      <c r="DX26">
        <v>2.7661088485746501</v>
      </c>
      <c r="DY26">
        <v>0.48677059631403002</v>
      </c>
      <c r="DZ26">
        <v>0</v>
      </c>
      <c r="EA26">
        <v>0.327727475098613</v>
      </c>
      <c r="EB26">
        <v>-3.66195952462414E-2</v>
      </c>
      <c r="EC26">
        <v>7.4252575453711703E-3</v>
      </c>
      <c r="ED26">
        <v>1</v>
      </c>
      <c r="EE26">
        <v>1</v>
      </c>
      <c r="EF26">
        <v>3</v>
      </c>
      <c r="EG26" t="s">
        <v>346</v>
      </c>
      <c r="EH26">
        <v>1.8665799999999999</v>
      </c>
      <c r="EI26">
        <v>1.8630899999999999</v>
      </c>
      <c r="EJ26">
        <v>1.8687199999999999</v>
      </c>
      <c r="EK26">
        <v>1.8666100000000001</v>
      </c>
      <c r="EL26">
        <v>1.87131</v>
      </c>
      <c r="EM26">
        <v>1.86371</v>
      </c>
      <c r="EN26">
        <v>1.8652299999999999</v>
      </c>
      <c r="EO26">
        <v>1.8651899999999999</v>
      </c>
      <c r="EP26" t="s">
        <v>295</v>
      </c>
      <c r="EQ26" t="s">
        <v>19</v>
      </c>
      <c r="ER26" t="s">
        <v>19</v>
      </c>
      <c r="ES26" t="s">
        <v>19</v>
      </c>
      <c r="ET26" t="s">
        <v>296</v>
      </c>
      <c r="EU26" t="s">
        <v>297</v>
      </c>
      <c r="EV26" t="s">
        <v>298</v>
      </c>
      <c r="EW26" t="s">
        <v>298</v>
      </c>
      <c r="EX26" t="s">
        <v>298</v>
      </c>
      <c r="EY26" t="s">
        <v>298</v>
      </c>
      <c r="EZ26">
        <v>0</v>
      </c>
      <c r="FA26">
        <v>100</v>
      </c>
      <c r="FB26">
        <v>100</v>
      </c>
      <c r="FC26">
        <v>0.85</v>
      </c>
      <c r="FD26">
        <v>4.5999999999999999E-2</v>
      </c>
      <c r="FE26">
        <v>2</v>
      </c>
      <c r="FF26">
        <v>495.78800000000001</v>
      </c>
      <c r="FG26">
        <v>470.66199999999998</v>
      </c>
      <c r="FH26">
        <v>18.559799999999999</v>
      </c>
      <c r="FI26">
        <v>35.494799999999998</v>
      </c>
      <c r="FJ26">
        <v>30.000299999999999</v>
      </c>
      <c r="FK26">
        <v>35.360900000000001</v>
      </c>
      <c r="FL26">
        <v>35.334200000000003</v>
      </c>
      <c r="FM26">
        <v>38.850099999999998</v>
      </c>
      <c r="FN26">
        <v>64.703699999999998</v>
      </c>
      <c r="FO26">
        <v>0</v>
      </c>
      <c r="FP26">
        <v>16.188700000000001</v>
      </c>
      <c r="FQ26">
        <v>800</v>
      </c>
      <c r="FR26">
        <v>11.4915</v>
      </c>
      <c r="FS26">
        <v>100.387</v>
      </c>
      <c r="FT26">
        <v>100.892</v>
      </c>
    </row>
    <row r="27" spans="1:176" x14ac:dyDescent="0.35">
      <c r="A27">
        <v>12</v>
      </c>
      <c r="B27">
        <v>1564339372.8</v>
      </c>
      <c r="C27">
        <v>1542.0999999046301</v>
      </c>
      <c r="D27" t="s">
        <v>347</v>
      </c>
      <c r="E27" t="s">
        <v>348</v>
      </c>
      <c r="F27" t="s">
        <v>288</v>
      </c>
      <c r="G27" t="s">
        <v>289</v>
      </c>
      <c r="H27" t="s">
        <v>288</v>
      </c>
      <c r="J27" t="s">
        <v>288</v>
      </c>
      <c r="K27">
        <v>1564339364.8</v>
      </c>
      <c r="L27">
        <f t="shared" si="0"/>
        <v>4.0679704756349539E-3</v>
      </c>
      <c r="M27">
        <f t="shared" si="1"/>
        <v>55.217559779767107</v>
      </c>
      <c r="N27">
        <f t="shared" si="2"/>
        <v>929.15761482682535</v>
      </c>
      <c r="O27">
        <f t="shared" si="3"/>
        <v>478.6547300880377</v>
      </c>
      <c r="P27">
        <f t="shared" si="4"/>
        <v>47.625388396536245</v>
      </c>
      <c r="Q27">
        <f t="shared" si="5"/>
        <v>92.449712717949581</v>
      </c>
      <c r="R27">
        <f t="shared" si="6"/>
        <v>0.21564402263137789</v>
      </c>
      <c r="S27">
        <f t="shared" si="7"/>
        <v>2.2517536368161988</v>
      </c>
      <c r="T27">
        <f t="shared" si="8"/>
        <v>0.20479271937001614</v>
      </c>
      <c r="U27">
        <f t="shared" si="9"/>
        <v>0.12892487767446353</v>
      </c>
      <c r="V27">
        <f t="shared" si="10"/>
        <v>353.34288156455642</v>
      </c>
      <c r="W27">
        <f t="shared" si="11"/>
        <v>26.392971834316171</v>
      </c>
      <c r="X27">
        <f t="shared" si="12"/>
        <v>27.424387096774201</v>
      </c>
      <c r="Y27">
        <f t="shared" si="13"/>
        <v>3.6693478281750211</v>
      </c>
      <c r="Z27">
        <f t="shared" si="14"/>
        <v>54.66197836609701</v>
      </c>
      <c r="AA27">
        <f t="shared" si="15"/>
        <v>1.7467187996216069</v>
      </c>
      <c r="AB27">
        <f t="shared" si="16"/>
        <v>3.1954913668199283</v>
      </c>
      <c r="AC27">
        <f t="shared" si="17"/>
        <v>1.9226290285534142</v>
      </c>
      <c r="AD27">
        <f t="shared" si="18"/>
        <v>-179.39749797550147</v>
      </c>
      <c r="AE27">
        <f t="shared" si="19"/>
        <v>-284.20731866170888</v>
      </c>
      <c r="AF27">
        <f t="shared" si="20"/>
        <v>-27.03655264970892</v>
      </c>
      <c r="AG27">
        <f t="shared" si="21"/>
        <v>-137.29848772236286</v>
      </c>
      <c r="AH27">
        <v>-4.1230974401695299E-2</v>
      </c>
      <c r="AI27">
        <v>4.62853807976433E-2</v>
      </c>
      <c r="AJ27">
        <v>3.4583564304913699</v>
      </c>
      <c r="AK27">
        <v>2</v>
      </c>
      <c r="AL27">
        <v>0</v>
      </c>
      <c r="AM27">
        <f t="shared" si="22"/>
        <v>1.0000756009099838</v>
      </c>
      <c r="AN27">
        <f t="shared" si="23"/>
        <v>7.560090998381952E-3</v>
      </c>
      <c r="AO27">
        <f t="shared" si="24"/>
        <v>52913.416048714207</v>
      </c>
      <c r="AP27" t="s">
        <v>290</v>
      </c>
      <c r="AQ27">
        <v>413.64615384615399</v>
      </c>
      <c r="AR27">
        <v>1914.9</v>
      </c>
      <c r="AS27">
        <f t="shared" si="25"/>
        <v>1501.2538461538461</v>
      </c>
      <c r="AT27">
        <f t="shared" si="26"/>
        <v>0.78398550637309838</v>
      </c>
      <c r="AU27">
        <v>-0.61508576146989002</v>
      </c>
      <c r="AV27" t="s">
        <v>349</v>
      </c>
      <c r="AW27">
        <v>822.67146153846102</v>
      </c>
      <c r="AX27">
        <v>1283.3499999999999</v>
      </c>
      <c r="AY27">
        <f t="shared" si="27"/>
        <v>0.35896562781901964</v>
      </c>
      <c r="AZ27">
        <v>0.5</v>
      </c>
      <c r="BA27">
        <f t="shared" si="28"/>
        <v>1849.1936203442897</v>
      </c>
      <c r="BB27">
        <f t="shared" si="29"/>
        <v>55.217559779767107</v>
      </c>
      <c r="BC27">
        <f t="shared" si="30"/>
        <v>331.89847444290689</v>
      </c>
      <c r="BD27">
        <f t="shared" si="31"/>
        <v>0.56956403163595282</v>
      </c>
      <c r="BE27">
        <f t="shared" si="32"/>
        <v>3.0192968938991836E-2</v>
      </c>
      <c r="BF27">
        <f t="shared" si="33"/>
        <v>0.49211049207153174</v>
      </c>
      <c r="BG27" t="s">
        <v>350</v>
      </c>
      <c r="BH27">
        <v>552.4</v>
      </c>
      <c r="BI27">
        <f t="shared" si="34"/>
        <v>730.94999999999993</v>
      </c>
      <c r="BJ27">
        <f t="shared" si="35"/>
        <v>0.63024630749235777</v>
      </c>
      <c r="BK27">
        <f t="shared" si="36"/>
        <v>0.46352293577981662</v>
      </c>
      <c r="BL27">
        <f t="shared" si="37"/>
        <v>0.52969587348478542</v>
      </c>
      <c r="BM27">
        <f t="shared" si="38"/>
        <v>0.42068168659018373</v>
      </c>
      <c r="BN27">
        <v>270</v>
      </c>
      <c r="BO27">
        <v>300</v>
      </c>
      <c r="BP27">
        <v>300</v>
      </c>
      <c r="BQ27">
        <v>300</v>
      </c>
      <c r="BR27">
        <v>8097.37</v>
      </c>
      <c r="BS27">
        <v>1129.78</v>
      </c>
      <c r="BT27">
        <v>-2.94568E-3</v>
      </c>
      <c r="BU27">
        <v>3.09985</v>
      </c>
      <c r="BV27">
        <f t="shared" si="39"/>
        <v>2200.0074193548398</v>
      </c>
      <c r="BW27">
        <f t="shared" si="40"/>
        <v>1849.1936203442897</v>
      </c>
      <c r="BX27">
        <f t="shared" si="41"/>
        <v>0.84053972003720445</v>
      </c>
      <c r="BY27">
        <f t="shared" si="42"/>
        <v>0.19107944007440916</v>
      </c>
      <c r="BZ27">
        <v>1564339364.8</v>
      </c>
      <c r="CA27">
        <v>929.15767741935497</v>
      </c>
      <c r="CB27">
        <v>999.94383870967704</v>
      </c>
      <c r="CC27">
        <v>17.555241935483899</v>
      </c>
      <c r="CD27">
        <v>12.760125806451599</v>
      </c>
      <c r="CE27">
        <v>500.03987096774199</v>
      </c>
      <c r="CF27">
        <v>99.398416129032199</v>
      </c>
      <c r="CG27">
        <v>0.10000183870967699</v>
      </c>
      <c r="CH27">
        <v>25.083238709677399</v>
      </c>
      <c r="CI27">
        <v>27.424387096774201</v>
      </c>
      <c r="CJ27">
        <v>999.9</v>
      </c>
      <c r="CK27">
        <v>10003.2277419355</v>
      </c>
      <c r="CL27">
        <v>0</v>
      </c>
      <c r="CM27">
        <v>-147.54977419354799</v>
      </c>
      <c r="CN27">
        <v>2200.0074193548398</v>
      </c>
      <c r="CO27">
        <v>0.98199506451612895</v>
      </c>
      <c r="CP27">
        <v>1.8005319354838699E-2</v>
      </c>
      <c r="CQ27">
        <v>0</v>
      </c>
      <c r="CR27">
        <v>822.76435483871001</v>
      </c>
      <c r="CS27">
        <v>1.9999499999999999</v>
      </c>
      <c r="CT27">
        <v>18979.874193548399</v>
      </c>
      <c r="CU27">
        <v>17938.270967741901</v>
      </c>
      <c r="CV27">
        <v>49.012</v>
      </c>
      <c r="CW27">
        <v>49.936999999999998</v>
      </c>
      <c r="CX27">
        <v>49.312064516128999</v>
      </c>
      <c r="CY27">
        <v>49.2093548387097</v>
      </c>
      <c r="CZ27">
        <v>49.951161290322503</v>
      </c>
      <c r="DA27">
        <v>2158.4319354838699</v>
      </c>
      <c r="DB27">
        <v>39.579677419354802</v>
      </c>
      <c r="DC27">
        <v>0</v>
      </c>
      <c r="DD27">
        <v>139.700000047684</v>
      </c>
      <c r="DE27">
        <v>822.67146153846102</v>
      </c>
      <c r="DF27">
        <v>-10.328273505033399</v>
      </c>
      <c r="DG27">
        <v>-244.57094040278699</v>
      </c>
      <c r="DH27">
        <v>18978.45</v>
      </c>
      <c r="DI27">
        <v>15</v>
      </c>
      <c r="DJ27">
        <v>1564339402.3</v>
      </c>
      <c r="DK27" t="s">
        <v>351</v>
      </c>
      <c r="DL27">
        <v>94</v>
      </c>
      <c r="DM27">
        <v>1.0089999999999999</v>
      </c>
      <c r="DN27">
        <v>7.2999999999999995E-2</v>
      </c>
      <c r="DO27">
        <v>1000</v>
      </c>
      <c r="DP27">
        <v>13</v>
      </c>
      <c r="DQ27">
        <v>0.02</v>
      </c>
      <c r="DR27">
        <v>0.02</v>
      </c>
      <c r="DS27">
        <v>56.032618487858599</v>
      </c>
      <c r="DT27">
        <v>-3.0822188627667502</v>
      </c>
      <c r="DU27">
        <v>0.61521339953166398</v>
      </c>
      <c r="DV27">
        <v>0</v>
      </c>
      <c r="DW27">
        <v>928.26875342465701</v>
      </c>
      <c r="DX27">
        <v>4.2581377267679699</v>
      </c>
      <c r="DY27">
        <v>0.74904687895473698</v>
      </c>
      <c r="DZ27">
        <v>0</v>
      </c>
      <c r="EA27">
        <v>0.22299313402838999</v>
      </c>
      <c r="EB27">
        <v>-4.2789814303716901E-2</v>
      </c>
      <c r="EC27">
        <v>8.5386523204868999E-3</v>
      </c>
      <c r="ED27">
        <v>1</v>
      </c>
      <c r="EE27">
        <v>1</v>
      </c>
      <c r="EF27">
        <v>3</v>
      </c>
      <c r="EG27" t="s">
        <v>346</v>
      </c>
      <c r="EH27">
        <v>1.8665700000000001</v>
      </c>
      <c r="EI27">
        <v>1.8631</v>
      </c>
      <c r="EJ27">
        <v>1.86869</v>
      </c>
      <c r="EK27">
        <v>1.8666100000000001</v>
      </c>
      <c r="EL27">
        <v>1.87131</v>
      </c>
      <c r="EM27">
        <v>1.86371</v>
      </c>
      <c r="EN27">
        <v>1.8652299999999999</v>
      </c>
      <c r="EO27">
        <v>1.8651599999999999</v>
      </c>
      <c r="EP27" t="s">
        <v>295</v>
      </c>
      <c r="EQ27" t="s">
        <v>19</v>
      </c>
      <c r="ER27" t="s">
        <v>19</v>
      </c>
      <c r="ES27" t="s">
        <v>19</v>
      </c>
      <c r="ET27" t="s">
        <v>296</v>
      </c>
      <c r="EU27" t="s">
        <v>297</v>
      </c>
      <c r="EV27" t="s">
        <v>298</v>
      </c>
      <c r="EW27" t="s">
        <v>298</v>
      </c>
      <c r="EX27" t="s">
        <v>298</v>
      </c>
      <c r="EY27" t="s">
        <v>298</v>
      </c>
      <c r="EZ27">
        <v>0</v>
      </c>
      <c r="FA27">
        <v>100</v>
      </c>
      <c r="FB27">
        <v>100</v>
      </c>
      <c r="FC27">
        <v>1.0089999999999999</v>
      </c>
      <c r="FD27">
        <v>7.2999999999999995E-2</v>
      </c>
      <c r="FE27">
        <v>2</v>
      </c>
      <c r="FF27">
        <v>494.68700000000001</v>
      </c>
      <c r="FG27">
        <v>472.125</v>
      </c>
      <c r="FH27">
        <v>18.228300000000001</v>
      </c>
      <c r="FI27">
        <v>35.544800000000002</v>
      </c>
      <c r="FJ27">
        <v>30</v>
      </c>
      <c r="FK27">
        <v>35.414000000000001</v>
      </c>
      <c r="FL27">
        <v>35.385300000000001</v>
      </c>
      <c r="FM27">
        <v>46.566699999999997</v>
      </c>
      <c r="FN27">
        <v>60.718699999999998</v>
      </c>
      <c r="FO27">
        <v>0</v>
      </c>
      <c r="FP27">
        <v>15.7959</v>
      </c>
      <c r="FQ27">
        <v>1000</v>
      </c>
      <c r="FR27">
        <v>12.930099999999999</v>
      </c>
      <c r="FS27">
        <v>100.377</v>
      </c>
      <c r="FT27">
        <v>100.88</v>
      </c>
    </row>
    <row r="28" spans="1:176" x14ac:dyDescent="0.35">
      <c r="A28">
        <v>13</v>
      </c>
      <c r="B28">
        <v>1564339543.8</v>
      </c>
      <c r="C28">
        <v>1713.0999999046301</v>
      </c>
      <c r="D28" t="s">
        <v>352</v>
      </c>
      <c r="E28" t="s">
        <v>353</v>
      </c>
      <c r="F28" t="s">
        <v>288</v>
      </c>
      <c r="G28" t="s">
        <v>289</v>
      </c>
      <c r="H28" t="s">
        <v>288</v>
      </c>
      <c r="J28" t="s">
        <v>288</v>
      </c>
      <c r="K28">
        <v>1564339535.8</v>
      </c>
      <c r="L28">
        <f t="shared" si="0"/>
        <v>2.8498477566885325E-3</v>
      </c>
      <c r="M28">
        <f t="shared" si="1"/>
        <v>54.266867648813516</v>
      </c>
      <c r="N28">
        <f t="shared" si="2"/>
        <v>1131.0392933191063</v>
      </c>
      <c r="O28">
        <f t="shared" si="3"/>
        <v>487.16141573677481</v>
      </c>
      <c r="P28">
        <f t="shared" si="4"/>
        <v>48.470921181058991</v>
      </c>
      <c r="Q28">
        <f t="shared" si="5"/>
        <v>112.53460284049467</v>
      </c>
      <c r="R28">
        <f t="shared" si="6"/>
        <v>0.14487454117692961</v>
      </c>
      <c r="S28">
        <f t="shared" si="7"/>
        <v>2.2504892245583665</v>
      </c>
      <c r="T28">
        <f t="shared" si="8"/>
        <v>0.13988562687234543</v>
      </c>
      <c r="U28">
        <f t="shared" si="9"/>
        <v>8.7862438590875516E-2</v>
      </c>
      <c r="V28">
        <f t="shared" si="10"/>
        <v>353.34209993840722</v>
      </c>
      <c r="W28">
        <f t="shared" si="11"/>
        <v>26.344843767582578</v>
      </c>
      <c r="X28">
        <f t="shared" si="12"/>
        <v>27.479706451612898</v>
      </c>
      <c r="Y28">
        <f t="shared" si="13"/>
        <v>3.6812488326598438</v>
      </c>
      <c r="Z28">
        <f t="shared" si="14"/>
        <v>54.955665970015744</v>
      </c>
      <c r="AA28">
        <f t="shared" si="15"/>
        <v>1.709142269864347</v>
      </c>
      <c r="AB28">
        <f t="shared" si="16"/>
        <v>3.1100383185181832</v>
      </c>
      <c r="AC28">
        <f t="shared" si="17"/>
        <v>1.9721065627954968</v>
      </c>
      <c r="AD28">
        <f t="shared" si="18"/>
        <v>-125.67828606996429</v>
      </c>
      <c r="AE28">
        <f t="shared" si="19"/>
        <v>-345.86179704189703</v>
      </c>
      <c r="AF28">
        <f t="shared" si="20"/>
        <v>-32.85468368818826</v>
      </c>
      <c r="AG28">
        <f t="shared" si="21"/>
        <v>-151.05266686164234</v>
      </c>
      <c r="AH28">
        <v>-4.1196919248592298E-2</v>
      </c>
      <c r="AI28">
        <v>4.62471509048899E-2</v>
      </c>
      <c r="AJ28">
        <v>3.45609541207835</v>
      </c>
      <c r="AK28">
        <v>3</v>
      </c>
      <c r="AL28">
        <v>1</v>
      </c>
      <c r="AM28">
        <f t="shared" si="22"/>
        <v>1.0001133227178265</v>
      </c>
      <c r="AN28">
        <f t="shared" si="23"/>
        <v>1.1332271782649173E-2</v>
      </c>
      <c r="AO28">
        <f t="shared" si="24"/>
        <v>52952.135735868753</v>
      </c>
      <c r="AP28" t="s">
        <v>290</v>
      </c>
      <c r="AQ28">
        <v>413.64615384615399</v>
      </c>
      <c r="AR28">
        <v>1914.9</v>
      </c>
      <c r="AS28">
        <f t="shared" si="25"/>
        <v>1501.2538461538461</v>
      </c>
      <c r="AT28">
        <f t="shared" si="26"/>
        <v>0.78398550637309838</v>
      </c>
      <c r="AU28">
        <v>-0.61508576146989002</v>
      </c>
      <c r="AV28" t="s">
        <v>354</v>
      </c>
      <c r="AW28">
        <v>825.80003846153795</v>
      </c>
      <c r="AX28">
        <v>1292.54</v>
      </c>
      <c r="AY28">
        <f t="shared" si="27"/>
        <v>0.36110291483316725</v>
      </c>
      <c r="AZ28">
        <v>0.5</v>
      </c>
      <c r="BA28">
        <f t="shared" si="28"/>
        <v>1849.1968548656803</v>
      </c>
      <c r="BB28">
        <f t="shared" si="29"/>
        <v>54.266867648813516</v>
      </c>
      <c r="BC28">
        <f t="shared" si="30"/>
        <v>333.87518719616122</v>
      </c>
      <c r="BD28">
        <f t="shared" si="31"/>
        <v>0.5667445494916985</v>
      </c>
      <c r="BE28">
        <f t="shared" si="32"/>
        <v>2.9678805296405208E-2</v>
      </c>
      <c r="BF28">
        <f t="shared" si="33"/>
        <v>0.48150153960419029</v>
      </c>
      <c r="BG28" t="s">
        <v>355</v>
      </c>
      <c r="BH28">
        <v>560</v>
      </c>
      <c r="BI28">
        <f t="shared" si="34"/>
        <v>732.54</v>
      </c>
      <c r="BJ28">
        <f t="shared" si="35"/>
        <v>0.63715286747271416</v>
      </c>
      <c r="BK28">
        <f t="shared" si="36"/>
        <v>0.45934017270647287</v>
      </c>
      <c r="BL28">
        <f t="shared" si="37"/>
        <v>0.53105385090699742</v>
      </c>
      <c r="BM28">
        <f t="shared" si="38"/>
        <v>0.41456013691119742</v>
      </c>
      <c r="BN28">
        <v>272</v>
      </c>
      <c r="BO28">
        <v>300</v>
      </c>
      <c r="BP28">
        <v>300</v>
      </c>
      <c r="BQ28">
        <v>300</v>
      </c>
      <c r="BR28">
        <v>8098.56</v>
      </c>
      <c r="BS28">
        <v>1138.97</v>
      </c>
      <c r="BT28">
        <v>-2.94619E-3</v>
      </c>
      <c r="BU28">
        <v>3.5384500000000001</v>
      </c>
      <c r="BV28">
        <f t="shared" si="39"/>
        <v>2200.0122580645202</v>
      </c>
      <c r="BW28">
        <f t="shared" si="40"/>
        <v>1849.1968548656803</v>
      </c>
      <c r="BX28">
        <f t="shared" si="41"/>
        <v>0.84053934158190879</v>
      </c>
      <c r="BY28">
        <f t="shared" si="42"/>
        <v>0.19107868316381754</v>
      </c>
      <c r="BZ28">
        <v>1564339535.8</v>
      </c>
      <c r="CA28">
        <v>1131.0393548387101</v>
      </c>
      <c r="CB28">
        <v>1200.01677419355</v>
      </c>
      <c r="CC28">
        <v>17.177890322580598</v>
      </c>
      <c r="CD28">
        <v>13.817370967741899</v>
      </c>
      <c r="CE28">
        <v>500.024580645161</v>
      </c>
      <c r="CF28">
        <v>99.396654838709694</v>
      </c>
      <c r="CG28">
        <v>9.9979367741935499E-2</v>
      </c>
      <c r="CH28">
        <v>24.629080645161299</v>
      </c>
      <c r="CI28">
        <v>27.479706451612898</v>
      </c>
      <c r="CJ28">
        <v>999.9</v>
      </c>
      <c r="CK28">
        <v>9995.1425806451607</v>
      </c>
      <c r="CL28">
        <v>0</v>
      </c>
      <c r="CM28">
        <v>-112.325867741935</v>
      </c>
      <c r="CN28">
        <v>2200.0122580645202</v>
      </c>
      <c r="CO28">
        <v>0.98200603225806404</v>
      </c>
      <c r="CP28">
        <v>1.7994058064516101E-2</v>
      </c>
      <c r="CQ28">
        <v>0</v>
      </c>
      <c r="CR28">
        <v>825.814161290323</v>
      </c>
      <c r="CS28">
        <v>1.9999499999999999</v>
      </c>
      <c r="CT28">
        <v>19005.380645161302</v>
      </c>
      <c r="CU28">
        <v>17938.3838709677</v>
      </c>
      <c r="CV28">
        <v>48.6991935483871</v>
      </c>
      <c r="CW28">
        <v>49.524000000000001</v>
      </c>
      <c r="CX28">
        <v>49.044064516128998</v>
      </c>
      <c r="CY28">
        <v>48.719516129032201</v>
      </c>
      <c r="CZ28">
        <v>49.626903225806501</v>
      </c>
      <c r="DA28">
        <v>2158.46032258064</v>
      </c>
      <c r="DB28">
        <v>39.551935483870999</v>
      </c>
      <c r="DC28">
        <v>0</v>
      </c>
      <c r="DD28">
        <v>170.60000014305101</v>
      </c>
      <c r="DE28">
        <v>825.80003846153795</v>
      </c>
      <c r="DF28">
        <v>-2.9261880450804201</v>
      </c>
      <c r="DG28">
        <v>-90.112820555242607</v>
      </c>
      <c r="DH28">
        <v>19004.376923076899</v>
      </c>
      <c r="DI28">
        <v>15</v>
      </c>
      <c r="DJ28">
        <v>1564339482.3</v>
      </c>
      <c r="DK28" t="s">
        <v>356</v>
      </c>
      <c r="DL28">
        <v>95</v>
      </c>
      <c r="DM28">
        <v>1.119</v>
      </c>
      <c r="DN28">
        <v>8.3000000000000004E-2</v>
      </c>
      <c r="DO28">
        <v>1200</v>
      </c>
      <c r="DP28">
        <v>13</v>
      </c>
      <c r="DQ28">
        <v>0.02</v>
      </c>
      <c r="DR28">
        <v>0.02</v>
      </c>
      <c r="DS28">
        <v>54.907792211776602</v>
      </c>
      <c r="DT28">
        <v>-2.72559494960309</v>
      </c>
      <c r="DU28">
        <v>0.55543988365598396</v>
      </c>
      <c r="DV28">
        <v>0</v>
      </c>
      <c r="DW28">
        <v>1130.2795890411001</v>
      </c>
      <c r="DX28">
        <v>4.0413920770087604</v>
      </c>
      <c r="DY28">
        <v>0.71261324667168202</v>
      </c>
      <c r="DZ28">
        <v>0</v>
      </c>
      <c r="EA28">
        <v>0.14882089950446201</v>
      </c>
      <c r="EB28">
        <v>-2.0685850425909199E-2</v>
      </c>
      <c r="EC28">
        <v>4.3132331729469299E-3</v>
      </c>
      <c r="ED28">
        <v>1</v>
      </c>
      <c r="EE28">
        <v>1</v>
      </c>
      <c r="EF28">
        <v>3</v>
      </c>
      <c r="EG28" t="s">
        <v>346</v>
      </c>
      <c r="EH28">
        <v>1.8665099999999999</v>
      </c>
      <c r="EI28">
        <v>1.8630599999999999</v>
      </c>
      <c r="EJ28">
        <v>1.8686199999999999</v>
      </c>
      <c r="EK28">
        <v>1.8666100000000001</v>
      </c>
      <c r="EL28">
        <v>1.8712299999999999</v>
      </c>
      <c r="EM28">
        <v>1.86372</v>
      </c>
      <c r="EN28">
        <v>1.8652299999999999</v>
      </c>
      <c r="EO28">
        <v>1.8651500000000001</v>
      </c>
      <c r="EP28" t="s">
        <v>295</v>
      </c>
      <c r="EQ28" t="s">
        <v>19</v>
      </c>
      <c r="ER28" t="s">
        <v>19</v>
      </c>
      <c r="ES28" t="s">
        <v>19</v>
      </c>
      <c r="ET28" t="s">
        <v>296</v>
      </c>
      <c r="EU28" t="s">
        <v>297</v>
      </c>
      <c r="EV28" t="s">
        <v>298</v>
      </c>
      <c r="EW28" t="s">
        <v>298</v>
      </c>
      <c r="EX28" t="s">
        <v>298</v>
      </c>
      <c r="EY28" t="s">
        <v>298</v>
      </c>
      <c r="EZ28">
        <v>0</v>
      </c>
      <c r="FA28">
        <v>100</v>
      </c>
      <c r="FB28">
        <v>100</v>
      </c>
      <c r="FC28">
        <v>1.119</v>
      </c>
      <c r="FD28">
        <v>8.3000000000000004E-2</v>
      </c>
      <c r="FE28">
        <v>2</v>
      </c>
      <c r="FF28">
        <v>493.50799999999998</v>
      </c>
      <c r="FG28">
        <v>474.21199999999999</v>
      </c>
      <c r="FH28">
        <v>17.827200000000001</v>
      </c>
      <c r="FI28">
        <v>35.428899999999999</v>
      </c>
      <c r="FJ28">
        <v>29.999500000000001</v>
      </c>
      <c r="FK28">
        <v>35.3489</v>
      </c>
      <c r="FL28">
        <v>35.3202</v>
      </c>
      <c r="FM28">
        <v>53.947899999999997</v>
      </c>
      <c r="FN28">
        <v>57.981900000000003</v>
      </c>
      <c r="FO28">
        <v>0</v>
      </c>
      <c r="FP28">
        <v>15.491300000000001</v>
      </c>
      <c r="FQ28">
        <v>1200</v>
      </c>
      <c r="FR28">
        <v>13.888199999999999</v>
      </c>
      <c r="FS28">
        <v>100.398</v>
      </c>
      <c r="FT28">
        <v>100.90900000000001</v>
      </c>
    </row>
    <row r="29" spans="1:176" x14ac:dyDescent="0.35">
      <c r="A29">
        <v>14</v>
      </c>
      <c r="B29">
        <v>1564339684.3</v>
      </c>
      <c r="C29">
        <v>1853.5999999046301</v>
      </c>
      <c r="D29" t="s">
        <v>357</v>
      </c>
      <c r="E29" t="s">
        <v>358</v>
      </c>
      <c r="F29" t="s">
        <v>288</v>
      </c>
      <c r="G29" t="s">
        <v>289</v>
      </c>
      <c r="H29" t="s">
        <v>288</v>
      </c>
      <c r="J29" t="s">
        <v>288</v>
      </c>
      <c r="K29">
        <v>1564339676.30323</v>
      </c>
      <c r="L29">
        <f t="shared" si="0"/>
        <v>2.1619865644391303E-3</v>
      </c>
      <c r="M29">
        <f t="shared" si="1"/>
        <v>56.422109237768673</v>
      </c>
      <c r="N29">
        <f t="shared" si="2"/>
        <v>1528.2757426222081</v>
      </c>
      <c r="O29">
        <f t="shared" si="3"/>
        <v>634.06222161406936</v>
      </c>
      <c r="P29">
        <f t="shared" si="4"/>
        <v>63.082646606014556</v>
      </c>
      <c r="Q29">
        <f t="shared" si="5"/>
        <v>152.04766236185108</v>
      </c>
      <c r="R29">
        <f t="shared" si="6"/>
        <v>0.10752194733145409</v>
      </c>
      <c r="S29">
        <f t="shared" si="7"/>
        <v>2.2511799609562706</v>
      </c>
      <c r="T29">
        <f t="shared" si="8"/>
        <v>0.1047482598135181</v>
      </c>
      <c r="U29">
        <f t="shared" si="9"/>
        <v>6.5710907597047646E-2</v>
      </c>
      <c r="V29">
        <f t="shared" si="10"/>
        <v>353.34173668335126</v>
      </c>
      <c r="W29">
        <f t="shared" si="11"/>
        <v>26.235144136716531</v>
      </c>
      <c r="X29">
        <f t="shared" si="12"/>
        <v>27.415390322580599</v>
      </c>
      <c r="Y29">
        <f t="shared" si="13"/>
        <v>3.6674155053605269</v>
      </c>
      <c r="Z29">
        <f t="shared" si="14"/>
        <v>54.764115079805443</v>
      </c>
      <c r="AA29">
        <f t="shared" si="15"/>
        <v>1.6690369216669447</v>
      </c>
      <c r="AB29">
        <f t="shared" si="16"/>
        <v>3.0476835410098881</v>
      </c>
      <c r="AC29">
        <f t="shared" si="17"/>
        <v>1.9983785836935821</v>
      </c>
      <c r="AD29">
        <f t="shared" si="18"/>
        <v>-95.343607491765638</v>
      </c>
      <c r="AE29">
        <f t="shared" si="19"/>
        <v>-379.22408720222745</v>
      </c>
      <c r="AF29">
        <f t="shared" si="20"/>
        <v>-35.940319929447618</v>
      </c>
      <c r="AG29">
        <f t="shared" si="21"/>
        <v>-157.16627794008946</v>
      </c>
      <c r="AH29">
        <v>-4.12155211085561E-2</v>
      </c>
      <c r="AI29">
        <v>4.6268033122311703E-2</v>
      </c>
      <c r="AJ29">
        <v>3.45733052213042</v>
      </c>
      <c r="AK29">
        <v>3</v>
      </c>
      <c r="AL29">
        <v>1</v>
      </c>
      <c r="AM29">
        <f t="shared" si="22"/>
        <v>1.0001131451983643</v>
      </c>
      <c r="AN29">
        <f t="shared" si="23"/>
        <v>1.1314519836425063E-2</v>
      </c>
      <c r="AO29">
        <f t="shared" si="24"/>
        <v>53035.205717416778</v>
      </c>
      <c r="AP29" t="s">
        <v>290</v>
      </c>
      <c r="AQ29">
        <v>413.64615384615399</v>
      </c>
      <c r="AR29">
        <v>1914.9</v>
      </c>
      <c r="AS29">
        <f t="shared" si="25"/>
        <v>1501.2538461538461</v>
      </c>
      <c r="AT29">
        <f t="shared" si="26"/>
        <v>0.78398550637309838</v>
      </c>
      <c r="AU29">
        <v>-0.61508576146989002</v>
      </c>
      <c r="AV29" t="s">
        <v>359</v>
      </c>
      <c r="AW29">
        <v>821.50488461538498</v>
      </c>
      <c r="AX29">
        <v>1271.02</v>
      </c>
      <c r="AY29">
        <f t="shared" si="27"/>
        <v>0.35366486395541774</v>
      </c>
      <c r="AZ29">
        <v>0.5</v>
      </c>
      <c r="BA29">
        <f t="shared" si="28"/>
        <v>1849.1952000269705</v>
      </c>
      <c r="BB29">
        <f t="shared" si="29"/>
        <v>56.422109237768673</v>
      </c>
      <c r="BC29">
        <f t="shared" si="30"/>
        <v>326.99768442227503</v>
      </c>
      <c r="BD29">
        <f t="shared" si="31"/>
        <v>0.55972368648801751</v>
      </c>
      <c r="BE29">
        <f t="shared" si="32"/>
        <v>3.0844334334421093E-2</v>
      </c>
      <c r="BF29">
        <f t="shared" si="33"/>
        <v>0.50658526223033473</v>
      </c>
      <c r="BG29" t="s">
        <v>360</v>
      </c>
      <c r="BH29">
        <v>559.6</v>
      </c>
      <c r="BI29">
        <f t="shared" si="34"/>
        <v>711.42</v>
      </c>
      <c r="BJ29">
        <f t="shared" si="35"/>
        <v>0.63185616848642856</v>
      </c>
      <c r="BK29">
        <f t="shared" si="36"/>
        <v>0.47508300745222459</v>
      </c>
      <c r="BL29">
        <f t="shared" si="37"/>
        <v>0.52429301103728165</v>
      </c>
      <c r="BM29">
        <f t="shared" si="38"/>
        <v>0.4288948212519792</v>
      </c>
      <c r="BN29">
        <v>274</v>
      </c>
      <c r="BO29">
        <v>300</v>
      </c>
      <c r="BP29">
        <v>300</v>
      </c>
      <c r="BQ29">
        <v>300</v>
      </c>
      <c r="BR29">
        <v>8099.54</v>
      </c>
      <c r="BS29">
        <v>1126.33</v>
      </c>
      <c r="BT29">
        <v>-2.9464600000000001E-3</v>
      </c>
      <c r="BU29">
        <v>4.1912799999999999</v>
      </c>
      <c r="BV29">
        <f t="shared" si="39"/>
        <v>2200.0103225806502</v>
      </c>
      <c r="BW29">
        <f t="shared" si="40"/>
        <v>1849.1952000269705</v>
      </c>
      <c r="BX29">
        <f t="shared" si="41"/>
        <v>0.84053932885998128</v>
      </c>
      <c r="BY29">
        <f t="shared" si="42"/>
        <v>0.1910786577199626</v>
      </c>
      <c r="BZ29">
        <v>1564339676.30323</v>
      </c>
      <c r="CA29">
        <v>1528.2758064516099</v>
      </c>
      <c r="CB29">
        <v>1599.9341935483901</v>
      </c>
      <c r="CC29">
        <v>16.775980645161301</v>
      </c>
      <c r="CD29">
        <v>14.225606451612901</v>
      </c>
      <c r="CE29">
        <v>500.03780645161299</v>
      </c>
      <c r="CF29">
        <v>99.389677419354797</v>
      </c>
      <c r="CG29">
        <v>0.100001125806452</v>
      </c>
      <c r="CH29">
        <v>24.290748387096802</v>
      </c>
      <c r="CI29">
        <v>27.415390322580599</v>
      </c>
      <c r="CJ29">
        <v>999.9</v>
      </c>
      <c r="CK29">
        <v>10000.357741935501</v>
      </c>
      <c r="CL29">
        <v>0</v>
      </c>
      <c r="CM29">
        <v>-171.00506451612901</v>
      </c>
      <c r="CN29">
        <v>2200.0103225806502</v>
      </c>
      <c r="CO29">
        <v>0.98200448387096795</v>
      </c>
      <c r="CP29">
        <v>1.79951129032258E-2</v>
      </c>
      <c r="CQ29">
        <v>0</v>
      </c>
      <c r="CR29">
        <v>821.58283870967796</v>
      </c>
      <c r="CS29">
        <v>1.9999499999999999</v>
      </c>
      <c r="CT29">
        <v>18917.316129032301</v>
      </c>
      <c r="CU29">
        <v>17938.3516129032</v>
      </c>
      <c r="CV29">
        <v>48.360774193548401</v>
      </c>
      <c r="CW29">
        <v>49.112806451612897</v>
      </c>
      <c r="CX29">
        <v>48.685032258064503</v>
      </c>
      <c r="CY29">
        <v>48.320129032258002</v>
      </c>
      <c r="CZ29">
        <v>49.253999999999998</v>
      </c>
      <c r="DA29">
        <v>2158.4593548387102</v>
      </c>
      <c r="DB29">
        <v>39.550967741935501</v>
      </c>
      <c r="DC29">
        <v>0</v>
      </c>
      <c r="DD29">
        <v>139.90000009536701</v>
      </c>
      <c r="DE29">
        <v>821.50488461538498</v>
      </c>
      <c r="DF29">
        <v>-8.9354871566398604</v>
      </c>
      <c r="DG29">
        <v>-213.69914490769699</v>
      </c>
      <c r="DH29">
        <v>18915.5884615385</v>
      </c>
      <c r="DI29">
        <v>15</v>
      </c>
      <c r="DJ29">
        <v>1564339619.8</v>
      </c>
      <c r="DK29" t="s">
        <v>361</v>
      </c>
      <c r="DL29">
        <v>96</v>
      </c>
      <c r="DM29">
        <v>1.0629999999999999</v>
      </c>
      <c r="DN29">
        <v>9.0999999999999998E-2</v>
      </c>
      <c r="DO29">
        <v>1600</v>
      </c>
      <c r="DP29">
        <v>14</v>
      </c>
      <c r="DQ29">
        <v>0.05</v>
      </c>
      <c r="DR29">
        <v>0.02</v>
      </c>
      <c r="DS29">
        <v>56.896180484372898</v>
      </c>
      <c r="DT29">
        <v>-2.1961437631748102</v>
      </c>
      <c r="DU29">
        <v>0.45988517403092699</v>
      </c>
      <c r="DV29">
        <v>0</v>
      </c>
      <c r="DW29">
        <v>1527.76616438356</v>
      </c>
      <c r="DX29">
        <v>2.8691201328124998</v>
      </c>
      <c r="DY29">
        <v>0.50756909277155904</v>
      </c>
      <c r="DZ29">
        <v>0</v>
      </c>
      <c r="EA29">
        <v>0.111174773270324</v>
      </c>
      <c r="EB29">
        <v>-1.3921923806075801E-2</v>
      </c>
      <c r="EC29">
        <v>2.85695483868552E-3</v>
      </c>
      <c r="ED29">
        <v>1</v>
      </c>
      <c r="EE29">
        <v>1</v>
      </c>
      <c r="EF29">
        <v>3</v>
      </c>
      <c r="EG29" t="s">
        <v>346</v>
      </c>
      <c r="EH29">
        <v>1.86656</v>
      </c>
      <c r="EI29">
        <v>1.8630800000000001</v>
      </c>
      <c r="EJ29">
        <v>1.8686499999999999</v>
      </c>
      <c r="EK29">
        <v>1.8666100000000001</v>
      </c>
      <c r="EL29">
        <v>1.87127</v>
      </c>
      <c r="EM29">
        <v>1.86371</v>
      </c>
      <c r="EN29">
        <v>1.8652299999999999</v>
      </c>
      <c r="EO29">
        <v>1.86513</v>
      </c>
      <c r="EP29" t="s">
        <v>295</v>
      </c>
      <c r="EQ29" t="s">
        <v>19</v>
      </c>
      <c r="ER29" t="s">
        <v>19</v>
      </c>
      <c r="ES29" t="s">
        <v>19</v>
      </c>
      <c r="ET29" t="s">
        <v>296</v>
      </c>
      <c r="EU29" t="s">
        <v>297</v>
      </c>
      <c r="EV29" t="s">
        <v>298</v>
      </c>
      <c r="EW29" t="s">
        <v>298</v>
      </c>
      <c r="EX29" t="s">
        <v>298</v>
      </c>
      <c r="EY29" t="s">
        <v>298</v>
      </c>
      <c r="EZ29">
        <v>0</v>
      </c>
      <c r="FA29">
        <v>100</v>
      </c>
      <c r="FB29">
        <v>100</v>
      </c>
      <c r="FC29">
        <v>1.0629999999999999</v>
      </c>
      <c r="FD29">
        <v>9.0999999999999998E-2</v>
      </c>
      <c r="FE29">
        <v>2</v>
      </c>
      <c r="FF29">
        <v>493.31799999999998</v>
      </c>
      <c r="FG29">
        <v>476.63200000000001</v>
      </c>
      <c r="FH29">
        <v>17.474</v>
      </c>
      <c r="FI29">
        <v>35.196300000000001</v>
      </c>
      <c r="FJ29">
        <v>29.999500000000001</v>
      </c>
      <c r="FK29">
        <v>35.174199999999999</v>
      </c>
      <c r="FL29">
        <v>35.154800000000002</v>
      </c>
      <c r="FM29">
        <v>67.845500000000001</v>
      </c>
      <c r="FN29">
        <v>56.262500000000003</v>
      </c>
      <c r="FO29">
        <v>0</v>
      </c>
      <c r="FP29">
        <v>15.104799999999999</v>
      </c>
      <c r="FQ29">
        <v>1600</v>
      </c>
      <c r="FR29">
        <v>14.3871</v>
      </c>
      <c r="FS29">
        <v>100.44199999999999</v>
      </c>
      <c r="FT29">
        <v>100.962</v>
      </c>
    </row>
  </sheetData>
  <sortState xmlns:xlrd2="http://schemas.microsoft.com/office/spreadsheetml/2017/richdata2" ref="M34:O47">
    <sortCondition ref="M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2019-07-28T13:48:56Z</dcterms:created>
  <dcterms:modified xsi:type="dcterms:W3CDTF">2019-08-28T03:02:50Z</dcterms:modified>
</cp:coreProperties>
</file>