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D4D2497E-EB31-4867-8C26-727DF269C0C7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U29" i="1" l="1"/>
  <c r="BT29" i="1"/>
  <c r="BR29" i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 s="1"/>
  <c r="X29" i="1"/>
  <c r="W29" i="1"/>
  <c r="O29" i="1"/>
  <c r="H29" i="1"/>
  <c r="Z29" i="1" s="1"/>
  <c r="BU28" i="1"/>
  <c r="BT28" i="1"/>
  <c r="BR28" i="1"/>
  <c r="BS28" i="1" s="1"/>
  <c r="AW28" i="1" s="1"/>
  <c r="BI28" i="1"/>
  <c r="BH28" i="1"/>
  <c r="BG28" i="1"/>
  <c r="BF28" i="1"/>
  <c r="BE28" i="1"/>
  <c r="AZ28" i="1" s="1"/>
  <c r="BB28" i="1"/>
  <c r="AU28" i="1"/>
  <c r="AP28" i="1"/>
  <c r="AO28" i="1"/>
  <c r="AK28" i="1"/>
  <c r="AI28" i="1"/>
  <c r="J28" i="1" s="1"/>
  <c r="X28" i="1"/>
  <c r="W28" i="1"/>
  <c r="V28" i="1" s="1"/>
  <c r="O28" i="1"/>
  <c r="BU27" i="1"/>
  <c r="BT27" i="1"/>
  <c r="BR27" i="1"/>
  <c r="BS27" i="1" s="1"/>
  <c r="AW27" i="1" s="1"/>
  <c r="AY27" i="1" s="1"/>
  <c r="BI27" i="1"/>
  <c r="BH27" i="1"/>
  <c r="BG27" i="1"/>
  <c r="BF27" i="1"/>
  <c r="BE27" i="1"/>
  <c r="AZ27" i="1" s="1"/>
  <c r="BB27" i="1"/>
  <c r="AU27" i="1"/>
  <c r="AO27" i="1"/>
  <c r="AP27" i="1" s="1"/>
  <c r="AK27" i="1"/>
  <c r="AI27" i="1"/>
  <c r="X27" i="1"/>
  <c r="W27" i="1"/>
  <c r="V27" i="1" s="1"/>
  <c r="O27" i="1"/>
  <c r="M27" i="1"/>
  <c r="BU26" i="1"/>
  <c r="BT26" i="1"/>
  <c r="BS26" i="1" s="1"/>
  <c r="R26" i="1" s="1"/>
  <c r="BR26" i="1"/>
  <c r="BI26" i="1"/>
  <c r="BH26" i="1"/>
  <c r="BG26" i="1"/>
  <c r="BF26" i="1"/>
  <c r="BE26" i="1"/>
  <c r="AZ26" i="1" s="1"/>
  <c r="BB26" i="1"/>
  <c r="AW26" i="1"/>
  <c r="AY26" i="1" s="1"/>
  <c r="AU26" i="1"/>
  <c r="AO26" i="1"/>
  <c r="AP26" i="1" s="1"/>
  <c r="AK26" i="1"/>
  <c r="AI26" i="1" s="1"/>
  <c r="X26" i="1"/>
  <c r="V26" i="1" s="1"/>
  <c r="W26" i="1"/>
  <c r="O26" i="1"/>
  <c r="I26" i="1"/>
  <c r="AX26" i="1" s="1"/>
  <c r="BA26" i="1" s="1"/>
  <c r="H26" i="1"/>
  <c r="Z26" i="1" s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 s="1"/>
  <c r="AJ25" i="1"/>
  <c r="X25" i="1"/>
  <c r="W25" i="1"/>
  <c r="V25" i="1" s="1"/>
  <c r="O25" i="1"/>
  <c r="H25" i="1"/>
  <c r="Z25" i="1" s="1"/>
  <c r="BU24" i="1"/>
  <c r="BT24" i="1"/>
  <c r="BR24" i="1"/>
  <c r="BI24" i="1"/>
  <c r="BH24" i="1"/>
  <c r="BG24" i="1"/>
  <c r="BF24" i="1"/>
  <c r="BE24" i="1"/>
  <c r="BB24" i="1"/>
  <c r="AZ24" i="1"/>
  <c r="AU24" i="1"/>
  <c r="AP24" i="1"/>
  <c r="AO24" i="1"/>
  <c r="AK24" i="1"/>
  <c r="AI24" i="1" s="1"/>
  <c r="X24" i="1"/>
  <c r="W24" i="1"/>
  <c r="V24" i="1"/>
  <c r="O24" i="1"/>
  <c r="BU23" i="1"/>
  <c r="BT23" i="1"/>
  <c r="BR23" i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 s="1"/>
  <c r="X23" i="1"/>
  <c r="V23" i="1" s="1"/>
  <c r="W23" i="1"/>
  <c r="O23" i="1"/>
  <c r="BU22" i="1"/>
  <c r="BT22" i="1"/>
  <c r="BR22" i="1"/>
  <c r="BI22" i="1"/>
  <c r="BH22" i="1"/>
  <c r="BG22" i="1"/>
  <c r="BF22" i="1"/>
  <c r="BE22" i="1"/>
  <c r="BB22" i="1"/>
  <c r="AZ22" i="1"/>
  <c r="AU22" i="1"/>
  <c r="AO22" i="1"/>
  <c r="AP22" i="1" s="1"/>
  <c r="AK22" i="1"/>
  <c r="AI22" i="1" s="1"/>
  <c r="AJ22" i="1"/>
  <c r="X22" i="1"/>
  <c r="W22" i="1"/>
  <c r="V22" i="1" s="1"/>
  <c r="O22" i="1"/>
  <c r="H22" i="1"/>
  <c r="Z22" i="1" s="1"/>
  <c r="BU21" i="1"/>
  <c r="BT21" i="1"/>
  <c r="BR21" i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/>
  <c r="X21" i="1"/>
  <c r="W21" i="1"/>
  <c r="V21" i="1" s="1"/>
  <c r="O21" i="1"/>
  <c r="J21" i="1"/>
  <c r="BU20" i="1"/>
  <c r="BT20" i="1"/>
  <c r="BS20" i="1" s="1"/>
  <c r="AW20" i="1" s="1"/>
  <c r="BR20" i="1"/>
  <c r="BI20" i="1"/>
  <c r="BH20" i="1"/>
  <c r="BG20" i="1"/>
  <c r="BF20" i="1"/>
  <c r="BE20" i="1"/>
  <c r="AZ20" i="1" s="1"/>
  <c r="BB20" i="1"/>
  <c r="AY20" i="1"/>
  <c r="AU20" i="1"/>
  <c r="AP20" i="1"/>
  <c r="AO20" i="1"/>
  <c r="AK20" i="1"/>
  <c r="AI20" i="1" s="1"/>
  <c r="J20" i="1" s="1"/>
  <c r="X20" i="1"/>
  <c r="V20" i="1" s="1"/>
  <c r="W20" i="1"/>
  <c r="O20" i="1"/>
  <c r="BU19" i="1"/>
  <c r="BT19" i="1"/>
  <c r="BS19" i="1" s="1"/>
  <c r="BR19" i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J19" i="1" s="1"/>
  <c r="AJ19" i="1"/>
  <c r="X19" i="1"/>
  <c r="W19" i="1"/>
  <c r="O19" i="1"/>
  <c r="M19" i="1"/>
  <c r="BU18" i="1"/>
  <c r="BT18" i="1"/>
  <c r="BR18" i="1"/>
  <c r="BI18" i="1"/>
  <c r="BH18" i="1"/>
  <c r="BG18" i="1"/>
  <c r="BF18" i="1"/>
  <c r="BE18" i="1"/>
  <c r="BB18" i="1"/>
  <c r="AZ18" i="1"/>
  <c r="AU18" i="1"/>
  <c r="AP18" i="1"/>
  <c r="AO18" i="1"/>
  <c r="AK18" i="1"/>
  <c r="AI18" i="1" s="1"/>
  <c r="X18" i="1"/>
  <c r="W18" i="1"/>
  <c r="V18" i="1" s="1"/>
  <c r="O18" i="1"/>
  <c r="BU17" i="1"/>
  <c r="BT17" i="1"/>
  <c r="BR17" i="1"/>
  <c r="BI17" i="1"/>
  <c r="BH17" i="1"/>
  <c r="BG17" i="1"/>
  <c r="BF17" i="1"/>
  <c r="BE17" i="1"/>
  <c r="AZ17" i="1" s="1"/>
  <c r="BB17" i="1"/>
  <c r="AU17" i="1"/>
  <c r="AO17" i="1"/>
  <c r="AP17" i="1" s="1"/>
  <c r="AK17" i="1"/>
  <c r="AI17" i="1" s="1"/>
  <c r="X17" i="1"/>
  <c r="V17" i="1" s="1"/>
  <c r="W17" i="1"/>
  <c r="O17" i="1"/>
  <c r="J23" i="1" l="1"/>
  <c r="I23" i="1"/>
  <c r="AX23" i="1" s="1"/>
  <c r="M23" i="1"/>
  <c r="H17" i="1"/>
  <c r="I17" i="1"/>
  <c r="AX17" i="1" s="1"/>
  <c r="J17" i="1"/>
  <c r="BS17" i="1"/>
  <c r="AW17" i="1" s="1"/>
  <c r="AY17" i="1" s="1"/>
  <c r="BS23" i="1"/>
  <c r="AJ28" i="1"/>
  <c r="AY28" i="1"/>
  <c r="BS29" i="1"/>
  <c r="R27" i="1"/>
  <c r="S27" i="1" s="1"/>
  <c r="T27" i="1" s="1"/>
  <c r="AY21" i="1"/>
  <c r="BS18" i="1"/>
  <c r="R20" i="1"/>
  <c r="BS21" i="1"/>
  <c r="AW21" i="1" s="1"/>
  <c r="BS22" i="1"/>
  <c r="BS24" i="1"/>
  <c r="R19" i="1"/>
  <c r="AW19" i="1"/>
  <c r="AY19" i="1" s="1"/>
  <c r="R29" i="1"/>
  <c r="AW29" i="1"/>
  <c r="R18" i="1"/>
  <c r="AW18" i="1"/>
  <c r="AY18" i="1" s="1"/>
  <c r="M18" i="1"/>
  <c r="I18" i="1"/>
  <c r="AX18" i="1" s="1"/>
  <c r="H18" i="1"/>
  <c r="AJ18" i="1"/>
  <c r="J18" i="1"/>
  <c r="R25" i="1"/>
  <c r="AW25" i="1"/>
  <c r="AW23" i="1"/>
  <c r="AY23" i="1" s="1"/>
  <c r="R23" i="1"/>
  <c r="AW24" i="1"/>
  <c r="AY24" i="1" s="1"/>
  <c r="R24" i="1"/>
  <c r="J29" i="1"/>
  <c r="M29" i="1"/>
  <c r="I29" i="1"/>
  <c r="AX29" i="1" s="1"/>
  <c r="AJ29" i="1"/>
  <c r="Z17" i="1"/>
  <c r="AJ17" i="1"/>
  <c r="H19" i="1"/>
  <c r="H20" i="1"/>
  <c r="AJ20" i="1"/>
  <c r="I20" i="1"/>
  <c r="AX20" i="1" s="1"/>
  <c r="BA20" i="1" s="1"/>
  <c r="M21" i="1"/>
  <c r="I21" i="1"/>
  <c r="AX21" i="1" s="1"/>
  <c r="H21" i="1"/>
  <c r="H27" i="1"/>
  <c r="AJ27" i="1"/>
  <c r="J27" i="1"/>
  <c r="I27" i="1"/>
  <c r="AX27" i="1" s="1"/>
  <c r="BA27" i="1" s="1"/>
  <c r="M17" i="1"/>
  <c r="I19" i="1"/>
  <c r="AX19" i="1" s="1"/>
  <c r="M20" i="1"/>
  <c r="AJ21" i="1"/>
  <c r="J22" i="1"/>
  <c r="M22" i="1"/>
  <c r="I22" i="1"/>
  <c r="AX22" i="1" s="1"/>
  <c r="S26" i="1"/>
  <c r="T26" i="1" s="1"/>
  <c r="R28" i="1"/>
  <c r="M24" i="1"/>
  <c r="I24" i="1"/>
  <c r="AX24" i="1" s="1"/>
  <c r="BA24" i="1" s="1"/>
  <c r="H24" i="1"/>
  <c r="AY25" i="1"/>
  <c r="AJ26" i="1"/>
  <c r="J26" i="1"/>
  <c r="AY29" i="1"/>
  <c r="V19" i="1"/>
  <c r="H23" i="1"/>
  <c r="AJ23" i="1"/>
  <c r="J24" i="1"/>
  <c r="AJ24" i="1"/>
  <c r="J25" i="1"/>
  <c r="M25" i="1"/>
  <c r="I25" i="1"/>
  <c r="AX25" i="1" s="1"/>
  <c r="M26" i="1"/>
  <c r="M28" i="1"/>
  <c r="I28" i="1"/>
  <c r="AX28" i="1" s="1"/>
  <c r="BA28" i="1" s="1"/>
  <c r="H28" i="1"/>
  <c r="V29" i="1"/>
  <c r="BA18" i="1" l="1"/>
  <c r="BA17" i="1"/>
  <c r="BA22" i="1"/>
  <c r="R22" i="1"/>
  <c r="S22" i="1" s="1"/>
  <c r="T22" i="1" s="1"/>
  <c r="AB22" i="1" s="1"/>
  <c r="AW22" i="1"/>
  <c r="AY22" i="1" s="1"/>
  <c r="BA19" i="1"/>
  <c r="BA21" i="1"/>
  <c r="R17" i="1"/>
  <c r="S17" i="1" s="1"/>
  <c r="T17" i="1" s="1"/>
  <c r="BA29" i="1"/>
  <c r="R21" i="1"/>
  <c r="S21" i="1" s="1"/>
  <c r="T21" i="1" s="1"/>
  <c r="AA21" i="1" s="1"/>
  <c r="U26" i="1"/>
  <c r="Y26" i="1" s="1"/>
  <c r="AB26" i="1"/>
  <c r="P26" i="1"/>
  <c r="N26" i="1" s="1"/>
  <c r="Q26" i="1" s="1"/>
  <c r="K26" i="1" s="1"/>
  <c r="L26" i="1" s="1"/>
  <c r="Z20" i="1"/>
  <c r="AA26" i="1"/>
  <c r="AB27" i="1"/>
  <c r="U27" i="1"/>
  <c r="Y27" i="1" s="1"/>
  <c r="Z18" i="1"/>
  <c r="S18" i="1"/>
  <c r="T18" i="1" s="1"/>
  <c r="S19" i="1"/>
  <c r="T19" i="1" s="1"/>
  <c r="AA27" i="1"/>
  <c r="Z24" i="1"/>
  <c r="P27" i="1"/>
  <c r="N27" i="1" s="1"/>
  <c r="Q27" i="1" s="1"/>
  <c r="K27" i="1" s="1"/>
  <c r="L27" i="1" s="1"/>
  <c r="Z27" i="1"/>
  <c r="Z19" i="1"/>
  <c r="S24" i="1"/>
  <c r="T24" i="1" s="1"/>
  <c r="P24" i="1" s="1"/>
  <c r="N24" i="1" s="1"/>
  <c r="Q24" i="1" s="1"/>
  <c r="K24" i="1" s="1"/>
  <c r="L24" i="1" s="1"/>
  <c r="S20" i="1"/>
  <c r="T20" i="1" s="1"/>
  <c r="U21" i="1"/>
  <c r="Y21" i="1" s="1"/>
  <c r="AB21" i="1"/>
  <c r="Z23" i="1"/>
  <c r="U22" i="1"/>
  <c r="Y22" i="1" s="1"/>
  <c r="S25" i="1"/>
  <c r="T25" i="1" s="1"/>
  <c r="S29" i="1"/>
  <c r="T29" i="1" s="1"/>
  <c r="Z28" i="1"/>
  <c r="BA25" i="1"/>
  <c r="S28" i="1"/>
  <c r="T28" i="1" s="1"/>
  <c r="P22" i="1"/>
  <c r="N22" i="1" s="1"/>
  <c r="Q22" i="1" s="1"/>
  <c r="K22" i="1" s="1"/>
  <c r="L22" i="1" s="1"/>
  <c r="P21" i="1"/>
  <c r="N21" i="1" s="1"/>
  <c r="Q21" i="1" s="1"/>
  <c r="K21" i="1" s="1"/>
  <c r="L21" i="1" s="1"/>
  <c r="Z21" i="1"/>
  <c r="S23" i="1"/>
  <c r="T23" i="1" s="1"/>
  <c r="BA23" i="1"/>
  <c r="AC26" i="1" l="1"/>
  <c r="AA22" i="1"/>
  <c r="AC22" i="1" s="1"/>
  <c r="AB23" i="1"/>
  <c r="U23" i="1"/>
  <c r="Y23" i="1" s="1"/>
  <c r="AA23" i="1"/>
  <c r="U25" i="1"/>
  <c r="Y25" i="1" s="1"/>
  <c r="AB25" i="1"/>
  <c r="AA25" i="1"/>
  <c r="P25" i="1"/>
  <c r="N25" i="1" s="1"/>
  <c r="Q25" i="1" s="1"/>
  <c r="K25" i="1" s="1"/>
  <c r="L25" i="1" s="1"/>
  <c r="AB20" i="1"/>
  <c r="AC20" i="1" s="1"/>
  <c r="U20" i="1"/>
  <c r="Y20" i="1" s="1"/>
  <c r="AA20" i="1"/>
  <c r="U18" i="1"/>
  <c r="Y18" i="1" s="1"/>
  <c r="AB18" i="1"/>
  <c r="AA18" i="1"/>
  <c r="P20" i="1"/>
  <c r="N20" i="1" s="1"/>
  <c r="Q20" i="1" s="1"/>
  <c r="K20" i="1" s="1"/>
  <c r="L20" i="1" s="1"/>
  <c r="U28" i="1"/>
  <c r="Y28" i="1" s="1"/>
  <c r="AB28" i="1"/>
  <c r="AA28" i="1"/>
  <c r="P28" i="1"/>
  <c r="N28" i="1" s="1"/>
  <c r="Q28" i="1" s="1"/>
  <c r="K28" i="1" s="1"/>
  <c r="L28" i="1" s="1"/>
  <c r="P23" i="1"/>
  <c r="N23" i="1" s="1"/>
  <c r="Q23" i="1" s="1"/>
  <c r="K23" i="1" s="1"/>
  <c r="L23" i="1" s="1"/>
  <c r="U24" i="1"/>
  <c r="Y24" i="1" s="1"/>
  <c r="AB24" i="1"/>
  <c r="AA24" i="1"/>
  <c r="AC27" i="1"/>
  <c r="AB17" i="1"/>
  <c r="AC17" i="1" s="1"/>
  <c r="U17" i="1"/>
  <c r="Y17" i="1" s="1"/>
  <c r="AA17" i="1"/>
  <c r="P17" i="1"/>
  <c r="N17" i="1" s="1"/>
  <c r="Q17" i="1" s="1"/>
  <c r="K17" i="1" s="1"/>
  <c r="L17" i="1" s="1"/>
  <c r="U29" i="1"/>
  <c r="Y29" i="1" s="1"/>
  <c r="AB29" i="1"/>
  <c r="AA29" i="1"/>
  <c r="P29" i="1"/>
  <c r="N29" i="1" s="1"/>
  <c r="Q29" i="1" s="1"/>
  <c r="K29" i="1" s="1"/>
  <c r="L29" i="1" s="1"/>
  <c r="AC21" i="1"/>
  <c r="AB19" i="1"/>
  <c r="U19" i="1"/>
  <c r="Y19" i="1" s="1"/>
  <c r="AA19" i="1"/>
  <c r="P19" i="1"/>
  <c r="N19" i="1" s="1"/>
  <c r="Q19" i="1" s="1"/>
  <c r="K19" i="1" s="1"/>
  <c r="L19" i="1" s="1"/>
  <c r="P18" i="1"/>
  <c r="N18" i="1" s="1"/>
  <c r="Q18" i="1" s="1"/>
  <c r="K18" i="1" s="1"/>
  <c r="L18" i="1" s="1"/>
  <c r="AC28" i="1" l="1"/>
  <c r="AC18" i="1"/>
  <c r="AC19" i="1"/>
  <c r="AC29" i="1"/>
  <c r="AC24" i="1"/>
  <c r="AC25" i="1"/>
  <c r="AC23" i="1"/>
</calcChain>
</file>

<file path=xl/sharedStrings.xml><?xml version="1.0" encoding="utf-8"?>
<sst xmlns="http://schemas.openxmlformats.org/spreadsheetml/2006/main" count="766" uniqueCount="349">
  <si>
    <t>File opened</t>
  </si>
  <si>
    <t>2019-08-23 15:14:26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</si>
  <si>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</si>
  <si>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</si>
  <si>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</si>
  <si>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</si>
  <si>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</si>
  <si>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</si>
  <si>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</si>
  <si>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</si>
  <si>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</si>
  <si>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</si>
  <si>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</si>
  <si>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{"co2bspanconc2": "0", "co2aspan2a": "0.164928", "flowbzero": "0.20796", "chamberpressurezero": "2.57337", "h2oaspan2a": "0.0661155", "ssa_ref": "36614.9", "co2aspan2": "0", "h2oaspan2": "0", "h2obspan2a": "0.0975941", "ssb_ref": "36526.8", "oxygen": "21", "co2bspan2a": "0.163389", "h2obspan2b": "0.0963575", "h2oaspanconc1": "12.19", "co2azero": "0.869071", "co2aspan1": "0.992625", "h2oaspanconc2": "0", "h2oaspan2b": "0.0662632", "tbzero": "0.197721", "h2obspan2": "0", "co2bzero": "0.880288", "h2oaspan1": "1.00223", "co2aspanconc2": "0", "h2obzero": "1.01783", "co2aspan2b": "0.163711", "co2bspanconc1": "1002", "flowazero": "0.4286", "h2obspanconc2": "0", "tazero": "0.00774765", "co2bspan1": "0.992131", "h2oazero": "1.00263", "co2bspan2": "0", "h2obspan1": "0.998578", "co2bspan2b": "0.162103", "h2obspanconc1": "20", "co2aspanconc1": "1002", "flowmeterzero": "0.991801"}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</si>
  <si>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</si>
  <si>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</si>
  <si>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</si>
  <si>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</si>
  <si>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</si>
  <si>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</si>
  <si>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</si>
  <si>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</si>
  <si>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</si>
  <si>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15:14:26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</si>
  <si>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</si>
  <si>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</si>
  <si>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</si>
  <si>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</si>
  <si>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</si>
  <si>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</si>
  <si>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</si>
  <si>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</si>
  <si>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</si>
  <si>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</si>
  <si>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</si>
  <si>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</si>
  <si>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</si>
  <si>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</si>
  <si>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</si>
  <si>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</si>
  <si>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</si>
  <si>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</si>
  <si>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</si>
  <si>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</si>
  <si>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</si>
  <si>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</si>
  <si>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</si>
  <si>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</si>
  <si>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</si>
  <si>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</si>
  <si>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</si>
  <si>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</si>
  <si>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</si>
  <si>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</si>
  <si>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</si>
  <si>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</si>
  <si>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</si>
  <si>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</si>
  <si>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</si>
  <si>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</si>
  <si>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</si>
  <si>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</si>
  <si>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</si>
  <si>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</si>
  <si>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</si>
  <si>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</si>
  <si>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</si>
  <si>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</si>
  <si>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</si>
  <si>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</si>
  <si>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</si>
  <si>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0.570593 73.8588 386.38 619.433 848.611 1051.49 1232.95 1389.7</t>
  </si>
  <si>
    <t>Fs_true</t>
  </si>
  <si>
    <t>0.0938281 100.298 404.41 600.711 801.999 1000.17 1200.83 1401.26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</si>
  <si>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</si>
  <si>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</si>
  <si>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</si>
  <si>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</si>
  <si>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</si>
  <si>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</si>
  <si>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</si>
  <si>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</si>
  <si>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</si>
  <si>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</si>
  <si>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</si>
  <si>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</si>
  <si>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</si>
  <si>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</si>
  <si>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</si>
  <si>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</si>
  <si>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</si>
  <si>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</si>
  <si>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</si>
  <si>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</si>
  <si>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</si>
  <si>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</si>
  <si>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</si>
  <si>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</si>
  <si>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</si>
  <si>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</si>
  <si>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</si>
  <si>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</si>
  <si>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</si>
  <si>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</si>
  <si>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</si>
  <si>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</si>
  <si>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</si>
  <si>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</si>
  <si>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</si>
  <si>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</si>
  <si>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</si>
  <si>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</si>
  <si>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</si>
  <si>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</si>
  <si>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</si>
  <si>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</si>
  <si>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</si>
  <si>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</si>
  <si>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</si>
  <si>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</si>
  <si>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</si>
  <si>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</si>
  <si>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</si>
  <si>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</si>
  <si>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</si>
  <si>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</si>
  <si>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</si>
  <si>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</si>
  <si>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</si>
  <si>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</si>
  <si>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</si>
  <si>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</si>
  <si>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</si>
  <si>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</si>
  <si>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</si>
  <si>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</si>
  <si>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</si>
  <si>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</si>
  <si>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</si>
  <si>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</si>
  <si>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</si>
  <si>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</si>
  <si>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</si>
  <si>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</si>
  <si>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</si>
  <si>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</si>
  <si>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</si>
  <si>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</si>
  <si>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</si>
  <si>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</si>
  <si>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</si>
  <si>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</si>
  <si>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</si>
  <si>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</si>
  <si>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</si>
  <si>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</si>
  <si>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</si>
  <si>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</si>
  <si>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</si>
  <si>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</si>
  <si>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</si>
  <si>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</si>
  <si>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</si>
  <si>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</si>
  <si>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</si>
  <si>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</si>
  <si>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</si>
  <si>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</si>
  <si>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</si>
  <si>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</si>
  <si>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</si>
  <si>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</si>
  <si>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</si>
  <si>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</si>
  <si>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</si>
  <si>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</si>
  <si>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</si>
  <si>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</si>
  <si>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</si>
  <si>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</si>
  <si>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</si>
  <si>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</si>
  <si>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</si>
  <si>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</si>
  <si>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</si>
  <si>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</si>
  <si>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</si>
  <si>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</si>
  <si>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</si>
  <si>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</si>
  <si>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</si>
  <si>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</si>
  <si>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</si>
  <si>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</si>
  <si>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</si>
  <si>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</si>
  <si>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</si>
  <si>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</si>
  <si>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</si>
  <si>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</si>
  <si>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</si>
  <si>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</si>
  <si>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</si>
  <si>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</si>
  <si>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</si>
  <si>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</si>
  <si>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</si>
  <si>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</si>
  <si>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</si>
  <si>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</si>
  <si>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</si>
  <si>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</si>
  <si>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</si>
  <si>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</si>
  <si>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</si>
  <si>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</si>
  <si>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</si>
  <si>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</si>
  <si>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</si>
  <si>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</si>
  <si>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</si>
  <si>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</si>
  <si>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</si>
  <si>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</si>
  <si>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</si>
  <si>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</si>
  <si>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</si>
  <si>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</si>
  <si>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</si>
  <si>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</si>
  <si>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</si>
  <si>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</si>
  <si>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</si>
  <si>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</si>
  <si>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</si>
  <si>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</si>
  <si>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</si>
  <si>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</si>
  <si>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</si>
  <si>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</si>
  <si>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</si>
  <si>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</si>
  <si>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</si>
  <si>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</si>
  <si>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</si>
  <si>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</si>
  <si>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</si>
  <si>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</si>
  <si>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</si>
  <si>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</si>
  <si>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</si>
  <si>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</si>
  <si>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</si>
  <si>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</si>
  <si>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</si>
  <si>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</si>
  <si>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</si>
  <si>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</si>
  <si>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</si>
  <si>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</si>
  <si>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</si>
  <si>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</si>
  <si>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</si>
  <si>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</si>
  <si>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</si>
  <si>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</si>
  <si>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</si>
  <si>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</si>
  <si>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</si>
  <si>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</si>
  <si>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</si>
  <si>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</si>
  <si>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</si>
  <si>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</si>
  <si>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</si>
  <si>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</si>
  <si>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20190823 15:16:32</t>
  </si>
  <si>
    <t>15:16:32</t>
  </si>
  <si>
    <t>MPF-1455-20190823-05_45_47</t>
  </si>
  <si>
    <t>MPF-1598-20190823-15_16_33</t>
  </si>
  <si>
    <t>DARK-1599-20190823-15_16_41</t>
  </si>
  <si>
    <t>0: Broadleaf</t>
  </si>
  <si>
    <t>15:17:00</t>
  </si>
  <si>
    <t>2/2</t>
  </si>
  <si>
    <t>5</t>
  </si>
  <si>
    <t>11111111</t>
  </si>
  <si>
    <t>oooooooo</t>
  </si>
  <si>
    <t>off</t>
  </si>
  <si>
    <t>20190823 15:18:24</t>
  </si>
  <si>
    <t>15:18:24</t>
  </si>
  <si>
    <t>MPF-1600-20190823-15_18_26</t>
  </si>
  <si>
    <t>DARK-1601-20190823-15_18_34</t>
  </si>
  <si>
    <t>15:18:58</t>
  </si>
  <si>
    <t>20190823 15:20:26</t>
  </si>
  <si>
    <t>15:20:26</t>
  </si>
  <si>
    <t>MPF-1602-20190823-15_20_28</t>
  </si>
  <si>
    <t>DARK-1603-20190823-15_20_35</t>
  </si>
  <si>
    <t>15:20:54</t>
  </si>
  <si>
    <t>20190823 15:22:25</t>
  </si>
  <si>
    <t>15:22:25</t>
  </si>
  <si>
    <t>MPF-1604-20190823-15_22_27</t>
  </si>
  <si>
    <t>DARK-1605-20190823-15_22_35</t>
  </si>
  <si>
    <t>15:22:59</t>
  </si>
  <si>
    <t>20190823 15:24:24</t>
  </si>
  <si>
    <t>15:24:24</t>
  </si>
  <si>
    <t>MPF-1606-20190823-15_24_25</t>
  </si>
  <si>
    <t>DARK-1607-20190823-15_24_33</t>
  </si>
  <si>
    <t>15:24:55</t>
  </si>
  <si>
    <t>20190823 15:26:15</t>
  </si>
  <si>
    <t>15:26:15</t>
  </si>
  <si>
    <t>MPF-1608-20190823-15_26_17</t>
  </si>
  <si>
    <t>DARK-1609-20190823-15_26_25</t>
  </si>
  <si>
    <t>15:26:52</t>
  </si>
  <si>
    <t>20190823 15:29:57</t>
  </si>
  <si>
    <t>15:29:57</t>
  </si>
  <si>
    <t>MPF-1612-20190823-15_29_59</t>
  </si>
  <si>
    <t>DARK-1613-20190823-15_30_07</t>
  </si>
  <si>
    <t>15:30:29</t>
  </si>
  <si>
    <t>20190823 15:32:00</t>
  </si>
  <si>
    <t>15:32:00</t>
  </si>
  <si>
    <t>MPF-1614-20190823-15_32_02</t>
  </si>
  <si>
    <t>DARK-1615-20190823-15_32_10</t>
  </si>
  <si>
    <t>15:32:33</t>
  </si>
  <si>
    <t>1/2</t>
  </si>
  <si>
    <t>20190823 15:34:04</t>
  </si>
  <si>
    <t>15:34:04</t>
  </si>
  <si>
    <t>MPF-1616-20190823-15_34_06</t>
  </si>
  <si>
    <t>DARK-1617-20190823-15_34_14</t>
  </si>
  <si>
    <t>15:34:36</t>
  </si>
  <si>
    <t>20190823 15:36:08</t>
  </si>
  <si>
    <t>15:36:08</t>
  </si>
  <si>
    <t>MPF-1618-20190823-15_36_09</t>
  </si>
  <si>
    <t>DARK-1619-20190823-15_36_17</t>
  </si>
  <si>
    <t>15:36:38</t>
  </si>
  <si>
    <t>20190823 15:38:10</t>
  </si>
  <si>
    <t>15:38:10</t>
  </si>
  <si>
    <t>MPF-1620-20190823-15_38_12</t>
  </si>
  <si>
    <t>DARK-1621-20190823-15_38_19</t>
  </si>
  <si>
    <t>15:38:41</t>
  </si>
  <si>
    <t>20190823 15:40:12</t>
  </si>
  <si>
    <t>15:40:12</t>
  </si>
  <si>
    <t>MPF-1622-20190823-15_40_14</t>
  </si>
  <si>
    <t>DARK-1623-20190823-15_40_22</t>
  </si>
  <si>
    <t>15:40:39</t>
  </si>
  <si>
    <t>20190823 15:42:11</t>
  </si>
  <si>
    <t>15:42:11</t>
  </si>
  <si>
    <t>MPF-1624-20190823-15_42_12</t>
  </si>
  <si>
    <t>DARK-1625-20190823-15_42_20</t>
  </si>
  <si>
    <t>15:42:42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</si>
</sst>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M29"/>
  <sheetViews>
    <sheetView tabSelected="1" topLeftCell="A13" workbookViewId="0">
      <selection activeCell="A23" sqref="A23:XFD23"/>
    </sheetView>
  </sheetViews>
  <sheetFormatPr defaultRowHeight="14.5" x14ac:dyDescent="0.35"/>
  <sheetData>
    <row r="2" spans="1:169" x14ac:dyDescent="0.35">
      <c r="A2" t="s">
        <v>25</v>
      </c>
      <c r="B2" t="s">
        <v>26</v>
      </c>
      <c r="C2" t="s">
        <v>28</v>
      </c>
      <c r="D2" t="s">
        <v>30</v>
      </c>
    </row>
    <row r="3" spans="1:169" x14ac:dyDescent="0.35">
      <c r="B3" t="s">
        <v>27</v>
      </c>
      <c r="C3" t="s">
        <v>29</v>
      </c>
      <c r="D3" t="s">
        <v>15</v>
      </c>
    </row>
    <row r="4" spans="1:169" x14ac:dyDescent="0.35">
      <c r="A4" t="s">
        <v>31</v>
      </c>
      <c r="B4" t="s">
        <v>32</v>
      </c>
      <c r="C4" t="s">
        <v>33</v>
      </c>
      <c r="D4" t="s">
        <v>34</v>
      </c>
    </row>
    <row r="5" spans="1:169" x14ac:dyDescent="0.35">
      <c r="B5">
        <v>6</v>
      </c>
      <c r="C5">
        <v>0.5</v>
      </c>
      <c r="D5">
        <v>2</v>
      </c>
    </row>
    <row r="6" spans="1:169" x14ac:dyDescent="0.3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69" x14ac:dyDescent="0.35">
      <c r="B7">
        <v>0</v>
      </c>
      <c r="C7">
        <v>1</v>
      </c>
      <c r="D7">
        <v>0</v>
      </c>
      <c r="E7">
        <v>0</v>
      </c>
    </row>
    <row r="8" spans="1:169" x14ac:dyDescent="0.3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69" x14ac:dyDescent="0.3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9" x14ac:dyDescent="0.3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6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9" x14ac:dyDescent="0.3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69" x14ac:dyDescent="0.3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2</v>
      </c>
    </row>
    <row r="14" spans="1:169" x14ac:dyDescent="0.3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31</v>
      </c>
      <c r="BW14" t="s">
        <v>82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83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84</v>
      </c>
      <c r="DC14" t="s">
        <v>84</v>
      </c>
      <c r="DD14" t="s">
        <v>84</v>
      </c>
      <c r="DE14" t="s">
        <v>84</v>
      </c>
      <c r="DF14" t="s">
        <v>84</v>
      </c>
      <c r="DG14" t="s">
        <v>85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86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87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88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</row>
    <row r="15" spans="1:169" x14ac:dyDescent="0.3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95</v>
      </c>
      <c r="BX15" t="s">
        <v>162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90</v>
      </c>
      <c r="DH15" t="s">
        <v>93</v>
      </c>
      <c r="DI15" t="s">
        <v>197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</row>
    <row r="16" spans="1:169" x14ac:dyDescent="0.35">
      <c r="B16" t="s">
        <v>254</v>
      </c>
      <c r="C16" t="s">
        <v>254</v>
      </c>
      <c r="G16" t="s">
        <v>254</v>
      </c>
      <c r="H16" t="s">
        <v>255</v>
      </c>
      <c r="I16" t="s">
        <v>256</v>
      </c>
      <c r="J16" t="s">
        <v>257</v>
      </c>
      <c r="K16" t="s">
        <v>257</v>
      </c>
      <c r="L16" t="s">
        <v>167</v>
      </c>
      <c r="M16" t="s">
        <v>167</v>
      </c>
      <c r="N16" t="s">
        <v>255</v>
      </c>
      <c r="O16" t="s">
        <v>255</v>
      </c>
      <c r="P16" t="s">
        <v>255</v>
      </c>
      <c r="Q16" t="s">
        <v>255</v>
      </c>
      <c r="R16" t="s">
        <v>258</v>
      </c>
      <c r="S16" t="s">
        <v>259</v>
      </c>
      <c r="T16" t="s">
        <v>259</v>
      </c>
      <c r="U16" t="s">
        <v>260</v>
      </c>
      <c r="V16" t="s">
        <v>261</v>
      </c>
      <c r="W16" t="s">
        <v>260</v>
      </c>
      <c r="X16" t="s">
        <v>260</v>
      </c>
      <c r="Y16" t="s">
        <v>260</v>
      </c>
      <c r="Z16" t="s">
        <v>258</v>
      </c>
      <c r="AA16" t="s">
        <v>258</v>
      </c>
      <c r="AB16" t="s">
        <v>258</v>
      </c>
      <c r="AC16" t="s">
        <v>258</v>
      </c>
      <c r="AG16" t="s">
        <v>262</v>
      </c>
      <c r="AH16" t="s">
        <v>261</v>
      </c>
      <c r="AJ16" t="s">
        <v>261</v>
      </c>
      <c r="AK16" t="s">
        <v>262</v>
      </c>
      <c r="AQ16" t="s">
        <v>256</v>
      </c>
      <c r="AW16" t="s">
        <v>256</v>
      </c>
      <c r="AX16" t="s">
        <v>256</v>
      </c>
      <c r="AY16" t="s">
        <v>256</v>
      </c>
      <c r="BA16" t="s">
        <v>263</v>
      </c>
      <c r="BK16" t="s">
        <v>264</v>
      </c>
      <c r="BL16" t="s">
        <v>264</v>
      </c>
      <c r="BM16" t="s">
        <v>264</v>
      </c>
      <c r="BN16" t="s">
        <v>256</v>
      </c>
      <c r="BP16" t="s">
        <v>265</v>
      </c>
      <c r="BR16" t="s">
        <v>256</v>
      </c>
      <c r="BS16" t="s">
        <v>256</v>
      </c>
      <c r="BU16" t="s">
        <v>266</v>
      </c>
      <c r="BW16" t="s">
        <v>254</v>
      </c>
      <c r="BX16" t="s">
        <v>257</v>
      </c>
      <c r="BY16" t="s">
        <v>257</v>
      </c>
      <c r="BZ16" t="s">
        <v>267</v>
      </c>
      <c r="CA16" t="s">
        <v>267</v>
      </c>
      <c r="CB16" t="s">
        <v>262</v>
      </c>
      <c r="CC16" t="s">
        <v>260</v>
      </c>
      <c r="CD16" t="s">
        <v>260</v>
      </c>
      <c r="CE16" t="s">
        <v>259</v>
      </c>
      <c r="CF16" t="s">
        <v>259</v>
      </c>
      <c r="CG16" t="s">
        <v>259</v>
      </c>
      <c r="CH16" t="s">
        <v>268</v>
      </c>
      <c r="CI16" t="s">
        <v>256</v>
      </c>
      <c r="CJ16" t="s">
        <v>256</v>
      </c>
      <c r="CK16" t="s">
        <v>256</v>
      </c>
      <c r="CP16" t="s">
        <v>256</v>
      </c>
      <c r="CS16" t="s">
        <v>259</v>
      </c>
      <c r="CT16" t="s">
        <v>259</v>
      </c>
      <c r="CU16" t="s">
        <v>259</v>
      </c>
      <c r="CV16" t="s">
        <v>259</v>
      </c>
      <c r="CW16" t="s">
        <v>259</v>
      </c>
      <c r="CX16" t="s">
        <v>256</v>
      </c>
      <c r="CY16" t="s">
        <v>256</v>
      </c>
      <c r="CZ16" t="s">
        <v>256</v>
      </c>
      <c r="DA16" t="s">
        <v>254</v>
      </c>
      <c r="DC16" t="s">
        <v>269</v>
      </c>
      <c r="DD16" t="s">
        <v>269</v>
      </c>
      <c r="DF16" t="s">
        <v>254</v>
      </c>
      <c r="DG16" t="s">
        <v>270</v>
      </c>
      <c r="DJ16" t="s">
        <v>271</v>
      </c>
      <c r="DK16" t="s">
        <v>272</v>
      </c>
      <c r="DL16" t="s">
        <v>271</v>
      </c>
      <c r="DM16" t="s">
        <v>272</v>
      </c>
      <c r="DN16" t="s">
        <v>261</v>
      </c>
      <c r="DO16" t="s">
        <v>261</v>
      </c>
      <c r="DP16" t="s">
        <v>256</v>
      </c>
      <c r="DQ16" t="s">
        <v>273</v>
      </c>
      <c r="DR16" t="s">
        <v>256</v>
      </c>
      <c r="DT16" t="s">
        <v>255</v>
      </c>
      <c r="DU16" t="s">
        <v>274</v>
      </c>
      <c r="DV16" t="s">
        <v>255</v>
      </c>
      <c r="EA16" t="s">
        <v>275</v>
      </c>
      <c r="EB16" t="s">
        <v>275</v>
      </c>
      <c r="EC16" t="s">
        <v>275</v>
      </c>
      <c r="ED16" t="s">
        <v>275</v>
      </c>
      <c r="EE16" t="s">
        <v>275</v>
      </c>
      <c r="EF16" t="s">
        <v>275</v>
      </c>
      <c r="EG16" t="s">
        <v>275</v>
      </c>
      <c r="EH16" t="s">
        <v>275</v>
      </c>
      <c r="EI16" t="s">
        <v>275</v>
      </c>
      <c r="EJ16" t="s">
        <v>275</v>
      </c>
      <c r="EK16" t="s">
        <v>275</v>
      </c>
      <c r="EL16" t="s">
        <v>275</v>
      </c>
      <c r="ES16" t="s">
        <v>275</v>
      </c>
      <c r="ET16" t="s">
        <v>261</v>
      </c>
      <c r="EU16" t="s">
        <v>261</v>
      </c>
      <c r="EV16" t="s">
        <v>271</v>
      </c>
      <c r="EW16" t="s">
        <v>272</v>
      </c>
      <c r="EY16" t="s">
        <v>262</v>
      </c>
      <c r="EZ16" t="s">
        <v>262</v>
      </c>
      <c r="FA16" t="s">
        <v>259</v>
      </c>
      <c r="FB16" t="s">
        <v>259</v>
      </c>
      <c r="FC16" t="s">
        <v>259</v>
      </c>
      <c r="FD16" t="s">
        <v>259</v>
      </c>
      <c r="FE16" t="s">
        <v>259</v>
      </c>
      <c r="FF16" t="s">
        <v>261</v>
      </c>
      <c r="FG16" t="s">
        <v>261</v>
      </c>
      <c r="FH16" t="s">
        <v>261</v>
      </c>
      <c r="FI16" t="s">
        <v>259</v>
      </c>
      <c r="FJ16" t="s">
        <v>257</v>
      </c>
      <c r="FK16" t="s">
        <v>267</v>
      </c>
      <c r="FL16" t="s">
        <v>261</v>
      </c>
      <c r="FM16" t="s">
        <v>261</v>
      </c>
    </row>
    <row r="17" spans="1:169" x14ac:dyDescent="0.35">
      <c r="A17">
        <v>1</v>
      </c>
      <c r="B17">
        <v>1566591392.3</v>
      </c>
      <c r="C17">
        <v>0</v>
      </c>
      <c r="D17" t="s">
        <v>276</v>
      </c>
      <c r="E17" t="s">
        <v>277</v>
      </c>
      <c r="G17">
        <v>1566591392.3</v>
      </c>
      <c r="H17">
        <f t="shared" ref="H17:H29" si="0">CB17*AI17*(BZ17-CA17)/(100*$B$5*(1000-AI17*BZ17))</f>
        <v>3.9985651904768851E-3</v>
      </c>
      <c r="I17">
        <f t="shared" ref="I17:I29" si="1">CB17*AI17*(BY17-BX17*(1000-AI17*CA17)/(1000-AI17*BZ17))/(100*$B$5)</f>
        <v>21.855778480097044</v>
      </c>
      <c r="J17">
        <f t="shared" ref="J17:J29" si="2">BX17 - IF(AI17&gt;1, I17*$B$5*100/(AK17*CH17), 0)</f>
        <v>371.92399999999998</v>
      </c>
      <c r="K17">
        <f t="shared" ref="K17:K29" si="3">((Q17-H17/2)*J17-I17)/(Q17+H17/2)</f>
        <v>210.01218067189447</v>
      </c>
      <c r="L17">
        <f t="shared" ref="L17:L29" si="4">K17*(CC17+CD17)/1000</f>
        <v>20.926535215596356</v>
      </c>
      <c r="M17">
        <f t="shared" ref="M17:M29" si="5">(BX17 - IF(AI17&gt;1, I17*$B$5*100/(AK17*CH17), 0))*(CC17+CD17)/1000</f>
        <v>37.060139362512004</v>
      </c>
      <c r="N17">
        <f t="shared" ref="N17:N29" si="6">2/((1/P17-1/O17)+SIGN(P17)*SQRT((1/P17-1/O17)*(1/P17-1/O17) + 4*$C$5/(($C$5+1)*($C$5+1))*(2*1/P17*1/O17-1/O17*1/O17)))</f>
        <v>0.23900412523595851</v>
      </c>
      <c r="O17">
        <f t="shared" ref="O17:O29" si="7">AF17+AE17*$B$5+AD17*$B$5*$B$5</f>
        <v>2.2342918327675267</v>
      </c>
      <c r="P17">
        <f t="shared" ref="P17:P29" si="8">H17*(1000-(1000*0.61365*EXP(17.502*T17/(240.97+T17))/(CC17+CD17)+BZ17)/2)/(1000*0.61365*EXP(17.502*T17/(240.97+T17))/(CC17+CD17)-BZ17)</f>
        <v>0.22565472080958526</v>
      </c>
      <c r="Q17">
        <f t="shared" ref="Q17:Q29" si="9">1/(($C$5+1)/(N17/1.6)+1/(O17/1.37)) + $C$5/(($C$5+1)/(N17/1.6) + $C$5/(O17/1.37))</f>
        <v>0.14217142054964291</v>
      </c>
      <c r="R17">
        <f t="shared" ref="R17:R29" si="10">(BS17*BU17)</f>
        <v>281.57904728333614</v>
      </c>
      <c r="S17">
        <f t="shared" ref="S17:S29" si="11">(CE17+(R17+2*0.95*0.0000000567*(((CE17+$B$7)+273)^4-(CE17+273)^4)-44100*H17)/(1.84*29.3*O17+8*0.95*0.0000000567*(CE17+273)^3))</f>
        <v>27.587394148080257</v>
      </c>
      <c r="T17">
        <f t="shared" ref="T17:T29" si="12">($C$7*CF17+$D$7*CG17+$E$7*S17)</f>
        <v>27.273499999999999</v>
      </c>
      <c r="U17">
        <f t="shared" ref="U17:U29" si="13">0.61365*EXP(17.502*T17/(240.97+T17))</f>
        <v>3.6370576034484343</v>
      </c>
      <c r="V17">
        <f t="shared" ref="V17:V29" si="14">(W17/X17*100)</f>
        <v>54.325950399738417</v>
      </c>
      <c r="W17">
        <f t="shared" ref="W17:W29" si="15">BZ17*(CC17+CD17)/1000</f>
        <v>1.9206156853836001</v>
      </c>
      <c r="X17">
        <f t="shared" ref="X17:X29" si="16">0.61365*EXP(17.502*CE17/(240.97+CE17))</f>
        <v>3.5353558865540764</v>
      </c>
      <c r="Y17">
        <f t="shared" ref="Y17:Y29" si="17">(U17-BZ17*(CC17+CD17)/1000)</f>
        <v>1.7164419180648343</v>
      </c>
      <c r="Z17">
        <f t="shared" ref="Z17:Z29" si="18">(-H17*44100)</f>
        <v>-176.33672490003062</v>
      </c>
      <c r="AA17">
        <f t="shared" ref="AA17:AA29" si="19">2*29.3*O17*0.92*(CE17-T17)</f>
        <v>-58.179833242182319</v>
      </c>
      <c r="AB17">
        <f t="shared" ref="AB17:AB29" si="20">2*0.95*0.0000000567*(((CE17+$B$7)+273)^4-(T17+273)^4)</f>
        <v>-5.6214298347416838</v>
      </c>
      <c r="AC17">
        <f t="shared" ref="AC17:AC29" si="21">R17+AB17+Z17+AA17</f>
        <v>41.44105930638154</v>
      </c>
      <c r="AD17">
        <v>-4.0762187202549802E-2</v>
      </c>
      <c r="AE17">
        <v>4.5759126098588301E-2</v>
      </c>
      <c r="AF17">
        <v>3.4271758154677898</v>
      </c>
      <c r="AG17">
        <v>0</v>
      </c>
      <c r="AH17">
        <v>0</v>
      </c>
      <c r="AI17">
        <f t="shared" ref="AI17:AI29" si="22">IF(AG17*$H$13&gt;=AK17,1,(AK17/(AK17-AG17*$H$13)))</f>
        <v>1</v>
      </c>
      <c r="AJ17">
        <f t="shared" ref="AJ17:AJ29" si="23">(AI17-1)*100</f>
        <v>0</v>
      </c>
      <c r="AK17">
        <f t="shared" ref="AK17:AK29" si="24">MAX(0,($B$13+$C$13*CH17)/(1+$D$13*CH17)*CC17/(CE17+273)*$E$13)</f>
        <v>52040.337881777807</v>
      </c>
      <c r="AL17" t="s">
        <v>278</v>
      </c>
      <c r="AM17">
        <v>602.34923076923099</v>
      </c>
      <c r="AN17">
        <v>3447.2</v>
      </c>
      <c r="AO17">
        <f t="shared" ref="AO17:AO29" si="25">AN17-AM17</f>
        <v>2844.8507692307689</v>
      </c>
      <c r="AP17">
        <f t="shared" ref="AP17:AP29" si="26">AO17/AN17</f>
        <v>0.82526420550904189</v>
      </c>
      <c r="AQ17">
        <v>-2.3039181891607399</v>
      </c>
      <c r="AR17" t="s">
        <v>279</v>
      </c>
      <c r="AS17">
        <v>912.65961538461499</v>
      </c>
      <c r="AT17">
        <v>1297.1300000000001</v>
      </c>
      <c r="AU17">
        <f t="shared" ref="AU17:AU29" si="27">1-AS17/AT17</f>
        <v>0.2964008114956751</v>
      </c>
      <c r="AV17">
        <v>0.5</v>
      </c>
      <c r="AW17">
        <f t="shared" ref="AW17:AW29" si="28">BS17</f>
        <v>1471.3386000963274</v>
      </c>
      <c r="AX17">
        <f t="shared" ref="AX17:AX29" si="29">I17</f>
        <v>21.855778480097044</v>
      </c>
      <c r="AY17">
        <f t="shared" ref="AY17:AY29" si="30">AU17*AV17*AW17</f>
        <v>218.05297752673101</v>
      </c>
      <c r="AZ17">
        <f t="shared" ref="AZ17:AZ29" si="31">BE17/AT17</f>
        <v>0.54124875687093821</v>
      </c>
      <c r="BA17">
        <f t="shared" ref="BA17:BA29" si="32">(AX17-AQ17)/AW17</f>
        <v>1.6420215351976811E-2</v>
      </c>
      <c r="BB17">
        <f t="shared" ref="BB17:BB29" si="33">(AN17-AT17)/AT17</f>
        <v>1.6575593810951867</v>
      </c>
      <c r="BC17" t="s">
        <v>280</v>
      </c>
      <c r="BD17">
        <v>595.05999999999995</v>
      </c>
      <c r="BE17">
        <f t="shared" ref="BE17:BE29" si="34">AT17-BD17</f>
        <v>702.07000000000016</v>
      </c>
      <c r="BF17">
        <f t="shared" ref="BF17:BF29" si="35">(AT17-AS17)/(AT17-BD17)</f>
        <v>0.54762400418104329</v>
      </c>
      <c r="BG17">
        <f t="shared" ref="BG17:BG29" si="36">(AN17-AT17)/(AN17-BD17)</f>
        <v>0.75384448168743468</v>
      </c>
      <c r="BH17">
        <f t="shared" ref="BH17:BH29" si="37">(AT17-AS17)/(AT17-AM17)</f>
        <v>0.55336935281190047</v>
      </c>
      <c r="BI17">
        <f t="shared" ref="BI17:BI29" si="38">(AN17-AT17)/(AN17-AM17)</f>
        <v>0.75577602286019596</v>
      </c>
      <c r="BJ17">
        <v>1598</v>
      </c>
      <c r="BK17">
        <v>300</v>
      </c>
      <c r="BL17">
        <v>300</v>
      </c>
      <c r="BM17">
        <v>300</v>
      </c>
      <c r="BN17">
        <v>10291.700000000001</v>
      </c>
      <c r="BO17">
        <v>1210.94</v>
      </c>
      <c r="BP17">
        <v>-7.0686500000000001E-3</v>
      </c>
      <c r="BQ17">
        <v>5.9250499999999997</v>
      </c>
      <c r="BR17">
        <f t="shared" ref="BR17:BR29" si="39">$B$11*CI17+$C$11*CJ17+$F$11*CK17</f>
        <v>1750.16</v>
      </c>
      <c r="BS17">
        <f t="shared" ref="BS17:BS29" si="40">BR17*BT17</f>
        <v>1471.3386000963274</v>
      </c>
      <c r="BT17">
        <f t="shared" ref="BT17:BT29" si="41">($B$11*$D$9+$C$11*$D$9+$F$11*((CX17+CP17)/MAX(CX17+CP17+CY17, 0.1)*$I$9+CY17/MAX(CX17+CP17+CY17, 0.1)*$J$9))/($B$11+$C$11+$F$11)</f>
        <v>0.8406880514331988</v>
      </c>
      <c r="BU17">
        <f t="shared" ref="BU17:BU29" si="42">($B$11*$K$9+$C$11*$K$9+$F$11*((CX17+CP17)/MAX(CX17+CP17+CY17, 0.1)*$P$9+CY17/MAX(CX17+CP17+CY17, 0.1)*$Q$9))/($B$11+$C$11+$F$11)</f>
        <v>0.19137610286639758</v>
      </c>
      <c r="BV17" t="s">
        <v>281</v>
      </c>
      <c r="BW17">
        <v>1566591392.3</v>
      </c>
      <c r="BX17">
        <v>371.92399999999998</v>
      </c>
      <c r="BY17">
        <v>399.93200000000002</v>
      </c>
      <c r="BZ17">
        <v>19.274699999999999</v>
      </c>
      <c r="CA17">
        <v>14.5695</v>
      </c>
      <c r="CB17">
        <v>500.06299999999999</v>
      </c>
      <c r="CC17">
        <v>99.544300000000007</v>
      </c>
      <c r="CD17">
        <v>0.100088</v>
      </c>
      <c r="CE17">
        <v>26.790500000000002</v>
      </c>
      <c r="CF17">
        <v>27.273499999999999</v>
      </c>
      <c r="CG17">
        <v>999.9</v>
      </c>
      <c r="CH17">
        <v>9875</v>
      </c>
      <c r="CI17">
        <v>0</v>
      </c>
      <c r="CJ17">
        <v>1555.1</v>
      </c>
      <c r="CK17">
        <v>1750.16</v>
      </c>
      <c r="CL17">
        <v>0.97700100000000001</v>
      </c>
      <c r="CM17">
        <v>2.2998500000000002E-2</v>
      </c>
      <c r="CN17">
        <v>0</v>
      </c>
      <c r="CO17">
        <v>907.51</v>
      </c>
      <c r="CP17">
        <v>4.99986</v>
      </c>
      <c r="CQ17">
        <v>19295.599999999999</v>
      </c>
      <c r="CR17">
        <v>14222.1</v>
      </c>
      <c r="CS17">
        <v>44.125</v>
      </c>
      <c r="CT17">
        <v>45.311999999999998</v>
      </c>
      <c r="CU17">
        <v>44.5</v>
      </c>
      <c r="CV17">
        <v>45.061999999999998</v>
      </c>
      <c r="CW17">
        <v>45.811999999999998</v>
      </c>
      <c r="CX17">
        <v>1705.02</v>
      </c>
      <c r="CY17">
        <v>40.14</v>
      </c>
      <c r="CZ17">
        <v>0</v>
      </c>
      <c r="DA17">
        <v>276.30000019073498</v>
      </c>
      <c r="DB17">
        <v>912.65961538461499</v>
      </c>
      <c r="DC17">
        <v>-43.798222216356301</v>
      </c>
      <c r="DD17">
        <v>-847.46666671372202</v>
      </c>
      <c r="DE17">
        <v>19380.038461538501</v>
      </c>
      <c r="DF17">
        <v>15</v>
      </c>
      <c r="DG17">
        <v>1566591420.3</v>
      </c>
      <c r="DH17" t="s">
        <v>282</v>
      </c>
      <c r="DI17">
        <v>72</v>
      </c>
      <c r="DJ17">
        <v>-0.217</v>
      </c>
      <c r="DK17">
        <v>8.1000000000000003E-2</v>
      </c>
      <c r="DL17">
        <v>400</v>
      </c>
      <c r="DM17">
        <v>15</v>
      </c>
      <c r="DN17">
        <v>0.05</v>
      </c>
      <c r="DO17">
        <v>0.02</v>
      </c>
      <c r="DP17">
        <v>21.6840793368434</v>
      </c>
      <c r="DQ17">
        <v>-3.1175295770276699E-2</v>
      </c>
      <c r="DR17">
        <v>5.7246218394512403E-2</v>
      </c>
      <c r="DS17">
        <v>1</v>
      </c>
      <c r="DT17">
        <v>0.26614748921120601</v>
      </c>
      <c r="DU17">
        <v>-0.117861751652606</v>
      </c>
      <c r="DV17">
        <v>2.2667519519771001E-2</v>
      </c>
      <c r="DW17">
        <v>1</v>
      </c>
      <c r="DX17">
        <v>2</v>
      </c>
      <c r="DY17">
        <v>2</v>
      </c>
      <c r="DZ17" t="s">
        <v>283</v>
      </c>
      <c r="EA17">
        <v>1.8667100000000001</v>
      </c>
      <c r="EB17">
        <v>1.8632500000000001</v>
      </c>
      <c r="EC17">
        <v>1.86886</v>
      </c>
      <c r="ED17">
        <v>1.8667800000000001</v>
      </c>
      <c r="EE17">
        <v>1.8714900000000001</v>
      </c>
      <c r="EF17">
        <v>1.8640099999999999</v>
      </c>
      <c r="EG17">
        <v>1.86554</v>
      </c>
      <c r="EH17">
        <v>1.8654299999999999</v>
      </c>
      <c r="EI17" t="s">
        <v>284</v>
      </c>
      <c r="EJ17" t="s">
        <v>19</v>
      </c>
      <c r="EK17" t="s">
        <v>19</v>
      </c>
      <c r="EL17" t="s">
        <v>19</v>
      </c>
      <c r="EM17" t="s">
        <v>285</v>
      </c>
      <c r="EN17" t="s">
        <v>286</v>
      </c>
      <c r="EO17" t="s">
        <v>287</v>
      </c>
      <c r="EP17" t="s">
        <v>287</v>
      </c>
      <c r="EQ17" t="s">
        <v>287</v>
      </c>
      <c r="ER17" t="s">
        <v>287</v>
      </c>
      <c r="ES17">
        <v>0</v>
      </c>
      <c r="ET17">
        <v>100</v>
      </c>
      <c r="EU17">
        <v>100</v>
      </c>
      <c r="EV17">
        <v>-0.217</v>
      </c>
      <c r="EW17">
        <v>8.1000000000000003E-2</v>
      </c>
      <c r="EX17">
        <v>2</v>
      </c>
      <c r="EY17">
        <v>508.53800000000001</v>
      </c>
      <c r="EZ17">
        <v>510.31599999999997</v>
      </c>
      <c r="FA17">
        <v>22.305900000000001</v>
      </c>
      <c r="FB17">
        <v>31.1569</v>
      </c>
      <c r="FC17">
        <v>30.001899999999999</v>
      </c>
      <c r="FD17">
        <v>31.209599999999998</v>
      </c>
      <c r="FE17">
        <v>31.2133</v>
      </c>
      <c r="FF17">
        <v>22.052800000000001</v>
      </c>
      <c r="FG17">
        <v>51.2821</v>
      </c>
      <c r="FH17">
        <v>0</v>
      </c>
      <c r="FI17">
        <v>22.206</v>
      </c>
      <c r="FJ17">
        <v>400</v>
      </c>
      <c r="FK17">
        <v>14.6777</v>
      </c>
      <c r="FL17">
        <v>101.065</v>
      </c>
      <c r="FM17">
        <v>101.61199999999999</v>
      </c>
    </row>
    <row r="18" spans="1:169" x14ac:dyDescent="0.35">
      <c r="A18">
        <v>2</v>
      </c>
      <c r="B18">
        <v>1566591504.8</v>
      </c>
      <c r="C18">
        <v>112.5</v>
      </c>
      <c r="D18" t="s">
        <v>288</v>
      </c>
      <c r="E18" t="s">
        <v>289</v>
      </c>
      <c r="G18">
        <v>1566591504.8</v>
      </c>
      <c r="H18">
        <f t="shared" si="0"/>
        <v>4.0074909746458352E-3</v>
      </c>
      <c r="I18">
        <f t="shared" si="1"/>
        <v>15.554268753085926</v>
      </c>
      <c r="J18">
        <f t="shared" si="2"/>
        <v>280.017</v>
      </c>
      <c r="K18">
        <f t="shared" si="3"/>
        <v>167.1919726178262</v>
      </c>
      <c r="L18">
        <f t="shared" si="4"/>
        <v>16.658460430737904</v>
      </c>
      <c r="M18">
        <f t="shared" si="5"/>
        <v>27.899976544308</v>
      </c>
      <c r="N18">
        <f t="shared" si="6"/>
        <v>0.2453050218367632</v>
      </c>
      <c r="O18">
        <f t="shared" si="7"/>
        <v>2.2560656925884199</v>
      </c>
      <c r="P18">
        <f t="shared" si="8"/>
        <v>0.23139192585824972</v>
      </c>
      <c r="Q18">
        <f t="shared" si="9"/>
        <v>0.14580418986415722</v>
      </c>
      <c r="R18">
        <f t="shared" si="10"/>
        <v>281.53858569438137</v>
      </c>
      <c r="S18">
        <f t="shared" si="11"/>
        <v>26.943449630867732</v>
      </c>
      <c r="T18">
        <f t="shared" si="12"/>
        <v>26.921900000000001</v>
      </c>
      <c r="U18">
        <f t="shared" si="13"/>
        <v>3.5627748966061805</v>
      </c>
      <c r="V18">
        <f t="shared" si="14"/>
        <v>55.330123943442686</v>
      </c>
      <c r="W18">
        <f t="shared" si="15"/>
        <v>1.8843297242879999</v>
      </c>
      <c r="X18">
        <f t="shared" si="16"/>
        <v>3.4056126933930657</v>
      </c>
      <c r="Y18">
        <f t="shared" si="17"/>
        <v>1.6784451723181806</v>
      </c>
      <c r="Z18">
        <f t="shared" si="18"/>
        <v>-176.73035198188134</v>
      </c>
      <c r="AA18">
        <f t="shared" si="19"/>
        <v>-93.107009925211926</v>
      </c>
      <c r="AB18">
        <f t="shared" si="20"/>
        <v>-8.8655020485463467</v>
      </c>
      <c r="AC18">
        <f t="shared" si="21"/>
        <v>2.8357217387417819</v>
      </c>
      <c r="AD18">
        <v>-4.1347244026188397E-2</v>
      </c>
      <c r="AE18">
        <v>4.6415903636915397E-2</v>
      </c>
      <c r="AF18">
        <v>3.4660710557097101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52869.178742113007</v>
      </c>
      <c r="AL18" t="s">
        <v>278</v>
      </c>
      <c r="AM18">
        <v>602.34923076923099</v>
      </c>
      <c r="AN18">
        <v>3447.2</v>
      </c>
      <c r="AO18">
        <f t="shared" si="25"/>
        <v>2844.8507692307689</v>
      </c>
      <c r="AP18">
        <f t="shared" si="26"/>
        <v>0.82526420550904189</v>
      </c>
      <c r="AQ18">
        <v>-2.3039181891607399</v>
      </c>
      <c r="AR18" t="s">
        <v>290</v>
      </c>
      <c r="AS18">
        <v>861.35903846153894</v>
      </c>
      <c r="AT18">
        <v>1187.92</v>
      </c>
      <c r="AU18">
        <f t="shared" si="27"/>
        <v>0.27490147614187921</v>
      </c>
      <c r="AV18">
        <v>0.5</v>
      </c>
      <c r="AW18">
        <f t="shared" si="28"/>
        <v>1471.1283000963169</v>
      </c>
      <c r="AX18">
        <f t="shared" si="29"/>
        <v>15.554268753085926</v>
      </c>
      <c r="AY18">
        <f t="shared" si="30"/>
        <v>202.2076706452855</v>
      </c>
      <c r="AZ18">
        <f t="shared" si="31"/>
        <v>0.50146474510068018</v>
      </c>
      <c r="BA18">
        <f t="shared" si="32"/>
        <v>1.213910910494854E-2</v>
      </c>
      <c r="BB18">
        <f t="shared" si="33"/>
        <v>1.9018789144050101</v>
      </c>
      <c r="BC18" t="s">
        <v>291</v>
      </c>
      <c r="BD18">
        <v>592.22</v>
      </c>
      <c r="BE18">
        <f t="shared" si="34"/>
        <v>595.70000000000005</v>
      </c>
      <c r="BF18">
        <f t="shared" si="35"/>
        <v>0.5481970145013616</v>
      </c>
      <c r="BG18">
        <f t="shared" si="36"/>
        <v>0.7913470497166355</v>
      </c>
      <c r="BH18">
        <f t="shared" si="37"/>
        <v>0.55767975229953104</v>
      </c>
      <c r="BI18">
        <f t="shared" si="38"/>
        <v>0.79416467972093163</v>
      </c>
      <c r="BJ18">
        <v>1600</v>
      </c>
      <c r="BK18">
        <v>300</v>
      </c>
      <c r="BL18">
        <v>300</v>
      </c>
      <c r="BM18">
        <v>300</v>
      </c>
      <c r="BN18">
        <v>10290.200000000001</v>
      </c>
      <c r="BO18">
        <v>1117.4000000000001</v>
      </c>
      <c r="BP18">
        <v>-7.0674700000000002E-3</v>
      </c>
      <c r="BQ18">
        <v>4.96326</v>
      </c>
      <c r="BR18">
        <f t="shared" si="39"/>
        <v>1749.91</v>
      </c>
      <c r="BS18">
        <f t="shared" si="40"/>
        <v>1471.1283000963169</v>
      </c>
      <c r="BT18">
        <f t="shared" si="41"/>
        <v>0.84068797829392183</v>
      </c>
      <c r="BU18">
        <f t="shared" si="42"/>
        <v>0.1913759565878439</v>
      </c>
      <c r="BV18" t="s">
        <v>281</v>
      </c>
      <c r="BW18">
        <v>1566591504.8</v>
      </c>
      <c r="BX18">
        <v>280.017</v>
      </c>
      <c r="BY18">
        <v>300.02600000000001</v>
      </c>
      <c r="BZ18">
        <v>18.911999999999999</v>
      </c>
      <c r="CA18">
        <v>14.194599999999999</v>
      </c>
      <c r="CB18">
        <v>500.06799999999998</v>
      </c>
      <c r="CC18">
        <v>99.536699999999996</v>
      </c>
      <c r="CD18">
        <v>0.100024</v>
      </c>
      <c r="CE18">
        <v>26.156400000000001</v>
      </c>
      <c r="CF18">
        <v>26.921900000000001</v>
      </c>
      <c r="CG18">
        <v>999.9</v>
      </c>
      <c r="CH18">
        <v>10017.5</v>
      </c>
      <c r="CI18">
        <v>0</v>
      </c>
      <c r="CJ18">
        <v>1561.04</v>
      </c>
      <c r="CK18">
        <v>1749.91</v>
      </c>
      <c r="CL18">
        <v>0.97700100000000001</v>
      </c>
      <c r="CM18">
        <v>2.2998500000000002E-2</v>
      </c>
      <c r="CN18">
        <v>0</v>
      </c>
      <c r="CO18">
        <v>859.46799999999996</v>
      </c>
      <c r="CP18">
        <v>4.99986</v>
      </c>
      <c r="CQ18">
        <v>18496.099999999999</v>
      </c>
      <c r="CR18">
        <v>14220</v>
      </c>
      <c r="CS18">
        <v>44.125</v>
      </c>
      <c r="CT18">
        <v>45.5</v>
      </c>
      <c r="CU18">
        <v>44.561999999999998</v>
      </c>
      <c r="CV18">
        <v>45.311999999999998</v>
      </c>
      <c r="CW18">
        <v>45.875</v>
      </c>
      <c r="CX18">
        <v>1704.78</v>
      </c>
      <c r="CY18">
        <v>40.130000000000003</v>
      </c>
      <c r="CZ18">
        <v>0</v>
      </c>
      <c r="DA18">
        <v>111.80000019073501</v>
      </c>
      <c r="DB18">
        <v>861.35903846153894</v>
      </c>
      <c r="DC18">
        <v>-15.250222217507501</v>
      </c>
      <c r="DD18">
        <v>65.705983370347397</v>
      </c>
      <c r="DE18">
        <v>18476.426923076899</v>
      </c>
      <c r="DF18">
        <v>15</v>
      </c>
      <c r="DG18">
        <v>1566591538.9000001</v>
      </c>
      <c r="DH18" t="s">
        <v>292</v>
      </c>
      <c r="DI18">
        <v>73</v>
      </c>
      <c r="DJ18">
        <v>-0.27500000000000002</v>
      </c>
      <c r="DK18">
        <v>7.3999999999999996E-2</v>
      </c>
      <c r="DL18">
        <v>300</v>
      </c>
      <c r="DM18">
        <v>14</v>
      </c>
      <c r="DN18">
        <v>7.0000000000000007E-2</v>
      </c>
      <c r="DO18">
        <v>0.02</v>
      </c>
      <c r="DP18">
        <v>15.4794281431599</v>
      </c>
      <c r="DQ18">
        <v>0.28498714355375099</v>
      </c>
      <c r="DR18">
        <v>7.7687262089672193E-2</v>
      </c>
      <c r="DS18">
        <v>1</v>
      </c>
      <c r="DT18">
        <v>0.235001548656428</v>
      </c>
      <c r="DU18">
        <v>5.2369956914695003E-2</v>
      </c>
      <c r="DV18">
        <v>1.02491932625919E-2</v>
      </c>
      <c r="DW18">
        <v>1</v>
      </c>
      <c r="DX18">
        <v>2</v>
      </c>
      <c r="DY18">
        <v>2</v>
      </c>
      <c r="DZ18" t="s">
        <v>283</v>
      </c>
      <c r="EA18">
        <v>1.86676</v>
      </c>
      <c r="EB18">
        <v>1.8632500000000001</v>
      </c>
      <c r="EC18">
        <v>1.8689</v>
      </c>
      <c r="ED18">
        <v>1.8668400000000001</v>
      </c>
      <c r="EE18">
        <v>1.8714900000000001</v>
      </c>
      <c r="EF18">
        <v>1.8640099999999999</v>
      </c>
      <c r="EG18">
        <v>1.86554</v>
      </c>
      <c r="EH18">
        <v>1.86547</v>
      </c>
      <c r="EI18" t="s">
        <v>284</v>
      </c>
      <c r="EJ18" t="s">
        <v>19</v>
      </c>
      <c r="EK18" t="s">
        <v>19</v>
      </c>
      <c r="EL18" t="s">
        <v>19</v>
      </c>
      <c r="EM18" t="s">
        <v>285</v>
      </c>
      <c r="EN18" t="s">
        <v>286</v>
      </c>
      <c r="EO18" t="s">
        <v>287</v>
      </c>
      <c r="EP18" t="s">
        <v>287</v>
      </c>
      <c r="EQ18" t="s">
        <v>287</v>
      </c>
      <c r="ER18" t="s">
        <v>287</v>
      </c>
      <c r="ES18">
        <v>0</v>
      </c>
      <c r="ET18">
        <v>100</v>
      </c>
      <c r="EU18">
        <v>100</v>
      </c>
      <c r="EV18">
        <v>-0.27500000000000002</v>
      </c>
      <c r="EW18">
        <v>7.3999999999999996E-2</v>
      </c>
      <c r="EX18">
        <v>2</v>
      </c>
      <c r="EY18">
        <v>508.28199999999998</v>
      </c>
      <c r="EZ18">
        <v>509.07799999999997</v>
      </c>
      <c r="FA18">
        <v>21.277999999999999</v>
      </c>
      <c r="FB18">
        <v>31.279199999999999</v>
      </c>
      <c r="FC18">
        <v>30.001300000000001</v>
      </c>
      <c r="FD18">
        <v>31.264500000000002</v>
      </c>
      <c r="FE18">
        <v>31.258400000000002</v>
      </c>
      <c r="FF18">
        <v>17.562200000000001</v>
      </c>
      <c r="FG18">
        <v>53.985199999999999</v>
      </c>
      <c r="FH18">
        <v>0</v>
      </c>
      <c r="FI18">
        <v>21.2439</v>
      </c>
      <c r="FJ18">
        <v>300</v>
      </c>
      <c r="FK18">
        <v>14.123900000000001</v>
      </c>
      <c r="FL18">
        <v>101.051</v>
      </c>
      <c r="FM18">
        <v>101.593</v>
      </c>
    </row>
    <row r="19" spans="1:169" x14ac:dyDescent="0.35">
      <c r="A19">
        <v>3</v>
      </c>
      <c r="B19">
        <v>1566591626.8</v>
      </c>
      <c r="C19">
        <v>234.5</v>
      </c>
      <c r="D19" t="s">
        <v>293</v>
      </c>
      <c r="E19" t="s">
        <v>294</v>
      </c>
      <c r="G19">
        <v>1566591626.8</v>
      </c>
      <c r="H19">
        <f t="shared" si="0"/>
        <v>3.8916246310681055E-3</v>
      </c>
      <c r="I19">
        <f t="shared" si="1"/>
        <v>9.7529705603841688</v>
      </c>
      <c r="J19">
        <f t="shared" si="2"/>
        <v>187.39</v>
      </c>
      <c r="K19">
        <f t="shared" si="3"/>
        <v>113.8928659951394</v>
      </c>
      <c r="L19">
        <f t="shared" si="4"/>
        <v>11.348157448295762</v>
      </c>
      <c r="M19">
        <f t="shared" si="5"/>
        <v>18.671329460853997</v>
      </c>
      <c r="N19">
        <f t="shared" si="6"/>
        <v>0.2362241816039527</v>
      </c>
      <c r="O19">
        <f t="shared" si="7"/>
        <v>2.2608836040825278</v>
      </c>
      <c r="P19">
        <f t="shared" si="8"/>
        <v>0.22331889682126599</v>
      </c>
      <c r="Q19">
        <f t="shared" si="9"/>
        <v>0.14067501558377973</v>
      </c>
      <c r="R19">
        <f t="shared" si="10"/>
        <v>281.58327342933893</v>
      </c>
      <c r="S19">
        <f t="shared" si="11"/>
        <v>27.055195251981146</v>
      </c>
      <c r="T19">
        <f t="shared" si="12"/>
        <v>26.993099999999998</v>
      </c>
      <c r="U19">
        <f t="shared" si="13"/>
        <v>3.5777094802404652</v>
      </c>
      <c r="V19">
        <f t="shared" si="14"/>
        <v>55.223082312792883</v>
      </c>
      <c r="W19">
        <f t="shared" si="15"/>
        <v>1.8890036799381</v>
      </c>
      <c r="X19">
        <f t="shared" si="16"/>
        <v>3.4206777326163422</v>
      </c>
      <c r="Y19">
        <f t="shared" si="17"/>
        <v>1.6887058003023652</v>
      </c>
      <c r="Z19">
        <f t="shared" si="18"/>
        <v>-171.62064623010346</v>
      </c>
      <c r="AA19">
        <f t="shared" si="19"/>
        <v>-92.87923272983214</v>
      </c>
      <c r="AB19">
        <f t="shared" si="20"/>
        <v>-8.8314165716843984</v>
      </c>
      <c r="AC19">
        <f t="shared" si="21"/>
        <v>8.2519778977189588</v>
      </c>
      <c r="AD19">
        <v>-4.14773932143679E-2</v>
      </c>
      <c r="AE19">
        <v>4.6562007502341997E-2</v>
      </c>
      <c r="AF19">
        <v>3.4746977147857199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53015.463765735505</v>
      </c>
      <c r="AL19" t="s">
        <v>278</v>
      </c>
      <c r="AM19">
        <v>602.34923076923099</v>
      </c>
      <c r="AN19">
        <v>3447.2</v>
      </c>
      <c r="AO19">
        <f t="shared" si="25"/>
        <v>2844.8507692307689</v>
      </c>
      <c r="AP19">
        <f t="shared" si="26"/>
        <v>0.82526420550904189</v>
      </c>
      <c r="AQ19">
        <v>-2.3039181891607399</v>
      </c>
      <c r="AR19" t="s">
        <v>295</v>
      </c>
      <c r="AS19">
        <v>844.65515384615401</v>
      </c>
      <c r="AT19">
        <v>1123.92</v>
      </c>
      <c r="AU19">
        <f t="shared" si="27"/>
        <v>0.24847395379906578</v>
      </c>
      <c r="AV19">
        <v>0.5</v>
      </c>
      <c r="AW19">
        <f t="shared" si="28"/>
        <v>1471.3635000963013</v>
      </c>
      <c r="AX19">
        <f t="shared" si="29"/>
        <v>9.7529705603841688</v>
      </c>
      <c r="AY19">
        <f t="shared" si="30"/>
        <v>182.79775317228004</v>
      </c>
      <c r="AZ19">
        <f t="shared" si="31"/>
        <v>0.46855648088831953</v>
      </c>
      <c r="BA19">
        <f t="shared" si="32"/>
        <v>8.1943644441062873E-3</v>
      </c>
      <c r="BB19">
        <f t="shared" si="33"/>
        <v>2.0671222151042774</v>
      </c>
      <c r="BC19" t="s">
        <v>296</v>
      </c>
      <c r="BD19">
        <v>597.29999999999995</v>
      </c>
      <c r="BE19">
        <f t="shared" si="34"/>
        <v>526.62000000000012</v>
      </c>
      <c r="BF19">
        <f t="shared" si="35"/>
        <v>0.53029669620190267</v>
      </c>
      <c r="BG19">
        <f t="shared" si="36"/>
        <v>0.8152145689322432</v>
      </c>
      <c r="BH19">
        <f t="shared" si="37"/>
        <v>0.53543040106660056</v>
      </c>
      <c r="BI19">
        <f t="shared" si="38"/>
        <v>0.8166614660874465</v>
      </c>
      <c r="BJ19">
        <v>1602</v>
      </c>
      <c r="BK19">
        <v>300</v>
      </c>
      <c r="BL19">
        <v>300</v>
      </c>
      <c r="BM19">
        <v>300</v>
      </c>
      <c r="BN19">
        <v>10289.6</v>
      </c>
      <c r="BO19">
        <v>1066.76</v>
      </c>
      <c r="BP19">
        <v>-7.06692E-3</v>
      </c>
      <c r="BQ19">
        <v>6.6892100000000001</v>
      </c>
      <c r="BR19">
        <f t="shared" si="39"/>
        <v>1750.19</v>
      </c>
      <c r="BS19">
        <f t="shared" si="40"/>
        <v>1471.3635000963013</v>
      </c>
      <c r="BT19">
        <f t="shared" si="41"/>
        <v>0.84068786822933583</v>
      </c>
      <c r="BU19">
        <f t="shared" si="42"/>
        <v>0.19137573645867195</v>
      </c>
      <c r="BV19" t="s">
        <v>281</v>
      </c>
      <c r="BW19">
        <v>1566591626.8</v>
      </c>
      <c r="BX19">
        <v>187.39</v>
      </c>
      <c r="BY19">
        <v>199.97</v>
      </c>
      <c r="BZ19">
        <v>18.958500000000001</v>
      </c>
      <c r="CA19">
        <v>14.3766</v>
      </c>
      <c r="CB19">
        <v>499.947</v>
      </c>
      <c r="CC19">
        <v>99.539000000000001</v>
      </c>
      <c r="CD19">
        <v>9.9878599999999998E-2</v>
      </c>
      <c r="CE19">
        <v>26.231100000000001</v>
      </c>
      <c r="CF19">
        <v>26.993099999999998</v>
      </c>
      <c r="CG19">
        <v>999.9</v>
      </c>
      <c r="CH19">
        <v>10048.799999999999</v>
      </c>
      <c r="CI19">
        <v>0</v>
      </c>
      <c r="CJ19">
        <v>1486.25</v>
      </c>
      <c r="CK19">
        <v>1750.19</v>
      </c>
      <c r="CL19">
        <v>0.97700600000000004</v>
      </c>
      <c r="CM19">
        <v>2.2994500000000001E-2</v>
      </c>
      <c r="CN19">
        <v>0</v>
      </c>
      <c r="CO19">
        <v>843.57399999999996</v>
      </c>
      <c r="CP19">
        <v>4.99986</v>
      </c>
      <c r="CQ19">
        <v>18088.7</v>
      </c>
      <c r="CR19">
        <v>14222.3</v>
      </c>
      <c r="CS19">
        <v>44.125</v>
      </c>
      <c r="CT19">
        <v>45.625</v>
      </c>
      <c r="CU19">
        <v>44.561999999999998</v>
      </c>
      <c r="CV19">
        <v>45.5</v>
      </c>
      <c r="CW19">
        <v>45.875</v>
      </c>
      <c r="CX19">
        <v>1705.06</v>
      </c>
      <c r="CY19">
        <v>40.130000000000003</v>
      </c>
      <c r="CZ19">
        <v>0</v>
      </c>
      <c r="DA19">
        <v>121.80000019073501</v>
      </c>
      <c r="DB19">
        <v>844.65515384615401</v>
      </c>
      <c r="DC19">
        <v>-5.7562393311350899</v>
      </c>
      <c r="DD19">
        <v>1779.51794992541</v>
      </c>
      <c r="DE19">
        <v>17884.8269230769</v>
      </c>
      <c r="DF19">
        <v>15</v>
      </c>
      <c r="DG19">
        <v>1566591654.3</v>
      </c>
      <c r="DH19" t="s">
        <v>297</v>
      </c>
      <c r="DI19">
        <v>74</v>
      </c>
      <c r="DJ19">
        <v>-0.26400000000000001</v>
      </c>
      <c r="DK19">
        <v>7.5999999999999998E-2</v>
      </c>
      <c r="DL19">
        <v>200</v>
      </c>
      <c r="DM19">
        <v>14</v>
      </c>
      <c r="DN19">
        <v>0.08</v>
      </c>
      <c r="DO19">
        <v>0.02</v>
      </c>
      <c r="DP19">
        <v>9.7044944966995406</v>
      </c>
      <c r="DQ19">
        <v>0.298161712217481</v>
      </c>
      <c r="DR19">
        <v>6.3968515959789404E-2</v>
      </c>
      <c r="DS19">
        <v>1</v>
      </c>
      <c r="DT19">
        <v>0.23343377584217101</v>
      </c>
      <c r="DU19">
        <v>7.0643293085410098E-3</v>
      </c>
      <c r="DV19">
        <v>1.33520172161749E-3</v>
      </c>
      <c r="DW19">
        <v>1</v>
      </c>
      <c r="DX19">
        <v>2</v>
      </c>
      <c r="DY19">
        <v>2</v>
      </c>
      <c r="DZ19" t="s">
        <v>283</v>
      </c>
      <c r="EA19">
        <v>1.86676</v>
      </c>
      <c r="EB19">
        <v>1.8632500000000001</v>
      </c>
      <c r="EC19">
        <v>1.8689</v>
      </c>
      <c r="ED19">
        <v>1.8668199999999999</v>
      </c>
      <c r="EE19">
        <v>1.8714900000000001</v>
      </c>
      <c r="EF19">
        <v>1.8640099999999999</v>
      </c>
      <c r="EG19">
        <v>1.86554</v>
      </c>
      <c r="EH19">
        <v>1.86548</v>
      </c>
      <c r="EI19" t="s">
        <v>284</v>
      </c>
      <c r="EJ19" t="s">
        <v>19</v>
      </c>
      <c r="EK19" t="s">
        <v>19</v>
      </c>
      <c r="EL19" t="s">
        <v>19</v>
      </c>
      <c r="EM19" t="s">
        <v>285</v>
      </c>
      <c r="EN19" t="s">
        <v>286</v>
      </c>
      <c r="EO19" t="s">
        <v>287</v>
      </c>
      <c r="EP19" t="s">
        <v>287</v>
      </c>
      <c r="EQ19" t="s">
        <v>287</v>
      </c>
      <c r="ER19" t="s">
        <v>287</v>
      </c>
      <c r="ES19">
        <v>0</v>
      </c>
      <c r="ET19">
        <v>100</v>
      </c>
      <c r="EU19">
        <v>100</v>
      </c>
      <c r="EV19">
        <v>-0.26400000000000001</v>
      </c>
      <c r="EW19">
        <v>7.5999999999999998E-2</v>
      </c>
      <c r="EX19">
        <v>2</v>
      </c>
      <c r="EY19">
        <v>507.81900000000002</v>
      </c>
      <c r="EZ19">
        <v>508.98599999999999</v>
      </c>
      <c r="FA19">
        <v>21.3903</v>
      </c>
      <c r="FB19">
        <v>31.374600000000001</v>
      </c>
      <c r="FC19">
        <v>30.0001</v>
      </c>
      <c r="FD19">
        <v>31.343900000000001</v>
      </c>
      <c r="FE19">
        <v>31.3323</v>
      </c>
      <c r="FF19">
        <v>12.9099</v>
      </c>
      <c r="FG19">
        <v>52.625399999999999</v>
      </c>
      <c r="FH19">
        <v>0</v>
      </c>
      <c r="FI19">
        <v>21.507200000000001</v>
      </c>
      <c r="FJ19">
        <v>200</v>
      </c>
      <c r="FK19">
        <v>14.360799999999999</v>
      </c>
      <c r="FL19">
        <v>101.027</v>
      </c>
      <c r="FM19">
        <v>101.568</v>
      </c>
    </row>
    <row r="20" spans="1:169" x14ac:dyDescent="0.35">
      <c r="A20">
        <v>4</v>
      </c>
      <c r="B20">
        <v>1566591745.9000001</v>
      </c>
      <c r="C20">
        <v>353.60000014305098</v>
      </c>
      <c r="D20" t="s">
        <v>298</v>
      </c>
      <c r="E20" t="s">
        <v>299</v>
      </c>
      <c r="G20">
        <v>1566591745.9000001</v>
      </c>
      <c r="H20">
        <f t="shared" si="0"/>
        <v>4.3631707343015557E-3</v>
      </c>
      <c r="I20">
        <f t="shared" si="1"/>
        <v>3.7240563422250768</v>
      </c>
      <c r="J20">
        <f t="shared" si="2"/>
        <v>95.008099999999999</v>
      </c>
      <c r="K20">
        <f t="shared" si="3"/>
        <v>69.427372074189023</v>
      </c>
      <c r="L20">
        <f t="shared" si="4"/>
        <v>6.9177611963068175</v>
      </c>
      <c r="M20">
        <f t="shared" si="5"/>
        <v>9.4666315010817002</v>
      </c>
      <c r="N20">
        <f t="shared" si="6"/>
        <v>0.26987769839678744</v>
      </c>
      <c r="O20">
        <f t="shared" si="7"/>
        <v>2.2493225906352259</v>
      </c>
      <c r="P20">
        <f t="shared" si="8"/>
        <v>0.25309281468157363</v>
      </c>
      <c r="Q20">
        <f t="shared" si="9"/>
        <v>0.15960399460810962</v>
      </c>
      <c r="R20">
        <f t="shared" si="10"/>
        <v>281.53698970384869</v>
      </c>
      <c r="S20">
        <f t="shared" si="11"/>
        <v>26.956305342534666</v>
      </c>
      <c r="T20">
        <f t="shared" si="12"/>
        <v>26.969200000000001</v>
      </c>
      <c r="U20">
        <f t="shared" si="13"/>
        <v>3.5726902448680642</v>
      </c>
      <c r="V20">
        <f t="shared" si="14"/>
        <v>55.429467466972667</v>
      </c>
      <c r="W20">
        <f t="shared" si="15"/>
        <v>1.9021424701557001</v>
      </c>
      <c r="X20">
        <f t="shared" si="16"/>
        <v>3.4316448580154244</v>
      </c>
      <c r="Y20">
        <f t="shared" si="17"/>
        <v>1.670547774712364</v>
      </c>
      <c r="Z20">
        <f t="shared" si="18"/>
        <v>-192.4158293826986</v>
      </c>
      <c r="AA20">
        <f t="shared" si="19"/>
        <v>-82.93346143437671</v>
      </c>
      <c r="AB20">
        <f t="shared" si="20"/>
        <v>-7.9274542708567139</v>
      </c>
      <c r="AC20">
        <f t="shared" si="21"/>
        <v>-1.7397553840833666</v>
      </c>
      <c r="AD20">
        <v>-4.1165512967907998E-2</v>
      </c>
      <c r="AE20">
        <v>4.6211894603480602E-2</v>
      </c>
      <c r="AF20">
        <v>3.45400968985903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52623.65838818565</v>
      </c>
      <c r="AL20" t="s">
        <v>278</v>
      </c>
      <c r="AM20">
        <v>602.34923076923099</v>
      </c>
      <c r="AN20">
        <v>3447.2</v>
      </c>
      <c r="AO20">
        <f t="shared" si="25"/>
        <v>2844.8507692307689</v>
      </c>
      <c r="AP20">
        <f t="shared" si="26"/>
        <v>0.82526420550904189</v>
      </c>
      <c r="AQ20">
        <v>-2.3039181891607399</v>
      </c>
      <c r="AR20" t="s">
        <v>300</v>
      </c>
      <c r="AS20">
        <v>845.41869230769203</v>
      </c>
      <c r="AT20">
        <v>1077.9000000000001</v>
      </c>
      <c r="AU20">
        <f t="shared" si="27"/>
        <v>0.21567984756685044</v>
      </c>
      <c r="AV20">
        <v>0.5</v>
      </c>
      <c r="AW20">
        <f t="shared" si="28"/>
        <v>1471.1199000963175</v>
      </c>
      <c r="AX20">
        <f t="shared" si="29"/>
        <v>3.7240563422250768</v>
      </c>
      <c r="AY20">
        <f t="shared" si="30"/>
        <v>158.645457902667</v>
      </c>
      <c r="AZ20">
        <f t="shared" si="31"/>
        <v>0.435717599035161</v>
      </c>
      <c r="BA20">
        <f t="shared" si="32"/>
        <v>4.0975412887767695E-3</v>
      </c>
      <c r="BB20">
        <f t="shared" si="33"/>
        <v>2.1980703219222559</v>
      </c>
      <c r="BC20" t="s">
        <v>301</v>
      </c>
      <c r="BD20">
        <v>608.24</v>
      </c>
      <c r="BE20">
        <f t="shared" si="34"/>
        <v>469.66000000000008</v>
      </c>
      <c r="BF20">
        <f t="shared" si="35"/>
        <v>0.4949991646985224</v>
      </c>
      <c r="BG20">
        <f t="shared" si="36"/>
        <v>0.83456617916420084</v>
      </c>
      <c r="BH20">
        <f t="shared" si="37"/>
        <v>0.48886748320975282</v>
      </c>
      <c r="BI20">
        <f t="shared" si="38"/>
        <v>0.83283806153411855</v>
      </c>
      <c r="BJ20">
        <v>1604</v>
      </c>
      <c r="BK20">
        <v>300</v>
      </c>
      <c r="BL20">
        <v>300</v>
      </c>
      <c r="BM20">
        <v>300</v>
      </c>
      <c r="BN20">
        <v>10289.5</v>
      </c>
      <c r="BO20">
        <v>1028.79</v>
      </c>
      <c r="BP20">
        <v>-7.0664999999999999E-3</v>
      </c>
      <c r="BQ20">
        <v>4.3250700000000002</v>
      </c>
      <c r="BR20">
        <f t="shared" si="39"/>
        <v>1749.9</v>
      </c>
      <c r="BS20">
        <f t="shared" si="40"/>
        <v>1471.1199000963175</v>
      </c>
      <c r="BT20">
        <f t="shared" si="41"/>
        <v>0.84068798222545138</v>
      </c>
      <c r="BU20">
        <f t="shared" si="42"/>
        <v>0.19137596445090291</v>
      </c>
      <c r="BV20" t="s">
        <v>281</v>
      </c>
      <c r="BW20">
        <v>1566591745.9000001</v>
      </c>
      <c r="BX20">
        <v>95.008099999999999</v>
      </c>
      <c r="BY20">
        <v>99.973200000000006</v>
      </c>
      <c r="BZ20">
        <v>19.0901</v>
      </c>
      <c r="CA20">
        <v>13.955500000000001</v>
      </c>
      <c r="CB20">
        <v>500.12200000000001</v>
      </c>
      <c r="CC20">
        <v>99.540199999999999</v>
      </c>
      <c r="CD20">
        <v>0.10005699999999999</v>
      </c>
      <c r="CE20">
        <v>26.285299999999999</v>
      </c>
      <c r="CF20">
        <v>26.969200000000001</v>
      </c>
      <c r="CG20">
        <v>999.9</v>
      </c>
      <c r="CH20">
        <v>9973.1200000000008</v>
      </c>
      <c r="CI20">
        <v>0</v>
      </c>
      <c r="CJ20">
        <v>1603.63</v>
      </c>
      <c r="CK20">
        <v>1749.9</v>
      </c>
      <c r="CL20">
        <v>0.97700100000000001</v>
      </c>
      <c r="CM20">
        <v>2.2998500000000002E-2</v>
      </c>
      <c r="CN20">
        <v>0</v>
      </c>
      <c r="CO20">
        <v>844.68700000000001</v>
      </c>
      <c r="CP20">
        <v>4.99986</v>
      </c>
      <c r="CQ20">
        <v>18275.7</v>
      </c>
      <c r="CR20">
        <v>14220</v>
      </c>
      <c r="CS20">
        <v>44.186999999999998</v>
      </c>
      <c r="CT20">
        <v>45.686999999999998</v>
      </c>
      <c r="CU20">
        <v>44.561999999999998</v>
      </c>
      <c r="CV20">
        <v>45.625</v>
      </c>
      <c r="CW20">
        <v>45.936999999999998</v>
      </c>
      <c r="CX20">
        <v>1704.77</v>
      </c>
      <c r="CY20">
        <v>40.130000000000003</v>
      </c>
      <c r="CZ20">
        <v>0</v>
      </c>
      <c r="DA20">
        <v>118.30000019073501</v>
      </c>
      <c r="DB20">
        <v>845.41869230769203</v>
      </c>
      <c r="DC20">
        <v>-2.9431794969192699</v>
      </c>
      <c r="DD20">
        <v>382.51623932624398</v>
      </c>
      <c r="DE20">
        <v>18239.3692307692</v>
      </c>
      <c r="DF20">
        <v>15</v>
      </c>
      <c r="DG20">
        <v>1566591779.4000001</v>
      </c>
      <c r="DH20" t="s">
        <v>302</v>
      </c>
      <c r="DI20">
        <v>75</v>
      </c>
      <c r="DJ20">
        <v>-0.22900000000000001</v>
      </c>
      <c r="DK20">
        <v>7.0999999999999994E-2</v>
      </c>
      <c r="DL20">
        <v>100</v>
      </c>
      <c r="DM20">
        <v>14</v>
      </c>
      <c r="DN20">
        <v>0.19</v>
      </c>
      <c r="DO20">
        <v>0.02</v>
      </c>
      <c r="DP20">
        <v>3.7054867036404699</v>
      </c>
      <c r="DQ20">
        <v>0.281531527514153</v>
      </c>
      <c r="DR20">
        <v>5.6896397915309503E-2</v>
      </c>
      <c r="DS20">
        <v>1</v>
      </c>
      <c r="DT20">
        <v>0.26051867187917599</v>
      </c>
      <c r="DU20">
        <v>2.3691725104854799E-2</v>
      </c>
      <c r="DV20">
        <v>4.5571858172993003E-3</v>
      </c>
      <c r="DW20">
        <v>1</v>
      </c>
      <c r="DX20">
        <v>2</v>
      </c>
      <c r="DY20">
        <v>2</v>
      </c>
      <c r="DZ20" t="s">
        <v>283</v>
      </c>
      <c r="EA20">
        <v>1.8667499999999999</v>
      </c>
      <c r="EB20">
        <v>1.8632500000000001</v>
      </c>
      <c r="EC20">
        <v>1.8688800000000001</v>
      </c>
      <c r="ED20">
        <v>1.8668100000000001</v>
      </c>
      <c r="EE20">
        <v>1.8714900000000001</v>
      </c>
      <c r="EF20">
        <v>1.8640099999999999</v>
      </c>
      <c r="EG20">
        <v>1.86554</v>
      </c>
      <c r="EH20">
        <v>1.8654900000000001</v>
      </c>
      <c r="EI20" t="s">
        <v>284</v>
      </c>
      <c r="EJ20" t="s">
        <v>19</v>
      </c>
      <c r="EK20" t="s">
        <v>19</v>
      </c>
      <c r="EL20" t="s">
        <v>19</v>
      </c>
      <c r="EM20" t="s">
        <v>285</v>
      </c>
      <c r="EN20" t="s">
        <v>286</v>
      </c>
      <c r="EO20" t="s">
        <v>287</v>
      </c>
      <c r="EP20" t="s">
        <v>287</v>
      </c>
      <c r="EQ20" t="s">
        <v>287</v>
      </c>
      <c r="ER20" t="s">
        <v>287</v>
      </c>
      <c r="ES20">
        <v>0</v>
      </c>
      <c r="ET20">
        <v>100</v>
      </c>
      <c r="EU20">
        <v>100</v>
      </c>
      <c r="EV20">
        <v>-0.22900000000000001</v>
      </c>
      <c r="EW20">
        <v>7.0999999999999994E-2</v>
      </c>
      <c r="EX20">
        <v>2</v>
      </c>
      <c r="EY20">
        <v>508.39100000000002</v>
      </c>
      <c r="EZ20">
        <v>508.95299999999997</v>
      </c>
      <c r="FA20">
        <v>21.7225</v>
      </c>
      <c r="FB20">
        <v>31.402899999999999</v>
      </c>
      <c r="FC20">
        <v>30.0001</v>
      </c>
      <c r="FD20">
        <v>31.383099999999999</v>
      </c>
      <c r="FE20">
        <v>31.370799999999999</v>
      </c>
      <c r="FF20">
        <v>8.0608299999999993</v>
      </c>
      <c r="FG20">
        <v>54.246499999999997</v>
      </c>
      <c r="FH20">
        <v>0</v>
      </c>
      <c r="FI20">
        <v>21.732199999999999</v>
      </c>
      <c r="FJ20">
        <v>100</v>
      </c>
      <c r="FK20">
        <v>13.872400000000001</v>
      </c>
      <c r="FL20">
        <v>101.01900000000001</v>
      </c>
      <c r="FM20">
        <v>101.562</v>
      </c>
    </row>
    <row r="21" spans="1:169" x14ac:dyDescent="0.35">
      <c r="A21">
        <v>5</v>
      </c>
      <c r="B21">
        <v>1566591864.4000001</v>
      </c>
      <c r="C21">
        <v>472.10000014305098</v>
      </c>
      <c r="D21" t="s">
        <v>303</v>
      </c>
      <c r="E21" t="s">
        <v>304</v>
      </c>
      <c r="G21">
        <v>1566591864.4000001</v>
      </c>
      <c r="H21">
        <f t="shared" si="0"/>
        <v>5.0468817398409659E-3</v>
      </c>
      <c r="I21">
        <f t="shared" si="1"/>
        <v>0.56735783021489761</v>
      </c>
      <c r="J21">
        <f t="shared" si="2"/>
        <v>49.032699999999998</v>
      </c>
      <c r="K21">
        <f t="shared" si="3"/>
        <v>44.729361676002426</v>
      </c>
      <c r="L21">
        <f t="shared" si="4"/>
        <v>4.4567433424908911</v>
      </c>
      <c r="M21">
        <f t="shared" si="5"/>
        <v>4.8855192898179389</v>
      </c>
      <c r="N21">
        <f t="shared" si="6"/>
        <v>0.31900582207438882</v>
      </c>
      <c r="O21">
        <f t="shared" si="7"/>
        <v>2.2463163854295072</v>
      </c>
      <c r="P21">
        <f t="shared" si="8"/>
        <v>0.29580642449859945</v>
      </c>
      <c r="Q21">
        <f t="shared" si="9"/>
        <v>0.18682259868178133</v>
      </c>
      <c r="R21">
        <f t="shared" si="10"/>
        <v>281.54759981209179</v>
      </c>
      <c r="S21">
        <f t="shared" si="11"/>
        <v>26.886251127366133</v>
      </c>
      <c r="T21">
        <f t="shared" si="12"/>
        <v>26.951499999999999</v>
      </c>
      <c r="U21">
        <f t="shared" si="13"/>
        <v>3.5689770334310427</v>
      </c>
      <c r="V21">
        <f t="shared" si="14"/>
        <v>55.314542204854533</v>
      </c>
      <c r="W21">
        <f t="shared" si="15"/>
        <v>1.9157992665487198</v>
      </c>
      <c r="X21">
        <f t="shared" si="16"/>
        <v>3.4634640190162953</v>
      </c>
      <c r="Y21">
        <f t="shared" si="17"/>
        <v>1.6531777668823229</v>
      </c>
      <c r="Z21">
        <f t="shared" si="18"/>
        <v>-222.56748472698661</v>
      </c>
      <c r="AA21">
        <f t="shared" si="19"/>
        <v>-61.738517893556121</v>
      </c>
      <c r="AB21">
        <f t="shared" si="20"/>
        <v>-5.91346791028288</v>
      </c>
      <c r="AC21">
        <f t="shared" si="21"/>
        <v>-8.6718707187337998</v>
      </c>
      <c r="AD21">
        <v>-4.1084652399360898E-2</v>
      </c>
      <c r="AE21">
        <v>4.6121121531511503E-2</v>
      </c>
      <c r="AF21">
        <v>3.44863714261743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52496.940427194546</v>
      </c>
      <c r="AL21" t="s">
        <v>278</v>
      </c>
      <c r="AM21">
        <v>602.34923076923099</v>
      </c>
      <c r="AN21">
        <v>3447.2</v>
      </c>
      <c r="AO21">
        <f t="shared" si="25"/>
        <v>2844.8507692307689</v>
      </c>
      <c r="AP21">
        <f t="shared" si="26"/>
        <v>0.82526420550904189</v>
      </c>
      <c r="AQ21">
        <v>-2.3039181891607399</v>
      </c>
      <c r="AR21" t="s">
        <v>305</v>
      </c>
      <c r="AS21">
        <v>847.40469230769202</v>
      </c>
      <c r="AT21">
        <v>1047.21</v>
      </c>
      <c r="AU21">
        <f t="shared" si="27"/>
        <v>0.19079774609897537</v>
      </c>
      <c r="AV21">
        <v>0.5</v>
      </c>
      <c r="AW21">
        <f t="shared" si="28"/>
        <v>1471.1784000962898</v>
      </c>
      <c r="AX21">
        <f t="shared" si="29"/>
        <v>0.56735783021489761</v>
      </c>
      <c r="AY21">
        <f t="shared" si="30"/>
        <v>140.34876142393435</v>
      </c>
      <c r="AZ21">
        <f t="shared" si="31"/>
        <v>0.41587647176784026</v>
      </c>
      <c r="BA21">
        <f t="shared" si="32"/>
        <v>1.9516844586541715E-3</v>
      </c>
      <c r="BB21">
        <f t="shared" si="33"/>
        <v>2.2917943869901927</v>
      </c>
      <c r="BC21" t="s">
        <v>306</v>
      </c>
      <c r="BD21">
        <v>611.70000000000005</v>
      </c>
      <c r="BE21">
        <f t="shared" si="34"/>
        <v>435.51</v>
      </c>
      <c r="BF21">
        <f t="shared" si="35"/>
        <v>0.45878466095453152</v>
      </c>
      <c r="BG21">
        <f t="shared" si="36"/>
        <v>0.84640804090989241</v>
      </c>
      <c r="BH21">
        <f t="shared" si="37"/>
        <v>0.44914121790914796</v>
      </c>
      <c r="BI21">
        <f t="shared" si="38"/>
        <v>0.84362597362143643</v>
      </c>
      <c r="BJ21">
        <v>1606</v>
      </c>
      <c r="BK21">
        <v>300</v>
      </c>
      <c r="BL21">
        <v>300</v>
      </c>
      <c r="BM21">
        <v>300</v>
      </c>
      <c r="BN21">
        <v>10288.9</v>
      </c>
      <c r="BO21">
        <v>1005.19</v>
      </c>
      <c r="BP21">
        <v>-7.0662600000000004E-3</v>
      </c>
      <c r="BQ21">
        <v>4.2119799999999996</v>
      </c>
      <c r="BR21">
        <f t="shared" si="39"/>
        <v>1749.97</v>
      </c>
      <c r="BS21">
        <f t="shared" si="40"/>
        <v>1471.1784000962898</v>
      </c>
      <c r="BT21">
        <f t="shared" si="41"/>
        <v>0.8406877832741646</v>
      </c>
      <c r="BU21">
        <f t="shared" si="42"/>
        <v>0.19137556654832905</v>
      </c>
      <c r="BV21" t="s">
        <v>281</v>
      </c>
      <c r="BW21">
        <v>1566591864.4000001</v>
      </c>
      <c r="BX21">
        <v>49.032699999999998</v>
      </c>
      <c r="BY21">
        <v>50.010399999999997</v>
      </c>
      <c r="BZ21">
        <v>19.227599999999999</v>
      </c>
      <c r="CA21">
        <v>13.2883</v>
      </c>
      <c r="CB21">
        <v>500.04300000000001</v>
      </c>
      <c r="CC21">
        <v>99.537999999999997</v>
      </c>
      <c r="CD21">
        <v>9.9982199999999993E-2</v>
      </c>
      <c r="CE21">
        <v>26.441700000000001</v>
      </c>
      <c r="CF21">
        <v>26.951499999999999</v>
      </c>
      <c r="CG21">
        <v>999.9</v>
      </c>
      <c r="CH21">
        <v>9953.75</v>
      </c>
      <c r="CI21">
        <v>0</v>
      </c>
      <c r="CJ21">
        <v>540.62400000000002</v>
      </c>
      <c r="CK21">
        <v>1749.97</v>
      </c>
      <c r="CL21">
        <v>0.97700600000000004</v>
      </c>
      <c r="CM21">
        <v>2.2994500000000001E-2</v>
      </c>
      <c r="CN21">
        <v>0</v>
      </c>
      <c r="CO21">
        <v>847.24699999999996</v>
      </c>
      <c r="CP21">
        <v>4.99986</v>
      </c>
      <c r="CQ21">
        <v>16125.5</v>
      </c>
      <c r="CR21">
        <v>14220.5</v>
      </c>
      <c r="CS21">
        <v>44.25</v>
      </c>
      <c r="CT21">
        <v>45.625</v>
      </c>
      <c r="CU21">
        <v>44.625</v>
      </c>
      <c r="CV21">
        <v>45.625</v>
      </c>
      <c r="CW21">
        <v>46</v>
      </c>
      <c r="CX21">
        <v>1704.85</v>
      </c>
      <c r="CY21">
        <v>40.119999999999997</v>
      </c>
      <c r="CZ21">
        <v>0</v>
      </c>
      <c r="DA21">
        <v>118.200000047684</v>
      </c>
      <c r="DB21">
        <v>847.40469230769202</v>
      </c>
      <c r="DC21">
        <v>-0.122051280165723</v>
      </c>
      <c r="DD21">
        <v>-2077.36410462398</v>
      </c>
      <c r="DE21">
        <v>16266.4653846154</v>
      </c>
      <c r="DF21">
        <v>15</v>
      </c>
      <c r="DG21">
        <v>1566591895.9000001</v>
      </c>
      <c r="DH21" t="s">
        <v>307</v>
      </c>
      <c r="DI21">
        <v>76</v>
      </c>
      <c r="DJ21">
        <v>-0.314</v>
      </c>
      <c r="DK21">
        <v>0.06</v>
      </c>
      <c r="DL21">
        <v>50</v>
      </c>
      <c r="DM21">
        <v>13</v>
      </c>
      <c r="DN21">
        <v>0.17</v>
      </c>
      <c r="DO21">
        <v>0.01</v>
      </c>
      <c r="DP21">
        <v>0.43700651591286599</v>
      </c>
      <c r="DQ21">
        <v>0.289043284352894</v>
      </c>
      <c r="DR21">
        <v>6.16909092789042E-2</v>
      </c>
      <c r="DS21">
        <v>1</v>
      </c>
      <c r="DT21">
        <v>0.30652951106161502</v>
      </c>
      <c r="DU21">
        <v>3.2002599466613602E-2</v>
      </c>
      <c r="DV21">
        <v>6.7649895936263797E-3</v>
      </c>
      <c r="DW21">
        <v>1</v>
      </c>
      <c r="DX21">
        <v>2</v>
      </c>
      <c r="DY21">
        <v>2</v>
      </c>
      <c r="DZ21" t="s">
        <v>283</v>
      </c>
      <c r="EA21">
        <v>1.86676</v>
      </c>
      <c r="EB21">
        <v>1.8632500000000001</v>
      </c>
      <c r="EC21">
        <v>1.8689</v>
      </c>
      <c r="ED21">
        <v>1.86683</v>
      </c>
      <c r="EE21">
        <v>1.8714900000000001</v>
      </c>
      <c r="EF21">
        <v>1.8640099999999999</v>
      </c>
      <c r="EG21">
        <v>1.86554</v>
      </c>
      <c r="EH21">
        <v>1.86551</v>
      </c>
      <c r="EI21" t="s">
        <v>284</v>
      </c>
      <c r="EJ21" t="s">
        <v>19</v>
      </c>
      <c r="EK21" t="s">
        <v>19</v>
      </c>
      <c r="EL21" t="s">
        <v>19</v>
      </c>
      <c r="EM21" t="s">
        <v>285</v>
      </c>
      <c r="EN21" t="s">
        <v>286</v>
      </c>
      <c r="EO21" t="s">
        <v>287</v>
      </c>
      <c r="EP21" t="s">
        <v>287</v>
      </c>
      <c r="EQ21" t="s">
        <v>287</v>
      </c>
      <c r="ER21" t="s">
        <v>287</v>
      </c>
      <c r="ES21">
        <v>0</v>
      </c>
      <c r="ET21">
        <v>100</v>
      </c>
      <c r="EU21">
        <v>100</v>
      </c>
      <c r="EV21">
        <v>-0.314</v>
      </c>
      <c r="EW21">
        <v>0.06</v>
      </c>
      <c r="EX21">
        <v>2</v>
      </c>
      <c r="EY21">
        <v>508.79599999999999</v>
      </c>
      <c r="EZ21">
        <v>508.72699999999998</v>
      </c>
      <c r="FA21">
        <v>22.031500000000001</v>
      </c>
      <c r="FB21">
        <v>31.411100000000001</v>
      </c>
      <c r="FC21">
        <v>30.0001</v>
      </c>
      <c r="FD21">
        <v>31.4101</v>
      </c>
      <c r="FE21">
        <v>31.3979</v>
      </c>
      <c r="FF21">
        <v>5.6116700000000002</v>
      </c>
      <c r="FG21">
        <v>56.443199999999997</v>
      </c>
      <c r="FH21">
        <v>0</v>
      </c>
      <c r="FI21">
        <v>22.04</v>
      </c>
      <c r="FJ21">
        <v>50</v>
      </c>
      <c r="FK21">
        <v>13.2029</v>
      </c>
      <c r="FL21">
        <v>101.017</v>
      </c>
      <c r="FM21">
        <v>101.55800000000001</v>
      </c>
    </row>
    <row r="22" spans="1:169" x14ac:dyDescent="0.35">
      <c r="A22">
        <v>6</v>
      </c>
      <c r="B22">
        <v>1566591975.9000001</v>
      </c>
      <c r="C22">
        <v>583.60000014305103</v>
      </c>
      <c r="D22" t="s">
        <v>308</v>
      </c>
      <c r="E22" t="s">
        <v>309</v>
      </c>
      <c r="G22">
        <v>1566591975.9000001</v>
      </c>
      <c r="H22">
        <f t="shared" si="0"/>
        <v>5.5016829126597333E-3</v>
      </c>
      <c r="I22">
        <f t="shared" si="1"/>
        <v>-2.2570615219168442</v>
      </c>
      <c r="J22">
        <f t="shared" si="2"/>
        <v>15.106299999999999</v>
      </c>
      <c r="K22">
        <f t="shared" si="3"/>
        <v>25.511850889836108</v>
      </c>
      <c r="L22">
        <f t="shared" si="4"/>
        <v>2.5418373988488399</v>
      </c>
      <c r="M22">
        <f t="shared" si="5"/>
        <v>1.5050949640634599</v>
      </c>
      <c r="N22">
        <f t="shared" si="6"/>
        <v>0.35435381940821759</v>
      </c>
      <c r="O22">
        <f t="shared" si="7"/>
        <v>2.2586929884464486</v>
      </c>
      <c r="P22">
        <f t="shared" si="8"/>
        <v>0.32611550363392655</v>
      </c>
      <c r="Q22">
        <f t="shared" si="9"/>
        <v>0.20617144169321444</v>
      </c>
      <c r="R22">
        <f t="shared" si="10"/>
        <v>281.57369748612666</v>
      </c>
      <c r="S22">
        <f t="shared" si="11"/>
        <v>26.954149059573638</v>
      </c>
      <c r="T22">
        <f t="shared" si="12"/>
        <v>26.9817</v>
      </c>
      <c r="U22">
        <f t="shared" si="13"/>
        <v>3.57531460070124</v>
      </c>
      <c r="V22">
        <f t="shared" si="14"/>
        <v>55.318757510009519</v>
      </c>
      <c r="W22">
        <f t="shared" si="15"/>
        <v>1.9409919386884602</v>
      </c>
      <c r="X22">
        <f t="shared" si="16"/>
        <v>3.5087410239415666</v>
      </c>
      <c r="Y22">
        <f t="shared" si="17"/>
        <v>1.6343226620127798</v>
      </c>
      <c r="Z22">
        <f t="shared" si="18"/>
        <v>-242.62421644829425</v>
      </c>
      <c r="AA22">
        <f t="shared" si="19"/>
        <v>-38.917901783242883</v>
      </c>
      <c r="AB22">
        <f t="shared" si="20"/>
        <v>-3.7118772099453672</v>
      </c>
      <c r="AC22">
        <f t="shared" si="21"/>
        <v>-3.6802979553558544</v>
      </c>
      <c r="AD22">
        <v>-4.1418185318295102E-2</v>
      </c>
      <c r="AE22">
        <v>4.6495541452103703E-2</v>
      </c>
      <c r="AF22">
        <v>3.4707744111924499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52866.685474912279</v>
      </c>
      <c r="AL22" t="s">
        <v>278</v>
      </c>
      <c r="AM22">
        <v>602.34923076923099</v>
      </c>
      <c r="AN22">
        <v>3447.2</v>
      </c>
      <c r="AO22">
        <f t="shared" si="25"/>
        <v>2844.8507692307689</v>
      </c>
      <c r="AP22">
        <f t="shared" si="26"/>
        <v>0.82526420550904189</v>
      </c>
      <c r="AQ22">
        <v>-2.3039181891607399</v>
      </c>
      <c r="AR22" t="s">
        <v>310</v>
      </c>
      <c r="AS22">
        <v>852.60111538461501</v>
      </c>
      <c r="AT22">
        <v>1020.83</v>
      </c>
      <c r="AU22">
        <f t="shared" si="27"/>
        <v>0.16479618018219</v>
      </c>
      <c r="AV22">
        <v>0.5</v>
      </c>
      <c r="AW22">
        <f t="shared" si="28"/>
        <v>1471.3131000963049</v>
      </c>
      <c r="AX22">
        <f t="shared" si="29"/>
        <v>-2.2570615219168442</v>
      </c>
      <c r="AY22">
        <f t="shared" si="30"/>
        <v>121.23338937394361</v>
      </c>
      <c r="AZ22">
        <f t="shared" si="31"/>
        <v>0.39770578842706422</v>
      </c>
      <c r="BA22">
        <f t="shared" si="32"/>
        <v>3.1846836163443864E-5</v>
      </c>
      <c r="BB22">
        <f t="shared" si="33"/>
        <v>2.376860006073489</v>
      </c>
      <c r="BC22" t="s">
        <v>311</v>
      </c>
      <c r="BD22">
        <v>614.84</v>
      </c>
      <c r="BE22">
        <f t="shared" si="34"/>
        <v>405.99</v>
      </c>
      <c r="BF22">
        <f t="shared" si="35"/>
        <v>0.41436706474392232</v>
      </c>
      <c r="BG22">
        <f t="shared" si="36"/>
        <v>0.85666017031733255</v>
      </c>
      <c r="BH22">
        <f t="shared" si="37"/>
        <v>0.40199908092459102</v>
      </c>
      <c r="BI22">
        <f t="shared" si="38"/>
        <v>0.85289886775188428</v>
      </c>
      <c r="BJ22">
        <v>1608</v>
      </c>
      <c r="BK22">
        <v>300</v>
      </c>
      <c r="BL22">
        <v>300</v>
      </c>
      <c r="BM22">
        <v>300</v>
      </c>
      <c r="BN22">
        <v>10288.700000000001</v>
      </c>
      <c r="BO22">
        <v>988.524</v>
      </c>
      <c r="BP22">
        <v>-7.0657899999999997E-3</v>
      </c>
      <c r="BQ22">
        <v>3.5325899999999999</v>
      </c>
      <c r="BR22">
        <f t="shared" si="39"/>
        <v>1750.13</v>
      </c>
      <c r="BS22">
        <f t="shared" si="40"/>
        <v>1471.3131000963049</v>
      </c>
      <c r="BT22">
        <f t="shared" si="41"/>
        <v>0.84068789181163961</v>
      </c>
      <c r="BU22">
        <f t="shared" si="42"/>
        <v>0.19137578362327926</v>
      </c>
      <c r="BV22" t="s">
        <v>281</v>
      </c>
      <c r="BW22">
        <v>1566591975.9000001</v>
      </c>
      <c r="BX22">
        <v>15.106299999999999</v>
      </c>
      <c r="BY22">
        <v>12.4976</v>
      </c>
      <c r="BZ22">
        <v>19.481300000000001</v>
      </c>
      <c r="CA22">
        <v>13.007999999999999</v>
      </c>
      <c r="CB22">
        <v>500.00799999999998</v>
      </c>
      <c r="CC22">
        <v>99.533600000000007</v>
      </c>
      <c r="CD22">
        <v>9.9994200000000005E-2</v>
      </c>
      <c r="CE22">
        <v>26.662099999999999</v>
      </c>
      <c r="CF22">
        <v>26.9817</v>
      </c>
      <c r="CG22">
        <v>999.9</v>
      </c>
      <c r="CH22">
        <v>10035</v>
      </c>
      <c r="CI22">
        <v>0</v>
      </c>
      <c r="CJ22">
        <v>1582.88</v>
      </c>
      <c r="CK22">
        <v>1750.13</v>
      </c>
      <c r="CL22">
        <v>0.97700600000000004</v>
      </c>
      <c r="CM22">
        <v>2.2994500000000001E-2</v>
      </c>
      <c r="CN22">
        <v>0</v>
      </c>
      <c r="CO22">
        <v>852.44500000000005</v>
      </c>
      <c r="CP22">
        <v>4.99986</v>
      </c>
      <c r="CQ22">
        <v>18334.8</v>
      </c>
      <c r="CR22">
        <v>14221.8</v>
      </c>
      <c r="CS22">
        <v>44.186999999999998</v>
      </c>
      <c r="CT22">
        <v>45.561999999999998</v>
      </c>
      <c r="CU22">
        <v>44.625</v>
      </c>
      <c r="CV22">
        <v>45.561999999999998</v>
      </c>
      <c r="CW22">
        <v>46</v>
      </c>
      <c r="CX22">
        <v>1705</v>
      </c>
      <c r="CY22">
        <v>40.130000000000003</v>
      </c>
      <c r="CZ22">
        <v>0</v>
      </c>
      <c r="DA22">
        <v>111.200000047684</v>
      </c>
      <c r="DB22">
        <v>852.60111538461501</v>
      </c>
      <c r="DC22">
        <v>0.23353845957984101</v>
      </c>
      <c r="DD22">
        <v>356.55726562879602</v>
      </c>
      <c r="DE22">
        <v>18269.55</v>
      </c>
      <c r="DF22">
        <v>15</v>
      </c>
      <c r="DG22">
        <v>1566592012.4000001</v>
      </c>
      <c r="DH22" t="s">
        <v>312</v>
      </c>
      <c r="DI22">
        <v>77</v>
      </c>
      <c r="DJ22">
        <v>-0.371</v>
      </c>
      <c r="DK22">
        <v>5.7000000000000002E-2</v>
      </c>
      <c r="DL22">
        <v>12</v>
      </c>
      <c r="DM22">
        <v>13</v>
      </c>
      <c r="DN22">
        <v>0.26</v>
      </c>
      <c r="DO22">
        <v>0.01</v>
      </c>
      <c r="DP22">
        <v>-2.3581089022635902</v>
      </c>
      <c r="DQ22">
        <v>0.28826181596566902</v>
      </c>
      <c r="DR22">
        <v>6.7666653488631295E-2</v>
      </c>
      <c r="DS22">
        <v>1</v>
      </c>
      <c r="DT22">
        <v>0.34426493012244602</v>
      </c>
      <c r="DU22">
        <v>3.2498750163638901E-2</v>
      </c>
      <c r="DV22">
        <v>6.26865412729257E-3</v>
      </c>
      <c r="DW22">
        <v>1</v>
      </c>
      <c r="DX22">
        <v>2</v>
      </c>
      <c r="DY22">
        <v>2</v>
      </c>
      <c r="DZ22" t="s">
        <v>283</v>
      </c>
      <c r="EA22">
        <v>1.86676</v>
      </c>
      <c r="EB22">
        <v>1.86324</v>
      </c>
      <c r="EC22">
        <v>1.8689</v>
      </c>
      <c r="ED22">
        <v>1.86683</v>
      </c>
      <c r="EE22">
        <v>1.8714900000000001</v>
      </c>
      <c r="EF22">
        <v>1.8640099999999999</v>
      </c>
      <c r="EG22">
        <v>1.86554</v>
      </c>
      <c r="EH22">
        <v>1.86551</v>
      </c>
      <c r="EI22" t="s">
        <v>284</v>
      </c>
      <c r="EJ22" t="s">
        <v>19</v>
      </c>
      <c r="EK22" t="s">
        <v>19</v>
      </c>
      <c r="EL22" t="s">
        <v>19</v>
      </c>
      <c r="EM22" t="s">
        <v>285</v>
      </c>
      <c r="EN22" t="s">
        <v>286</v>
      </c>
      <c r="EO22" t="s">
        <v>287</v>
      </c>
      <c r="EP22" t="s">
        <v>287</v>
      </c>
      <c r="EQ22" t="s">
        <v>287</v>
      </c>
      <c r="ER22" t="s">
        <v>287</v>
      </c>
      <c r="ES22">
        <v>0</v>
      </c>
      <c r="ET22">
        <v>100</v>
      </c>
      <c r="EU22">
        <v>100</v>
      </c>
      <c r="EV22">
        <v>-0.371</v>
      </c>
      <c r="EW22">
        <v>5.7000000000000002E-2</v>
      </c>
      <c r="EX22">
        <v>2</v>
      </c>
      <c r="EY22">
        <v>509.31700000000001</v>
      </c>
      <c r="EZ22">
        <v>508.97300000000001</v>
      </c>
      <c r="FA22">
        <v>22.5547</v>
      </c>
      <c r="FB22">
        <v>31.3781</v>
      </c>
      <c r="FC22">
        <v>29.9998</v>
      </c>
      <c r="FD22">
        <v>31.396899999999999</v>
      </c>
      <c r="FE22">
        <v>31.3843</v>
      </c>
      <c r="FF22">
        <v>3.8115299999999999</v>
      </c>
      <c r="FG22">
        <v>57.141199999999998</v>
      </c>
      <c r="FH22">
        <v>0</v>
      </c>
      <c r="FI22">
        <v>22.5688</v>
      </c>
      <c r="FJ22">
        <v>12.5</v>
      </c>
      <c r="FK22">
        <v>12.9412</v>
      </c>
      <c r="FL22">
        <v>101.02</v>
      </c>
      <c r="FM22">
        <v>101.566</v>
      </c>
    </row>
    <row r="23" spans="1:169" x14ac:dyDescent="0.35">
      <c r="A23">
        <v>8</v>
      </c>
      <c r="B23">
        <v>1566592197.9000001</v>
      </c>
      <c r="C23">
        <v>805.60000014305103</v>
      </c>
      <c r="D23" t="s">
        <v>313</v>
      </c>
      <c r="E23" t="s">
        <v>314</v>
      </c>
      <c r="G23">
        <v>1566592197.9000001</v>
      </c>
      <c r="H23">
        <f t="shared" si="0"/>
        <v>5.7501020552913167E-3</v>
      </c>
      <c r="I23">
        <f t="shared" si="1"/>
        <v>26.553334059130229</v>
      </c>
      <c r="J23">
        <f t="shared" si="2"/>
        <v>365.56200000000001</v>
      </c>
      <c r="K23">
        <f t="shared" si="3"/>
        <v>233.74074754128313</v>
      </c>
      <c r="L23">
        <f t="shared" si="4"/>
        <v>23.288364686649448</v>
      </c>
      <c r="M23">
        <f t="shared" si="5"/>
        <v>36.422152582006802</v>
      </c>
      <c r="N23">
        <f t="shared" si="6"/>
        <v>0.36984289469878384</v>
      </c>
      <c r="O23">
        <f t="shared" si="7"/>
        <v>2.2537228057560128</v>
      </c>
      <c r="P23">
        <f t="shared" si="8"/>
        <v>0.33913470376412969</v>
      </c>
      <c r="Q23">
        <f t="shared" si="9"/>
        <v>0.21450532074238265</v>
      </c>
      <c r="R23">
        <f t="shared" si="10"/>
        <v>281.56036773639966</v>
      </c>
      <c r="S23">
        <f t="shared" si="11"/>
        <v>27.270254074295572</v>
      </c>
      <c r="T23">
        <f t="shared" si="12"/>
        <v>27.101400000000002</v>
      </c>
      <c r="U23">
        <f t="shared" si="13"/>
        <v>3.6005307691357906</v>
      </c>
      <c r="V23">
        <f t="shared" si="14"/>
        <v>54.522675100288453</v>
      </c>
      <c r="W23">
        <f t="shared" si="15"/>
        <v>1.9583525155538402</v>
      </c>
      <c r="X23">
        <f t="shared" si="16"/>
        <v>3.5918129694694301</v>
      </c>
      <c r="Y23">
        <f t="shared" si="17"/>
        <v>1.6421782535819505</v>
      </c>
      <c r="Z23">
        <f t="shared" si="18"/>
        <v>-253.57950063834707</v>
      </c>
      <c r="AA23">
        <f t="shared" si="19"/>
        <v>-5.0180616712322124</v>
      </c>
      <c r="AB23">
        <f t="shared" si="20"/>
        <v>-0.48090701773437788</v>
      </c>
      <c r="AC23">
        <f t="shared" si="21"/>
        <v>22.481898409086021</v>
      </c>
      <c r="AD23">
        <v>-4.1284045704658399E-2</v>
      </c>
      <c r="AE23">
        <v>4.6344957984520901E-2</v>
      </c>
      <c r="AF23">
        <v>3.4618787032165899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52632.627598603547</v>
      </c>
      <c r="AL23" t="s">
        <v>278</v>
      </c>
      <c r="AM23">
        <v>602.34923076923099</v>
      </c>
      <c r="AN23">
        <v>3447.2</v>
      </c>
      <c r="AO23">
        <f t="shared" si="25"/>
        <v>2844.8507692307689</v>
      </c>
      <c r="AP23">
        <f t="shared" si="26"/>
        <v>0.82526420550904189</v>
      </c>
      <c r="AQ23">
        <v>-2.3039181891607399</v>
      </c>
      <c r="AR23" t="s">
        <v>315</v>
      </c>
      <c r="AS23">
        <v>798.56296153846097</v>
      </c>
      <c r="AT23">
        <v>1163.05</v>
      </c>
      <c r="AU23">
        <f t="shared" si="27"/>
        <v>0.31338896733720734</v>
      </c>
      <c r="AV23">
        <v>0.5</v>
      </c>
      <c r="AW23">
        <f t="shared" si="28"/>
        <v>1471.2456000962854</v>
      </c>
      <c r="AX23">
        <f t="shared" si="29"/>
        <v>26.553334059130229</v>
      </c>
      <c r="AY23">
        <f t="shared" si="30"/>
        <v>230.53606965679239</v>
      </c>
      <c r="AZ23">
        <f t="shared" si="31"/>
        <v>0.53154206611925536</v>
      </c>
      <c r="BA23">
        <f t="shared" si="32"/>
        <v>1.9614163839404116E-2</v>
      </c>
      <c r="BB23">
        <f t="shared" si="33"/>
        <v>1.9639310433773267</v>
      </c>
      <c r="BC23" t="s">
        <v>316</v>
      </c>
      <c r="BD23">
        <v>544.84</v>
      </c>
      <c r="BE23">
        <f t="shared" si="34"/>
        <v>618.20999999999992</v>
      </c>
      <c r="BF23">
        <f t="shared" si="35"/>
        <v>0.58958450762934766</v>
      </c>
      <c r="BG23">
        <f t="shared" si="36"/>
        <v>0.78699747791452468</v>
      </c>
      <c r="BH23">
        <f t="shared" si="37"/>
        <v>0.65005624829368869</v>
      </c>
      <c r="BI23">
        <f t="shared" si="38"/>
        <v>0.80290679029804457</v>
      </c>
      <c r="BJ23">
        <v>1612</v>
      </c>
      <c r="BK23">
        <v>300</v>
      </c>
      <c r="BL23">
        <v>300</v>
      </c>
      <c r="BM23">
        <v>300</v>
      </c>
      <c r="BN23">
        <v>10288.200000000001</v>
      </c>
      <c r="BO23">
        <v>1076.33</v>
      </c>
      <c r="BP23">
        <v>-7.0663699999999998E-3</v>
      </c>
      <c r="BQ23">
        <v>4.1634500000000001</v>
      </c>
      <c r="BR23">
        <f t="shared" si="39"/>
        <v>1750.05</v>
      </c>
      <c r="BS23">
        <f t="shared" si="40"/>
        <v>1471.2456000962854</v>
      </c>
      <c r="BT23">
        <f t="shared" si="41"/>
        <v>0.84068775183353928</v>
      </c>
      <c r="BU23">
        <f t="shared" si="42"/>
        <v>0.19137550366707839</v>
      </c>
      <c r="BV23" t="s">
        <v>281</v>
      </c>
      <c r="BW23">
        <v>1566592197.9000001</v>
      </c>
      <c r="BX23">
        <v>365.56200000000001</v>
      </c>
      <c r="BY23">
        <v>399.952</v>
      </c>
      <c r="BZ23">
        <v>19.6556</v>
      </c>
      <c r="CA23">
        <v>12.8904</v>
      </c>
      <c r="CB23">
        <v>499.94799999999998</v>
      </c>
      <c r="CC23">
        <v>99.533600000000007</v>
      </c>
      <c r="CD23">
        <v>9.9711400000000006E-2</v>
      </c>
      <c r="CE23">
        <v>27.060099999999998</v>
      </c>
      <c r="CF23">
        <v>27.101400000000002</v>
      </c>
      <c r="CG23">
        <v>999.9</v>
      </c>
      <c r="CH23">
        <v>10002.5</v>
      </c>
      <c r="CI23">
        <v>0</v>
      </c>
      <c r="CJ23">
        <v>179.018</v>
      </c>
      <c r="CK23">
        <v>1750.05</v>
      </c>
      <c r="CL23">
        <v>0.97701000000000005</v>
      </c>
      <c r="CM23">
        <v>2.2990400000000001E-2</v>
      </c>
      <c r="CN23">
        <v>0</v>
      </c>
      <c r="CO23">
        <v>799.11599999999999</v>
      </c>
      <c r="CP23">
        <v>4.99986</v>
      </c>
      <c r="CQ23">
        <v>16443.7</v>
      </c>
      <c r="CR23">
        <v>14221.2</v>
      </c>
      <c r="CS23">
        <v>44.25</v>
      </c>
      <c r="CT23">
        <v>45.625</v>
      </c>
      <c r="CU23">
        <v>44.561999999999998</v>
      </c>
      <c r="CV23">
        <v>45.625</v>
      </c>
      <c r="CW23">
        <v>46.061999999999998</v>
      </c>
      <c r="CX23">
        <v>1704.93</v>
      </c>
      <c r="CY23">
        <v>40.119999999999997</v>
      </c>
      <c r="CZ23">
        <v>0</v>
      </c>
      <c r="DA23">
        <v>99.700000047683702</v>
      </c>
      <c r="DB23">
        <v>798.56296153846097</v>
      </c>
      <c r="DC23">
        <v>3.4513846182943602</v>
      </c>
      <c r="DD23">
        <v>-4803.1794878321998</v>
      </c>
      <c r="DE23">
        <v>16847.4153846154</v>
      </c>
      <c r="DF23">
        <v>15</v>
      </c>
      <c r="DG23">
        <v>1566592229.4000001</v>
      </c>
      <c r="DH23" t="s">
        <v>317</v>
      </c>
      <c r="DI23">
        <v>79</v>
      </c>
      <c r="DJ23">
        <v>-0.22500000000000001</v>
      </c>
      <c r="DK23">
        <v>5.6000000000000001E-2</v>
      </c>
      <c r="DL23">
        <v>400</v>
      </c>
      <c r="DM23">
        <v>13</v>
      </c>
      <c r="DN23">
        <v>0.03</v>
      </c>
      <c r="DO23">
        <v>0.01</v>
      </c>
      <c r="DP23">
        <v>26.592683294795599</v>
      </c>
      <c r="DQ23">
        <v>-0.206137595456925</v>
      </c>
      <c r="DR23">
        <v>4.9989814333660898E-2</v>
      </c>
      <c r="DS23">
        <v>1</v>
      </c>
      <c r="DT23">
        <v>0.38349975092487698</v>
      </c>
      <c r="DU23">
        <v>-3.43657749515714E-2</v>
      </c>
      <c r="DV23">
        <v>6.6265358683674901E-3</v>
      </c>
      <c r="DW23">
        <v>1</v>
      </c>
      <c r="DX23">
        <v>2</v>
      </c>
      <c r="DY23">
        <v>2</v>
      </c>
      <c r="DZ23" t="s">
        <v>283</v>
      </c>
      <c r="EA23">
        <v>1.8667499999999999</v>
      </c>
      <c r="EB23">
        <v>1.8632500000000001</v>
      </c>
      <c r="EC23">
        <v>1.8688800000000001</v>
      </c>
      <c r="ED23">
        <v>1.8667899999999999</v>
      </c>
      <c r="EE23">
        <v>1.8714900000000001</v>
      </c>
      <c r="EF23">
        <v>1.8640099999999999</v>
      </c>
      <c r="EG23">
        <v>1.86554</v>
      </c>
      <c r="EH23">
        <v>1.8655200000000001</v>
      </c>
      <c r="EI23" t="s">
        <v>284</v>
      </c>
      <c r="EJ23" t="s">
        <v>19</v>
      </c>
      <c r="EK23" t="s">
        <v>19</v>
      </c>
      <c r="EL23" t="s">
        <v>19</v>
      </c>
      <c r="EM23" t="s">
        <v>285</v>
      </c>
      <c r="EN23" t="s">
        <v>286</v>
      </c>
      <c r="EO23" t="s">
        <v>287</v>
      </c>
      <c r="EP23" t="s">
        <v>287</v>
      </c>
      <c r="EQ23" t="s">
        <v>287</v>
      </c>
      <c r="ER23" t="s">
        <v>287</v>
      </c>
      <c r="ES23">
        <v>0</v>
      </c>
      <c r="ET23">
        <v>100</v>
      </c>
      <c r="EU23">
        <v>100</v>
      </c>
      <c r="EV23">
        <v>-0.22500000000000001</v>
      </c>
      <c r="EW23">
        <v>5.6000000000000001E-2</v>
      </c>
      <c r="EX23">
        <v>2</v>
      </c>
      <c r="EY23">
        <v>509.14299999999997</v>
      </c>
      <c r="EZ23">
        <v>510.75799999999998</v>
      </c>
      <c r="FA23">
        <v>22.553599999999999</v>
      </c>
      <c r="FB23">
        <v>31.3644</v>
      </c>
      <c r="FC23">
        <v>30.000599999999999</v>
      </c>
      <c r="FD23">
        <v>31.396899999999999</v>
      </c>
      <c r="FE23">
        <v>31.3871</v>
      </c>
      <c r="FF23">
        <v>22.033200000000001</v>
      </c>
      <c r="FG23">
        <v>56.831200000000003</v>
      </c>
      <c r="FH23">
        <v>0</v>
      </c>
      <c r="FI23">
        <v>22.5382</v>
      </c>
      <c r="FJ23">
        <v>400</v>
      </c>
      <c r="FK23">
        <v>13.042899999999999</v>
      </c>
      <c r="FL23">
        <v>101.011</v>
      </c>
      <c r="FM23">
        <v>101.55800000000001</v>
      </c>
    </row>
    <row r="24" spans="1:169" x14ac:dyDescent="0.35">
      <c r="A24">
        <v>9</v>
      </c>
      <c r="B24">
        <v>1566592320.9000001</v>
      </c>
      <c r="C24">
        <v>928.60000014305103</v>
      </c>
      <c r="D24" t="s">
        <v>318</v>
      </c>
      <c r="E24" t="s">
        <v>319</v>
      </c>
      <c r="G24">
        <v>1566592320.9000001</v>
      </c>
      <c r="H24">
        <f t="shared" si="0"/>
        <v>5.0836682642242071E-3</v>
      </c>
      <c r="I24">
        <f t="shared" si="1"/>
        <v>31.52179524823546</v>
      </c>
      <c r="J24">
        <f t="shared" si="2"/>
        <v>459.30399999999997</v>
      </c>
      <c r="K24">
        <f t="shared" si="3"/>
        <v>283.64246216813649</v>
      </c>
      <c r="L24">
        <f t="shared" si="4"/>
        <v>28.258574082963062</v>
      </c>
      <c r="M24">
        <f t="shared" si="5"/>
        <v>45.759284457584002</v>
      </c>
      <c r="N24">
        <f t="shared" si="6"/>
        <v>0.32508701250423516</v>
      </c>
      <c r="O24">
        <f t="shared" si="7"/>
        <v>2.2537192698104622</v>
      </c>
      <c r="P24">
        <f t="shared" si="8"/>
        <v>0.30110319669689883</v>
      </c>
      <c r="Q24">
        <f t="shared" si="9"/>
        <v>0.19019668355679181</v>
      </c>
      <c r="R24">
        <f t="shared" si="10"/>
        <v>281.54600382155371</v>
      </c>
      <c r="S24">
        <f t="shared" si="11"/>
        <v>27.247074134772738</v>
      </c>
      <c r="T24">
        <f t="shared" si="12"/>
        <v>27.006599999999999</v>
      </c>
      <c r="U24">
        <f t="shared" si="13"/>
        <v>3.5805473327250863</v>
      </c>
      <c r="V24">
        <f t="shared" si="14"/>
        <v>54.936423702835022</v>
      </c>
      <c r="W24">
        <f t="shared" si="15"/>
        <v>1.9451362184486001</v>
      </c>
      <c r="X24">
        <f t="shared" si="16"/>
        <v>3.5407041218597199</v>
      </c>
      <c r="Y24">
        <f t="shared" si="17"/>
        <v>1.6354111142764862</v>
      </c>
      <c r="Z24">
        <f t="shared" si="18"/>
        <v>-224.18977045228755</v>
      </c>
      <c r="AA24">
        <f t="shared" si="19"/>
        <v>-23.134078527373763</v>
      </c>
      <c r="AB24">
        <f t="shared" si="20"/>
        <v>-2.213311606263614</v>
      </c>
      <c r="AC24">
        <f t="shared" si="21"/>
        <v>32.008843235628774</v>
      </c>
      <c r="AD24">
        <v>-4.1283950369238598E-2</v>
      </c>
      <c r="AE24">
        <v>4.6344850962160303E-2</v>
      </c>
      <c r="AF24">
        <v>3.4618723773300899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52675.193160368188</v>
      </c>
      <c r="AL24" t="s">
        <v>278</v>
      </c>
      <c r="AM24">
        <v>602.34923076923099</v>
      </c>
      <c r="AN24">
        <v>3447.2</v>
      </c>
      <c r="AO24">
        <f t="shared" si="25"/>
        <v>2844.8507692307689</v>
      </c>
      <c r="AP24">
        <f t="shared" si="26"/>
        <v>0.82526420550904189</v>
      </c>
      <c r="AQ24">
        <v>-2.3039181891607399</v>
      </c>
      <c r="AR24" t="s">
        <v>320</v>
      </c>
      <c r="AS24">
        <v>817.41192307692302</v>
      </c>
      <c r="AT24">
        <v>1241.97</v>
      </c>
      <c r="AU24">
        <f t="shared" si="27"/>
        <v>0.34184245748534747</v>
      </c>
      <c r="AV24">
        <v>0.5</v>
      </c>
      <c r="AW24">
        <f t="shared" si="28"/>
        <v>1471.1700000962903</v>
      </c>
      <c r="AX24">
        <f t="shared" si="29"/>
        <v>31.52179524823546</v>
      </c>
      <c r="AY24">
        <f t="shared" si="30"/>
        <v>251.45418410581738</v>
      </c>
      <c r="AZ24">
        <f t="shared" si="31"/>
        <v>0.55509392336368835</v>
      </c>
      <c r="BA24">
        <f t="shared" si="32"/>
        <v>2.299238934669838E-2</v>
      </c>
      <c r="BB24">
        <f t="shared" si="33"/>
        <v>1.7755903926825927</v>
      </c>
      <c r="BC24" t="s">
        <v>321</v>
      </c>
      <c r="BD24">
        <v>552.55999999999995</v>
      </c>
      <c r="BE24">
        <f t="shared" si="34"/>
        <v>689.41000000000008</v>
      </c>
      <c r="BF24">
        <f t="shared" si="35"/>
        <v>0.61582813844167761</v>
      </c>
      <c r="BG24">
        <f t="shared" si="36"/>
        <v>0.76183221402315993</v>
      </c>
      <c r="BH24">
        <f t="shared" si="37"/>
        <v>0.66376530804912082</v>
      </c>
      <c r="BI24">
        <f t="shared" si="38"/>
        <v>0.77516544060983583</v>
      </c>
      <c r="BJ24">
        <v>1614</v>
      </c>
      <c r="BK24">
        <v>300</v>
      </c>
      <c r="BL24">
        <v>300</v>
      </c>
      <c r="BM24">
        <v>300</v>
      </c>
      <c r="BN24">
        <v>10288.700000000001</v>
      </c>
      <c r="BO24">
        <v>1141.2</v>
      </c>
      <c r="BP24">
        <v>-7.0667000000000004E-3</v>
      </c>
      <c r="BQ24">
        <v>3.50366</v>
      </c>
      <c r="BR24">
        <f t="shared" si="39"/>
        <v>1749.96</v>
      </c>
      <c r="BS24">
        <f t="shared" si="40"/>
        <v>1471.1700000962903</v>
      </c>
      <c r="BT24">
        <f t="shared" si="41"/>
        <v>0.84068778720444481</v>
      </c>
      <c r="BU24">
        <f t="shared" si="42"/>
        <v>0.19137557440888958</v>
      </c>
      <c r="BV24" t="s">
        <v>281</v>
      </c>
      <c r="BW24">
        <v>1566592320.9000001</v>
      </c>
      <c r="BX24">
        <v>459.30399999999997</v>
      </c>
      <c r="BY24">
        <v>499.92599999999999</v>
      </c>
      <c r="BZ24">
        <v>19.524100000000001</v>
      </c>
      <c r="CA24">
        <v>13.543699999999999</v>
      </c>
      <c r="CB24">
        <v>500.07499999999999</v>
      </c>
      <c r="CC24">
        <v>99.5274</v>
      </c>
      <c r="CD24">
        <v>0.100046</v>
      </c>
      <c r="CE24">
        <v>26.816199999999998</v>
      </c>
      <c r="CF24">
        <v>27.006599999999999</v>
      </c>
      <c r="CG24">
        <v>999.9</v>
      </c>
      <c r="CH24">
        <v>10003.1</v>
      </c>
      <c r="CI24">
        <v>0</v>
      </c>
      <c r="CJ24">
        <v>1532.24</v>
      </c>
      <c r="CK24">
        <v>1749.96</v>
      </c>
      <c r="CL24">
        <v>0.97700600000000004</v>
      </c>
      <c r="CM24">
        <v>2.2994500000000001E-2</v>
      </c>
      <c r="CN24">
        <v>0</v>
      </c>
      <c r="CO24">
        <v>817.40800000000002</v>
      </c>
      <c r="CP24">
        <v>4.99986</v>
      </c>
      <c r="CQ24">
        <v>17550.8</v>
      </c>
      <c r="CR24">
        <v>14220.4</v>
      </c>
      <c r="CS24">
        <v>44.25</v>
      </c>
      <c r="CT24">
        <v>45.686999999999998</v>
      </c>
      <c r="CU24">
        <v>44.686999999999998</v>
      </c>
      <c r="CV24">
        <v>45.686999999999998</v>
      </c>
      <c r="CW24">
        <v>46.061999999999998</v>
      </c>
      <c r="CX24">
        <v>1704.84</v>
      </c>
      <c r="CY24">
        <v>40.119999999999997</v>
      </c>
      <c r="CZ24">
        <v>0</v>
      </c>
      <c r="DA24">
        <v>122.60000014305101</v>
      </c>
      <c r="DB24">
        <v>817.41192307692302</v>
      </c>
      <c r="DC24">
        <v>-0.19876923657303899</v>
      </c>
      <c r="DD24">
        <v>169.11453007903901</v>
      </c>
      <c r="DE24">
        <v>17545.884615384599</v>
      </c>
      <c r="DF24">
        <v>15</v>
      </c>
      <c r="DG24">
        <v>1566592353.4000001</v>
      </c>
      <c r="DH24" t="s">
        <v>322</v>
      </c>
      <c r="DI24">
        <v>80</v>
      </c>
      <c r="DJ24">
        <v>-0.18099999999999999</v>
      </c>
      <c r="DK24">
        <v>6.7000000000000004E-2</v>
      </c>
      <c r="DL24">
        <v>500</v>
      </c>
      <c r="DM24">
        <v>14</v>
      </c>
      <c r="DN24">
        <v>0.04</v>
      </c>
      <c r="DO24">
        <v>0.01</v>
      </c>
      <c r="DP24">
        <v>31.788094612704601</v>
      </c>
      <c r="DQ24">
        <v>-0.408343647923327</v>
      </c>
      <c r="DR24">
        <v>8.7036549156183196E-2</v>
      </c>
      <c r="DS24">
        <v>0</v>
      </c>
      <c r="DT24">
        <v>0.32876184540207398</v>
      </c>
      <c r="DU24">
        <v>-1.72097133622372E-2</v>
      </c>
      <c r="DV24">
        <v>3.33755746924507E-3</v>
      </c>
      <c r="DW24">
        <v>1</v>
      </c>
      <c r="DX24">
        <v>1</v>
      </c>
      <c r="DY24">
        <v>2</v>
      </c>
      <c r="DZ24" t="s">
        <v>323</v>
      </c>
      <c r="EA24">
        <v>1.8667499999999999</v>
      </c>
      <c r="EB24">
        <v>1.8632500000000001</v>
      </c>
      <c r="EC24">
        <v>1.8689</v>
      </c>
      <c r="ED24">
        <v>1.8668</v>
      </c>
      <c r="EE24">
        <v>1.8714900000000001</v>
      </c>
      <c r="EF24">
        <v>1.8640099999999999</v>
      </c>
      <c r="EG24">
        <v>1.86554</v>
      </c>
      <c r="EH24">
        <v>1.86548</v>
      </c>
      <c r="EI24" t="s">
        <v>284</v>
      </c>
      <c r="EJ24" t="s">
        <v>19</v>
      </c>
      <c r="EK24" t="s">
        <v>19</v>
      </c>
      <c r="EL24" t="s">
        <v>19</v>
      </c>
      <c r="EM24" t="s">
        <v>285</v>
      </c>
      <c r="EN24" t="s">
        <v>286</v>
      </c>
      <c r="EO24" t="s">
        <v>287</v>
      </c>
      <c r="EP24" t="s">
        <v>287</v>
      </c>
      <c r="EQ24" t="s">
        <v>287</v>
      </c>
      <c r="ER24" t="s">
        <v>287</v>
      </c>
      <c r="ES24">
        <v>0</v>
      </c>
      <c r="ET24">
        <v>100</v>
      </c>
      <c r="EU24">
        <v>100</v>
      </c>
      <c r="EV24">
        <v>-0.18099999999999999</v>
      </c>
      <c r="EW24">
        <v>6.7000000000000004E-2</v>
      </c>
      <c r="EX24">
        <v>2</v>
      </c>
      <c r="EY24">
        <v>508.9</v>
      </c>
      <c r="EZ24">
        <v>511.43200000000002</v>
      </c>
      <c r="FA24">
        <v>22.45</v>
      </c>
      <c r="FB24">
        <v>31.3809</v>
      </c>
      <c r="FC24">
        <v>30.0002</v>
      </c>
      <c r="FD24">
        <v>31.407900000000001</v>
      </c>
      <c r="FE24">
        <v>31.400700000000001</v>
      </c>
      <c r="FF24">
        <v>26.339400000000001</v>
      </c>
      <c r="FG24">
        <v>54.134700000000002</v>
      </c>
      <c r="FH24">
        <v>0</v>
      </c>
      <c r="FI24">
        <v>22.442</v>
      </c>
      <c r="FJ24">
        <v>500</v>
      </c>
      <c r="FK24">
        <v>13.6564</v>
      </c>
      <c r="FL24">
        <v>101.012</v>
      </c>
      <c r="FM24">
        <v>101.55500000000001</v>
      </c>
    </row>
    <row r="25" spans="1:169" x14ac:dyDescent="0.35">
      <c r="A25">
        <v>10</v>
      </c>
      <c r="B25">
        <v>1566592444.9000001</v>
      </c>
      <c r="C25">
        <v>1052.60000014305</v>
      </c>
      <c r="D25" t="s">
        <v>324</v>
      </c>
      <c r="E25" t="s">
        <v>325</v>
      </c>
      <c r="G25">
        <v>1566592444.9000001</v>
      </c>
      <c r="H25">
        <f t="shared" si="0"/>
        <v>4.6811911406062527E-3</v>
      </c>
      <c r="I25">
        <f t="shared" si="1"/>
        <v>35.956198635926519</v>
      </c>
      <c r="J25">
        <f t="shared" si="2"/>
        <v>553.69399999999996</v>
      </c>
      <c r="K25">
        <f t="shared" si="3"/>
        <v>335.11304449959954</v>
      </c>
      <c r="L25">
        <f t="shared" si="4"/>
        <v>33.38524330044531</v>
      </c>
      <c r="M25">
        <f t="shared" si="5"/>
        <v>55.161114159549996</v>
      </c>
      <c r="N25">
        <f t="shared" si="6"/>
        <v>0.29573502259849482</v>
      </c>
      <c r="O25">
        <f t="shared" si="7"/>
        <v>2.2520408035949924</v>
      </c>
      <c r="P25">
        <f t="shared" si="8"/>
        <v>0.27573011110028306</v>
      </c>
      <c r="Q25">
        <f t="shared" si="9"/>
        <v>0.17401578458680872</v>
      </c>
      <c r="R25">
        <f t="shared" si="10"/>
        <v>281.53323589725363</v>
      </c>
      <c r="S25">
        <f t="shared" si="11"/>
        <v>27.266255066026147</v>
      </c>
      <c r="T25">
        <f t="shared" si="12"/>
        <v>27.009399999999999</v>
      </c>
      <c r="U25">
        <f t="shared" si="13"/>
        <v>3.581136170323977</v>
      </c>
      <c r="V25">
        <f t="shared" si="14"/>
        <v>55.065556499120184</v>
      </c>
      <c r="W25">
        <f t="shared" si="15"/>
        <v>1.9366174213225</v>
      </c>
      <c r="X25">
        <f t="shared" si="16"/>
        <v>3.5169306267765452</v>
      </c>
      <c r="Y25">
        <f t="shared" si="17"/>
        <v>1.644518749001477</v>
      </c>
      <c r="Z25">
        <f t="shared" si="18"/>
        <v>-206.44052930073573</v>
      </c>
      <c r="AA25">
        <f t="shared" si="19"/>
        <v>-37.358479724310321</v>
      </c>
      <c r="AB25">
        <f t="shared" si="20"/>
        <v>-3.5748723305372052</v>
      </c>
      <c r="AC25">
        <f t="shared" si="21"/>
        <v>34.159354541670346</v>
      </c>
      <c r="AD25">
        <v>-4.1238711246482797E-2</v>
      </c>
      <c r="AE25">
        <v>4.62940660837022E-2</v>
      </c>
      <c r="AF25">
        <v>3.4588700119661602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52639.851910094199</v>
      </c>
      <c r="AL25" t="s">
        <v>278</v>
      </c>
      <c r="AM25">
        <v>602.34923076923099</v>
      </c>
      <c r="AN25">
        <v>3447.2</v>
      </c>
      <c r="AO25">
        <f t="shared" si="25"/>
        <v>2844.8507692307689</v>
      </c>
      <c r="AP25">
        <f t="shared" si="26"/>
        <v>0.82526420550904189</v>
      </c>
      <c r="AQ25">
        <v>-2.3039181891607399</v>
      </c>
      <c r="AR25" t="s">
        <v>326</v>
      </c>
      <c r="AS25">
        <v>835.45161538461502</v>
      </c>
      <c r="AT25">
        <v>1302.28</v>
      </c>
      <c r="AU25">
        <f t="shared" si="27"/>
        <v>0.35847005606734728</v>
      </c>
      <c r="AV25">
        <v>0.5</v>
      </c>
      <c r="AW25">
        <f t="shared" si="28"/>
        <v>1471.1028000962947</v>
      </c>
      <c r="AX25">
        <f t="shared" si="29"/>
        <v>35.956198635926519</v>
      </c>
      <c r="AY25">
        <f t="shared" si="30"/>
        <v>263.67315161567518</v>
      </c>
      <c r="AZ25">
        <f t="shared" si="31"/>
        <v>0.56993887643210372</v>
      </c>
      <c r="BA25">
        <f t="shared" si="32"/>
        <v>2.6007779213378459E-2</v>
      </c>
      <c r="BB25">
        <f t="shared" si="33"/>
        <v>1.6470497895997789</v>
      </c>
      <c r="BC25" t="s">
        <v>327</v>
      </c>
      <c r="BD25">
        <v>560.05999999999995</v>
      </c>
      <c r="BE25">
        <f t="shared" si="34"/>
        <v>742.22</v>
      </c>
      <c r="BF25">
        <f t="shared" si="35"/>
        <v>0.62896228155450529</v>
      </c>
      <c r="BG25">
        <f t="shared" si="36"/>
        <v>0.74292206127863569</v>
      </c>
      <c r="BH25">
        <f t="shared" si="37"/>
        <v>0.66696365574617344</v>
      </c>
      <c r="BI25">
        <f t="shared" si="38"/>
        <v>0.75396573458226557</v>
      </c>
      <c r="BJ25">
        <v>1616</v>
      </c>
      <c r="BK25">
        <v>300</v>
      </c>
      <c r="BL25">
        <v>300</v>
      </c>
      <c r="BM25">
        <v>300</v>
      </c>
      <c r="BN25">
        <v>10288.700000000001</v>
      </c>
      <c r="BO25">
        <v>1196.3</v>
      </c>
      <c r="BP25">
        <v>-7.0669000000000001E-3</v>
      </c>
      <c r="BQ25">
        <v>6.1318400000000004</v>
      </c>
      <c r="BR25">
        <f t="shared" si="39"/>
        <v>1749.88</v>
      </c>
      <c r="BS25">
        <f t="shared" si="40"/>
        <v>1471.1028000962947</v>
      </c>
      <c r="BT25">
        <f t="shared" si="41"/>
        <v>0.84068781864830422</v>
      </c>
      <c r="BU25">
        <f t="shared" si="42"/>
        <v>0.1913756372966085</v>
      </c>
      <c r="BV25" t="s">
        <v>281</v>
      </c>
      <c r="BW25">
        <v>1566592444.9000001</v>
      </c>
      <c r="BX25">
        <v>553.69399999999996</v>
      </c>
      <c r="BY25">
        <v>599.94899999999996</v>
      </c>
      <c r="BZ25">
        <v>19.439299999999999</v>
      </c>
      <c r="CA25">
        <v>13.9314</v>
      </c>
      <c r="CB25">
        <v>500.03</v>
      </c>
      <c r="CC25">
        <v>99.523799999999994</v>
      </c>
      <c r="CD25">
        <v>0.100025</v>
      </c>
      <c r="CE25">
        <v>26.701699999999999</v>
      </c>
      <c r="CF25">
        <v>27.009399999999999</v>
      </c>
      <c r="CG25">
        <v>999.9</v>
      </c>
      <c r="CH25">
        <v>9992.5</v>
      </c>
      <c r="CI25">
        <v>0</v>
      </c>
      <c r="CJ25">
        <v>1376.7</v>
      </c>
      <c r="CK25">
        <v>1749.88</v>
      </c>
      <c r="CL25">
        <v>0.97700600000000004</v>
      </c>
      <c r="CM25">
        <v>2.2994500000000001E-2</v>
      </c>
      <c r="CN25">
        <v>0</v>
      </c>
      <c r="CO25">
        <v>834.81100000000004</v>
      </c>
      <c r="CP25">
        <v>4.99986</v>
      </c>
      <c r="CQ25">
        <v>17618.400000000001</v>
      </c>
      <c r="CR25">
        <v>14219.8</v>
      </c>
      <c r="CS25">
        <v>44.311999999999998</v>
      </c>
      <c r="CT25">
        <v>45.686999999999998</v>
      </c>
      <c r="CU25">
        <v>44.75</v>
      </c>
      <c r="CV25">
        <v>45.686999999999998</v>
      </c>
      <c r="CW25">
        <v>46.125</v>
      </c>
      <c r="CX25">
        <v>1704.76</v>
      </c>
      <c r="CY25">
        <v>40.119999999999997</v>
      </c>
      <c r="CZ25">
        <v>0</v>
      </c>
      <c r="DA25">
        <v>123.700000047684</v>
      </c>
      <c r="DB25">
        <v>835.45161538461502</v>
      </c>
      <c r="DC25">
        <v>-3.7545299126221101</v>
      </c>
      <c r="DD25">
        <v>-344.48888941505402</v>
      </c>
      <c r="DE25">
        <v>17665.8807692308</v>
      </c>
      <c r="DF25">
        <v>15</v>
      </c>
      <c r="DG25">
        <v>1566592476.9000001</v>
      </c>
      <c r="DH25" t="s">
        <v>328</v>
      </c>
      <c r="DI25">
        <v>81</v>
      </c>
      <c r="DJ25">
        <v>-0.13300000000000001</v>
      </c>
      <c r="DK25">
        <v>6.9000000000000006E-2</v>
      </c>
      <c r="DL25">
        <v>600</v>
      </c>
      <c r="DM25">
        <v>14</v>
      </c>
      <c r="DN25">
        <v>0.02</v>
      </c>
      <c r="DO25">
        <v>0.02</v>
      </c>
      <c r="DP25">
        <v>36.273393155296802</v>
      </c>
      <c r="DQ25">
        <v>-0.61402319331298905</v>
      </c>
      <c r="DR25">
        <v>0.122248045978718</v>
      </c>
      <c r="DS25">
        <v>0</v>
      </c>
      <c r="DT25">
        <v>0.29901426090607303</v>
      </c>
      <c r="DU25">
        <v>-1.45557252778907E-2</v>
      </c>
      <c r="DV25">
        <v>3.00684922562611E-3</v>
      </c>
      <c r="DW25">
        <v>1</v>
      </c>
      <c r="DX25">
        <v>1</v>
      </c>
      <c r="DY25">
        <v>2</v>
      </c>
      <c r="DZ25" t="s">
        <v>323</v>
      </c>
      <c r="EA25">
        <v>1.8667499999999999</v>
      </c>
      <c r="EB25">
        <v>1.8632500000000001</v>
      </c>
      <c r="EC25">
        <v>1.8689</v>
      </c>
      <c r="ED25">
        <v>1.8668</v>
      </c>
      <c r="EE25">
        <v>1.8714900000000001</v>
      </c>
      <c r="EF25">
        <v>1.8640099999999999</v>
      </c>
      <c r="EG25">
        <v>1.86554</v>
      </c>
      <c r="EH25">
        <v>1.8654900000000001</v>
      </c>
      <c r="EI25" t="s">
        <v>284</v>
      </c>
      <c r="EJ25" t="s">
        <v>19</v>
      </c>
      <c r="EK25" t="s">
        <v>19</v>
      </c>
      <c r="EL25" t="s">
        <v>19</v>
      </c>
      <c r="EM25" t="s">
        <v>285</v>
      </c>
      <c r="EN25" t="s">
        <v>286</v>
      </c>
      <c r="EO25" t="s">
        <v>287</v>
      </c>
      <c r="EP25" t="s">
        <v>287</v>
      </c>
      <c r="EQ25" t="s">
        <v>287</v>
      </c>
      <c r="ER25" t="s">
        <v>287</v>
      </c>
      <c r="ES25">
        <v>0</v>
      </c>
      <c r="ET25">
        <v>100</v>
      </c>
      <c r="EU25">
        <v>100</v>
      </c>
      <c r="EV25">
        <v>-0.13300000000000001</v>
      </c>
      <c r="EW25">
        <v>6.9000000000000006E-2</v>
      </c>
      <c r="EX25">
        <v>2</v>
      </c>
      <c r="EY25">
        <v>508.63299999999998</v>
      </c>
      <c r="EZ25">
        <v>511.81</v>
      </c>
      <c r="FA25">
        <v>22.222300000000001</v>
      </c>
      <c r="FB25">
        <v>31.4221</v>
      </c>
      <c r="FC25">
        <v>30.000399999999999</v>
      </c>
      <c r="FD25">
        <v>31.439800000000002</v>
      </c>
      <c r="FE25">
        <v>31.433499999999999</v>
      </c>
      <c r="FF25">
        <v>30.505099999999999</v>
      </c>
      <c r="FG25">
        <v>53.206899999999997</v>
      </c>
      <c r="FH25">
        <v>0</v>
      </c>
      <c r="FI25">
        <v>22.220199999999998</v>
      </c>
      <c r="FJ25">
        <v>600</v>
      </c>
      <c r="FK25">
        <v>13.950799999999999</v>
      </c>
      <c r="FL25">
        <v>101.004</v>
      </c>
      <c r="FM25">
        <v>101.54900000000001</v>
      </c>
    </row>
    <row r="26" spans="1:169" x14ac:dyDescent="0.35">
      <c r="A26">
        <v>11</v>
      </c>
      <c r="B26">
        <v>1566592568.4000001</v>
      </c>
      <c r="C26">
        <v>1176.10000014305</v>
      </c>
      <c r="D26" t="s">
        <v>329</v>
      </c>
      <c r="E26" t="s">
        <v>330</v>
      </c>
      <c r="G26">
        <v>1566592568.4000001</v>
      </c>
      <c r="H26">
        <f t="shared" si="0"/>
        <v>4.2173100843341535E-3</v>
      </c>
      <c r="I26">
        <f t="shared" si="1"/>
        <v>41.323932828447667</v>
      </c>
      <c r="J26">
        <f t="shared" si="2"/>
        <v>746.50300000000004</v>
      </c>
      <c r="K26">
        <f t="shared" si="3"/>
        <v>461.40126259080603</v>
      </c>
      <c r="L26">
        <f t="shared" si="4"/>
        <v>45.965342846798578</v>
      </c>
      <c r="M26">
        <f t="shared" si="5"/>
        <v>74.367517198569999</v>
      </c>
      <c r="N26">
        <f t="shared" si="6"/>
        <v>0.25965579427862734</v>
      </c>
      <c r="O26">
        <f t="shared" si="7"/>
        <v>2.2514263669603318</v>
      </c>
      <c r="P26">
        <f t="shared" si="8"/>
        <v>0.24409256920065023</v>
      </c>
      <c r="Q26">
        <f t="shared" si="9"/>
        <v>0.15387835458627458</v>
      </c>
      <c r="R26">
        <f t="shared" si="10"/>
        <v>281.54121584994039</v>
      </c>
      <c r="S26">
        <f t="shared" si="11"/>
        <v>27.349337656516759</v>
      </c>
      <c r="T26">
        <f t="shared" si="12"/>
        <v>27.0489</v>
      </c>
      <c r="U26">
        <f t="shared" si="13"/>
        <v>3.5894519985874069</v>
      </c>
      <c r="V26">
        <f t="shared" si="14"/>
        <v>54.701982190780043</v>
      </c>
      <c r="W26">
        <f t="shared" si="15"/>
        <v>1.9158051427709997</v>
      </c>
      <c r="X26">
        <f t="shared" si="16"/>
        <v>3.5022590883258822</v>
      </c>
      <c r="Y26">
        <f t="shared" si="17"/>
        <v>1.6736468558164073</v>
      </c>
      <c r="Z26">
        <f t="shared" si="18"/>
        <v>-185.98337471913618</v>
      </c>
      <c r="AA26">
        <f t="shared" si="19"/>
        <v>-50.760655267205316</v>
      </c>
      <c r="AB26">
        <f t="shared" si="20"/>
        <v>-4.8579017767142378</v>
      </c>
      <c r="AC26">
        <f t="shared" si="21"/>
        <v>39.939284086884648</v>
      </c>
      <c r="AD26">
        <v>-4.1222158190206901E-2</v>
      </c>
      <c r="AE26">
        <v>4.6275483827905098E-2</v>
      </c>
      <c r="AF26">
        <v>3.4577711588403499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52631.993920750785</v>
      </c>
      <c r="AL26" t="s">
        <v>278</v>
      </c>
      <c r="AM26">
        <v>602.34923076923099</v>
      </c>
      <c r="AN26">
        <v>3447.2</v>
      </c>
      <c r="AO26">
        <f t="shared" si="25"/>
        <v>2844.8507692307689</v>
      </c>
      <c r="AP26">
        <f t="shared" si="26"/>
        <v>0.82526420550904189</v>
      </c>
      <c r="AQ26">
        <v>-2.3039181891607399</v>
      </c>
      <c r="AR26" t="s">
        <v>331</v>
      </c>
      <c r="AS26">
        <v>852.31957692307697</v>
      </c>
      <c r="AT26">
        <v>1354.78</v>
      </c>
      <c r="AU26">
        <f t="shared" si="27"/>
        <v>0.37087971705880141</v>
      </c>
      <c r="AV26">
        <v>0.5</v>
      </c>
      <c r="AW26">
        <f t="shared" si="28"/>
        <v>1471.1448000962921</v>
      </c>
      <c r="AX26">
        <f t="shared" si="29"/>
        <v>41.323932828447667</v>
      </c>
      <c r="AY26">
        <f t="shared" si="30"/>
        <v>272.80888360611988</v>
      </c>
      <c r="AZ26">
        <f t="shared" si="31"/>
        <v>0.58815453431553455</v>
      </c>
      <c r="BA26">
        <f t="shared" si="32"/>
        <v>2.9655715069483845E-2</v>
      </c>
      <c r="BB26">
        <f t="shared" si="33"/>
        <v>1.5444721652223978</v>
      </c>
      <c r="BC26" t="s">
        <v>332</v>
      </c>
      <c r="BD26">
        <v>557.96</v>
      </c>
      <c r="BE26">
        <f t="shared" si="34"/>
        <v>796.81999999999994</v>
      </c>
      <c r="BF26">
        <f t="shared" si="35"/>
        <v>0.63058209266449516</v>
      </c>
      <c r="BG26">
        <f t="shared" si="36"/>
        <v>0.72421121125278631</v>
      </c>
      <c r="BH26">
        <f t="shared" si="37"/>
        <v>0.66778292917314153</v>
      </c>
      <c r="BI26">
        <f t="shared" si="38"/>
        <v>0.73551133951598391</v>
      </c>
      <c r="BJ26">
        <v>1618</v>
      </c>
      <c r="BK26">
        <v>300</v>
      </c>
      <c r="BL26">
        <v>300</v>
      </c>
      <c r="BM26">
        <v>300</v>
      </c>
      <c r="BN26">
        <v>10289.1</v>
      </c>
      <c r="BO26">
        <v>1239.26</v>
      </c>
      <c r="BP26">
        <v>-7.0673000000000003E-3</v>
      </c>
      <c r="BQ26">
        <v>4.9544699999999997</v>
      </c>
      <c r="BR26">
        <f t="shared" si="39"/>
        <v>1749.93</v>
      </c>
      <c r="BS26">
        <f t="shared" si="40"/>
        <v>1471.1448000962921</v>
      </c>
      <c r="BT26">
        <f t="shared" si="41"/>
        <v>0.84068779899555524</v>
      </c>
      <c r="BU26">
        <f t="shared" si="42"/>
        <v>0.19137559799111034</v>
      </c>
      <c r="BV26" t="s">
        <v>281</v>
      </c>
      <c r="BW26">
        <v>1566592568.4000001</v>
      </c>
      <c r="BX26">
        <v>746.50300000000004</v>
      </c>
      <c r="BY26">
        <v>799.86800000000005</v>
      </c>
      <c r="BZ26">
        <v>19.230899999999998</v>
      </c>
      <c r="CA26">
        <v>14.2676</v>
      </c>
      <c r="CB26">
        <v>500.01499999999999</v>
      </c>
      <c r="CC26">
        <v>99.521199999999993</v>
      </c>
      <c r="CD26">
        <v>9.9989999999999996E-2</v>
      </c>
      <c r="CE26">
        <v>26.630700000000001</v>
      </c>
      <c r="CF26">
        <v>27.0489</v>
      </c>
      <c r="CG26">
        <v>999.9</v>
      </c>
      <c r="CH26">
        <v>9988.75</v>
      </c>
      <c r="CI26">
        <v>0</v>
      </c>
      <c r="CJ26">
        <v>1334.32</v>
      </c>
      <c r="CK26">
        <v>1749.93</v>
      </c>
      <c r="CL26">
        <v>0.97700600000000004</v>
      </c>
      <c r="CM26">
        <v>2.2994500000000001E-2</v>
      </c>
      <c r="CN26">
        <v>0</v>
      </c>
      <c r="CO26">
        <v>850.31</v>
      </c>
      <c r="CP26">
        <v>4.99986</v>
      </c>
      <c r="CQ26">
        <v>17908.900000000001</v>
      </c>
      <c r="CR26">
        <v>14220.2</v>
      </c>
      <c r="CS26">
        <v>44.311999999999998</v>
      </c>
      <c r="CT26">
        <v>45.625</v>
      </c>
      <c r="CU26">
        <v>44.75</v>
      </c>
      <c r="CV26">
        <v>45.436999999999998</v>
      </c>
      <c r="CW26">
        <v>46</v>
      </c>
      <c r="CX26">
        <v>1704.81</v>
      </c>
      <c r="CY26">
        <v>40.119999999999997</v>
      </c>
      <c r="CZ26">
        <v>0</v>
      </c>
      <c r="DA26">
        <v>123.200000047684</v>
      </c>
      <c r="DB26">
        <v>852.31957692307697</v>
      </c>
      <c r="DC26">
        <v>-17.6571281958615</v>
      </c>
      <c r="DD26">
        <v>-527.81538541158795</v>
      </c>
      <c r="DE26">
        <v>17984.684615384602</v>
      </c>
      <c r="DF26">
        <v>15</v>
      </c>
      <c r="DG26">
        <v>1566592598.9000001</v>
      </c>
      <c r="DH26" t="s">
        <v>333</v>
      </c>
      <c r="DI26">
        <v>82</v>
      </c>
      <c r="DJ26">
        <v>-7.9000000000000001E-2</v>
      </c>
      <c r="DK26">
        <v>7.5999999999999998E-2</v>
      </c>
      <c r="DL26">
        <v>800</v>
      </c>
      <c r="DM26">
        <v>14</v>
      </c>
      <c r="DN26">
        <v>0.04</v>
      </c>
      <c r="DO26">
        <v>0.02</v>
      </c>
      <c r="DP26">
        <v>41.959029886765698</v>
      </c>
      <c r="DQ26">
        <v>-1.53900890694991</v>
      </c>
      <c r="DR26">
        <v>0.30329264220741398</v>
      </c>
      <c r="DS26">
        <v>0</v>
      </c>
      <c r="DT26">
        <v>0.26644491462600101</v>
      </c>
      <c r="DU26">
        <v>-2.7299776664402701E-2</v>
      </c>
      <c r="DV26">
        <v>5.4172353774609603E-3</v>
      </c>
      <c r="DW26">
        <v>1</v>
      </c>
      <c r="DX26">
        <v>1</v>
      </c>
      <c r="DY26">
        <v>2</v>
      </c>
      <c r="DZ26" t="s">
        <v>323</v>
      </c>
      <c r="EA26">
        <v>1.8667400000000001</v>
      </c>
      <c r="EB26">
        <v>1.8632500000000001</v>
      </c>
      <c r="EC26">
        <v>1.8689</v>
      </c>
      <c r="ED26">
        <v>1.86686</v>
      </c>
      <c r="EE26">
        <v>1.8714900000000001</v>
      </c>
      <c r="EF26">
        <v>1.8640099999999999</v>
      </c>
      <c r="EG26">
        <v>1.86554</v>
      </c>
      <c r="EH26">
        <v>1.8654900000000001</v>
      </c>
      <c r="EI26" t="s">
        <v>284</v>
      </c>
      <c r="EJ26" t="s">
        <v>19</v>
      </c>
      <c r="EK26" t="s">
        <v>19</v>
      </c>
      <c r="EL26" t="s">
        <v>19</v>
      </c>
      <c r="EM26" t="s">
        <v>285</v>
      </c>
      <c r="EN26" t="s">
        <v>286</v>
      </c>
      <c r="EO26" t="s">
        <v>287</v>
      </c>
      <c r="EP26" t="s">
        <v>287</v>
      </c>
      <c r="EQ26" t="s">
        <v>287</v>
      </c>
      <c r="ER26" t="s">
        <v>287</v>
      </c>
      <c r="ES26">
        <v>0</v>
      </c>
      <c r="ET26">
        <v>100</v>
      </c>
      <c r="EU26">
        <v>100</v>
      </c>
      <c r="EV26">
        <v>-7.9000000000000001E-2</v>
      </c>
      <c r="EW26">
        <v>7.5999999999999998E-2</v>
      </c>
      <c r="EX26">
        <v>2</v>
      </c>
      <c r="EY26">
        <v>508.49900000000002</v>
      </c>
      <c r="EZ26">
        <v>512.83699999999999</v>
      </c>
      <c r="FA26">
        <v>22.087199999999999</v>
      </c>
      <c r="FB26">
        <v>31.455100000000002</v>
      </c>
      <c r="FC26">
        <v>30.000399999999999</v>
      </c>
      <c r="FD26">
        <v>31.4712</v>
      </c>
      <c r="FE26">
        <v>31.4635</v>
      </c>
      <c r="FF26">
        <v>38.510800000000003</v>
      </c>
      <c r="FG26">
        <v>51.6051</v>
      </c>
      <c r="FH26">
        <v>0</v>
      </c>
      <c r="FI26">
        <v>22.061199999999999</v>
      </c>
      <c r="FJ26">
        <v>800</v>
      </c>
      <c r="FK26">
        <v>14.4298</v>
      </c>
      <c r="FL26">
        <v>101</v>
      </c>
      <c r="FM26">
        <v>101.541</v>
      </c>
    </row>
    <row r="27" spans="1:169" x14ac:dyDescent="0.35">
      <c r="A27">
        <v>12</v>
      </c>
      <c r="B27">
        <v>1566592690.4000001</v>
      </c>
      <c r="C27">
        <v>1298.10000014305</v>
      </c>
      <c r="D27" t="s">
        <v>334</v>
      </c>
      <c r="E27" t="s">
        <v>335</v>
      </c>
      <c r="G27">
        <v>1566592690.4000001</v>
      </c>
      <c r="H27">
        <f t="shared" si="0"/>
        <v>3.3028144847535462E-3</v>
      </c>
      <c r="I27">
        <f t="shared" si="1"/>
        <v>43.128013449230686</v>
      </c>
      <c r="J27">
        <f t="shared" si="2"/>
        <v>944.40700000000004</v>
      </c>
      <c r="K27">
        <f t="shared" si="3"/>
        <v>559.82630422767488</v>
      </c>
      <c r="L27">
        <f t="shared" si="4"/>
        <v>55.771233404340734</v>
      </c>
      <c r="M27">
        <f t="shared" si="5"/>
        <v>94.084080772797407</v>
      </c>
      <c r="N27">
        <f t="shared" si="6"/>
        <v>0.19763625294867057</v>
      </c>
      <c r="O27">
        <f t="shared" si="7"/>
        <v>2.258810714166692</v>
      </c>
      <c r="P27">
        <f t="shared" si="8"/>
        <v>0.18850744441598291</v>
      </c>
      <c r="Q27">
        <f t="shared" si="9"/>
        <v>0.11860219642709099</v>
      </c>
      <c r="R27">
        <f t="shared" si="10"/>
        <v>281.55134073518212</v>
      </c>
      <c r="S27">
        <f t="shared" si="11"/>
        <v>27.378597548081817</v>
      </c>
      <c r="T27">
        <f t="shared" si="12"/>
        <v>27.0336</v>
      </c>
      <c r="U27">
        <f t="shared" si="13"/>
        <v>3.5862289330659753</v>
      </c>
      <c r="V27">
        <f t="shared" si="14"/>
        <v>54.798135129436076</v>
      </c>
      <c r="W27">
        <f t="shared" si="15"/>
        <v>1.8887209334061601</v>
      </c>
      <c r="X27">
        <f t="shared" si="16"/>
        <v>3.4466883388365348</v>
      </c>
      <c r="Y27">
        <f t="shared" si="17"/>
        <v>1.6975079996598152</v>
      </c>
      <c r="Z27">
        <f t="shared" si="18"/>
        <v>-145.6541187776314</v>
      </c>
      <c r="AA27">
        <f t="shared" si="19"/>
        <v>-82.102055572376571</v>
      </c>
      <c r="AB27">
        <f t="shared" si="20"/>
        <v>-7.8204359243880566</v>
      </c>
      <c r="AC27">
        <f t="shared" si="21"/>
        <v>45.974730460786105</v>
      </c>
      <c r="AD27">
        <v>-4.1421365870385203E-2</v>
      </c>
      <c r="AE27">
        <v>4.6499111900456497E-2</v>
      </c>
      <c r="AF27">
        <v>3.4709852140978201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52923.78772962583</v>
      </c>
      <c r="AL27" t="s">
        <v>278</v>
      </c>
      <c r="AM27">
        <v>602.34923076923099</v>
      </c>
      <c r="AN27">
        <v>3447.2</v>
      </c>
      <c r="AO27">
        <f t="shared" si="25"/>
        <v>2844.8507692307689</v>
      </c>
      <c r="AP27">
        <f t="shared" si="26"/>
        <v>0.82526420550904189</v>
      </c>
      <c r="AQ27">
        <v>-2.3039181891607399</v>
      </c>
      <c r="AR27" t="s">
        <v>336</v>
      </c>
      <c r="AS27">
        <v>842.26211538461496</v>
      </c>
      <c r="AT27">
        <v>1337.76</v>
      </c>
      <c r="AU27">
        <f t="shared" si="27"/>
        <v>0.37039370635643543</v>
      </c>
      <c r="AV27">
        <v>0.5</v>
      </c>
      <c r="AW27">
        <f t="shared" si="28"/>
        <v>1471.1954932168828</v>
      </c>
      <c r="AX27">
        <f t="shared" si="29"/>
        <v>43.128013449230686</v>
      </c>
      <c r="AY27">
        <f t="shared" si="30"/>
        <v>272.46077575374267</v>
      </c>
      <c r="AZ27">
        <f t="shared" si="31"/>
        <v>0.58870051429254866</v>
      </c>
      <c r="BA27">
        <f t="shared" si="32"/>
        <v>3.0880961672232282E-2</v>
      </c>
      <c r="BB27">
        <f t="shared" si="33"/>
        <v>1.5768448750149502</v>
      </c>
      <c r="BC27" t="s">
        <v>337</v>
      </c>
      <c r="BD27">
        <v>550.22</v>
      </c>
      <c r="BE27">
        <f t="shared" si="34"/>
        <v>787.54</v>
      </c>
      <c r="BF27">
        <f t="shared" si="35"/>
        <v>0.62917170507578668</v>
      </c>
      <c r="BG27">
        <f t="shared" si="36"/>
        <v>0.72815138523565914</v>
      </c>
      <c r="BH27">
        <f t="shared" si="37"/>
        <v>0.6737702320210377</v>
      </c>
      <c r="BI27">
        <f t="shared" si="38"/>
        <v>0.74149407864032879</v>
      </c>
      <c r="BJ27">
        <v>1620</v>
      </c>
      <c r="BK27">
        <v>300</v>
      </c>
      <c r="BL27">
        <v>300</v>
      </c>
      <c r="BM27">
        <v>300</v>
      </c>
      <c r="BN27">
        <v>10289.200000000001</v>
      </c>
      <c r="BO27">
        <v>1225.02</v>
      </c>
      <c r="BP27">
        <v>-7.06736E-3</v>
      </c>
      <c r="BQ27">
        <v>6.2888200000000003</v>
      </c>
      <c r="BR27">
        <f t="shared" si="39"/>
        <v>1749.99</v>
      </c>
      <c r="BS27">
        <f t="shared" si="40"/>
        <v>1471.1954932168828</v>
      </c>
      <c r="BT27">
        <f t="shared" si="41"/>
        <v>0.8406879429121783</v>
      </c>
      <c r="BU27">
        <f t="shared" si="42"/>
        <v>0.19137588582435658</v>
      </c>
      <c r="BV27" t="s">
        <v>281</v>
      </c>
      <c r="BW27">
        <v>1566592690.4000001</v>
      </c>
      <c r="BX27">
        <v>944.40700000000004</v>
      </c>
      <c r="BY27">
        <v>999.89599999999996</v>
      </c>
      <c r="BZ27">
        <v>18.9588</v>
      </c>
      <c r="CA27">
        <v>15.071099999999999</v>
      </c>
      <c r="CB27">
        <v>500.06900000000002</v>
      </c>
      <c r="CC27">
        <v>99.522400000000005</v>
      </c>
      <c r="CD27">
        <v>9.9988199999999999E-2</v>
      </c>
      <c r="CE27">
        <v>26.359400000000001</v>
      </c>
      <c r="CF27">
        <v>27.0336</v>
      </c>
      <c r="CG27">
        <v>999.9</v>
      </c>
      <c r="CH27">
        <v>10036.9</v>
      </c>
      <c r="CI27">
        <v>0</v>
      </c>
      <c r="CJ27">
        <v>665.69500000000005</v>
      </c>
      <c r="CK27">
        <v>1749.99</v>
      </c>
      <c r="CL27">
        <v>0.97700600000000004</v>
      </c>
      <c r="CM27">
        <v>2.2994500000000001E-2</v>
      </c>
      <c r="CN27">
        <v>0</v>
      </c>
      <c r="CO27">
        <v>840.73400000000004</v>
      </c>
      <c r="CP27">
        <v>4.99986</v>
      </c>
      <c r="CQ27">
        <v>17998.2</v>
      </c>
      <c r="CR27">
        <v>14220.7</v>
      </c>
      <c r="CS27">
        <v>44.186999999999998</v>
      </c>
      <c r="CT27">
        <v>45.561999999999998</v>
      </c>
      <c r="CU27">
        <v>44.686999999999998</v>
      </c>
      <c r="CV27">
        <v>45.311999999999998</v>
      </c>
      <c r="CW27">
        <v>45.936999999999998</v>
      </c>
      <c r="CX27">
        <v>1704.87</v>
      </c>
      <c r="CY27">
        <v>40.130000000000003</v>
      </c>
      <c r="CZ27">
        <v>0</v>
      </c>
      <c r="DA27">
        <v>121.30000019073501</v>
      </c>
      <c r="DB27">
        <v>842.26211538461496</v>
      </c>
      <c r="DC27">
        <v>-12.7263931655491</v>
      </c>
      <c r="DD27">
        <v>-87.124785895751401</v>
      </c>
      <c r="DE27">
        <v>17970.330769230801</v>
      </c>
      <c r="DF27">
        <v>15</v>
      </c>
      <c r="DG27">
        <v>1566592721.4000001</v>
      </c>
      <c r="DH27" t="s">
        <v>338</v>
      </c>
      <c r="DI27">
        <v>83</v>
      </c>
      <c r="DJ27">
        <v>0.20300000000000001</v>
      </c>
      <c r="DK27">
        <v>0.09</v>
      </c>
      <c r="DL27">
        <v>1000</v>
      </c>
      <c r="DM27">
        <v>15</v>
      </c>
      <c r="DN27">
        <v>0.08</v>
      </c>
      <c r="DO27">
        <v>0.02</v>
      </c>
      <c r="DP27">
        <v>43.865750504382902</v>
      </c>
      <c r="DQ27">
        <v>-1.84005053297319</v>
      </c>
      <c r="DR27">
        <v>0.35848000458258</v>
      </c>
      <c r="DS27">
        <v>0</v>
      </c>
      <c r="DT27">
        <v>0.20960578900822899</v>
      </c>
      <c r="DU27">
        <v>-2.9417958225442499E-2</v>
      </c>
      <c r="DV27">
        <v>5.6399122381469297E-3</v>
      </c>
      <c r="DW27">
        <v>1</v>
      </c>
      <c r="DX27">
        <v>1</v>
      </c>
      <c r="DY27">
        <v>2</v>
      </c>
      <c r="DZ27" t="s">
        <v>323</v>
      </c>
      <c r="EA27">
        <v>1.8667400000000001</v>
      </c>
      <c r="EB27">
        <v>1.8632500000000001</v>
      </c>
      <c r="EC27">
        <v>1.8689</v>
      </c>
      <c r="ED27">
        <v>1.86677</v>
      </c>
      <c r="EE27">
        <v>1.8714900000000001</v>
      </c>
      <c r="EF27">
        <v>1.8640099999999999</v>
      </c>
      <c r="EG27">
        <v>1.86554</v>
      </c>
      <c r="EH27">
        <v>1.86551</v>
      </c>
      <c r="EI27" t="s">
        <v>284</v>
      </c>
      <c r="EJ27" t="s">
        <v>19</v>
      </c>
      <c r="EK27" t="s">
        <v>19</v>
      </c>
      <c r="EL27" t="s">
        <v>19</v>
      </c>
      <c r="EM27" t="s">
        <v>285</v>
      </c>
      <c r="EN27" t="s">
        <v>286</v>
      </c>
      <c r="EO27" t="s">
        <v>287</v>
      </c>
      <c r="EP27" t="s">
        <v>287</v>
      </c>
      <c r="EQ27" t="s">
        <v>287</v>
      </c>
      <c r="ER27" t="s">
        <v>287</v>
      </c>
      <c r="ES27">
        <v>0</v>
      </c>
      <c r="ET27">
        <v>100</v>
      </c>
      <c r="EU27">
        <v>100</v>
      </c>
      <c r="EV27">
        <v>0.20300000000000001</v>
      </c>
      <c r="EW27">
        <v>0.09</v>
      </c>
      <c r="EX27">
        <v>2</v>
      </c>
      <c r="EY27">
        <v>507.84399999999999</v>
      </c>
      <c r="EZ27">
        <v>514.16800000000001</v>
      </c>
      <c r="FA27">
        <v>21.415400000000002</v>
      </c>
      <c r="FB27">
        <v>31.4634</v>
      </c>
      <c r="FC27">
        <v>30.0002</v>
      </c>
      <c r="FD27">
        <v>31.484999999999999</v>
      </c>
      <c r="FE27">
        <v>31.4772</v>
      </c>
      <c r="FF27">
        <v>46.1389</v>
      </c>
      <c r="FG27">
        <v>49.0732</v>
      </c>
      <c r="FH27">
        <v>0</v>
      </c>
      <c r="FI27">
        <v>21.386800000000001</v>
      </c>
      <c r="FJ27">
        <v>1000</v>
      </c>
      <c r="FK27">
        <v>15.141299999999999</v>
      </c>
      <c r="FL27">
        <v>101.001</v>
      </c>
      <c r="FM27">
        <v>101.544</v>
      </c>
    </row>
    <row r="28" spans="1:169" x14ac:dyDescent="0.35">
      <c r="A28">
        <v>13</v>
      </c>
      <c r="B28">
        <v>1566592812.9000001</v>
      </c>
      <c r="C28">
        <v>1420.60000014305</v>
      </c>
      <c r="D28" t="s">
        <v>339</v>
      </c>
      <c r="E28" t="s">
        <v>340</v>
      </c>
      <c r="G28">
        <v>1566592812.9000001</v>
      </c>
      <c r="H28">
        <f t="shared" si="0"/>
        <v>2.7671375803005123E-3</v>
      </c>
      <c r="I28">
        <f t="shared" si="1"/>
        <v>43.515210822425054</v>
      </c>
      <c r="J28">
        <f t="shared" si="2"/>
        <v>1143.7750000000001</v>
      </c>
      <c r="K28">
        <f t="shared" si="3"/>
        <v>675.91999435983769</v>
      </c>
      <c r="L28">
        <f t="shared" si="4"/>
        <v>67.339250577140817</v>
      </c>
      <c r="M28">
        <f t="shared" si="5"/>
        <v>113.94980466854751</v>
      </c>
      <c r="N28">
        <f t="shared" si="6"/>
        <v>0.16280951541446959</v>
      </c>
      <c r="O28">
        <f t="shared" si="7"/>
        <v>2.2587607827192206</v>
      </c>
      <c r="P28">
        <f t="shared" si="8"/>
        <v>0.1565597048553477</v>
      </c>
      <c r="Q28">
        <f t="shared" si="9"/>
        <v>9.8391346612242636E-2</v>
      </c>
      <c r="R28">
        <f t="shared" si="10"/>
        <v>281.55134073518212</v>
      </c>
      <c r="S28">
        <f t="shared" si="11"/>
        <v>27.256702344195709</v>
      </c>
      <c r="T28">
        <f t="shared" si="12"/>
        <v>27.0259</v>
      </c>
      <c r="U28">
        <f t="shared" si="13"/>
        <v>3.5846078232425653</v>
      </c>
      <c r="V28">
        <f t="shared" si="14"/>
        <v>55.281504136579507</v>
      </c>
      <c r="W28">
        <f t="shared" si="15"/>
        <v>1.8719737970509998</v>
      </c>
      <c r="X28">
        <f t="shared" si="16"/>
        <v>3.3862569882795999</v>
      </c>
      <c r="Y28">
        <f t="shared" si="17"/>
        <v>1.7126340261915656</v>
      </c>
      <c r="Z28">
        <f t="shared" si="18"/>
        <v>-122.03076729125259</v>
      </c>
      <c r="AA28">
        <f t="shared" si="19"/>
        <v>-117.62180730201641</v>
      </c>
      <c r="AB28">
        <f t="shared" si="20"/>
        <v>-11.186835549428041</v>
      </c>
      <c r="AC28">
        <f t="shared" si="21"/>
        <v>30.711930592485089</v>
      </c>
      <c r="AD28">
        <v>-4.1420016872494497E-2</v>
      </c>
      <c r="AE28">
        <v>4.6497597532145503E-2</v>
      </c>
      <c r="AF28">
        <v>3.4708958049361498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52975.20061450194</v>
      </c>
      <c r="AL28" t="s">
        <v>278</v>
      </c>
      <c r="AM28">
        <v>602.34923076923099</v>
      </c>
      <c r="AN28">
        <v>3447.2</v>
      </c>
      <c r="AO28">
        <f t="shared" si="25"/>
        <v>2844.8507692307689</v>
      </c>
      <c r="AP28">
        <f t="shared" si="26"/>
        <v>0.82526420550904189</v>
      </c>
      <c r="AQ28">
        <v>-2.3039181891607399</v>
      </c>
      <c r="AR28" t="s">
        <v>341</v>
      </c>
      <c r="AS28">
        <v>835.94761538461501</v>
      </c>
      <c r="AT28">
        <v>1330.85</v>
      </c>
      <c r="AU28">
        <f t="shared" si="27"/>
        <v>0.37186939521011753</v>
      </c>
      <c r="AV28">
        <v>0.5</v>
      </c>
      <c r="AW28">
        <f t="shared" si="28"/>
        <v>1471.1954932168828</v>
      </c>
      <c r="AX28">
        <f t="shared" si="29"/>
        <v>43.515210822425054</v>
      </c>
      <c r="AY28">
        <f t="shared" si="30"/>
        <v>273.54628914920642</v>
      </c>
      <c r="AZ28">
        <f t="shared" si="31"/>
        <v>0.58794755231618889</v>
      </c>
      <c r="BA28">
        <f t="shared" si="32"/>
        <v>3.1144147207383514E-2</v>
      </c>
      <c r="BB28">
        <f t="shared" si="33"/>
        <v>1.5902242927452381</v>
      </c>
      <c r="BC28" t="s">
        <v>342</v>
      </c>
      <c r="BD28">
        <v>548.38</v>
      </c>
      <c r="BE28">
        <f t="shared" si="34"/>
        <v>782.46999999999991</v>
      </c>
      <c r="BF28">
        <f t="shared" si="35"/>
        <v>0.63248736004624451</v>
      </c>
      <c r="BG28">
        <f t="shared" si="36"/>
        <v>0.73007292622515374</v>
      </c>
      <c r="BH28">
        <f t="shared" si="37"/>
        <v>0.67934366787005207</v>
      </c>
      <c r="BI28">
        <f t="shared" si="38"/>
        <v>0.74392302854333858</v>
      </c>
      <c r="BJ28">
        <v>1622</v>
      </c>
      <c r="BK28">
        <v>300</v>
      </c>
      <c r="BL28">
        <v>300</v>
      </c>
      <c r="BM28">
        <v>300</v>
      </c>
      <c r="BN28">
        <v>10289.200000000001</v>
      </c>
      <c r="BO28">
        <v>1214.8</v>
      </c>
      <c r="BP28">
        <v>-7.06735E-3</v>
      </c>
      <c r="BQ28">
        <v>6.1823699999999997</v>
      </c>
      <c r="BR28">
        <f t="shared" si="39"/>
        <v>1749.99</v>
      </c>
      <c r="BS28">
        <f t="shared" si="40"/>
        <v>1471.1954932168828</v>
      </c>
      <c r="BT28">
        <f t="shared" si="41"/>
        <v>0.8406879429121783</v>
      </c>
      <c r="BU28">
        <f t="shared" si="42"/>
        <v>0.19137588582435658</v>
      </c>
      <c r="BV28" t="s">
        <v>281</v>
      </c>
      <c r="BW28">
        <v>1566592812.9000001</v>
      </c>
      <c r="BX28">
        <v>1143.7750000000001</v>
      </c>
      <c r="BY28">
        <v>1199.79</v>
      </c>
      <c r="BZ28">
        <v>18.79</v>
      </c>
      <c r="CA28">
        <v>15.5319</v>
      </c>
      <c r="CB28">
        <v>500.01100000000002</v>
      </c>
      <c r="CC28">
        <v>99.5261</v>
      </c>
      <c r="CD28">
        <v>9.9966899999999997E-2</v>
      </c>
      <c r="CE28">
        <v>26.06</v>
      </c>
      <c r="CF28">
        <v>27.0259</v>
      </c>
      <c r="CG28">
        <v>999.9</v>
      </c>
      <c r="CH28">
        <v>10036.200000000001</v>
      </c>
      <c r="CI28">
        <v>0</v>
      </c>
      <c r="CJ28">
        <v>623.26</v>
      </c>
      <c r="CK28">
        <v>1749.99</v>
      </c>
      <c r="CL28">
        <v>0.97700600000000004</v>
      </c>
      <c r="CM28">
        <v>2.2994500000000001E-2</v>
      </c>
      <c r="CN28">
        <v>0</v>
      </c>
      <c r="CO28">
        <v>834.30899999999997</v>
      </c>
      <c r="CP28">
        <v>4.99986</v>
      </c>
      <c r="CQ28">
        <v>17870.099999999999</v>
      </c>
      <c r="CR28">
        <v>14220.7</v>
      </c>
      <c r="CS28">
        <v>44.186999999999998</v>
      </c>
      <c r="CT28">
        <v>45.436999999999998</v>
      </c>
      <c r="CU28">
        <v>44.686999999999998</v>
      </c>
      <c r="CV28">
        <v>45.25</v>
      </c>
      <c r="CW28">
        <v>45.875</v>
      </c>
      <c r="CX28">
        <v>1704.87</v>
      </c>
      <c r="CY28">
        <v>40.130000000000003</v>
      </c>
      <c r="CZ28">
        <v>0</v>
      </c>
      <c r="DA28">
        <v>121.90000009536701</v>
      </c>
      <c r="DB28">
        <v>835.94761538461501</v>
      </c>
      <c r="DC28">
        <v>-12.2207179451258</v>
      </c>
      <c r="DD28">
        <v>-1023.49743437291</v>
      </c>
      <c r="DE28">
        <v>18060.5346153846</v>
      </c>
      <c r="DF28">
        <v>15</v>
      </c>
      <c r="DG28">
        <v>1566592839.9000001</v>
      </c>
      <c r="DH28" t="s">
        <v>343</v>
      </c>
      <c r="DI28">
        <v>84</v>
      </c>
      <c r="DJ28">
        <v>0.17799999999999999</v>
      </c>
      <c r="DK28">
        <v>9.7000000000000003E-2</v>
      </c>
      <c r="DL28">
        <v>1200</v>
      </c>
      <c r="DM28">
        <v>16</v>
      </c>
      <c r="DN28">
        <v>0.04</v>
      </c>
      <c r="DO28">
        <v>0.03</v>
      </c>
      <c r="DP28">
        <v>44.072843368351499</v>
      </c>
      <c r="DQ28">
        <v>-1.4258168165566101</v>
      </c>
      <c r="DR28">
        <v>0.290600027545868</v>
      </c>
      <c r="DS28">
        <v>0</v>
      </c>
      <c r="DT28">
        <v>0.163304255330362</v>
      </c>
      <c r="DU28">
        <v>-6.4017417584173201E-3</v>
      </c>
      <c r="DV28">
        <v>1.5875394502592899E-3</v>
      </c>
      <c r="DW28">
        <v>1</v>
      </c>
      <c r="DX28">
        <v>1</v>
      </c>
      <c r="DY28">
        <v>2</v>
      </c>
      <c r="DZ28" t="s">
        <v>323</v>
      </c>
      <c r="EA28">
        <v>1.86676</v>
      </c>
      <c r="EB28">
        <v>1.86324</v>
      </c>
      <c r="EC28">
        <v>1.8689</v>
      </c>
      <c r="ED28">
        <v>1.86677</v>
      </c>
      <c r="EE28">
        <v>1.8714900000000001</v>
      </c>
      <c r="EF28">
        <v>1.86399</v>
      </c>
      <c r="EG28">
        <v>1.86554</v>
      </c>
      <c r="EH28">
        <v>1.8654999999999999</v>
      </c>
      <c r="EI28" t="s">
        <v>284</v>
      </c>
      <c r="EJ28" t="s">
        <v>19</v>
      </c>
      <c r="EK28" t="s">
        <v>19</v>
      </c>
      <c r="EL28" t="s">
        <v>19</v>
      </c>
      <c r="EM28" t="s">
        <v>285</v>
      </c>
      <c r="EN28" t="s">
        <v>286</v>
      </c>
      <c r="EO28" t="s">
        <v>287</v>
      </c>
      <c r="EP28" t="s">
        <v>287</v>
      </c>
      <c r="EQ28" t="s">
        <v>287</v>
      </c>
      <c r="ER28" t="s">
        <v>287</v>
      </c>
      <c r="ES28">
        <v>0</v>
      </c>
      <c r="ET28">
        <v>100</v>
      </c>
      <c r="EU28">
        <v>100</v>
      </c>
      <c r="EV28">
        <v>0.17799999999999999</v>
      </c>
      <c r="EW28">
        <v>9.7000000000000003E-2</v>
      </c>
      <c r="EX28">
        <v>2</v>
      </c>
      <c r="EY28">
        <v>507.709</v>
      </c>
      <c r="EZ28">
        <v>514.86599999999999</v>
      </c>
      <c r="FA28">
        <v>21.070499999999999</v>
      </c>
      <c r="FB28">
        <v>31.4998</v>
      </c>
      <c r="FC28">
        <v>30.000399999999999</v>
      </c>
      <c r="FD28">
        <v>31.509599999999999</v>
      </c>
      <c r="FE28">
        <v>31.502099999999999</v>
      </c>
      <c r="FF28">
        <v>53.4407</v>
      </c>
      <c r="FG28">
        <v>47.342399999999998</v>
      </c>
      <c r="FH28">
        <v>0</v>
      </c>
      <c r="FI28">
        <v>21.0413</v>
      </c>
      <c r="FJ28">
        <v>1200</v>
      </c>
      <c r="FK28">
        <v>15.538500000000001</v>
      </c>
      <c r="FL28">
        <v>101</v>
      </c>
      <c r="FM28">
        <v>101.541</v>
      </c>
    </row>
    <row r="29" spans="1:169" x14ac:dyDescent="0.35">
      <c r="A29">
        <v>14</v>
      </c>
      <c r="B29">
        <v>1566592931.5</v>
      </c>
      <c r="C29">
        <v>1539.2000000476801</v>
      </c>
      <c r="D29" t="s">
        <v>344</v>
      </c>
      <c r="E29" t="s">
        <v>345</v>
      </c>
      <c r="G29">
        <v>1566592931.5</v>
      </c>
      <c r="H29">
        <f t="shared" si="0"/>
        <v>2.4027384684388469E-3</v>
      </c>
      <c r="I29">
        <f t="shared" si="1"/>
        <v>44.202812770936454</v>
      </c>
      <c r="J29">
        <f t="shared" si="2"/>
        <v>1542.3630000000001</v>
      </c>
      <c r="K29">
        <f t="shared" si="3"/>
        <v>988.93356463422458</v>
      </c>
      <c r="L29">
        <f t="shared" si="4"/>
        <v>98.518182264673271</v>
      </c>
      <c r="M29">
        <f t="shared" si="5"/>
        <v>153.65116989278252</v>
      </c>
      <c r="N29">
        <f t="shared" si="6"/>
        <v>0.14064254550980546</v>
      </c>
      <c r="O29">
        <f t="shared" si="7"/>
        <v>2.2468182959698018</v>
      </c>
      <c r="P29">
        <f t="shared" si="8"/>
        <v>0.13592833327649462</v>
      </c>
      <c r="Q29">
        <f t="shared" si="9"/>
        <v>8.5365597793237546E-2</v>
      </c>
      <c r="R29">
        <f t="shared" si="10"/>
        <v>281.54600382155371</v>
      </c>
      <c r="S29">
        <f t="shared" si="11"/>
        <v>27.343057246434512</v>
      </c>
      <c r="T29">
        <f t="shared" si="12"/>
        <v>26.919</v>
      </c>
      <c r="U29">
        <f t="shared" si="13"/>
        <v>3.5621677611887934</v>
      </c>
      <c r="V29">
        <f t="shared" si="14"/>
        <v>54.735796715750297</v>
      </c>
      <c r="W29">
        <f t="shared" si="15"/>
        <v>1.8490485049647503</v>
      </c>
      <c r="X29">
        <f t="shared" si="16"/>
        <v>3.3781339012330189</v>
      </c>
      <c r="Y29">
        <f t="shared" si="17"/>
        <v>1.7131192562240432</v>
      </c>
      <c r="Z29">
        <f t="shared" si="18"/>
        <v>-105.96076645815315</v>
      </c>
      <c r="AA29">
        <f t="shared" si="19"/>
        <v>-108.96896898790256</v>
      </c>
      <c r="AB29">
        <f t="shared" si="20"/>
        <v>-10.411266538291478</v>
      </c>
      <c r="AC29">
        <f t="shared" si="21"/>
        <v>56.205001837206495</v>
      </c>
      <c r="AD29">
        <v>-4.1098145953770503E-2</v>
      </c>
      <c r="AE29">
        <v>4.6136269228436597E-2</v>
      </c>
      <c r="AF29">
        <v>3.4495339349349199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52587.295505676622</v>
      </c>
      <c r="AL29" t="s">
        <v>278</v>
      </c>
      <c r="AM29">
        <v>602.34923076923099</v>
      </c>
      <c r="AN29">
        <v>3447.2</v>
      </c>
      <c r="AO29">
        <f t="shared" si="25"/>
        <v>2844.8507692307689</v>
      </c>
      <c r="AP29">
        <f t="shared" si="26"/>
        <v>0.82526420550904189</v>
      </c>
      <c r="AQ29">
        <v>-2.3039181891607399</v>
      </c>
      <c r="AR29" t="s">
        <v>346</v>
      </c>
      <c r="AS29">
        <v>831.27476923076904</v>
      </c>
      <c r="AT29">
        <v>1287.45</v>
      </c>
      <c r="AU29">
        <f t="shared" si="27"/>
        <v>0.35432461902926793</v>
      </c>
      <c r="AV29">
        <v>0.5</v>
      </c>
      <c r="AW29">
        <f t="shared" si="28"/>
        <v>1471.1700000962903</v>
      </c>
      <c r="AX29">
        <f t="shared" si="29"/>
        <v>44.202812770936454</v>
      </c>
      <c r="AY29">
        <f t="shared" si="30"/>
        <v>260.63587490570308</v>
      </c>
      <c r="AZ29">
        <f t="shared" si="31"/>
        <v>0.57533108081867257</v>
      </c>
      <c r="BA29">
        <f t="shared" si="32"/>
        <v>3.161207131538385E-2</v>
      </c>
      <c r="BB29">
        <f t="shared" si="33"/>
        <v>1.6775408753738008</v>
      </c>
      <c r="BC29" t="s">
        <v>347</v>
      </c>
      <c r="BD29">
        <v>546.74</v>
      </c>
      <c r="BE29">
        <f t="shared" si="34"/>
        <v>740.71</v>
      </c>
      <c r="BF29">
        <f t="shared" si="35"/>
        <v>0.61586211981643424</v>
      </c>
      <c r="BG29">
        <f t="shared" si="36"/>
        <v>0.74462326665425482</v>
      </c>
      <c r="BH29">
        <f t="shared" si="37"/>
        <v>0.66585128970359264</v>
      </c>
      <c r="BI29">
        <f t="shared" si="38"/>
        <v>0.75917866179813143</v>
      </c>
      <c r="BJ29">
        <v>1624</v>
      </c>
      <c r="BK29">
        <v>300</v>
      </c>
      <c r="BL29">
        <v>300</v>
      </c>
      <c r="BM29">
        <v>300</v>
      </c>
      <c r="BN29">
        <v>10289</v>
      </c>
      <c r="BO29">
        <v>1178.96</v>
      </c>
      <c r="BP29">
        <v>-7.0670699999999999E-3</v>
      </c>
      <c r="BQ29">
        <v>3.6147499999999999</v>
      </c>
      <c r="BR29">
        <f t="shared" si="39"/>
        <v>1749.96</v>
      </c>
      <c r="BS29">
        <f t="shared" si="40"/>
        <v>1471.1700000962903</v>
      </c>
      <c r="BT29">
        <f t="shared" si="41"/>
        <v>0.84068778720444481</v>
      </c>
      <c r="BU29">
        <f t="shared" si="42"/>
        <v>0.19137557440888958</v>
      </c>
      <c r="BV29" t="s">
        <v>281</v>
      </c>
      <c r="BW29">
        <v>1566592931.5</v>
      </c>
      <c r="BX29">
        <v>1542.3630000000001</v>
      </c>
      <c r="BY29">
        <v>1599.85</v>
      </c>
      <c r="BZ29">
        <v>18.5609</v>
      </c>
      <c r="CA29">
        <v>15.731299999999999</v>
      </c>
      <c r="CB29">
        <v>500.03</v>
      </c>
      <c r="CC29">
        <v>99.520700000000005</v>
      </c>
      <c r="CD29">
        <v>9.9927500000000002E-2</v>
      </c>
      <c r="CE29">
        <v>26.019400000000001</v>
      </c>
      <c r="CF29">
        <v>26.919</v>
      </c>
      <c r="CG29">
        <v>999.9</v>
      </c>
      <c r="CH29">
        <v>9958.75</v>
      </c>
      <c r="CI29">
        <v>0</v>
      </c>
      <c r="CJ29">
        <v>731.93100000000004</v>
      </c>
      <c r="CK29">
        <v>1749.96</v>
      </c>
      <c r="CL29">
        <v>0.97700600000000004</v>
      </c>
      <c r="CM29">
        <v>2.2994500000000001E-2</v>
      </c>
      <c r="CN29">
        <v>0</v>
      </c>
      <c r="CO29">
        <v>829.17700000000002</v>
      </c>
      <c r="CP29">
        <v>4.99986</v>
      </c>
      <c r="CQ29">
        <v>17099.7</v>
      </c>
      <c r="CR29">
        <v>14220.5</v>
      </c>
      <c r="CS29">
        <v>44</v>
      </c>
      <c r="CT29">
        <v>45.186999999999998</v>
      </c>
      <c r="CU29">
        <v>44.561999999999998</v>
      </c>
      <c r="CV29">
        <v>44.936999999999998</v>
      </c>
      <c r="CW29">
        <v>45.75</v>
      </c>
      <c r="CX29">
        <v>1704.84</v>
      </c>
      <c r="CY29">
        <v>40.119999999999997</v>
      </c>
      <c r="CZ29">
        <v>0</v>
      </c>
      <c r="DA29">
        <v>117.80000019073501</v>
      </c>
      <c r="DB29">
        <v>831.27476923076904</v>
      </c>
      <c r="DC29">
        <v>-16.5013333228558</v>
      </c>
      <c r="DD29">
        <v>2040.11624375371</v>
      </c>
      <c r="DE29">
        <v>16416.9538461538</v>
      </c>
      <c r="DF29">
        <v>15</v>
      </c>
      <c r="DG29">
        <v>1566592962.4000001</v>
      </c>
      <c r="DH29" t="s">
        <v>348</v>
      </c>
      <c r="DI29">
        <v>85</v>
      </c>
      <c r="DJ29">
        <v>-2.9000000000000001E-2</v>
      </c>
      <c r="DK29">
        <v>0.10100000000000001</v>
      </c>
      <c r="DL29">
        <v>1600</v>
      </c>
      <c r="DM29">
        <v>16</v>
      </c>
      <c r="DN29">
        <v>0.08</v>
      </c>
      <c r="DO29">
        <v>0.03</v>
      </c>
      <c r="DP29">
        <v>44.3507445107903</v>
      </c>
      <c r="DQ29">
        <v>-0.427208765459203</v>
      </c>
      <c r="DR29">
        <v>0.16104755261537601</v>
      </c>
      <c r="DS29">
        <v>0</v>
      </c>
      <c r="DT29">
        <v>0.14590524199798199</v>
      </c>
      <c r="DU29">
        <v>-1.94944069760608E-2</v>
      </c>
      <c r="DV29">
        <v>3.9076100072969501E-3</v>
      </c>
      <c r="DW29">
        <v>1</v>
      </c>
      <c r="DX29">
        <v>1</v>
      </c>
      <c r="DY29">
        <v>2</v>
      </c>
      <c r="DZ29" t="s">
        <v>323</v>
      </c>
      <c r="EA29">
        <v>1.86676</v>
      </c>
      <c r="EB29">
        <v>1.86324</v>
      </c>
      <c r="EC29">
        <v>1.8689</v>
      </c>
      <c r="ED29">
        <v>1.8667899999999999</v>
      </c>
      <c r="EE29">
        <v>1.8714900000000001</v>
      </c>
      <c r="EF29">
        <v>1.8640099999999999</v>
      </c>
      <c r="EG29">
        <v>1.86554</v>
      </c>
      <c r="EH29">
        <v>1.86548</v>
      </c>
      <c r="EI29" t="s">
        <v>284</v>
      </c>
      <c r="EJ29" t="s">
        <v>19</v>
      </c>
      <c r="EK29" t="s">
        <v>19</v>
      </c>
      <c r="EL29" t="s">
        <v>19</v>
      </c>
      <c r="EM29" t="s">
        <v>285</v>
      </c>
      <c r="EN29" t="s">
        <v>286</v>
      </c>
      <c r="EO29" t="s">
        <v>287</v>
      </c>
      <c r="EP29" t="s">
        <v>287</v>
      </c>
      <c r="EQ29" t="s">
        <v>287</v>
      </c>
      <c r="ER29" t="s">
        <v>287</v>
      </c>
      <c r="ES29">
        <v>0</v>
      </c>
      <c r="ET29">
        <v>100</v>
      </c>
      <c r="EU29">
        <v>100</v>
      </c>
      <c r="EV29">
        <v>-2.9000000000000001E-2</v>
      </c>
      <c r="EW29">
        <v>0.10100000000000001</v>
      </c>
      <c r="EX29">
        <v>2</v>
      </c>
      <c r="EY29">
        <v>507.596</v>
      </c>
      <c r="EZ29">
        <v>516.58600000000001</v>
      </c>
      <c r="FA29">
        <v>22.167100000000001</v>
      </c>
      <c r="FB29">
        <v>31.447299999999998</v>
      </c>
      <c r="FC29">
        <v>29.999199999999998</v>
      </c>
      <c r="FD29">
        <v>31.484100000000002</v>
      </c>
      <c r="FE29">
        <v>31.473099999999999</v>
      </c>
      <c r="FF29">
        <v>67.197400000000002</v>
      </c>
      <c r="FG29">
        <v>46.276400000000002</v>
      </c>
      <c r="FH29">
        <v>0</v>
      </c>
      <c r="FI29">
        <v>22.2089</v>
      </c>
      <c r="FJ29">
        <v>1600</v>
      </c>
      <c r="FK29">
        <v>15.839600000000001</v>
      </c>
      <c r="FL29">
        <v>101.008</v>
      </c>
      <c r="FM29">
        <v>101.554</v>
      </c>
    </row>
  </sheetData>
  <sortState xmlns:xlrd2="http://schemas.microsoft.com/office/spreadsheetml/2017/richdata2" ref="J34:L47">
    <sortCondition ref="J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2019-08-23T15:44:01Z</dcterms:created>
  <dcterms:modified xsi:type="dcterms:W3CDTF">2019-08-28T03:14:03Z</dcterms:modified>
</cp:coreProperties>
</file>