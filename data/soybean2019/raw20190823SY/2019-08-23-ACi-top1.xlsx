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F957DB60-002D-4C57-9C26-32AE1592966D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U29" i="1" l="1"/>
  <c r="BT29" i="1"/>
  <c r="BR29" i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 s="1"/>
  <c r="AJ29" i="1" s="1"/>
  <c r="X29" i="1"/>
  <c r="W29" i="1"/>
  <c r="O29" i="1"/>
  <c r="H29" i="1"/>
  <c r="Z29" i="1" s="1"/>
  <c r="BU28" i="1"/>
  <c r="BT28" i="1"/>
  <c r="BR28" i="1"/>
  <c r="BS28" i="1" s="1"/>
  <c r="BI28" i="1"/>
  <c r="BH28" i="1"/>
  <c r="BG28" i="1"/>
  <c r="BF28" i="1"/>
  <c r="BE28" i="1"/>
  <c r="BB28" i="1"/>
  <c r="AZ28" i="1"/>
  <c r="AU28" i="1"/>
  <c r="AP28" i="1"/>
  <c r="AO28" i="1"/>
  <c r="AK28" i="1"/>
  <c r="AI28" i="1" s="1"/>
  <c r="X28" i="1"/>
  <c r="W28" i="1"/>
  <c r="V28" i="1"/>
  <c r="O28" i="1"/>
  <c r="BU27" i="1"/>
  <c r="BT27" i="1"/>
  <c r="BS27" i="1" s="1"/>
  <c r="AW27" i="1" s="1"/>
  <c r="AY27" i="1" s="1"/>
  <c r="BR27" i="1"/>
  <c r="BI27" i="1"/>
  <c r="BH27" i="1"/>
  <c r="BG27" i="1"/>
  <c r="BF27" i="1"/>
  <c r="BE27" i="1"/>
  <c r="AZ27" i="1" s="1"/>
  <c r="BB27" i="1"/>
  <c r="AU27" i="1"/>
  <c r="AO27" i="1"/>
  <c r="AP27" i="1" s="1"/>
  <c r="AK27" i="1"/>
  <c r="AI27" i="1"/>
  <c r="M27" i="1" s="1"/>
  <c r="X27" i="1"/>
  <c r="W27" i="1"/>
  <c r="V27" i="1"/>
  <c r="O27" i="1"/>
  <c r="BU26" i="1"/>
  <c r="BT26" i="1"/>
  <c r="BS26" i="1" s="1"/>
  <c r="BR26" i="1"/>
  <c r="BI26" i="1"/>
  <c r="BH26" i="1"/>
  <c r="BG26" i="1"/>
  <c r="BF26" i="1"/>
  <c r="BE26" i="1"/>
  <c r="AZ26" i="1" s="1"/>
  <c r="BB26" i="1"/>
  <c r="AU26" i="1"/>
  <c r="AO26" i="1"/>
  <c r="AP26" i="1" s="1"/>
  <c r="AK26" i="1"/>
  <c r="AI26" i="1" s="1"/>
  <c r="X26" i="1"/>
  <c r="W26" i="1"/>
  <c r="O26" i="1"/>
  <c r="BU25" i="1"/>
  <c r="BT25" i="1"/>
  <c r="BR25" i="1"/>
  <c r="BS25" i="1" s="1"/>
  <c r="BI25" i="1"/>
  <c r="BH25" i="1"/>
  <c r="BG25" i="1"/>
  <c r="BF25" i="1"/>
  <c r="BE25" i="1"/>
  <c r="AZ25" i="1" s="1"/>
  <c r="BB25" i="1"/>
  <c r="AU25" i="1"/>
  <c r="AP25" i="1"/>
  <c r="AO25" i="1"/>
  <c r="AK25" i="1"/>
  <c r="AI25" i="1" s="1"/>
  <c r="AJ25" i="1"/>
  <c r="X25" i="1"/>
  <c r="W25" i="1"/>
  <c r="O25" i="1"/>
  <c r="BU24" i="1"/>
  <c r="BT24" i="1"/>
  <c r="BR24" i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 s="1"/>
  <c r="X24" i="1"/>
  <c r="W24" i="1"/>
  <c r="V24" i="1" s="1"/>
  <c r="O24" i="1"/>
  <c r="BU23" i="1"/>
  <c r="BT23" i="1"/>
  <c r="BR23" i="1"/>
  <c r="BI23" i="1"/>
  <c r="BH23" i="1"/>
  <c r="BG23" i="1"/>
  <c r="BF23" i="1"/>
  <c r="BE23" i="1"/>
  <c r="AZ23" i="1" s="1"/>
  <c r="BB23" i="1"/>
  <c r="AU23" i="1"/>
  <c r="AP23" i="1"/>
  <c r="AO23" i="1"/>
  <c r="AK23" i="1"/>
  <c r="AI23" i="1"/>
  <c r="X23" i="1"/>
  <c r="W23" i="1"/>
  <c r="V23" i="1" s="1"/>
  <c r="O23" i="1"/>
  <c r="J23" i="1"/>
  <c r="BU22" i="1"/>
  <c r="BT22" i="1"/>
  <c r="BR22" i="1"/>
  <c r="BS22" i="1" s="1"/>
  <c r="R22" i="1" s="1"/>
  <c r="BI22" i="1"/>
  <c r="BH22" i="1"/>
  <c r="BG22" i="1"/>
  <c r="BF22" i="1"/>
  <c r="BE22" i="1"/>
  <c r="AZ22" i="1" s="1"/>
  <c r="BB22" i="1"/>
  <c r="AU22" i="1"/>
  <c r="AO22" i="1"/>
  <c r="AP22" i="1" s="1"/>
  <c r="AK22" i="1"/>
  <c r="AI22" i="1" s="1"/>
  <c r="X22" i="1"/>
  <c r="W22" i="1"/>
  <c r="V22" i="1"/>
  <c r="O22" i="1"/>
  <c r="BU21" i="1"/>
  <c r="BT21" i="1"/>
  <c r="BR21" i="1"/>
  <c r="BI21" i="1"/>
  <c r="BH21" i="1"/>
  <c r="BG21" i="1"/>
  <c r="BF21" i="1"/>
  <c r="BE21" i="1"/>
  <c r="BB21" i="1"/>
  <c r="AZ21" i="1"/>
  <c r="AU21" i="1"/>
  <c r="AP21" i="1"/>
  <c r="AO21" i="1"/>
  <c r="AK21" i="1"/>
  <c r="AI21" i="1"/>
  <c r="J21" i="1" s="1"/>
  <c r="X21" i="1"/>
  <c r="W21" i="1"/>
  <c r="V21" i="1"/>
  <c r="O21" i="1"/>
  <c r="BU20" i="1"/>
  <c r="BT20" i="1"/>
  <c r="BS20" i="1"/>
  <c r="BR20" i="1"/>
  <c r="BI20" i="1"/>
  <c r="BH20" i="1"/>
  <c r="BG20" i="1"/>
  <c r="BF20" i="1"/>
  <c r="BE20" i="1"/>
  <c r="AZ20" i="1" s="1"/>
  <c r="BB20" i="1"/>
  <c r="AU20" i="1"/>
  <c r="AO20" i="1"/>
  <c r="AP20" i="1" s="1"/>
  <c r="AK20" i="1"/>
  <c r="AI20" i="1"/>
  <c r="X20" i="1"/>
  <c r="W20" i="1"/>
  <c r="V20" i="1" s="1"/>
  <c r="O20" i="1"/>
  <c r="BU19" i="1"/>
  <c r="BT19" i="1"/>
  <c r="BR19" i="1"/>
  <c r="BI19" i="1"/>
  <c r="BH19" i="1"/>
  <c r="BG19" i="1"/>
  <c r="BF19" i="1"/>
  <c r="BE19" i="1"/>
  <c r="AZ19" i="1" s="1"/>
  <c r="BB19" i="1"/>
  <c r="AU19" i="1"/>
  <c r="AO19" i="1"/>
  <c r="AP19" i="1" s="1"/>
  <c r="AK19" i="1"/>
  <c r="AI19" i="1" s="1"/>
  <c r="X19" i="1"/>
  <c r="W19" i="1"/>
  <c r="O19" i="1"/>
  <c r="BU18" i="1"/>
  <c r="BT18" i="1"/>
  <c r="BR18" i="1"/>
  <c r="BI18" i="1"/>
  <c r="BH18" i="1"/>
  <c r="BG18" i="1"/>
  <c r="BF18" i="1"/>
  <c r="BE18" i="1"/>
  <c r="AZ18" i="1" s="1"/>
  <c r="BB18" i="1"/>
  <c r="AU18" i="1"/>
  <c r="AO18" i="1"/>
  <c r="AP18" i="1" s="1"/>
  <c r="AK18" i="1"/>
  <c r="AI18" i="1" s="1"/>
  <c r="H18" i="1" s="1"/>
  <c r="Z18" i="1" s="1"/>
  <c r="X18" i="1"/>
  <c r="W18" i="1"/>
  <c r="O18" i="1"/>
  <c r="BU17" i="1"/>
  <c r="BT17" i="1"/>
  <c r="BR17" i="1"/>
  <c r="BI17" i="1"/>
  <c r="BH17" i="1"/>
  <c r="BG17" i="1"/>
  <c r="BF17" i="1"/>
  <c r="BE17" i="1"/>
  <c r="AZ17" i="1" s="1"/>
  <c r="BB17" i="1"/>
  <c r="AU17" i="1"/>
  <c r="AO17" i="1"/>
  <c r="AP17" i="1" s="1"/>
  <c r="AK17" i="1"/>
  <c r="AI17" i="1" s="1"/>
  <c r="AJ17" i="1" s="1"/>
  <c r="X17" i="1"/>
  <c r="W17" i="1"/>
  <c r="V17" i="1" s="1"/>
  <c r="O17" i="1"/>
  <c r="AJ28" i="1" l="1"/>
  <c r="J28" i="1"/>
  <c r="R25" i="1"/>
  <c r="AW25" i="1"/>
  <c r="BS17" i="1"/>
  <c r="BS18" i="1"/>
  <c r="R18" i="1" s="1"/>
  <c r="S18" i="1" s="1"/>
  <c r="T18" i="1" s="1"/>
  <c r="P18" i="1" s="1"/>
  <c r="N18" i="1" s="1"/>
  <c r="Q18" i="1" s="1"/>
  <c r="K18" i="1" s="1"/>
  <c r="L18" i="1" s="1"/>
  <c r="V19" i="1"/>
  <c r="BS19" i="1"/>
  <c r="BS23" i="1"/>
  <c r="AW23" i="1" s="1"/>
  <c r="AY23" i="1" s="1"/>
  <c r="BS24" i="1"/>
  <c r="AW24" i="1" s="1"/>
  <c r="AY24" i="1" s="1"/>
  <c r="V25" i="1"/>
  <c r="J27" i="1"/>
  <c r="BS29" i="1"/>
  <c r="AY25" i="1"/>
  <c r="I27" i="1"/>
  <c r="AX27" i="1" s="1"/>
  <c r="BA27" i="1" s="1"/>
  <c r="H17" i="1"/>
  <c r="Z17" i="1" s="1"/>
  <c r="V18" i="1"/>
  <c r="R23" i="1"/>
  <c r="AJ26" i="1"/>
  <c r="J26" i="1"/>
  <c r="I26" i="1"/>
  <c r="AX26" i="1" s="1"/>
  <c r="H26" i="1"/>
  <c r="M26" i="1"/>
  <c r="AJ20" i="1"/>
  <c r="J20" i="1"/>
  <c r="M20" i="1"/>
  <c r="H20" i="1"/>
  <c r="I20" i="1"/>
  <c r="AX20" i="1" s="1"/>
  <c r="AW20" i="1"/>
  <c r="AY20" i="1" s="1"/>
  <c r="R20" i="1"/>
  <c r="AW22" i="1"/>
  <c r="AY22" i="1" s="1"/>
  <c r="M24" i="1"/>
  <c r="I24" i="1"/>
  <c r="AX24" i="1" s="1"/>
  <c r="BA24" i="1" s="1"/>
  <c r="H24" i="1"/>
  <c r="J24" i="1"/>
  <c r="AJ24" i="1"/>
  <c r="J17" i="1"/>
  <c r="M17" i="1"/>
  <c r="I17" i="1"/>
  <c r="AX17" i="1" s="1"/>
  <c r="AW18" i="1"/>
  <c r="AY18" i="1" s="1"/>
  <c r="R19" i="1"/>
  <c r="AW19" i="1"/>
  <c r="AY19" i="1" s="1"/>
  <c r="R17" i="1"/>
  <c r="AW17" i="1"/>
  <c r="AY17" i="1" s="1"/>
  <c r="R26" i="1"/>
  <c r="AW26" i="1"/>
  <c r="AY26" i="1" s="1"/>
  <c r="AW28" i="1"/>
  <c r="AY28" i="1" s="1"/>
  <c r="R28" i="1"/>
  <c r="M22" i="1"/>
  <c r="I22" i="1"/>
  <c r="AX22" i="1" s="1"/>
  <c r="AJ22" i="1"/>
  <c r="J22" i="1"/>
  <c r="H22" i="1"/>
  <c r="S22" i="1" s="1"/>
  <c r="T22" i="1" s="1"/>
  <c r="R29" i="1"/>
  <c r="AW29" i="1"/>
  <c r="AJ18" i="1"/>
  <c r="J18" i="1"/>
  <c r="M18" i="1"/>
  <c r="I18" i="1"/>
  <c r="AX18" i="1" s="1"/>
  <c r="J19" i="1"/>
  <c r="AJ19" i="1"/>
  <c r="I19" i="1"/>
  <c r="AX19" i="1" s="1"/>
  <c r="M19" i="1"/>
  <c r="H19" i="1"/>
  <c r="H21" i="1"/>
  <c r="I21" i="1"/>
  <c r="AX21" i="1" s="1"/>
  <c r="M21" i="1"/>
  <c r="AJ21" i="1"/>
  <c r="H23" i="1"/>
  <c r="AJ23" i="1"/>
  <c r="J25" i="1"/>
  <c r="M25" i="1"/>
  <c r="I25" i="1"/>
  <c r="AX25" i="1" s="1"/>
  <c r="BA25" i="1" s="1"/>
  <c r="M28" i="1"/>
  <c r="I28" i="1"/>
  <c r="AX28" i="1" s="1"/>
  <c r="BA28" i="1" s="1"/>
  <c r="H28" i="1"/>
  <c r="V29" i="1"/>
  <c r="AY29" i="1"/>
  <c r="M23" i="1"/>
  <c r="H25" i="1"/>
  <c r="BS21" i="1"/>
  <c r="I23" i="1"/>
  <c r="AX23" i="1" s="1"/>
  <c r="BA23" i="1" s="1"/>
  <c r="V26" i="1"/>
  <c r="R27" i="1"/>
  <c r="H27" i="1"/>
  <c r="AJ27" i="1"/>
  <c r="J29" i="1"/>
  <c r="M29" i="1"/>
  <c r="I29" i="1"/>
  <c r="AX29" i="1" s="1"/>
  <c r="BA29" i="1" s="1"/>
  <c r="BA20" i="1" l="1"/>
  <c r="BA18" i="1"/>
  <c r="R24" i="1"/>
  <c r="S24" i="1" s="1"/>
  <c r="T24" i="1" s="1"/>
  <c r="AA24" i="1" s="1"/>
  <c r="U22" i="1"/>
  <c r="Y22" i="1" s="1"/>
  <c r="AB22" i="1"/>
  <c r="AA22" i="1"/>
  <c r="AW21" i="1"/>
  <c r="AY21" i="1" s="1"/>
  <c r="R21" i="1"/>
  <c r="BA17" i="1"/>
  <c r="Z20" i="1"/>
  <c r="Z27" i="1"/>
  <c r="BA19" i="1"/>
  <c r="S29" i="1"/>
  <c r="T29" i="1" s="1"/>
  <c r="U18" i="1"/>
  <c r="Y18" i="1" s="1"/>
  <c r="AB18" i="1"/>
  <c r="U24" i="1"/>
  <c r="Y24" i="1" s="1"/>
  <c r="AB24" i="1"/>
  <c r="S19" i="1"/>
  <c r="T19" i="1" s="1"/>
  <c r="S20" i="1"/>
  <c r="T20" i="1" s="1"/>
  <c r="Z26" i="1"/>
  <c r="Z23" i="1"/>
  <c r="Z19" i="1"/>
  <c r="P19" i="1"/>
  <c r="N19" i="1" s="1"/>
  <c r="Q19" i="1" s="1"/>
  <c r="K19" i="1" s="1"/>
  <c r="L19" i="1" s="1"/>
  <c r="Z22" i="1"/>
  <c r="P22" i="1"/>
  <c r="N22" i="1" s="1"/>
  <c r="Q22" i="1" s="1"/>
  <c r="K22" i="1" s="1"/>
  <c r="L22" i="1" s="1"/>
  <c r="S28" i="1"/>
  <c r="T28" i="1" s="1"/>
  <c r="S17" i="1"/>
  <c r="T17" i="1" s="1"/>
  <c r="S27" i="1"/>
  <c r="T27" i="1" s="1"/>
  <c r="Z25" i="1"/>
  <c r="S25" i="1"/>
  <c r="T25" i="1" s="1"/>
  <c r="P25" i="1" s="1"/>
  <c r="N25" i="1" s="1"/>
  <c r="Q25" i="1" s="1"/>
  <c r="K25" i="1" s="1"/>
  <c r="L25" i="1" s="1"/>
  <c r="P28" i="1"/>
  <c r="N28" i="1" s="1"/>
  <c r="Q28" i="1" s="1"/>
  <c r="K28" i="1" s="1"/>
  <c r="L28" i="1" s="1"/>
  <c r="Z28" i="1"/>
  <c r="Z21" i="1"/>
  <c r="S23" i="1"/>
  <c r="T23" i="1" s="1"/>
  <c r="BA22" i="1"/>
  <c r="AA18" i="1"/>
  <c r="S26" i="1"/>
  <c r="T26" i="1" s="1"/>
  <c r="P24" i="1"/>
  <c r="N24" i="1" s="1"/>
  <c r="Q24" i="1" s="1"/>
  <c r="K24" i="1" s="1"/>
  <c r="L24" i="1" s="1"/>
  <c r="Z24" i="1"/>
  <c r="BA26" i="1"/>
  <c r="AC18" i="1" l="1"/>
  <c r="AB20" i="1"/>
  <c r="U20" i="1"/>
  <c r="Y20" i="1" s="1"/>
  <c r="AA20" i="1"/>
  <c r="P20" i="1"/>
  <c r="N20" i="1" s="1"/>
  <c r="Q20" i="1" s="1"/>
  <c r="K20" i="1" s="1"/>
  <c r="L20" i="1" s="1"/>
  <c r="AB26" i="1"/>
  <c r="U26" i="1"/>
  <c r="Y26" i="1" s="1"/>
  <c r="AA26" i="1"/>
  <c r="AB27" i="1"/>
  <c r="AC27" i="1" s="1"/>
  <c r="U27" i="1"/>
  <c r="Y27" i="1" s="1"/>
  <c r="AA27" i="1"/>
  <c r="U28" i="1"/>
  <c r="Y28" i="1" s="1"/>
  <c r="AB28" i="1"/>
  <c r="AC28" i="1" s="1"/>
  <c r="AA28" i="1"/>
  <c r="P26" i="1"/>
  <c r="N26" i="1" s="1"/>
  <c r="Q26" i="1" s="1"/>
  <c r="K26" i="1" s="1"/>
  <c r="L26" i="1" s="1"/>
  <c r="AB19" i="1"/>
  <c r="AC19" i="1" s="1"/>
  <c r="U19" i="1"/>
  <c r="Y19" i="1" s="1"/>
  <c r="AA19" i="1"/>
  <c r="BA21" i="1"/>
  <c r="AC22" i="1"/>
  <c r="AB23" i="1"/>
  <c r="AC23" i="1" s="1"/>
  <c r="U23" i="1"/>
  <c r="Y23" i="1" s="1"/>
  <c r="AA23" i="1"/>
  <c r="P23" i="1"/>
  <c r="N23" i="1" s="1"/>
  <c r="Q23" i="1" s="1"/>
  <c r="K23" i="1" s="1"/>
  <c r="L23" i="1" s="1"/>
  <c r="U25" i="1"/>
  <c r="Y25" i="1" s="1"/>
  <c r="AB25" i="1"/>
  <c r="AA25" i="1"/>
  <c r="U17" i="1"/>
  <c r="Y17" i="1" s="1"/>
  <c r="AB17" i="1"/>
  <c r="AC17" i="1" s="1"/>
  <c r="AA17" i="1"/>
  <c r="P17" i="1"/>
  <c r="N17" i="1" s="1"/>
  <c r="Q17" i="1" s="1"/>
  <c r="K17" i="1" s="1"/>
  <c r="L17" i="1" s="1"/>
  <c r="AC24" i="1"/>
  <c r="U29" i="1"/>
  <c r="Y29" i="1" s="1"/>
  <c r="AB29" i="1"/>
  <c r="AA29" i="1"/>
  <c r="P29" i="1"/>
  <c r="N29" i="1" s="1"/>
  <c r="Q29" i="1" s="1"/>
  <c r="K29" i="1" s="1"/>
  <c r="L29" i="1" s="1"/>
  <c r="P27" i="1"/>
  <c r="N27" i="1" s="1"/>
  <c r="Q27" i="1" s="1"/>
  <c r="K27" i="1" s="1"/>
  <c r="L27" i="1" s="1"/>
  <c r="S21" i="1"/>
  <c r="T21" i="1" s="1"/>
  <c r="AB21" i="1" l="1"/>
  <c r="U21" i="1"/>
  <c r="Y21" i="1" s="1"/>
  <c r="AA21" i="1"/>
  <c r="P21" i="1"/>
  <c r="N21" i="1" s="1"/>
  <c r="Q21" i="1" s="1"/>
  <c r="K21" i="1" s="1"/>
  <c r="L21" i="1" s="1"/>
  <c r="AC29" i="1"/>
  <c r="AC25" i="1"/>
  <c r="AC26" i="1"/>
  <c r="AC20" i="1"/>
  <c r="AC21" i="1" l="1"/>
</calcChain>
</file>

<file path=xl/sharedStrings.xml><?xml version="1.0" encoding="utf-8"?>
<sst xmlns="http://schemas.openxmlformats.org/spreadsheetml/2006/main" count="766" uniqueCount="349">
  <si>
    <t>File opened</t>
  </si>
  <si>
    <t>2019-08-23 14:40:14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</si>
  <si>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</si>
  <si>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</si>
  <si>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</si>
  <si>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</si>
  <si>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</si>
  <si>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</si>
  <si>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</si>
  <si>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</si>
  <si>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</si>
  <si>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</si>
  <si>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</si>
  <si>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{"co2bspanconc2": "0", "co2aspan2a": "0.164928", "flowbzero": "0.20796", "chamberpressurezero": "2.57337", "h2oaspan2a": "0.0661155", "ssa_ref": "36614.9", "co2aspan2": "0", "h2oaspan2": "0", "h2obspan2a": "0.0975941", "ssb_ref": "36526.8", "oxygen": "21", "co2bspan2a": "0.163389", "h2obspan2b": "0.0963575", "h2oaspanconc1": "12.19", "co2azero": "0.869071", "co2aspan1": "0.992625", "h2oaspanconc2": "0", "h2oaspan2b": "0.0662632", "tbzero": "0.197721", "h2obspan2": "0", "co2bzero": "0.880288", "h2oaspan1": "1.00223", "co2aspanconc2": "0", "h2obzero": "1.01783", "co2aspan2b": "0.163711", "co2bspanconc1": "1002", "flowazero": "0.4286", "h2obspanconc2": "0", "tazero": "0.00774765", "co2bspan1": "0.992131", "h2oazero": "1.00263", "co2bspan2": "0", "h2obspan1": "0.998578", "co2bspan2b": "0.162103", "h2obspanconc1": "20", "co2aspanconc1": "1002", "flowmeterzero": "0.991801"}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</si>
  <si>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</si>
  <si>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</si>
  <si>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</si>
  <si>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</si>
  <si>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</si>
  <si>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</si>
  <si>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</si>
  <si>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</si>
  <si>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</si>
  <si>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14:40:14</t>
  </si>
  <si>
    <t>Stability Definition:	A (GasEx): Slp&lt;0.3 Std&lt;0.5	gsw (GasEx): Slp&lt;1 Std&lt;0.5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</si>
  <si>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</si>
  <si>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</si>
  <si>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</si>
  <si>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</si>
  <si>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</si>
  <si>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</si>
  <si>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</si>
  <si>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</si>
  <si>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</si>
  <si>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</si>
  <si>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</si>
  <si>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</si>
  <si>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</si>
  <si>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</si>
  <si>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</si>
  <si>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</si>
  <si>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</si>
  <si>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</si>
  <si>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</si>
  <si>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</si>
  <si>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</si>
  <si>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</si>
  <si>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</si>
  <si>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</si>
  <si>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</si>
  <si>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</si>
  <si>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</si>
  <si>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</si>
  <si>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</si>
  <si>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</si>
  <si>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</si>
  <si>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</si>
  <si>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</si>
  <si>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</si>
  <si>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</si>
  <si>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</si>
  <si>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</si>
  <si>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</si>
  <si>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</si>
  <si>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</si>
  <si>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</si>
  <si>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</si>
  <si>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</si>
  <si>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</si>
  <si>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</si>
  <si>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</si>
  <si>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0.570593 73.8588 386.38 619.433 848.611 1051.49 1232.95 1389.7</t>
  </si>
  <si>
    <t>Fs_true</t>
  </si>
  <si>
    <t>0.0938281 100.298 404.41 600.711 801.999 1000.17 1200.83 1401.26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</si>
  <si>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</si>
  <si>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</si>
  <si>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</si>
  <si>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</si>
  <si>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</si>
  <si>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</si>
  <si>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</si>
  <si>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</si>
  <si>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</si>
  <si>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</si>
  <si>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</si>
  <si>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</si>
  <si>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</si>
  <si>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</si>
  <si>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</si>
  <si>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</si>
  <si>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</si>
  <si>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</si>
  <si>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</si>
  <si>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</si>
  <si>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</si>
  <si>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</si>
  <si>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</si>
  <si>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</si>
  <si>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</si>
  <si>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</si>
  <si>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</si>
  <si>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</si>
  <si>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</si>
  <si>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</si>
  <si>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</si>
  <si>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</si>
  <si>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</si>
  <si>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</si>
  <si>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</si>
  <si>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</si>
  <si>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</si>
  <si>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</si>
  <si>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</si>
  <si>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</si>
  <si>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</si>
  <si>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</si>
  <si>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</si>
  <si>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</si>
  <si>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</si>
  <si>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</si>
  <si>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</si>
  <si>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</si>
  <si>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</si>
  <si>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</si>
  <si>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</si>
  <si>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</si>
  <si>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</si>
  <si>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</si>
  <si>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</si>
  <si>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</si>
  <si>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</si>
  <si>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</si>
  <si>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</si>
  <si>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</si>
  <si>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</si>
  <si>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</si>
  <si>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</si>
  <si>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</si>
  <si>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</si>
  <si>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</si>
  <si>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</si>
  <si>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</si>
  <si>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</si>
  <si>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</si>
  <si>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</si>
  <si>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</si>
  <si>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</si>
  <si>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</si>
  <si>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</si>
  <si>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</si>
  <si>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</si>
  <si>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</si>
  <si>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</si>
  <si>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</si>
  <si>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</si>
  <si>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</si>
  <si>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</si>
  <si>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</si>
  <si>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</si>
  <si>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</si>
  <si>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</si>
  <si>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</si>
  <si>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</si>
  <si>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</si>
  <si>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</si>
  <si>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</si>
  <si>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</si>
  <si>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</si>
  <si>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</si>
  <si>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</si>
  <si>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</si>
  <si>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</si>
  <si>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</si>
  <si>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</si>
  <si>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</si>
  <si>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</si>
  <si>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</si>
  <si>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</si>
  <si>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</si>
  <si>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</si>
  <si>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</si>
  <si>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</si>
  <si>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</si>
  <si>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</si>
  <si>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</si>
  <si>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</si>
  <si>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</si>
  <si>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</si>
  <si>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</si>
  <si>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</si>
  <si>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</si>
  <si>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</si>
  <si>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</si>
  <si>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</si>
  <si>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</si>
  <si>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</si>
  <si>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</si>
  <si>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</si>
  <si>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</si>
  <si>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</si>
  <si>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</si>
  <si>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</si>
  <si>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</si>
  <si>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</si>
  <si>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</si>
  <si>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</si>
  <si>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</si>
  <si>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</si>
  <si>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</si>
  <si>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</si>
  <si>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</si>
  <si>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</si>
  <si>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</si>
  <si>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</si>
  <si>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</si>
  <si>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</si>
  <si>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</si>
  <si>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</si>
  <si>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</si>
  <si>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</si>
  <si>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</si>
  <si>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</si>
  <si>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</si>
  <si>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</si>
  <si>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</si>
  <si>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</si>
  <si>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</si>
  <si>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</si>
  <si>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</si>
  <si>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</si>
  <si>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</si>
  <si>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</si>
  <si>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</si>
  <si>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</si>
  <si>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</si>
  <si>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</si>
  <si>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</si>
  <si>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</si>
  <si>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</si>
  <si>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</si>
  <si>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</si>
  <si>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</si>
  <si>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</si>
  <si>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</si>
  <si>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</si>
  <si>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</si>
  <si>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</si>
  <si>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</si>
  <si>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</si>
  <si>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</si>
  <si>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</si>
  <si>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</si>
  <si>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</si>
  <si>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</si>
  <si>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</si>
  <si>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</si>
  <si>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</si>
  <si>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</si>
  <si>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</si>
  <si>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</si>
  <si>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</si>
  <si>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</si>
  <si>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</si>
  <si>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</si>
  <si>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</si>
  <si>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</si>
  <si>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</si>
  <si>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</si>
  <si>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</si>
  <si>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</si>
  <si>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</si>
  <si>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</si>
  <si>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</si>
  <si>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</si>
  <si>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</si>
  <si>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</si>
  <si>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20190823 14:45:39</t>
  </si>
  <si>
    <t>14:45:39</t>
  </si>
  <si>
    <t>MPF-1455-20190823-05_45_47</t>
  </si>
  <si>
    <t>MPF-1570-20190823-14_45_40</t>
  </si>
  <si>
    <t>DARK-1571-20190823-14_45_48</t>
  </si>
  <si>
    <t>0: Broadleaf</t>
  </si>
  <si>
    <t>14:46:18</t>
  </si>
  <si>
    <t>2/2</t>
  </si>
  <si>
    <t>5</t>
  </si>
  <si>
    <t>11111111</t>
  </si>
  <si>
    <t>oooooooo</t>
  </si>
  <si>
    <t>off</t>
  </si>
  <si>
    <t>20190823 14:47:37</t>
  </si>
  <si>
    <t>14:47:37</t>
  </si>
  <si>
    <t>MPF-1572-20190823-14_47_39</t>
  </si>
  <si>
    <t>DARK-1573-20190823-14_47_46</t>
  </si>
  <si>
    <t>14:48:10</t>
  </si>
  <si>
    <t>20190823 14:49:32</t>
  </si>
  <si>
    <t>14:49:32</t>
  </si>
  <si>
    <t>MPF-1574-20190823-14_49_33</t>
  </si>
  <si>
    <t>DARK-1575-20190823-14_49_41</t>
  </si>
  <si>
    <t>14:50:03</t>
  </si>
  <si>
    <t>20190823 14:51:26</t>
  </si>
  <si>
    <t>14:51:26</t>
  </si>
  <si>
    <t>MPF-1576-20190823-14_51_27</t>
  </si>
  <si>
    <t>DARK-1577-20190823-14_51_35</t>
  </si>
  <si>
    <t>14:52:01</t>
  </si>
  <si>
    <t>20190823 14:53:21</t>
  </si>
  <si>
    <t>14:53:21</t>
  </si>
  <si>
    <t>MPF-1578-20190823-14_53_22</t>
  </si>
  <si>
    <t>DARK-1579-20190823-14_53_30</t>
  </si>
  <si>
    <t>14:53:55</t>
  </si>
  <si>
    <t>20190823 14:55:13</t>
  </si>
  <si>
    <t>14:55:13</t>
  </si>
  <si>
    <t>MPF-1580-20190823-14_55_15</t>
  </si>
  <si>
    <t>DARK-1581-20190823-14_55_22</t>
  </si>
  <si>
    <t>14:55:48</t>
  </si>
  <si>
    <t>20190823 14:59:16</t>
  </si>
  <si>
    <t>14:59:16</t>
  </si>
  <si>
    <t>MPF-1584-20190823-14_59_18</t>
  </si>
  <si>
    <t>DARK-1585-20190823-14_59_25</t>
  </si>
  <si>
    <t>14:59:57</t>
  </si>
  <si>
    <t>20190823 15:01:28</t>
  </si>
  <si>
    <t>15:01:28</t>
  </si>
  <si>
    <t>MPF-1586-20190823-15_01_30</t>
  </si>
  <si>
    <t>DARK-1587-20190823-15_01_37</t>
  </si>
  <si>
    <t>15:02:03</t>
  </si>
  <si>
    <t>1/2</t>
  </si>
  <si>
    <t>20190823 15:03:35</t>
  </si>
  <si>
    <t>15:03:35</t>
  </si>
  <si>
    <t>MPF-1588-20190823-15_03_36</t>
  </si>
  <si>
    <t>DARK-1589-20190823-15_03_44</t>
  </si>
  <si>
    <t>15:04:09</t>
  </si>
  <si>
    <t>20190823 15:05:40</t>
  </si>
  <si>
    <t>15:05:40</t>
  </si>
  <si>
    <t>MPF-1590-20190823-15_05_42</t>
  </si>
  <si>
    <t>DARK-1591-20190823-15_05_49</t>
  </si>
  <si>
    <t>15:06:16</t>
  </si>
  <si>
    <t>20190823 15:07:48</t>
  </si>
  <si>
    <t>15:07:48</t>
  </si>
  <si>
    <t>MPF-1592-20190823-15_07_49</t>
  </si>
  <si>
    <t>DARK-1593-20190823-15_07_57</t>
  </si>
  <si>
    <t>15:08:20</t>
  </si>
  <si>
    <t>20190823 15:09:51</t>
  </si>
  <si>
    <t>15:09:51</t>
  </si>
  <si>
    <t>MPF-1594-20190823-15_09_53</t>
  </si>
  <si>
    <t>DARK-1595-20190823-15_10_01</t>
  </si>
  <si>
    <t>15:10:23</t>
  </si>
  <si>
    <t>20190823 15:11:55</t>
  </si>
  <si>
    <t>15:11:55</t>
  </si>
  <si>
    <t>MPF-1596-20190823-15_11_56</t>
  </si>
  <si>
    <t>DARK-1597-20190823-15_12_04</t>
  </si>
  <si>
    <t>15:12:34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</si>
</sst>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M29"/>
  <sheetViews>
    <sheetView tabSelected="1" topLeftCell="A15" zoomScaleNormal="100" workbookViewId="0">
      <selection activeCell="A23" sqref="A23:XFD23"/>
    </sheetView>
  </sheetViews>
  <sheetFormatPr defaultRowHeight="14.5" x14ac:dyDescent="0.35"/>
  <sheetData>
    <row r="2" spans="1:169" x14ac:dyDescent="0.35">
      <c r="A2" t="s">
        <v>25</v>
      </c>
      <c r="B2" t="s">
        <v>26</v>
      </c>
      <c r="C2" t="s">
        <v>28</v>
      </c>
      <c r="D2" t="s">
        <v>30</v>
      </c>
    </row>
    <row r="3" spans="1:169" x14ac:dyDescent="0.35">
      <c r="B3" t="s">
        <v>27</v>
      </c>
      <c r="C3" t="s">
        <v>29</v>
      </c>
      <c r="D3" t="s">
        <v>15</v>
      </c>
    </row>
    <row r="4" spans="1:169" x14ac:dyDescent="0.35">
      <c r="A4" t="s">
        <v>31</v>
      </c>
      <c r="B4" t="s">
        <v>32</v>
      </c>
      <c r="C4" t="s">
        <v>33</v>
      </c>
      <c r="D4" t="s">
        <v>34</v>
      </c>
    </row>
    <row r="5" spans="1:169" x14ac:dyDescent="0.35">
      <c r="B5">
        <v>6</v>
      </c>
      <c r="C5">
        <v>0.5</v>
      </c>
      <c r="D5">
        <v>2</v>
      </c>
    </row>
    <row r="6" spans="1:169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69" x14ac:dyDescent="0.35">
      <c r="B7">
        <v>0</v>
      </c>
      <c r="C7">
        <v>1</v>
      </c>
      <c r="D7">
        <v>0</v>
      </c>
      <c r="E7">
        <v>0</v>
      </c>
    </row>
    <row r="8" spans="1:169" x14ac:dyDescent="0.3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69" x14ac:dyDescent="0.3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9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69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9" x14ac:dyDescent="0.3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69" x14ac:dyDescent="0.3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2</v>
      </c>
    </row>
    <row r="14" spans="1:169" x14ac:dyDescent="0.3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31</v>
      </c>
      <c r="BW14" t="s">
        <v>82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83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84</v>
      </c>
      <c r="DC14" t="s">
        <v>84</v>
      </c>
      <c r="DD14" t="s">
        <v>84</v>
      </c>
      <c r="DE14" t="s">
        <v>84</v>
      </c>
      <c r="DF14" t="s">
        <v>84</v>
      </c>
      <c r="DG14" t="s">
        <v>85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86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87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88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</row>
    <row r="15" spans="1:169" x14ac:dyDescent="0.3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95</v>
      </c>
      <c r="BX15" t="s">
        <v>162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90</v>
      </c>
      <c r="DH15" t="s">
        <v>93</v>
      </c>
      <c r="DI15" t="s">
        <v>197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</row>
    <row r="16" spans="1:169" x14ac:dyDescent="0.35">
      <c r="B16" t="s">
        <v>254</v>
      </c>
      <c r="C16" t="s">
        <v>254</v>
      </c>
      <c r="G16" t="s">
        <v>254</v>
      </c>
      <c r="H16" t="s">
        <v>255</v>
      </c>
      <c r="I16" t="s">
        <v>256</v>
      </c>
      <c r="J16" t="s">
        <v>257</v>
      </c>
      <c r="K16" t="s">
        <v>257</v>
      </c>
      <c r="L16" t="s">
        <v>167</v>
      </c>
      <c r="M16" t="s">
        <v>167</v>
      </c>
      <c r="N16" t="s">
        <v>255</v>
      </c>
      <c r="O16" t="s">
        <v>255</v>
      </c>
      <c r="P16" t="s">
        <v>255</v>
      </c>
      <c r="Q16" t="s">
        <v>255</v>
      </c>
      <c r="R16" t="s">
        <v>258</v>
      </c>
      <c r="S16" t="s">
        <v>259</v>
      </c>
      <c r="T16" t="s">
        <v>259</v>
      </c>
      <c r="U16" t="s">
        <v>260</v>
      </c>
      <c r="V16" t="s">
        <v>261</v>
      </c>
      <c r="W16" t="s">
        <v>260</v>
      </c>
      <c r="X16" t="s">
        <v>260</v>
      </c>
      <c r="Y16" t="s">
        <v>260</v>
      </c>
      <c r="Z16" t="s">
        <v>258</v>
      </c>
      <c r="AA16" t="s">
        <v>258</v>
      </c>
      <c r="AB16" t="s">
        <v>258</v>
      </c>
      <c r="AC16" t="s">
        <v>258</v>
      </c>
      <c r="AG16" t="s">
        <v>262</v>
      </c>
      <c r="AH16" t="s">
        <v>261</v>
      </c>
      <c r="AJ16" t="s">
        <v>261</v>
      </c>
      <c r="AK16" t="s">
        <v>262</v>
      </c>
      <c r="AQ16" t="s">
        <v>256</v>
      </c>
      <c r="AW16" t="s">
        <v>256</v>
      </c>
      <c r="AX16" t="s">
        <v>256</v>
      </c>
      <c r="AY16" t="s">
        <v>256</v>
      </c>
      <c r="BA16" t="s">
        <v>263</v>
      </c>
      <c r="BK16" t="s">
        <v>264</v>
      </c>
      <c r="BL16" t="s">
        <v>264</v>
      </c>
      <c r="BM16" t="s">
        <v>264</v>
      </c>
      <c r="BN16" t="s">
        <v>256</v>
      </c>
      <c r="BP16" t="s">
        <v>265</v>
      </c>
      <c r="BR16" t="s">
        <v>256</v>
      </c>
      <c r="BS16" t="s">
        <v>256</v>
      </c>
      <c r="BU16" t="s">
        <v>266</v>
      </c>
      <c r="BW16" t="s">
        <v>254</v>
      </c>
      <c r="BX16" t="s">
        <v>257</v>
      </c>
      <c r="BY16" t="s">
        <v>257</v>
      </c>
      <c r="BZ16" t="s">
        <v>267</v>
      </c>
      <c r="CA16" t="s">
        <v>267</v>
      </c>
      <c r="CB16" t="s">
        <v>262</v>
      </c>
      <c r="CC16" t="s">
        <v>260</v>
      </c>
      <c r="CD16" t="s">
        <v>260</v>
      </c>
      <c r="CE16" t="s">
        <v>259</v>
      </c>
      <c r="CF16" t="s">
        <v>259</v>
      </c>
      <c r="CG16" t="s">
        <v>259</v>
      </c>
      <c r="CH16" t="s">
        <v>268</v>
      </c>
      <c r="CI16" t="s">
        <v>256</v>
      </c>
      <c r="CJ16" t="s">
        <v>256</v>
      </c>
      <c r="CK16" t="s">
        <v>256</v>
      </c>
      <c r="CP16" t="s">
        <v>256</v>
      </c>
      <c r="CS16" t="s">
        <v>259</v>
      </c>
      <c r="CT16" t="s">
        <v>259</v>
      </c>
      <c r="CU16" t="s">
        <v>259</v>
      </c>
      <c r="CV16" t="s">
        <v>259</v>
      </c>
      <c r="CW16" t="s">
        <v>259</v>
      </c>
      <c r="CX16" t="s">
        <v>256</v>
      </c>
      <c r="CY16" t="s">
        <v>256</v>
      </c>
      <c r="CZ16" t="s">
        <v>256</v>
      </c>
      <c r="DA16" t="s">
        <v>254</v>
      </c>
      <c r="DC16" t="s">
        <v>269</v>
      </c>
      <c r="DD16" t="s">
        <v>269</v>
      </c>
      <c r="DF16" t="s">
        <v>254</v>
      </c>
      <c r="DG16" t="s">
        <v>270</v>
      </c>
      <c r="DJ16" t="s">
        <v>271</v>
      </c>
      <c r="DK16" t="s">
        <v>272</v>
      </c>
      <c r="DL16" t="s">
        <v>271</v>
      </c>
      <c r="DM16" t="s">
        <v>272</v>
      </c>
      <c r="DN16" t="s">
        <v>261</v>
      </c>
      <c r="DO16" t="s">
        <v>261</v>
      </c>
      <c r="DP16" t="s">
        <v>256</v>
      </c>
      <c r="DQ16" t="s">
        <v>273</v>
      </c>
      <c r="DR16" t="s">
        <v>256</v>
      </c>
      <c r="DT16" t="s">
        <v>255</v>
      </c>
      <c r="DU16" t="s">
        <v>274</v>
      </c>
      <c r="DV16" t="s">
        <v>255</v>
      </c>
      <c r="EA16" t="s">
        <v>275</v>
      </c>
      <c r="EB16" t="s">
        <v>275</v>
      </c>
      <c r="EC16" t="s">
        <v>275</v>
      </c>
      <c r="ED16" t="s">
        <v>275</v>
      </c>
      <c r="EE16" t="s">
        <v>275</v>
      </c>
      <c r="EF16" t="s">
        <v>275</v>
      </c>
      <c r="EG16" t="s">
        <v>275</v>
      </c>
      <c r="EH16" t="s">
        <v>275</v>
      </c>
      <c r="EI16" t="s">
        <v>275</v>
      </c>
      <c r="EJ16" t="s">
        <v>275</v>
      </c>
      <c r="EK16" t="s">
        <v>275</v>
      </c>
      <c r="EL16" t="s">
        <v>275</v>
      </c>
      <c r="ES16" t="s">
        <v>275</v>
      </c>
      <c r="ET16" t="s">
        <v>261</v>
      </c>
      <c r="EU16" t="s">
        <v>261</v>
      </c>
      <c r="EV16" t="s">
        <v>271</v>
      </c>
      <c r="EW16" t="s">
        <v>272</v>
      </c>
      <c r="EY16" t="s">
        <v>262</v>
      </c>
      <c r="EZ16" t="s">
        <v>262</v>
      </c>
      <c r="FA16" t="s">
        <v>259</v>
      </c>
      <c r="FB16" t="s">
        <v>259</v>
      </c>
      <c r="FC16" t="s">
        <v>259</v>
      </c>
      <c r="FD16" t="s">
        <v>259</v>
      </c>
      <c r="FE16" t="s">
        <v>259</v>
      </c>
      <c r="FF16" t="s">
        <v>261</v>
      </c>
      <c r="FG16" t="s">
        <v>261</v>
      </c>
      <c r="FH16" t="s">
        <v>261</v>
      </c>
      <c r="FI16" t="s">
        <v>259</v>
      </c>
      <c r="FJ16" t="s">
        <v>257</v>
      </c>
      <c r="FK16" t="s">
        <v>267</v>
      </c>
      <c r="FL16" t="s">
        <v>261</v>
      </c>
      <c r="FM16" t="s">
        <v>261</v>
      </c>
    </row>
    <row r="17" spans="1:169" x14ac:dyDescent="0.35">
      <c r="A17">
        <v>1</v>
      </c>
      <c r="B17">
        <v>1566589539.0999999</v>
      </c>
      <c r="C17">
        <v>0</v>
      </c>
      <c r="D17" t="s">
        <v>276</v>
      </c>
      <c r="E17" t="s">
        <v>277</v>
      </c>
      <c r="G17">
        <v>1566589539.0999999</v>
      </c>
      <c r="H17">
        <f t="shared" ref="H17:H29" si="0">CB17*AI17*(BZ17-CA17)/(100*$B$5*(1000-AI17*BZ17))</f>
        <v>6.9432253323483961E-3</v>
      </c>
      <c r="I17">
        <f t="shared" ref="I17:I29" si="1">CB17*AI17*(BY17-BX17*(1000-AI17*CA17)/(1000-AI17*BZ17))/(100*$B$5)</f>
        <v>31.182546927848872</v>
      </c>
      <c r="J17">
        <f t="shared" ref="J17:J29" si="2">BX17 - IF(AI17&gt;1, I17*$B$5*100/(AK17*CH17), 0)</f>
        <v>359.59100000000001</v>
      </c>
      <c r="K17">
        <f t="shared" ref="K17:K29" si="3">((Q17-H17/2)*J17-I17)/(Q17+H17/2)</f>
        <v>231.3895616311365</v>
      </c>
      <c r="L17">
        <f t="shared" ref="L17:L29" si="4">K17*(CC17+CD17)/1000</f>
        <v>23.058846782981334</v>
      </c>
      <c r="M17">
        <f t="shared" ref="M17:M29" si="5">(BX17 - IF(AI17&gt;1, I17*$B$5*100/(AK17*CH17), 0))*(CC17+CD17)/1000</f>
        <v>35.834605999890002</v>
      </c>
      <c r="N17">
        <f t="shared" ref="N17:N29" si="6">2/((1/P17-1/O17)+SIGN(P17)*SQRT((1/P17-1/O17)*(1/P17-1/O17) + 4*$C$5/(($C$5+1)*($C$5+1))*(2*1/P17*1/O17-1/O17*1/O17)))</f>
        <v>0.45418742018236602</v>
      </c>
      <c r="O17">
        <f t="shared" ref="O17:O29" si="7">AF17+AE17*$B$5+AD17*$B$5*$B$5</f>
        <v>2.2575659514919808</v>
      </c>
      <c r="P17">
        <f t="shared" ref="P17:P29" si="8">H17*(1000-(1000*0.61365*EXP(17.502*T17/(240.97+T17))/(CC17+CD17)+BZ17)/2)/(1000*0.61365*EXP(17.502*T17/(240.97+T17))/(CC17+CD17)-BZ17)</f>
        <v>0.40886408423142423</v>
      </c>
      <c r="Q17">
        <f t="shared" ref="Q17:Q29" si="9">1/(($C$5+1)/(N17/1.6)+1/(O17/1.37)) + $C$5/(($C$5+1)/(N17/1.6) + $C$5/(O17/1.37))</f>
        <v>0.25923424069118639</v>
      </c>
      <c r="R17">
        <f t="shared" ref="R17:R29" si="10">(BS17*BU17)</f>
        <v>281.54290132707729</v>
      </c>
      <c r="S17">
        <f t="shared" ref="S17:S29" si="11">(CE17+(R17+2*0.95*0.0000000567*(((CE17+$B$7)+273)^4-(CE17+273)^4)-44100*H17)/(1.84*29.3*O17+8*0.95*0.0000000567*(CE17+273)^3))</f>
        <v>27.07065703479444</v>
      </c>
      <c r="T17">
        <f t="shared" ref="T17:T29" si="12">($C$7*CF17+$D$7*CG17+$E$7*S17)</f>
        <v>27.2317</v>
      </c>
      <c r="U17">
        <f t="shared" ref="U17:U29" si="13">0.61365*EXP(17.502*T17/(240.97+T17))</f>
        <v>3.6281562837984547</v>
      </c>
      <c r="V17">
        <f t="shared" ref="V17:V29" si="14">(W17/X17*100)</f>
        <v>54.593662206573732</v>
      </c>
      <c r="W17">
        <f t="shared" ref="W17:W29" si="15">BZ17*(CC17+CD17)/1000</f>
        <v>1.9835090361600001</v>
      </c>
      <c r="X17">
        <f t="shared" ref="X17:X29" si="16">0.61365*EXP(17.502*CE17/(240.97+CE17))</f>
        <v>3.6332221653398471</v>
      </c>
      <c r="Y17">
        <f t="shared" ref="Y17:Y29" si="17">(U17-BZ17*(CC17+CD17)/1000)</f>
        <v>1.6446472476384546</v>
      </c>
      <c r="Z17">
        <f t="shared" ref="Z17:Z29" si="18">(-H17*44100)</f>
        <v>-306.19623715656428</v>
      </c>
      <c r="AA17">
        <f t="shared" ref="AA17:AA29" si="19">2*29.3*O17*0.92*(CE17-T17)</f>
        <v>2.8966955147288567</v>
      </c>
      <c r="AB17">
        <f t="shared" ref="AB17:AB29" si="20">2*0.95*0.0000000567*(((CE17+$B$7)+273)^4-(T17+273)^4)</f>
        <v>0.277584291111027</v>
      </c>
      <c r="AC17">
        <f t="shared" ref="AC17:AC29" si="21">R17+AB17+Z17+AA17</f>
        <v>-21.479056023647079</v>
      </c>
      <c r="AD17">
        <v>-4.1387744245108403E-2</v>
      </c>
      <c r="AE17">
        <v>4.6461368680667199E-2</v>
      </c>
      <c r="AF17">
        <v>3.4687565322318799</v>
      </c>
      <c r="AG17">
        <v>0</v>
      </c>
      <c r="AH17">
        <v>0</v>
      </c>
      <c r="AI17">
        <f t="shared" ref="AI17:AI29" si="22">IF(AG17*$H$13&gt;=AK17,1,(AK17/(AK17-AG17*$H$13)))</f>
        <v>1</v>
      </c>
      <c r="AJ17">
        <f t="shared" ref="AJ17:AJ29" si="23">(AI17-1)*100</f>
        <v>0</v>
      </c>
      <c r="AK17">
        <f t="shared" ref="AK17:AK29" si="24">MAX(0,($B$13+$C$13*CH17)/(1+$D$13*CH17)*CC17/(CE17+273)*$E$13)</f>
        <v>52725.481135307564</v>
      </c>
      <c r="AL17" t="s">
        <v>278</v>
      </c>
      <c r="AM17">
        <v>602.34923076923099</v>
      </c>
      <c r="AN17">
        <v>3447.2</v>
      </c>
      <c r="AO17">
        <f t="shared" ref="AO17:AO29" si="25">AN17-AM17</f>
        <v>2844.8507692307689</v>
      </c>
      <c r="AP17">
        <f t="shared" ref="AP17:AP29" si="26">AO17/AN17</f>
        <v>0.82526420550904189</v>
      </c>
      <c r="AQ17">
        <v>-2.3039181891607399</v>
      </c>
      <c r="AR17" t="s">
        <v>279</v>
      </c>
      <c r="AS17">
        <v>865.58503846153803</v>
      </c>
      <c r="AT17">
        <v>1409.76</v>
      </c>
      <c r="AU17">
        <f t="shared" ref="AU17:AU29" si="27">1-AS17/AT17</f>
        <v>0.38600539207983053</v>
      </c>
      <c r="AV17">
        <v>0.5</v>
      </c>
      <c r="AW17">
        <f t="shared" ref="AW17:AW29" si="28">BS17</f>
        <v>1471.1457000963637</v>
      </c>
      <c r="AX17">
        <f t="shared" ref="AX17:AX29" si="29">I17</f>
        <v>31.182546927848872</v>
      </c>
      <c r="AY17">
        <f t="shared" ref="AY17:AY29" si="30">AU17*AV17*AW17</f>
        <v>283.93508638612684</v>
      </c>
      <c r="AZ17">
        <f t="shared" ref="AZ17:AZ29" si="31">BE17/AT17</f>
        <v>0.59425717852684146</v>
      </c>
      <c r="BA17">
        <f t="shared" ref="BA17:BA29" si="32">(AX17-AQ17)/AW17</f>
        <v>2.2762167686597029E-2</v>
      </c>
      <c r="BB17">
        <f t="shared" ref="BB17:BB29" si="33">(AN17-AT17)/AT17</f>
        <v>1.445238905913063</v>
      </c>
      <c r="BC17" t="s">
        <v>280</v>
      </c>
      <c r="BD17">
        <v>572</v>
      </c>
      <c r="BE17">
        <f t="shared" ref="BE17:BE29" si="34">AT17-BD17</f>
        <v>837.76</v>
      </c>
      <c r="BF17">
        <f t="shared" ref="BF17:BF29" si="35">(AT17-AS17)/(AT17-BD17)</f>
        <v>0.64955949381500899</v>
      </c>
      <c r="BG17">
        <f t="shared" ref="BG17:BG29" si="36">(AN17-AT17)/(AN17-BD17)</f>
        <v>0.70862548692264882</v>
      </c>
      <c r="BH17">
        <f t="shared" ref="BH17:BH29" si="37">(AT17-AS17)/(AT17-AM17)</f>
        <v>0.67397535712448409</v>
      </c>
      <c r="BI17">
        <f t="shared" ref="BI17:BI29" si="38">(AN17-AT17)/(AN17-AM17)</f>
        <v>0.71618519397799962</v>
      </c>
      <c r="BJ17">
        <v>1570</v>
      </c>
      <c r="BK17">
        <v>300</v>
      </c>
      <c r="BL17">
        <v>300</v>
      </c>
      <c r="BM17">
        <v>300</v>
      </c>
      <c r="BN17">
        <v>10295.4</v>
      </c>
      <c r="BO17">
        <v>1280.3699999999999</v>
      </c>
      <c r="BP17">
        <v>-7.0724500000000001E-3</v>
      </c>
      <c r="BQ17">
        <v>8.2467000000000006</v>
      </c>
      <c r="BR17">
        <f t="shared" ref="BR17:BR29" si="39">$B$11*CI17+$C$11*CJ17+$F$11*CK17</f>
        <v>1749.93</v>
      </c>
      <c r="BS17">
        <f t="shared" ref="BS17:BS29" si="40">BR17*BT17</f>
        <v>1471.1457000963637</v>
      </c>
      <c r="BT17">
        <f t="shared" ref="BT17:BT29" si="41">($B$11*$D$9+$C$11*$D$9+$F$11*((CX17+CP17)/MAX(CX17+CP17+CY17, 0.1)*$I$9+CY17/MAX(CX17+CP17+CY17, 0.1)*$J$9))/($B$11+$C$11+$F$11)</f>
        <v>0.84068831330188276</v>
      </c>
      <c r="BU17">
        <f t="shared" ref="BU17:BU29" si="42">($B$11*$K$9+$C$11*$K$9+$F$11*((CX17+CP17)/MAX(CX17+CP17+CY17, 0.1)*$P$9+CY17/MAX(CX17+CP17+CY17, 0.1)*$Q$9))/($B$11+$C$11+$F$11)</f>
        <v>0.1913766266037657</v>
      </c>
      <c r="BV17" t="s">
        <v>281</v>
      </c>
      <c r="BW17">
        <v>1566589539.0999999</v>
      </c>
      <c r="BX17">
        <v>359.59100000000001</v>
      </c>
      <c r="BY17">
        <v>400.00200000000001</v>
      </c>
      <c r="BZ17">
        <v>19.904</v>
      </c>
      <c r="CA17">
        <v>11.738799999999999</v>
      </c>
      <c r="CB17">
        <v>500.05099999999999</v>
      </c>
      <c r="CC17">
        <v>99.553700000000006</v>
      </c>
      <c r="CD17">
        <v>0.10009</v>
      </c>
      <c r="CE17">
        <v>27.255500000000001</v>
      </c>
      <c r="CF17">
        <v>27.2317</v>
      </c>
      <c r="CG17">
        <v>999.9</v>
      </c>
      <c r="CH17">
        <v>10025.6</v>
      </c>
      <c r="CI17">
        <v>0</v>
      </c>
      <c r="CJ17">
        <v>1570.22</v>
      </c>
      <c r="CK17">
        <v>1749.93</v>
      </c>
      <c r="CL17">
        <v>0.976993</v>
      </c>
      <c r="CM17">
        <v>2.3006700000000001E-2</v>
      </c>
      <c r="CN17">
        <v>0</v>
      </c>
      <c r="CO17">
        <v>863.63599999999997</v>
      </c>
      <c r="CP17">
        <v>4.99986</v>
      </c>
      <c r="CQ17">
        <v>19629.400000000001</v>
      </c>
      <c r="CR17">
        <v>14220.2</v>
      </c>
      <c r="CS17">
        <v>42.25</v>
      </c>
      <c r="CT17">
        <v>43.561999999999998</v>
      </c>
      <c r="CU17">
        <v>42.625</v>
      </c>
      <c r="CV17">
        <v>43.186999999999998</v>
      </c>
      <c r="CW17">
        <v>44.125</v>
      </c>
      <c r="CX17">
        <v>1704.78</v>
      </c>
      <c r="CY17">
        <v>40.15</v>
      </c>
      <c r="CZ17">
        <v>0</v>
      </c>
      <c r="DA17">
        <v>436.700000047684</v>
      </c>
      <c r="DB17">
        <v>865.58503846153803</v>
      </c>
      <c r="DC17">
        <v>-17.2364102756171</v>
      </c>
      <c r="DD17">
        <v>-1866.25299241378</v>
      </c>
      <c r="DE17">
        <v>19896.180769230799</v>
      </c>
      <c r="DF17">
        <v>15</v>
      </c>
      <c r="DG17">
        <v>1566589578.0999999</v>
      </c>
      <c r="DH17" t="s">
        <v>282</v>
      </c>
      <c r="DI17">
        <v>58</v>
      </c>
      <c r="DJ17">
        <v>-0.24099999999999999</v>
      </c>
      <c r="DK17">
        <v>3.2000000000000001E-2</v>
      </c>
      <c r="DL17">
        <v>400</v>
      </c>
      <c r="DM17">
        <v>12</v>
      </c>
      <c r="DN17">
        <v>0.04</v>
      </c>
      <c r="DO17">
        <v>0.01</v>
      </c>
      <c r="DP17">
        <v>31.085425713021699</v>
      </c>
      <c r="DQ17">
        <v>0.18357028823169899</v>
      </c>
      <c r="DR17">
        <v>0.12110448021970401</v>
      </c>
      <c r="DS17">
        <v>1</v>
      </c>
      <c r="DT17">
        <v>0.474332759826466</v>
      </c>
      <c r="DU17">
        <v>-2.8196014546671099E-2</v>
      </c>
      <c r="DV17">
        <v>6.01634195842214E-3</v>
      </c>
      <c r="DW17">
        <v>1</v>
      </c>
      <c r="DX17">
        <v>2</v>
      </c>
      <c r="DY17">
        <v>2</v>
      </c>
      <c r="DZ17" t="s">
        <v>283</v>
      </c>
      <c r="EA17">
        <v>1.8667100000000001</v>
      </c>
      <c r="EB17">
        <v>1.8632299999999999</v>
      </c>
      <c r="EC17">
        <v>1.8688499999999999</v>
      </c>
      <c r="ED17">
        <v>1.8667899999999999</v>
      </c>
      <c r="EE17">
        <v>1.8714900000000001</v>
      </c>
      <c r="EF17">
        <v>1.8640000000000001</v>
      </c>
      <c r="EG17">
        <v>1.8655299999999999</v>
      </c>
      <c r="EH17">
        <v>1.86541</v>
      </c>
      <c r="EI17" t="s">
        <v>284</v>
      </c>
      <c r="EJ17" t="s">
        <v>19</v>
      </c>
      <c r="EK17" t="s">
        <v>19</v>
      </c>
      <c r="EL17" t="s">
        <v>19</v>
      </c>
      <c r="EM17" t="s">
        <v>285</v>
      </c>
      <c r="EN17" t="s">
        <v>286</v>
      </c>
      <c r="EO17" t="s">
        <v>287</v>
      </c>
      <c r="EP17" t="s">
        <v>287</v>
      </c>
      <c r="EQ17" t="s">
        <v>287</v>
      </c>
      <c r="ER17" t="s">
        <v>287</v>
      </c>
      <c r="ES17">
        <v>0</v>
      </c>
      <c r="ET17">
        <v>100</v>
      </c>
      <c r="EU17">
        <v>100</v>
      </c>
      <c r="EV17">
        <v>-0.24099999999999999</v>
      </c>
      <c r="EW17">
        <v>3.2000000000000001E-2</v>
      </c>
      <c r="EX17">
        <v>2</v>
      </c>
      <c r="EY17">
        <v>511.93900000000002</v>
      </c>
      <c r="EZ17">
        <v>502.54</v>
      </c>
      <c r="FA17">
        <v>22.609100000000002</v>
      </c>
      <c r="FB17">
        <v>30.724</v>
      </c>
      <c r="FC17">
        <v>30.000900000000001</v>
      </c>
      <c r="FD17">
        <v>30.735700000000001</v>
      </c>
      <c r="FE17">
        <v>30.7302</v>
      </c>
      <c r="FF17">
        <v>22.058399999999999</v>
      </c>
      <c r="FG17">
        <v>62.694200000000002</v>
      </c>
      <c r="FH17">
        <v>0</v>
      </c>
      <c r="FI17">
        <v>22.402699999999999</v>
      </c>
      <c r="FJ17">
        <v>400</v>
      </c>
      <c r="FK17">
        <v>11.759</v>
      </c>
      <c r="FL17">
        <v>101.16800000000001</v>
      </c>
      <c r="FM17">
        <v>101.733</v>
      </c>
    </row>
    <row r="18" spans="1:169" x14ac:dyDescent="0.35">
      <c r="A18">
        <v>2</v>
      </c>
      <c r="B18">
        <v>1566589657.5999999</v>
      </c>
      <c r="C18">
        <v>118.5</v>
      </c>
      <c r="D18" t="s">
        <v>288</v>
      </c>
      <c r="E18" t="s">
        <v>289</v>
      </c>
      <c r="G18">
        <v>1566589657.5999999</v>
      </c>
      <c r="H18">
        <f t="shared" si="0"/>
        <v>6.386717480570207E-3</v>
      </c>
      <c r="I18">
        <f t="shared" si="1"/>
        <v>22.402499905245158</v>
      </c>
      <c r="J18">
        <f t="shared" si="2"/>
        <v>270.98399999999998</v>
      </c>
      <c r="K18">
        <f t="shared" si="3"/>
        <v>171.71428603423067</v>
      </c>
      <c r="L18">
        <f t="shared" si="4"/>
        <v>17.112503987598991</v>
      </c>
      <c r="M18">
        <f t="shared" si="5"/>
        <v>27.005410485479999</v>
      </c>
      <c r="N18">
        <f t="shared" si="6"/>
        <v>0.41750401923560621</v>
      </c>
      <c r="O18">
        <f t="shared" si="7"/>
        <v>2.2512044018297317</v>
      </c>
      <c r="P18">
        <f t="shared" si="8"/>
        <v>0.37877514058163847</v>
      </c>
      <c r="Q18">
        <f t="shared" si="9"/>
        <v>0.23991400191275078</v>
      </c>
      <c r="R18">
        <f t="shared" si="10"/>
        <v>281.57585530227499</v>
      </c>
      <c r="S18">
        <f t="shared" si="11"/>
        <v>26.5444104081873</v>
      </c>
      <c r="T18">
        <f t="shared" si="12"/>
        <v>26.940100000000001</v>
      </c>
      <c r="U18">
        <f t="shared" si="13"/>
        <v>3.5665872575835396</v>
      </c>
      <c r="V18">
        <f t="shared" si="14"/>
        <v>55.460416858455353</v>
      </c>
      <c r="W18">
        <f t="shared" si="15"/>
        <v>1.9325854009779999</v>
      </c>
      <c r="X18">
        <f t="shared" si="16"/>
        <v>3.4846211234046338</v>
      </c>
      <c r="Y18">
        <f t="shared" si="17"/>
        <v>1.6340018566055396</v>
      </c>
      <c r="Z18">
        <f t="shared" si="18"/>
        <v>-281.65424089314615</v>
      </c>
      <c r="AA18">
        <f t="shared" si="19"/>
        <v>-47.952074719191643</v>
      </c>
      <c r="AB18">
        <f t="shared" si="20"/>
        <v>-4.585102644786879</v>
      </c>
      <c r="AC18">
        <f t="shared" si="21"/>
        <v>-52.615562954849707</v>
      </c>
      <c r="AD18">
        <v>-4.1216179407574403E-2</v>
      </c>
      <c r="AE18">
        <v>4.6268772120629999E-2</v>
      </c>
      <c r="AF18">
        <v>3.4573742277786299</v>
      </c>
      <c r="AG18">
        <v>0</v>
      </c>
      <c r="AH18">
        <v>0</v>
      </c>
      <c r="AI18">
        <f t="shared" si="22"/>
        <v>1</v>
      </c>
      <c r="AJ18">
        <f t="shared" si="23"/>
        <v>0</v>
      </c>
      <c r="AK18">
        <f t="shared" si="24"/>
        <v>52640.484654651395</v>
      </c>
      <c r="AL18" t="s">
        <v>278</v>
      </c>
      <c r="AM18">
        <v>602.34923076923099</v>
      </c>
      <c r="AN18">
        <v>3447.2</v>
      </c>
      <c r="AO18">
        <f t="shared" si="25"/>
        <v>2844.8507692307689</v>
      </c>
      <c r="AP18">
        <f t="shared" si="26"/>
        <v>0.82526420550904189</v>
      </c>
      <c r="AQ18">
        <v>-2.3039181891607399</v>
      </c>
      <c r="AR18" t="s">
        <v>290</v>
      </c>
      <c r="AS18">
        <v>823.61476923076896</v>
      </c>
      <c r="AT18">
        <v>1283.1500000000001</v>
      </c>
      <c r="AU18">
        <f t="shared" si="27"/>
        <v>0.35813056210827343</v>
      </c>
      <c r="AV18">
        <v>0.5</v>
      </c>
      <c r="AW18">
        <f t="shared" si="28"/>
        <v>1471.3218000963284</v>
      </c>
      <c r="AX18">
        <f t="shared" si="29"/>
        <v>22.402499905245158</v>
      </c>
      <c r="AY18">
        <f t="shared" si="30"/>
        <v>263.46265165532742</v>
      </c>
      <c r="AZ18">
        <f t="shared" si="31"/>
        <v>0.55560924287885283</v>
      </c>
      <c r="BA18">
        <f t="shared" si="32"/>
        <v>1.6791988056445811E-2</v>
      </c>
      <c r="BB18">
        <f t="shared" si="33"/>
        <v>1.6865136577952691</v>
      </c>
      <c r="BC18" t="s">
        <v>291</v>
      </c>
      <c r="BD18">
        <v>570.22</v>
      </c>
      <c r="BE18">
        <f t="shared" si="34"/>
        <v>712.93000000000006</v>
      </c>
      <c r="BF18">
        <f t="shared" si="35"/>
        <v>0.64457272210347594</v>
      </c>
      <c r="BG18">
        <f t="shared" si="36"/>
        <v>0.7521950100452558</v>
      </c>
      <c r="BH18">
        <f t="shared" si="37"/>
        <v>0.67499223199829228</v>
      </c>
      <c r="BI18">
        <f t="shared" si="38"/>
        <v>0.76069016463213157</v>
      </c>
      <c r="BJ18">
        <v>1572</v>
      </c>
      <c r="BK18">
        <v>300</v>
      </c>
      <c r="BL18">
        <v>300</v>
      </c>
      <c r="BM18">
        <v>300</v>
      </c>
      <c r="BN18">
        <v>10294</v>
      </c>
      <c r="BO18">
        <v>1175.54</v>
      </c>
      <c r="BP18">
        <v>-7.071E-3</v>
      </c>
      <c r="BQ18">
        <v>6.9852299999999996</v>
      </c>
      <c r="BR18">
        <f t="shared" si="39"/>
        <v>1750.14</v>
      </c>
      <c r="BS18">
        <f t="shared" si="40"/>
        <v>1471.3218000963284</v>
      </c>
      <c r="BT18">
        <f t="shared" si="41"/>
        <v>0.84068805929601531</v>
      </c>
      <c r="BU18">
        <f t="shared" si="42"/>
        <v>0.19137611859203069</v>
      </c>
      <c r="BV18" t="s">
        <v>281</v>
      </c>
      <c r="BW18">
        <v>1566589657.5999999</v>
      </c>
      <c r="BX18">
        <v>270.98399999999998</v>
      </c>
      <c r="BY18">
        <v>299.94099999999997</v>
      </c>
      <c r="BZ18">
        <v>19.392399999999999</v>
      </c>
      <c r="CA18">
        <v>11.877700000000001</v>
      </c>
      <c r="CB18">
        <v>500.04899999999998</v>
      </c>
      <c r="CC18">
        <v>99.556600000000003</v>
      </c>
      <c r="CD18">
        <v>0.100245</v>
      </c>
      <c r="CE18">
        <v>26.545000000000002</v>
      </c>
      <c r="CF18">
        <v>26.940100000000001</v>
      </c>
      <c r="CG18">
        <v>999.9</v>
      </c>
      <c r="CH18">
        <v>9983.75</v>
      </c>
      <c r="CI18">
        <v>0</v>
      </c>
      <c r="CJ18">
        <v>1897.61</v>
      </c>
      <c r="CK18">
        <v>1750.14</v>
      </c>
      <c r="CL18">
        <v>0.976997</v>
      </c>
      <c r="CM18">
        <v>2.3002600000000002E-2</v>
      </c>
      <c r="CN18">
        <v>0</v>
      </c>
      <c r="CO18">
        <v>822.20699999999999</v>
      </c>
      <c r="CP18">
        <v>4.99986</v>
      </c>
      <c r="CQ18">
        <v>19153.8</v>
      </c>
      <c r="CR18">
        <v>14221.9</v>
      </c>
      <c r="CS18">
        <v>42.561999999999998</v>
      </c>
      <c r="CT18">
        <v>44.25</v>
      </c>
      <c r="CU18">
        <v>43</v>
      </c>
      <c r="CV18">
        <v>43.875</v>
      </c>
      <c r="CW18">
        <v>44.5</v>
      </c>
      <c r="CX18">
        <v>1705</v>
      </c>
      <c r="CY18">
        <v>40.14</v>
      </c>
      <c r="CZ18">
        <v>0</v>
      </c>
      <c r="DA18">
        <v>117.799999952316</v>
      </c>
      <c r="DB18">
        <v>823.61476923076896</v>
      </c>
      <c r="DC18">
        <v>-14.141333340727099</v>
      </c>
      <c r="DD18">
        <v>-392.37606782771797</v>
      </c>
      <c r="DE18">
        <v>19205.599999999999</v>
      </c>
      <c r="DF18">
        <v>15</v>
      </c>
      <c r="DG18">
        <v>1566589690.0999999</v>
      </c>
      <c r="DH18" t="s">
        <v>292</v>
      </c>
      <c r="DI18">
        <v>59</v>
      </c>
      <c r="DJ18">
        <v>-0.33600000000000002</v>
      </c>
      <c r="DK18">
        <v>3.3000000000000002E-2</v>
      </c>
      <c r="DL18">
        <v>300</v>
      </c>
      <c r="DM18">
        <v>12</v>
      </c>
      <c r="DN18">
        <v>0.05</v>
      </c>
      <c r="DO18">
        <v>0.01</v>
      </c>
      <c r="DP18">
        <v>22.363794773318499</v>
      </c>
      <c r="DQ18">
        <v>0.22885582827470599</v>
      </c>
      <c r="DR18">
        <v>9.2917176061862894E-2</v>
      </c>
      <c r="DS18">
        <v>1</v>
      </c>
      <c r="DT18">
        <v>0.41615771453027101</v>
      </c>
      <c r="DU18">
        <v>-7.4279108500364798E-3</v>
      </c>
      <c r="DV18">
        <v>2.1090985594061401E-3</v>
      </c>
      <c r="DW18">
        <v>1</v>
      </c>
      <c r="DX18">
        <v>2</v>
      </c>
      <c r="DY18">
        <v>2</v>
      </c>
      <c r="DZ18" t="s">
        <v>283</v>
      </c>
      <c r="EA18">
        <v>1.86676</v>
      </c>
      <c r="EB18">
        <v>1.8632500000000001</v>
      </c>
      <c r="EC18">
        <v>1.8689</v>
      </c>
      <c r="ED18">
        <v>1.86683</v>
      </c>
      <c r="EE18">
        <v>1.8714900000000001</v>
      </c>
      <c r="EF18">
        <v>1.8640099999999999</v>
      </c>
      <c r="EG18">
        <v>1.86554</v>
      </c>
      <c r="EH18">
        <v>1.8654900000000001</v>
      </c>
      <c r="EI18" t="s">
        <v>284</v>
      </c>
      <c r="EJ18" t="s">
        <v>19</v>
      </c>
      <c r="EK18" t="s">
        <v>19</v>
      </c>
      <c r="EL18" t="s">
        <v>19</v>
      </c>
      <c r="EM18" t="s">
        <v>285</v>
      </c>
      <c r="EN18" t="s">
        <v>286</v>
      </c>
      <c r="EO18" t="s">
        <v>287</v>
      </c>
      <c r="EP18" t="s">
        <v>287</v>
      </c>
      <c r="EQ18" t="s">
        <v>287</v>
      </c>
      <c r="ER18" t="s">
        <v>287</v>
      </c>
      <c r="ES18">
        <v>0</v>
      </c>
      <c r="ET18">
        <v>100</v>
      </c>
      <c r="EU18">
        <v>100</v>
      </c>
      <c r="EV18">
        <v>-0.33600000000000002</v>
      </c>
      <c r="EW18">
        <v>3.3000000000000002E-2</v>
      </c>
      <c r="EX18">
        <v>2</v>
      </c>
      <c r="EY18">
        <v>511.30099999999999</v>
      </c>
      <c r="EZ18">
        <v>502.50200000000001</v>
      </c>
      <c r="FA18">
        <v>21.856000000000002</v>
      </c>
      <c r="FB18">
        <v>30.8078</v>
      </c>
      <c r="FC18">
        <v>30</v>
      </c>
      <c r="FD18">
        <v>30.7685</v>
      </c>
      <c r="FE18">
        <v>30.761199999999999</v>
      </c>
      <c r="FF18">
        <v>17.577500000000001</v>
      </c>
      <c r="FG18">
        <v>62.674300000000002</v>
      </c>
      <c r="FH18">
        <v>0</v>
      </c>
      <c r="FI18">
        <v>21.8066</v>
      </c>
      <c r="FJ18">
        <v>300</v>
      </c>
      <c r="FK18">
        <v>11.769</v>
      </c>
      <c r="FL18">
        <v>101.15</v>
      </c>
      <c r="FM18">
        <v>101.703</v>
      </c>
    </row>
    <row r="19" spans="1:169" x14ac:dyDescent="0.35">
      <c r="A19">
        <v>3</v>
      </c>
      <c r="B19">
        <v>1566589772.0999999</v>
      </c>
      <c r="C19">
        <v>233</v>
      </c>
      <c r="D19" t="s">
        <v>293</v>
      </c>
      <c r="E19" t="s">
        <v>294</v>
      </c>
      <c r="G19">
        <v>1566589772.0999999</v>
      </c>
      <c r="H19">
        <f t="shared" si="0"/>
        <v>6.1710155205149447E-3</v>
      </c>
      <c r="I19">
        <f t="shared" si="1"/>
        <v>13.816037579311384</v>
      </c>
      <c r="J19">
        <f t="shared" si="2"/>
        <v>182.083</v>
      </c>
      <c r="K19">
        <f t="shared" si="3"/>
        <v>117.27621728787155</v>
      </c>
      <c r="L19">
        <f t="shared" si="4"/>
        <v>11.6872452863182</v>
      </c>
      <c r="M19">
        <f t="shared" si="5"/>
        <v>18.145611554344999</v>
      </c>
      <c r="N19">
        <f t="shared" si="6"/>
        <v>0.39402131027922488</v>
      </c>
      <c r="O19">
        <f t="shared" si="7"/>
        <v>2.250710779464284</v>
      </c>
      <c r="P19">
        <f t="shared" si="8"/>
        <v>0.35932608434441654</v>
      </c>
      <c r="Q19">
        <f t="shared" si="9"/>
        <v>0.22744089662391481</v>
      </c>
      <c r="R19">
        <f t="shared" si="10"/>
        <v>281.55031945380148</v>
      </c>
      <c r="S19">
        <f t="shared" si="11"/>
        <v>26.621481863607979</v>
      </c>
      <c r="T19">
        <f t="shared" si="12"/>
        <v>27.061699999999998</v>
      </c>
      <c r="U19">
        <f t="shared" si="13"/>
        <v>3.5921503616564689</v>
      </c>
      <c r="V19">
        <f t="shared" si="14"/>
        <v>55.312510723184886</v>
      </c>
      <c r="W19">
        <f t="shared" si="15"/>
        <v>1.9280789803909999</v>
      </c>
      <c r="X19">
        <f t="shared" si="16"/>
        <v>3.4857918311468428</v>
      </c>
      <c r="Y19">
        <f t="shared" si="17"/>
        <v>1.6640713812654691</v>
      </c>
      <c r="Z19">
        <f t="shared" si="18"/>
        <v>-272.14178445470907</v>
      </c>
      <c r="AA19">
        <f t="shared" si="19"/>
        <v>-62.004903286206414</v>
      </c>
      <c r="AB19">
        <f t="shared" si="20"/>
        <v>-5.9338927998830178</v>
      </c>
      <c r="AC19">
        <f t="shared" si="21"/>
        <v>-58.530261086997044</v>
      </c>
      <c r="AD19">
        <v>-4.12028852648193E-2</v>
      </c>
      <c r="AE19">
        <v>4.6253848280756502E-2</v>
      </c>
      <c r="AF19">
        <v>3.4564915593132399</v>
      </c>
      <c r="AG19">
        <v>0</v>
      </c>
      <c r="AH19">
        <v>0</v>
      </c>
      <c r="AI19">
        <f t="shared" si="22"/>
        <v>1</v>
      </c>
      <c r="AJ19">
        <f t="shared" si="23"/>
        <v>0</v>
      </c>
      <c r="AK19">
        <f t="shared" si="24"/>
        <v>52623.171622009104</v>
      </c>
      <c r="AL19" t="s">
        <v>278</v>
      </c>
      <c r="AM19">
        <v>602.34923076923099</v>
      </c>
      <c r="AN19">
        <v>3447.2</v>
      </c>
      <c r="AO19">
        <f t="shared" si="25"/>
        <v>2844.8507692307689</v>
      </c>
      <c r="AP19">
        <f t="shared" si="26"/>
        <v>0.82526420550904189</v>
      </c>
      <c r="AQ19">
        <v>-2.3039181891607399</v>
      </c>
      <c r="AR19" t="s">
        <v>295</v>
      </c>
      <c r="AS19">
        <v>802.78853846153902</v>
      </c>
      <c r="AT19">
        <v>1186.1199999999999</v>
      </c>
      <c r="AU19">
        <f t="shared" si="27"/>
        <v>0.32318101165013735</v>
      </c>
      <c r="AV19">
        <v>0.5</v>
      </c>
      <c r="AW19">
        <f t="shared" si="28"/>
        <v>1471.1874000963369</v>
      </c>
      <c r="AX19">
        <f t="shared" si="29"/>
        <v>13.816037579311384</v>
      </c>
      <c r="AY19">
        <f t="shared" si="30"/>
        <v>237.72991614503476</v>
      </c>
      <c r="AZ19">
        <f t="shared" si="31"/>
        <v>0.51524297710181088</v>
      </c>
      <c r="BA19">
        <f t="shared" si="32"/>
        <v>1.095710564637554E-2</v>
      </c>
      <c r="BB19">
        <f t="shared" si="33"/>
        <v>1.9062826695443971</v>
      </c>
      <c r="BC19" t="s">
        <v>296</v>
      </c>
      <c r="BD19">
        <v>574.98</v>
      </c>
      <c r="BE19">
        <f t="shared" si="34"/>
        <v>611.13999999999987</v>
      </c>
      <c r="BF19">
        <f t="shared" si="35"/>
        <v>0.62724001298959475</v>
      </c>
      <c r="BG19">
        <f t="shared" si="36"/>
        <v>0.78722381990237522</v>
      </c>
      <c r="BH19">
        <f t="shared" si="37"/>
        <v>0.65664723508437117</v>
      </c>
      <c r="BI19">
        <f t="shared" si="38"/>
        <v>0.79479740183748993</v>
      </c>
      <c r="BJ19">
        <v>1574</v>
      </c>
      <c r="BK19">
        <v>300</v>
      </c>
      <c r="BL19">
        <v>300</v>
      </c>
      <c r="BM19">
        <v>300</v>
      </c>
      <c r="BN19">
        <v>10292.5</v>
      </c>
      <c r="BO19">
        <v>1101.17</v>
      </c>
      <c r="BP19">
        <v>-7.06984E-3</v>
      </c>
      <c r="BQ19">
        <v>6.9152800000000001</v>
      </c>
      <c r="BR19">
        <f t="shared" si="39"/>
        <v>1749.98</v>
      </c>
      <c r="BS19">
        <f t="shared" si="40"/>
        <v>1471.1874000963369</v>
      </c>
      <c r="BT19">
        <f t="shared" si="41"/>
        <v>0.84068812220501765</v>
      </c>
      <c r="BU19">
        <f t="shared" si="42"/>
        <v>0.19137624441003565</v>
      </c>
      <c r="BV19" t="s">
        <v>281</v>
      </c>
      <c r="BW19">
        <v>1566589772.0999999</v>
      </c>
      <c r="BX19">
        <v>182.083</v>
      </c>
      <c r="BY19">
        <v>200.01</v>
      </c>
      <c r="BZ19">
        <v>19.3474</v>
      </c>
      <c r="CA19">
        <v>12.085699999999999</v>
      </c>
      <c r="CB19">
        <v>500.017</v>
      </c>
      <c r="CC19">
        <v>99.555700000000002</v>
      </c>
      <c r="CD19">
        <v>0.10001500000000001</v>
      </c>
      <c r="CE19">
        <v>26.550699999999999</v>
      </c>
      <c r="CF19">
        <v>27.061699999999998</v>
      </c>
      <c r="CG19">
        <v>999.9</v>
      </c>
      <c r="CH19">
        <v>9980.6200000000008</v>
      </c>
      <c r="CI19">
        <v>0</v>
      </c>
      <c r="CJ19">
        <v>1896.08</v>
      </c>
      <c r="CK19">
        <v>1749.98</v>
      </c>
      <c r="CL19">
        <v>0.976997</v>
      </c>
      <c r="CM19">
        <v>2.3002600000000002E-2</v>
      </c>
      <c r="CN19">
        <v>0</v>
      </c>
      <c r="CO19">
        <v>801.44</v>
      </c>
      <c r="CP19">
        <v>4.99986</v>
      </c>
      <c r="CQ19">
        <v>18785.2</v>
      </c>
      <c r="CR19">
        <v>14220.6</v>
      </c>
      <c r="CS19">
        <v>42.936999999999998</v>
      </c>
      <c r="CT19">
        <v>44.875</v>
      </c>
      <c r="CU19">
        <v>43.375</v>
      </c>
      <c r="CV19">
        <v>44.561999999999998</v>
      </c>
      <c r="CW19">
        <v>44.875</v>
      </c>
      <c r="CX19">
        <v>1704.84</v>
      </c>
      <c r="CY19">
        <v>40.14</v>
      </c>
      <c r="CZ19">
        <v>0</v>
      </c>
      <c r="DA19">
        <v>114.09999990463299</v>
      </c>
      <c r="DB19">
        <v>802.78853846153902</v>
      </c>
      <c r="DC19">
        <v>-8.1362734965982302</v>
      </c>
      <c r="DD19">
        <v>-376.05128232407901</v>
      </c>
      <c r="DE19">
        <v>18822.942307692301</v>
      </c>
      <c r="DF19">
        <v>15</v>
      </c>
      <c r="DG19">
        <v>1566589803.2</v>
      </c>
      <c r="DH19" t="s">
        <v>297</v>
      </c>
      <c r="DI19">
        <v>60</v>
      </c>
      <c r="DJ19">
        <v>-0.28000000000000003</v>
      </c>
      <c r="DK19">
        <v>3.9E-2</v>
      </c>
      <c r="DL19">
        <v>200</v>
      </c>
      <c r="DM19">
        <v>12</v>
      </c>
      <c r="DN19">
        <v>0.06</v>
      </c>
      <c r="DO19">
        <v>0.01</v>
      </c>
      <c r="DP19">
        <v>13.8363536971065</v>
      </c>
      <c r="DQ19">
        <v>0.236443054075957</v>
      </c>
      <c r="DR19">
        <v>6.5966697121238801E-2</v>
      </c>
      <c r="DS19">
        <v>1</v>
      </c>
      <c r="DT19">
        <v>0.39444597455837599</v>
      </c>
      <c r="DU19">
        <v>-5.8749147433658899E-3</v>
      </c>
      <c r="DV19">
        <v>1.5702909362301E-3</v>
      </c>
      <c r="DW19">
        <v>1</v>
      </c>
      <c r="DX19">
        <v>2</v>
      </c>
      <c r="DY19">
        <v>2</v>
      </c>
      <c r="DZ19" t="s">
        <v>283</v>
      </c>
      <c r="EA19">
        <v>1.8667100000000001</v>
      </c>
      <c r="EB19">
        <v>1.8632299999999999</v>
      </c>
      <c r="EC19">
        <v>1.8688899999999999</v>
      </c>
      <c r="ED19">
        <v>1.86676</v>
      </c>
      <c r="EE19">
        <v>1.8714900000000001</v>
      </c>
      <c r="EF19">
        <v>1.86399</v>
      </c>
      <c r="EG19">
        <v>1.86554</v>
      </c>
      <c r="EH19">
        <v>1.8654200000000001</v>
      </c>
      <c r="EI19" t="s">
        <v>284</v>
      </c>
      <c r="EJ19" t="s">
        <v>19</v>
      </c>
      <c r="EK19" t="s">
        <v>19</v>
      </c>
      <c r="EL19" t="s">
        <v>19</v>
      </c>
      <c r="EM19" t="s">
        <v>285</v>
      </c>
      <c r="EN19" t="s">
        <v>286</v>
      </c>
      <c r="EO19" t="s">
        <v>287</v>
      </c>
      <c r="EP19" t="s">
        <v>287</v>
      </c>
      <c r="EQ19" t="s">
        <v>287</v>
      </c>
      <c r="ER19" t="s">
        <v>287</v>
      </c>
      <c r="ES19">
        <v>0</v>
      </c>
      <c r="ET19">
        <v>100</v>
      </c>
      <c r="EU19">
        <v>100</v>
      </c>
      <c r="EV19">
        <v>-0.28000000000000003</v>
      </c>
      <c r="EW19">
        <v>3.9E-2</v>
      </c>
      <c r="EX19">
        <v>2</v>
      </c>
      <c r="EY19">
        <v>510.50099999999998</v>
      </c>
      <c r="EZ19">
        <v>502.34500000000003</v>
      </c>
      <c r="FA19">
        <v>21.0732</v>
      </c>
      <c r="FB19">
        <v>31.018599999999999</v>
      </c>
      <c r="FC19">
        <v>30.001100000000001</v>
      </c>
      <c r="FD19">
        <v>30.9236</v>
      </c>
      <c r="FE19">
        <v>30.911100000000001</v>
      </c>
      <c r="FF19">
        <v>12.9176</v>
      </c>
      <c r="FG19">
        <v>61.3675</v>
      </c>
      <c r="FH19">
        <v>0</v>
      </c>
      <c r="FI19">
        <v>21.063400000000001</v>
      </c>
      <c r="FJ19">
        <v>200</v>
      </c>
      <c r="FK19">
        <v>12.107699999999999</v>
      </c>
      <c r="FL19">
        <v>101.1</v>
      </c>
      <c r="FM19">
        <v>101.64</v>
      </c>
    </row>
    <row r="20" spans="1:169" x14ac:dyDescent="0.35">
      <c r="A20">
        <v>4</v>
      </c>
      <c r="B20">
        <v>1566589886.0999999</v>
      </c>
      <c r="C20">
        <v>347</v>
      </c>
      <c r="D20" t="s">
        <v>298</v>
      </c>
      <c r="E20" t="s">
        <v>299</v>
      </c>
      <c r="G20">
        <v>1566589886.0999999</v>
      </c>
      <c r="H20">
        <f t="shared" si="0"/>
        <v>6.381660109449184E-3</v>
      </c>
      <c r="I20">
        <f t="shared" si="1"/>
        <v>5.2216697407036232</v>
      </c>
      <c r="J20">
        <f t="shared" si="2"/>
        <v>93.032899999999998</v>
      </c>
      <c r="K20">
        <f t="shared" si="3"/>
        <v>68.795771497567003</v>
      </c>
      <c r="L20">
        <f t="shared" si="4"/>
        <v>6.8548258758830771</v>
      </c>
      <c r="M20">
        <f t="shared" si="5"/>
        <v>9.2698187162708994</v>
      </c>
      <c r="N20">
        <f t="shared" si="6"/>
        <v>0.41148541517434289</v>
      </c>
      <c r="O20">
        <f t="shared" si="7"/>
        <v>2.2532501975266297</v>
      </c>
      <c r="P20">
        <f t="shared" si="8"/>
        <v>0.37384207755685461</v>
      </c>
      <c r="Q20">
        <f t="shared" si="9"/>
        <v>0.2367457650298059</v>
      </c>
      <c r="R20">
        <f t="shared" si="10"/>
        <v>281.54121584994039</v>
      </c>
      <c r="S20">
        <f t="shared" si="11"/>
        <v>26.363926868446384</v>
      </c>
      <c r="T20">
        <f t="shared" si="12"/>
        <v>26.9421</v>
      </c>
      <c r="U20">
        <f t="shared" si="13"/>
        <v>3.5670064154393537</v>
      </c>
      <c r="V20">
        <f t="shared" si="14"/>
        <v>55.486751824835721</v>
      </c>
      <c r="W20">
        <f t="shared" si="15"/>
        <v>1.9128730347138001</v>
      </c>
      <c r="X20">
        <f t="shared" si="16"/>
        <v>3.4474410049312048</v>
      </c>
      <c r="Y20">
        <f t="shared" si="17"/>
        <v>1.6541333807255536</v>
      </c>
      <c r="Z20">
        <f t="shared" si="18"/>
        <v>-281.43121082670899</v>
      </c>
      <c r="AA20">
        <f t="shared" si="19"/>
        <v>-70.335313071803313</v>
      </c>
      <c r="AB20">
        <f t="shared" si="20"/>
        <v>-6.7132028636641605</v>
      </c>
      <c r="AC20">
        <f t="shared" si="21"/>
        <v>-76.938510912236069</v>
      </c>
      <c r="AD20">
        <v>-4.1271304545405098E-2</v>
      </c>
      <c r="AE20">
        <v>4.6330654917072202E-2</v>
      </c>
      <c r="AF20">
        <v>3.4610332316587802</v>
      </c>
      <c r="AG20">
        <v>0</v>
      </c>
      <c r="AH20">
        <v>0</v>
      </c>
      <c r="AI20">
        <f t="shared" si="22"/>
        <v>1</v>
      </c>
      <c r="AJ20">
        <f t="shared" si="23"/>
        <v>0</v>
      </c>
      <c r="AK20">
        <f t="shared" si="24"/>
        <v>52739.698093180916</v>
      </c>
      <c r="AL20" t="s">
        <v>278</v>
      </c>
      <c r="AM20">
        <v>602.34923076923099</v>
      </c>
      <c r="AN20">
        <v>3447.2</v>
      </c>
      <c r="AO20">
        <f t="shared" si="25"/>
        <v>2844.8507692307689</v>
      </c>
      <c r="AP20">
        <f t="shared" si="26"/>
        <v>0.82526420550904189</v>
      </c>
      <c r="AQ20">
        <v>-2.3039181891607399</v>
      </c>
      <c r="AR20" t="s">
        <v>300</v>
      </c>
      <c r="AS20">
        <v>798.62526923076905</v>
      </c>
      <c r="AT20">
        <v>1101.74</v>
      </c>
      <c r="AU20">
        <f t="shared" si="27"/>
        <v>0.27512365056114052</v>
      </c>
      <c r="AV20">
        <v>0.5</v>
      </c>
      <c r="AW20">
        <f t="shared" si="28"/>
        <v>1471.1448000962921</v>
      </c>
      <c r="AX20">
        <f t="shared" si="29"/>
        <v>5.2216697407036232</v>
      </c>
      <c r="AY20">
        <f t="shared" si="30"/>
        <v>202.3733639532656</v>
      </c>
      <c r="AZ20">
        <f t="shared" si="31"/>
        <v>0.46724272514386334</v>
      </c>
      <c r="BA20">
        <f t="shared" si="32"/>
        <v>5.1154637730913945E-3</v>
      </c>
      <c r="BB20">
        <f t="shared" si="33"/>
        <v>2.1288688801350593</v>
      </c>
      <c r="BC20" t="s">
        <v>301</v>
      </c>
      <c r="BD20">
        <v>586.96</v>
      </c>
      <c r="BE20">
        <f t="shared" si="34"/>
        <v>514.78</v>
      </c>
      <c r="BF20">
        <f t="shared" si="35"/>
        <v>0.5888238291488227</v>
      </c>
      <c r="BG20">
        <f t="shared" si="36"/>
        <v>0.82002209604788412</v>
      </c>
      <c r="BH20">
        <f t="shared" si="37"/>
        <v>0.60696902995650148</v>
      </c>
      <c r="BI20">
        <f t="shared" si="38"/>
        <v>0.82445800861259189</v>
      </c>
      <c r="BJ20">
        <v>1576</v>
      </c>
      <c r="BK20">
        <v>300</v>
      </c>
      <c r="BL20">
        <v>300</v>
      </c>
      <c r="BM20">
        <v>300</v>
      </c>
      <c r="BN20">
        <v>10289.799999999999</v>
      </c>
      <c r="BO20">
        <v>1039.8</v>
      </c>
      <c r="BP20">
        <v>-7.06764E-3</v>
      </c>
      <c r="BQ20">
        <v>6.7147199999999998</v>
      </c>
      <c r="BR20">
        <f t="shared" si="39"/>
        <v>1749.93</v>
      </c>
      <c r="BS20">
        <f t="shared" si="40"/>
        <v>1471.1448000962921</v>
      </c>
      <c r="BT20">
        <f t="shared" si="41"/>
        <v>0.84068779899555524</v>
      </c>
      <c r="BU20">
        <f t="shared" si="42"/>
        <v>0.19137559799111034</v>
      </c>
      <c r="BV20" t="s">
        <v>281</v>
      </c>
      <c r="BW20">
        <v>1566589886.0999999</v>
      </c>
      <c r="BX20">
        <v>93.032899999999998</v>
      </c>
      <c r="BY20">
        <v>100.011</v>
      </c>
      <c r="BZ20">
        <v>19.197800000000001</v>
      </c>
      <c r="CA20">
        <v>11.687200000000001</v>
      </c>
      <c r="CB20">
        <v>500.02499999999998</v>
      </c>
      <c r="CC20">
        <v>99.540199999999999</v>
      </c>
      <c r="CD20">
        <v>0.100021</v>
      </c>
      <c r="CE20">
        <v>26.363099999999999</v>
      </c>
      <c r="CF20">
        <v>26.9421</v>
      </c>
      <c r="CG20">
        <v>999.9</v>
      </c>
      <c r="CH20">
        <v>9998.75</v>
      </c>
      <c r="CI20">
        <v>0</v>
      </c>
      <c r="CJ20">
        <v>539.83199999999999</v>
      </c>
      <c r="CK20">
        <v>1749.93</v>
      </c>
      <c r="CL20">
        <v>0.97700600000000004</v>
      </c>
      <c r="CM20">
        <v>2.2994500000000001E-2</v>
      </c>
      <c r="CN20">
        <v>0</v>
      </c>
      <c r="CO20">
        <v>798.572</v>
      </c>
      <c r="CP20">
        <v>4.99986</v>
      </c>
      <c r="CQ20">
        <v>15770</v>
      </c>
      <c r="CR20">
        <v>14220.2</v>
      </c>
      <c r="CS20">
        <v>43.375</v>
      </c>
      <c r="CT20">
        <v>45.5</v>
      </c>
      <c r="CU20">
        <v>43.936999999999998</v>
      </c>
      <c r="CV20">
        <v>45.25</v>
      </c>
      <c r="CW20">
        <v>45.375</v>
      </c>
      <c r="CX20">
        <v>1704.81</v>
      </c>
      <c r="CY20">
        <v>40.119999999999997</v>
      </c>
      <c r="CZ20">
        <v>0</v>
      </c>
      <c r="DA20">
        <v>113.59999990463299</v>
      </c>
      <c r="DB20">
        <v>798.62526923076905</v>
      </c>
      <c r="DC20">
        <v>-1.59449573866528</v>
      </c>
      <c r="DD20">
        <v>-751.84273608910496</v>
      </c>
      <c r="DE20">
        <v>15825.4</v>
      </c>
      <c r="DF20">
        <v>15</v>
      </c>
      <c r="DG20">
        <v>1566589921.0999999</v>
      </c>
      <c r="DH20" t="s">
        <v>302</v>
      </c>
      <c r="DI20">
        <v>61</v>
      </c>
      <c r="DJ20">
        <v>-0.34899999999999998</v>
      </c>
      <c r="DK20">
        <v>3.4000000000000002E-2</v>
      </c>
      <c r="DL20">
        <v>100</v>
      </c>
      <c r="DM20">
        <v>12</v>
      </c>
      <c r="DN20">
        <v>0.16</v>
      </c>
      <c r="DO20">
        <v>0.01</v>
      </c>
      <c r="DP20">
        <v>5.1316990278800096</v>
      </c>
      <c r="DQ20">
        <v>0.27514491974661898</v>
      </c>
      <c r="DR20">
        <v>6.6903668922621201E-2</v>
      </c>
      <c r="DS20">
        <v>1</v>
      </c>
      <c r="DT20">
        <v>0.40235061367950398</v>
      </c>
      <c r="DU20">
        <v>1.1234685492724E-2</v>
      </c>
      <c r="DV20">
        <v>2.6637770472171698E-3</v>
      </c>
      <c r="DW20">
        <v>1</v>
      </c>
      <c r="DX20">
        <v>2</v>
      </c>
      <c r="DY20">
        <v>2</v>
      </c>
      <c r="DZ20" t="s">
        <v>283</v>
      </c>
      <c r="EA20">
        <v>1.8667499999999999</v>
      </c>
      <c r="EB20">
        <v>1.86324</v>
      </c>
      <c r="EC20">
        <v>1.8689</v>
      </c>
      <c r="ED20">
        <v>1.86677</v>
      </c>
      <c r="EE20">
        <v>1.8714900000000001</v>
      </c>
      <c r="EF20">
        <v>1.8640000000000001</v>
      </c>
      <c r="EG20">
        <v>1.86554</v>
      </c>
      <c r="EH20">
        <v>1.86544</v>
      </c>
      <c r="EI20" t="s">
        <v>284</v>
      </c>
      <c r="EJ20" t="s">
        <v>19</v>
      </c>
      <c r="EK20" t="s">
        <v>19</v>
      </c>
      <c r="EL20" t="s">
        <v>19</v>
      </c>
      <c r="EM20" t="s">
        <v>285</v>
      </c>
      <c r="EN20" t="s">
        <v>286</v>
      </c>
      <c r="EO20" t="s">
        <v>287</v>
      </c>
      <c r="EP20" t="s">
        <v>287</v>
      </c>
      <c r="EQ20" t="s">
        <v>287</v>
      </c>
      <c r="ER20" t="s">
        <v>287</v>
      </c>
      <c r="ES20">
        <v>0</v>
      </c>
      <c r="ET20">
        <v>100</v>
      </c>
      <c r="EU20">
        <v>100</v>
      </c>
      <c r="EV20">
        <v>-0.34899999999999998</v>
      </c>
      <c r="EW20">
        <v>3.4000000000000002E-2</v>
      </c>
      <c r="EX20">
        <v>2</v>
      </c>
      <c r="EY20">
        <v>510.28300000000002</v>
      </c>
      <c r="EZ20">
        <v>501.01299999999998</v>
      </c>
      <c r="FA20">
        <v>21.2319</v>
      </c>
      <c r="FB20">
        <v>31.337</v>
      </c>
      <c r="FC20">
        <v>30.001000000000001</v>
      </c>
      <c r="FD20">
        <v>31.171600000000002</v>
      </c>
      <c r="FE20">
        <v>31.149799999999999</v>
      </c>
      <c r="FF20">
        <v>8.0680200000000006</v>
      </c>
      <c r="FG20">
        <v>62.661099999999998</v>
      </c>
      <c r="FH20">
        <v>0</v>
      </c>
      <c r="FI20">
        <v>21.230499999999999</v>
      </c>
      <c r="FJ20">
        <v>100</v>
      </c>
      <c r="FK20">
        <v>11.6447</v>
      </c>
      <c r="FL20">
        <v>101.045</v>
      </c>
      <c r="FM20">
        <v>101.574</v>
      </c>
    </row>
    <row r="21" spans="1:169" x14ac:dyDescent="0.35">
      <c r="A21">
        <v>5</v>
      </c>
      <c r="B21">
        <v>1566590001.0999999</v>
      </c>
      <c r="C21">
        <v>462</v>
      </c>
      <c r="D21" t="s">
        <v>303</v>
      </c>
      <c r="E21" t="s">
        <v>304</v>
      </c>
      <c r="G21">
        <v>1566590001.0999999</v>
      </c>
      <c r="H21">
        <f t="shared" si="0"/>
        <v>6.0603464322886366E-3</v>
      </c>
      <c r="I21">
        <f t="shared" si="1"/>
        <v>0.7857301734693618</v>
      </c>
      <c r="J21">
        <f t="shared" si="2"/>
        <v>48.6907</v>
      </c>
      <c r="K21">
        <f t="shared" si="3"/>
        <v>43.909413146161313</v>
      </c>
      <c r="L21">
        <f t="shared" si="4"/>
        <v>4.3750456679630894</v>
      </c>
      <c r="M21">
        <f t="shared" si="5"/>
        <v>4.8514434796929997</v>
      </c>
      <c r="N21">
        <f t="shared" si="6"/>
        <v>0.3856909285571925</v>
      </c>
      <c r="O21">
        <f t="shared" si="7"/>
        <v>2.2547547401853798</v>
      </c>
      <c r="P21">
        <f t="shared" si="8"/>
        <v>0.35243512459998688</v>
      </c>
      <c r="Q21">
        <f t="shared" si="9"/>
        <v>0.2230204103484586</v>
      </c>
      <c r="R21">
        <f t="shared" si="10"/>
        <v>281.56834768909545</v>
      </c>
      <c r="S21">
        <f t="shared" si="11"/>
        <v>26.824642454417543</v>
      </c>
      <c r="T21">
        <f t="shared" si="12"/>
        <v>26.985399999999998</v>
      </c>
      <c r="U21">
        <f t="shared" si="13"/>
        <v>3.5760917327298172</v>
      </c>
      <c r="V21">
        <f t="shared" si="14"/>
        <v>54.256944274908392</v>
      </c>
      <c r="W21">
        <f t="shared" si="15"/>
        <v>1.9099207751140002</v>
      </c>
      <c r="X21">
        <f t="shared" si="16"/>
        <v>3.5201406946857126</v>
      </c>
      <c r="Y21">
        <f t="shared" si="17"/>
        <v>1.666170957615817</v>
      </c>
      <c r="Z21">
        <f t="shared" si="18"/>
        <v>-267.26127766392887</v>
      </c>
      <c r="AA21">
        <f t="shared" si="19"/>
        <v>-32.601946131680883</v>
      </c>
      <c r="AB21">
        <f t="shared" si="20"/>
        <v>-3.115826880667075</v>
      </c>
      <c r="AC21">
        <f t="shared" si="21"/>
        <v>-21.410702987181402</v>
      </c>
      <c r="AD21">
        <v>-4.1311874312166097E-2</v>
      </c>
      <c r="AE21">
        <v>4.6376198034368203E-2</v>
      </c>
      <c r="AF21">
        <v>3.46372502721715</v>
      </c>
      <c r="AG21">
        <v>0</v>
      </c>
      <c r="AH21">
        <v>0</v>
      </c>
      <c r="AI21">
        <f t="shared" si="22"/>
        <v>1</v>
      </c>
      <c r="AJ21">
        <f t="shared" si="23"/>
        <v>0</v>
      </c>
      <c r="AK21">
        <f t="shared" si="24"/>
        <v>52727.000990278255</v>
      </c>
      <c r="AL21" t="s">
        <v>278</v>
      </c>
      <c r="AM21">
        <v>602.34923076923099</v>
      </c>
      <c r="AN21">
        <v>3447.2</v>
      </c>
      <c r="AO21">
        <f t="shared" si="25"/>
        <v>2844.8507692307689</v>
      </c>
      <c r="AP21">
        <f t="shared" si="26"/>
        <v>0.82526420550904189</v>
      </c>
      <c r="AQ21">
        <v>-2.3039181891607399</v>
      </c>
      <c r="AR21" t="s">
        <v>305</v>
      </c>
      <c r="AS21">
        <v>797.16292307692299</v>
      </c>
      <c r="AT21">
        <v>1050.55</v>
      </c>
      <c r="AU21">
        <f t="shared" si="27"/>
        <v>0.24119468556763313</v>
      </c>
      <c r="AV21">
        <v>0.5</v>
      </c>
      <c r="AW21">
        <f t="shared" si="28"/>
        <v>1471.2876000962824</v>
      </c>
      <c r="AX21">
        <f t="shared" si="29"/>
        <v>0.7857301734693618</v>
      </c>
      <c r="AY21">
        <f t="shared" si="30"/>
        <v>177.4333750423902</v>
      </c>
      <c r="AZ21">
        <f t="shared" si="31"/>
        <v>0.43719004331064681</v>
      </c>
      <c r="BA21">
        <f t="shared" si="32"/>
        <v>2.0999622116219235E-3</v>
      </c>
      <c r="BB21">
        <f t="shared" si="33"/>
        <v>2.2813288277568891</v>
      </c>
      <c r="BC21" t="s">
        <v>306</v>
      </c>
      <c r="BD21">
        <v>591.26</v>
      </c>
      <c r="BE21">
        <f t="shared" si="34"/>
        <v>459.28999999999996</v>
      </c>
      <c r="BF21">
        <f t="shared" si="35"/>
        <v>0.55169299772056213</v>
      </c>
      <c r="BG21">
        <f t="shared" si="36"/>
        <v>0.83918079511474331</v>
      </c>
      <c r="BH21">
        <f t="shared" si="37"/>
        <v>0.5653427979562734</v>
      </c>
      <c r="BI21">
        <f t="shared" si="38"/>
        <v>0.84245192258293389</v>
      </c>
      <c r="BJ21">
        <v>1578</v>
      </c>
      <c r="BK21">
        <v>300</v>
      </c>
      <c r="BL21">
        <v>300</v>
      </c>
      <c r="BM21">
        <v>300</v>
      </c>
      <c r="BN21">
        <v>10288.1</v>
      </c>
      <c r="BO21">
        <v>998.26300000000003</v>
      </c>
      <c r="BP21">
        <v>-7.0661300000000003E-3</v>
      </c>
      <c r="BQ21">
        <v>5.7956500000000002</v>
      </c>
      <c r="BR21">
        <f t="shared" si="39"/>
        <v>1750.1</v>
      </c>
      <c r="BS21">
        <f t="shared" si="40"/>
        <v>1471.2876000962824</v>
      </c>
      <c r="BT21">
        <f t="shared" si="41"/>
        <v>0.84068773218460802</v>
      </c>
      <c r="BU21">
        <f t="shared" si="42"/>
        <v>0.19137546436921604</v>
      </c>
      <c r="BV21" t="s">
        <v>281</v>
      </c>
      <c r="BW21">
        <v>1566590001.0999999</v>
      </c>
      <c r="BX21">
        <v>48.6907</v>
      </c>
      <c r="BY21">
        <v>49.9876</v>
      </c>
      <c r="BZ21">
        <v>19.168600000000001</v>
      </c>
      <c r="CA21">
        <v>12.036</v>
      </c>
      <c r="CB21">
        <v>500.029</v>
      </c>
      <c r="CC21">
        <v>99.537999999999997</v>
      </c>
      <c r="CD21">
        <v>9.9989999999999996E-2</v>
      </c>
      <c r="CE21">
        <v>26.717199999999998</v>
      </c>
      <c r="CF21">
        <v>26.985399999999998</v>
      </c>
      <c r="CG21">
        <v>999.9</v>
      </c>
      <c r="CH21">
        <v>10008.799999999999</v>
      </c>
      <c r="CI21">
        <v>0</v>
      </c>
      <c r="CJ21">
        <v>442.20400000000001</v>
      </c>
      <c r="CK21">
        <v>1750.1</v>
      </c>
      <c r="CL21">
        <v>0.97701000000000005</v>
      </c>
      <c r="CM21">
        <v>2.2990400000000001E-2</v>
      </c>
      <c r="CN21">
        <v>0</v>
      </c>
      <c r="CO21">
        <v>796.56799999999998</v>
      </c>
      <c r="CP21">
        <v>4.99986</v>
      </c>
      <c r="CQ21">
        <v>15602.6</v>
      </c>
      <c r="CR21">
        <v>14221.6</v>
      </c>
      <c r="CS21">
        <v>43.5</v>
      </c>
      <c r="CT21">
        <v>45.25</v>
      </c>
      <c r="CU21">
        <v>44</v>
      </c>
      <c r="CV21">
        <v>45.125</v>
      </c>
      <c r="CW21">
        <v>45.436999999999998</v>
      </c>
      <c r="CX21">
        <v>1704.98</v>
      </c>
      <c r="CY21">
        <v>40.119999999999997</v>
      </c>
      <c r="CZ21">
        <v>0</v>
      </c>
      <c r="DA21">
        <v>114.799999952316</v>
      </c>
      <c r="DB21">
        <v>797.16292307692299</v>
      </c>
      <c r="DC21">
        <v>-3.2244786283387401</v>
      </c>
      <c r="DD21">
        <v>-88.570940008117304</v>
      </c>
      <c r="DE21">
        <v>15617.103846153799</v>
      </c>
      <c r="DF21">
        <v>15</v>
      </c>
      <c r="DG21">
        <v>1566590035.0999999</v>
      </c>
      <c r="DH21" t="s">
        <v>307</v>
      </c>
      <c r="DI21">
        <v>62</v>
      </c>
      <c r="DJ21">
        <v>-0.318</v>
      </c>
      <c r="DK21">
        <v>4.3999999999999997E-2</v>
      </c>
      <c r="DL21">
        <v>50</v>
      </c>
      <c r="DM21">
        <v>12</v>
      </c>
      <c r="DN21">
        <v>0.19</v>
      </c>
      <c r="DO21">
        <v>0.01</v>
      </c>
      <c r="DP21">
        <v>0.77313579452620496</v>
      </c>
      <c r="DQ21">
        <v>0.28348505073477298</v>
      </c>
      <c r="DR21">
        <v>7.3157293363507805E-2</v>
      </c>
      <c r="DS21">
        <v>1</v>
      </c>
      <c r="DT21">
        <v>0.39045570446670702</v>
      </c>
      <c r="DU21">
        <v>-1.7429648603123099E-2</v>
      </c>
      <c r="DV21">
        <v>3.55704686683584E-3</v>
      </c>
      <c r="DW21">
        <v>1</v>
      </c>
      <c r="DX21">
        <v>2</v>
      </c>
      <c r="DY21">
        <v>2</v>
      </c>
      <c r="DZ21" t="s">
        <v>283</v>
      </c>
      <c r="EA21">
        <v>1.86676</v>
      </c>
      <c r="EB21">
        <v>1.8632500000000001</v>
      </c>
      <c r="EC21">
        <v>1.8689</v>
      </c>
      <c r="ED21">
        <v>1.8668100000000001</v>
      </c>
      <c r="EE21">
        <v>1.8714900000000001</v>
      </c>
      <c r="EF21">
        <v>1.8640099999999999</v>
      </c>
      <c r="EG21">
        <v>1.86554</v>
      </c>
      <c r="EH21">
        <v>1.86551</v>
      </c>
      <c r="EI21" t="s">
        <v>284</v>
      </c>
      <c r="EJ21" t="s">
        <v>19</v>
      </c>
      <c r="EK21" t="s">
        <v>19</v>
      </c>
      <c r="EL21" t="s">
        <v>19</v>
      </c>
      <c r="EM21" t="s">
        <v>285</v>
      </c>
      <c r="EN21" t="s">
        <v>286</v>
      </c>
      <c r="EO21" t="s">
        <v>287</v>
      </c>
      <c r="EP21" t="s">
        <v>287</v>
      </c>
      <c r="EQ21" t="s">
        <v>287</v>
      </c>
      <c r="ER21" t="s">
        <v>287</v>
      </c>
      <c r="ES21">
        <v>0</v>
      </c>
      <c r="ET21">
        <v>100</v>
      </c>
      <c r="EU21">
        <v>100</v>
      </c>
      <c r="EV21">
        <v>-0.318</v>
      </c>
      <c r="EW21">
        <v>4.3999999999999997E-2</v>
      </c>
      <c r="EX21">
        <v>2</v>
      </c>
      <c r="EY21">
        <v>510.67700000000002</v>
      </c>
      <c r="EZ21">
        <v>502.41699999999997</v>
      </c>
      <c r="FA21">
        <v>23.901800000000001</v>
      </c>
      <c r="FB21">
        <v>31.389800000000001</v>
      </c>
      <c r="FC21">
        <v>29.999700000000001</v>
      </c>
      <c r="FD21">
        <v>31.281700000000001</v>
      </c>
      <c r="FE21">
        <v>31.2485</v>
      </c>
      <c r="FF21">
        <v>5.6263100000000001</v>
      </c>
      <c r="FG21">
        <v>59.392499999999998</v>
      </c>
      <c r="FH21">
        <v>0</v>
      </c>
      <c r="FI21">
        <v>23.9068</v>
      </c>
      <c r="FJ21">
        <v>50</v>
      </c>
      <c r="FK21">
        <v>12.3155</v>
      </c>
      <c r="FL21">
        <v>101.027</v>
      </c>
      <c r="FM21">
        <v>101.565</v>
      </c>
    </row>
    <row r="22" spans="1:169" x14ac:dyDescent="0.35">
      <c r="A22">
        <v>6</v>
      </c>
      <c r="B22">
        <v>1566590113.5999999</v>
      </c>
      <c r="C22">
        <v>574.5</v>
      </c>
      <c r="D22" t="s">
        <v>308</v>
      </c>
      <c r="E22" t="s">
        <v>309</v>
      </c>
      <c r="G22">
        <v>1566590113.5999999</v>
      </c>
      <c r="H22">
        <f t="shared" si="0"/>
        <v>6.081964196957541E-3</v>
      </c>
      <c r="I22">
        <f t="shared" si="1"/>
        <v>-2.5783347137873012</v>
      </c>
      <c r="J22">
        <f t="shared" si="2"/>
        <v>15.4739</v>
      </c>
      <c r="K22">
        <f t="shared" si="3"/>
        <v>26.235674538610652</v>
      </c>
      <c r="L22">
        <f t="shared" si="4"/>
        <v>2.6145319662569912</v>
      </c>
      <c r="M22">
        <f t="shared" si="5"/>
        <v>1.5420608352617</v>
      </c>
      <c r="N22">
        <f t="shared" si="6"/>
        <v>0.39463730588266765</v>
      </c>
      <c r="O22">
        <f t="shared" si="7"/>
        <v>2.2542587036324164</v>
      </c>
      <c r="P22">
        <f t="shared" si="8"/>
        <v>0.35988824753462972</v>
      </c>
      <c r="Q22">
        <f t="shared" si="9"/>
        <v>0.22779669240280412</v>
      </c>
      <c r="R22">
        <f t="shared" si="10"/>
        <v>281.56092956184955</v>
      </c>
      <c r="S22">
        <f t="shared" si="11"/>
        <v>26.932937409637027</v>
      </c>
      <c r="T22">
        <f t="shared" si="12"/>
        <v>27.1435</v>
      </c>
      <c r="U22">
        <f t="shared" si="13"/>
        <v>3.6094364404330754</v>
      </c>
      <c r="V22">
        <f t="shared" si="14"/>
        <v>55.654194370871416</v>
      </c>
      <c r="W22">
        <f t="shared" si="15"/>
        <v>1.9724634190584001</v>
      </c>
      <c r="X22">
        <f t="shared" si="16"/>
        <v>3.5441415357020394</v>
      </c>
      <c r="Y22">
        <f t="shared" si="17"/>
        <v>1.6369730213746754</v>
      </c>
      <c r="Z22">
        <f t="shared" si="18"/>
        <v>-268.21462108582756</v>
      </c>
      <c r="AA22">
        <f t="shared" si="19"/>
        <v>-37.772019797555799</v>
      </c>
      <c r="AB22">
        <f t="shared" si="20"/>
        <v>-3.615678942435097</v>
      </c>
      <c r="AC22">
        <f t="shared" si="21"/>
        <v>-28.041390263968935</v>
      </c>
      <c r="AD22">
        <v>-4.1298496041561203E-2</v>
      </c>
      <c r="AE22">
        <v>4.6361179753613299E-2</v>
      </c>
      <c r="AF22">
        <v>3.4628374826069401</v>
      </c>
      <c r="AG22">
        <v>0</v>
      </c>
      <c r="AH22">
        <v>0</v>
      </c>
      <c r="AI22">
        <f t="shared" si="22"/>
        <v>1</v>
      </c>
      <c r="AJ22">
        <f t="shared" si="23"/>
        <v>0</v>
      </c>
      <c r="AK22">
        <f t="shared" si="24"/>
        <v>52690.701555547421</v>
      </c>
      <c r="AL22" t="s">
        <v>278</v>
      </c>
      <c r="AM22">
        <v>602.34923076923099</v>
      </c>
      <c r="AN22">
        <v>3447.2</v>
      </c>
      <c r="AO22">
        <f t="shared" si="25"/>
        <v>2844.8507692307689</v>
      </c>
      <c r="AP22">
        <f t="shared" si="26"/>
        <v>0.82526420550904189</v>
      </c>
      <c r="AQ22">
        <v>-2.3039181891607399</v>
      </c>
      <c r="AR22" t="s">
        <v>310</v>
      </c>
      <c r="AS22">
        <v>798.44723076923106</v>
      </c>
      <c r="AT22">
        <v>1009.6</v>
      </c>
      <c r="AU22">
        <f t="shared" si="27"/>
        <v>0.20914497744727512</v>
      </c>
      <c r="AV22">
        <v>0.5</v>
      </c>
      <c r="AW22">
        <f t="shared" si="28"/>
        <v>1471.245900096309</v>
      </c>
      <c r="AX22">
        <f t="shared" si="29"/>
        <v>-2.5783347137873012</v>
      </c>
      <c r="AY22">
        <f t="shared" si="30"/>
        <v>153.85184529751928</v>
      </c>
      <c r="AZ22">
        <f t="shared" si="31"/>
        <v>0.40913232963549928</v>
      </c>
      <c r="BA22">
        <f t="shared" si="32"/>
        <v>-1.8651982283083866E-4</v>
      </c>
      <c r="BB22">
        <f t="shared" si="33"/>
        <v>2.4144215530903326</v>
      </c>
      <c r="BC22" t="s">
        <v>311</v>
      </c>
      <c r="BD22">
        <v>596.54</v>
      </c>
      <c r="BE22">
        <f t="shared" si="34"/>
        <v>413.06000000000006</v>
      </c>
      <c r="BF22">
        <f t="shared" si="35"/>
        <v>0.51119151995053735</v>
      </c>
      <c r="BG22">
        <f t="shared" si="36"/>
        <v>0.85510022240463612</v>
      </c>
      <c r="BH22">
        <f t="shared" si="37"/>
        <v>0.51848341411264232</v>
      </c>
      <c r="BI22">
        <f t="shared" si="38"/>
        <v>0.85684635073463367</v>
      </c>
      <c r="BJ22">
        <v>1580</v>
      </c>
      <c r="BK22">
        <v>300</v>
      </c>
      <c r="BL22">
        <v>300</v>
      </c>
      <c r="BM22">
        <v>300</v>
      </c>
      <c r="BN22">
        <v>10288.4</v>
      </c>
      <c r="BO22">
        <v>970.96400000000006</v>
      </c>
      <c r="BP22">
        <v>-7.0664899999999999E-3</v>
      </c>
      <c r="BQ22">
        <v>5.3934300000000004</v>
      </c>
      <c r="BR22">
        <f t="shared" si="39"/>
        <v>1750.05</v>
      </c>
      <c r="BS22">
        <f t="shared" si="40"/>
        <v>1471.245900096309</v>
      </c>
      <c r="BT22">
        <f t="shared" si="41"/>
        <v>0.84068792325722641</v>
      </c>
      <c r="BU22">
        <f t="shared" si="42"/>
        <v>0.19137584651445302</v>
      </c>
      <c r="BV22" t="s">
        <v>281</v>
      </c>
      <c r="BW22">
        <v>1566590113.5999999</v>
      </c>
      <c r="BX22">
        <v>15.4739</v>
      </c>
      <c r="BY22">
        <v>12.493499999999999</v>
      </c>
      <c r="BZ22">
        <v>19.7928</v>
      </c>
      <c r="CA22">
        <v>12.640499999999999</v>
      </c>
      <c r="CB22">
        <v>500.11200000000002</v>
      </c>
      <c r="CC22">
        <v>99.555499999999995</v>
      </c>
      <c r="CD22">
        <v>0.100103</v>
      </c>
      <c r="CE22">
        <v>26.832699999999999</v>
      </c>
      <c r="CF22">
        <v>27.1435</v>
      </c>
      <c r="CG22">
        <v>999.9</v>
      </c>
      <c r="CH22">
        <v>10003.799999999999</v>
      </c>
      <c r="CI22">
        <v>0</v>
      </c>
      <c r="CJ22">
        <v>1663.99</v>
      </c>
      <c r="CK22">
        <v>1750.05</v>
      </c>
      <c r="CL22">
        <v>0.97700600000000004</v>
      </c>
      <c r="CM22">
        <v>2.2994500000000001E-2</v>
      </c>
      <c r="CN22">
        <v>0</v>
      </c>
      <c r="CO22">
        <v>798.96600000000001</v>
      </c>
      <c r="CP22">
        <v>4.99986</v>
      </c>
      <c r="CQ22">
        <v>18226</v>
      </c>
      <c r="CR22">
        <v>14221.2</v>
      </c>
      <c r="CS22">
        <v>43.5</v>
      </c>
      <c r="CT22">
        <v>45.061999999999998</v>
      </c>
      <c r="CU22">
        <v>44</v>
      </c>
      <c r="CV22">
        <v>44.75</v>
      </c>
      <c r="CW22">
        <v>45.375</v>
      </c>
      <c r="CX22">
        <v>1704.92</v>
      </c>
      <c r="CY22">
        <v>40.130000000000003</v>
      </c>
      <c r="CZ22">
        <v>0</v>
      </c>
      <c r="DA22">
        <v>111.799999952316</v>
      </c>
      <c r="DB22">
        <v>798.44723076923106</v>
      </c>
      <c r="DC22">
        <v>2.3230085530236302</v>
      </c>
      <c r="DD22">
        <v>282.67350487671598</v>
      </c>
      <c r="DE22">
        <v>18305.6384615385</v>
      </c>
      <c r="DF22">
        <v>15</v>
      </c>
      <c r="DG22">
        <v>1566590148.7</v>
      </c>
      <c r="DH22" t="s">
        <v>312</v>
      </c>
      <c r="DI22">
        <v>63</v>
      </c>
      <c r="DJ22">
        <v>-0.375</v>
      </c>
      <c r="DK22">
        <v>4.9000000000000002E-2</v>
      </c>
      <c r="DL22">
        <v>13</v>
      </c>
      <c r="DM22">
        <v>13</v>
      </c>
      <c r="DN22">
        <v>0.24</v>
      </c>
      <c r="DO22">
        <v>0.01</v>
      </c>
      <c r="DP22">
        <v>-2.6953046992377301</v>
      </c>
      <c r="DQ22">
        <v>0.26634678283651497</v>
      </c>
      <c r="DR22">
        <v>5.8566222076317703E-2</v>
      </c>
      <c r="DS22">
        <v>1</v>
      </c>
      <c r="DT22">
        <v>0.38661395107750401</v>
      </c>
      <c r="DU22">
        <v>1.83151817680927E-2</v>
      </c>
      <c r="DV22">
        <v>3.5497567393880198E-3</v>
      </c>
      <c r="DW22">
        <v>1</v>
      </c>
      <c r="DX22">
        <v>2</v>
      </c>
      <c r="DY22">
        <v>2</v>
      </c>
      <c r="DZ22" t="s">
        <v>283</v>
      </c>
      <c r="EA22">
        <v>1.8667499999999999</v>
      </c>
      <c r="EB22">
        <v>1.86324</v>
      </c>
      <c r="EC22">
        <v>1.8688899999999999</v>
      </c>
      <c r="ED22">
        <v>1.86677</v>
      </c>
      <c r="EE22">
        <v>1.8714900000000001</v>
      </c>
      <c r="EF22">
        <v>1.8640099999999999</v>
      </c>
      <c r="EG22">
        <v>1.86554</v>
      </c>
      <c r="EH22">
        <v>1.8654500000000001</v>
      </c>
      <c r="EI22" t="s">
        <v>284</v>
      </c>
      <c r="EJ22" t="s">
        <v>19</v>
      </c>
      <c r="EK22" t="s">
        <v>19</v>
      </c>
      <c r="EL22" t="s">
        <v>19</v>
      </c>
      <c r="EM22" t="s">
        <v>285</v>
      </c>
      <c r="EN22" t="s">
        <v>286</v>
      </c>
      <c r="EO22" t="s">
        <v>287</v>
      </c>
      <c r="EP22" t="s">
        <v>287</v>
      </c>
      <c r="EQ22" t="s">
        <v>287</v>
      </c>
      <c r="ER22" t="s">
        <v>287</v>
      </c>
      <c r="ES22">
        <v>0</v>
      </c>
      <c r="ET22">
        <v>100</v>
      </c>
      <c r="EU22">
        <v>100</v>
      </c>
      <c r="EV22">
        <v>-0.375</v>
      </c>
      <c r="EW22">
        <v>4.9000000000000002E-2</v>
      </c>
      <c r="EX22">
        <v>2</v>
      </c>
      <c r="EY22">
        <v>511.27</v>
      </c>
      <c r="EZ22">
        <v>504.952</v>
      </c>
      <c r="FA22">
        <v>22.0352</v>
      </c>
      <c r="FB22">
        <v>31.151900000000001</v>
      </c>
      <c r="FC22">
        <v>29.9998</v>
      </c>
      <c r="FD22">
        <v>31.166499999999999</v>
      </c>
      <c r="FE22">
        <v>31.15</v>
      </c>
      <c r="FF22">
        <v>3.82559</v>
      </c>
      <c r="FG22">
        <v>58.230499999999999</v>
      </c>
      <c r="FH22">
        <v>0</v>
      </c>
      <c r="FI22">
        <v>21.95</v>
      </c>
      <c r="FJ22">
        <v>12.5</v>
      </c>
      <c r="FK22">
        <v>12.468299999999999</v>
      </c>
      <c r="FL22">
        <v>101.06699999999999</v>
      </c>
      <c r="FM22">
        <v>101.617</v>
      </c>
    </row>
    <row r="23" spans="1:169" x14ac:dyDescent="0.35">
      <c r="A23">
        <v>8</v>
      </c>
      <c r="B23">
        <v>1566590356.7</v>
      </c>
      <c r="C23">
        <v>817.60000014305103</v>
      </c>
      <c r="D23" t="s">
        <v>313</v>
      </c>
      <c r="E23" t="s">
        <v>314</v>
      </c>
      <c r="G23">
        <v>1566590356.7</v>
      </c>
      <c r="H23">
        <f t="shared" si="0"/>
        <v>7.5198288537035307E-3</v>
      </c>
      <c r="I23">
        <f t="shared" si="1"/>
        <v>32.330551803067713</v>
      </c>
      <c r="J23">
        <f t="shared" si="2"/>
        <v>358.00599999999997</v>
      </c>
      <c r="K23">
        <f t="shared" si="3"/>
        <v>239.80012119426226</v>
      </c>
      <c r="L23">
        <f t="shared" si="4"/>
        <v>23.896713950327584</v>
      </c>
      <c r="M23">
        <f t="shared" si="5"/>
        <v>35.676241245809997</v>
      </c>
      <c r="N23">
        <f t="shared" si="6"/>
        <v>0.51880593424061017</v>
      </c>
      <c r="O23">
        <f t="shared" si="7"/>
        <v>2.2570750582730432</v>
      </c>
      <c r="P23">
        <f t="shared" si="8"/>
        <v>0.46054061579229061</v>
      </c>
      <c r="Q23">
        <f t="shared" si="9"/>
        <v>0.29252565110939188</v>
      </c>
      <c r="R23">
        <f t="shared" si="10"/>
        <v>281.52365995403306</v>
      </c>
      <c r="S23">
        <f t="shared" si="11"/>
        <v>27.004526410391072</v>
      </c>
      <c r="T23">
        <f t="shared" si="12"/>
        <v>27.091999999999999</v>
      </c>
      <c r="U23">
        <f t="shared" si="13"/>
        <v>3.5985449508309153</v>
      </c>
      <c r="V23">
        <f t="shared" si="14"/>
        <v>55.117823023402543</v>
      </c>
      <c r="W23">
        <f t="shared" si="15"/>
        <v>2.0172383945145</v>
      </c>
      <c r="X23">
        <f t="shared" si="16"/>
        <v>3.6598658725291058</v>
      </c>
      <c r="Y23">
        <f t="shared" si="17"/>
        <v>1.5813065563164153</v>
      </c>
      <c r="Z23">
        <f t="shared" si="18"/>
        <v>-331.62445244832571</v>
      </c>
      <c r="AA23">
        <f t="shared" si="19"/>
        <v>35.069164682093799</v>
      </c>
      <c r="AB23">
        <f t="shared" si="20"/>
        <v>3.361084707273255</v>
      </c>
      <c r="AC23">
        <f t="shared" si="21"/>
        <v>-11.670543104925571</v>
      </c>
      <c r="AD23">
        <v>-4.1374489641095899E-2</v>
      </c>
      <c r="AE23">
        <v>4.6446489226496003E-2</v>
      </c>
      <c r="AF23">
        <v>3.4678777499935198</v>
      </c>
      <c r="AG23">
        <v>0</v>
      </c>
      <c r="AH23">
        <v>0</v>
      </c>
      <c r="AI23">
        <f t="shared" si="22"/>
        <v>1</v>
      </c>
      <c r="AJ23">
        <f t="shared" si="23"/>
        <v>0</v>
      </c>
      <c r="AK23">
        <f t="shared" si="24"/>
        <v>52687.389490299422</v>
      </c>
      <c r="AL23" t="s">
        <v>278</v>
      </c>
      <c r="AM23">
        <v>602.34923076923099</v>
      </c>
      <c r="AN23">
        <v>3447.2</v>
      </c>
      <c r="AO23">
        <f t="shared" si="25"/>
        <v>2844.8507692307689</v>
      </c>
      <c r="AP23">
        <f t="shared" si="26"/>
        <v>0.82526420550904189</v>
      </c>
      <c r="AQ23">
        <v>-2.3039181891607399</v>
      </c>
      <c r="AR23" t="s">
        <v>315</v>
      </c>
      <c r="AS23">
        <v>766.69707692307702</v>
      </c>
      <c r="AT23">
        <v>1240.51</v>
      </c>
      <c r="AU23">
        <f t="shared" si="27"/>
        <v>0.38195010364843729</v>
      </c>
      <c r="AV23">
        <v>0.5</v>
      </c>
      <c r="AW23">
        <f t="shared" si="28"/>
        <v>1471.0524000962978</v>
      </c>
      <c r="AX23">
        <f t="shared" si="29"/>
        <v>32.330551803067713</v>
      </c>
      <c r="AY23">
        <f t="shared" si="30"/>
        <v>280.9343083445317</v>
      </c>
      <c r="AZ23">
        <f t="shared" si="31"/>
        <v>0.56945127407276042</v>
      </c>
      <c r="BA23">
        <f t="shared" si="32"/>
        <v>2.354400835072987E-2</v>
      </c>
      <c r="BB23">
        <f t="shared" si="33"/>
        <v>1.7788570829739379</v>
      </c>
      <c r="BC23" t="s">
        <v>316</v>
      </c>
      <c r="BD23">
        <v>534.1</v>
      </c>
      <c r="BE23">
        <f t="shared" si="34"/>
        <v>706.41</v>
      </c>
      <c r="BF23">
        <f t="shared" si="35"/>
        <v>0.67073360099223256</v>
      </c>
      <c r="BG23">
        <f t="shared" si="36"/>
        <v>0.75750574988843489</v>
      </c>
      <c r="BH23">
        <f t="shared" si="37"/>
        <v>0.74246639079373544</v>
      </c>
      <c r="BI23">
        <f t="shared" si="38"/>
        <v>0.77567864854882207</v>
      </c>
      <c r="BJ23">
        <v>1584</v>
      </c>
      <c r="BK23">
        <v>300</v>
      </c>
      <c r="BL23">
        <v>300</v>
      </c>
      <c r="BM23">
        <v>300</v>
      </c>
      <c r="BN23">
        <v>10288.200000000001</v>
      </c>
      <c r="BO23">
        <v>1118.0999999999999</v>
      </c>
      <c r="BP23">
        <v>-7.0666399999999999E-3</v>
      </c>
      <c r="BQ23">
        <v>4.9018600000000001</v>
      </c>
      <c r="BR23">
        <f t="shared" si="39"/>
        <v>1749.82</v>
      </c>
      <c r="BS23">
        <f t="shared" si="40"/>
        <v>1471.0524000962978</v>
      </c>
      <c r="BT23">
        <f t="shared" si="41"/>
        <v>0.84068784223308557</v>
      </c>
      <c r="BU23">
        <f t="shared" si="42"/>
        <v>0.19137568446617129</v>
      </c>
      <c r="BV23" t="s">
        <v>281</v>
      </c>
      <c r="BW23">
        <v>1566590356.7</v>
      </c>
      <c r="BX23">
        <v>358.00599999999997</v>
      </c>
      <c r="BY23">
        <v>400.03500000000003</v>
      </c>
      <c r="BZ23">
        <v>20.242699999999999</v>
      </c>
      <c r="CA23">
        <v>11.401199999999999</v>
      </c>
      <c r="CB23">
        <v>499.97899999999998</v>
      </c>
      <c r="CC23">
        <v>99.552599999999998</v>
      </c>
      <c r="CD23">
        <v>0.100035</v>
      </c>
      <c r="CE23">
        <v>27.380199999999999</v>
      </c>
      <c r="CF23">
        <v>27.091999999999999</v>
      </c>
      <c r="CG23">
        <v>999.9</v>
      </c>
      <c r="CH23">
        <v>10022.5</v>
      </c>
      <c r="CI23">
        <v>0</v>
      </c>
      <c r="CJ23">
        <v>1696.24</v>
      </c>
      <c r="CK23">
        <v>1749.82</v>
      </c>
      <c r="CL23">
        <v>0.97700600000000004</v>
      </c>
      <c r="CM23">
        <v>2.2994500000000001E-2</v>
      </c>
      <c r="CN23">
        <v>0</v>
      </c>
      <c r="CO23">
        <v>767.63599999999997</v>
      </c>
      <c r="CP23">
        <v>4.99986</v>
      </c>
      <c r="CQ23">
        <v>17796.900000000001</v>
      </c>
      <c r="CR23">
        <v>14219.3</v>
      </c>
      <c r="CS23">
        <v>43.875</v>
      </c>
      <c r="CT23">
        <v>45.5</v>
      </c>
      <c r="CU23">
        <v>44.311999999999998</v>
      </c>
      <c r="CV23">
        <v>45.186999999999998</v>
      </c>
      <c r="CW23">
        <v>45.811999999999998</v>
      </c>
      <c r="CX23">
        <v>1704.7</v>
      </c>
      <c r="CY23">
        <v>40.119999999999997</v>
      </c>
      <c r="CZ23">
        <v>0</v>
      </c>
      <c r="DA23">
        <v>125.90000009536701</v>
      </c>
      <c r="DB23">
        <v>766.69707692307702</v>
      </c>
      <c r="DC23">
        <v>6.3900854641546703</v>
      </c>
      <c r="DD23">
        <v>-836.56751815387895</v>
      </c>
      <c r="DE23">
        <v>17782.4153846154</v>
      </c>
      <c r="DF23">
        <v>15</v>
      </c>
      <c r="DG23">
        <v>1566590397.3</v>
      </c>
      <c r="DH23" t="s">
        <v>317</v>
      </c>
      <c r="DI23">
        <v>65</v>
      </c>
      <c r="DJ23">
        <v>-0.20499999999999999</v>
      </c>
      <c r="DK23">
        <v>3.4000000000000002E-2</v>
      </c>
      <c r="DL23">
        <v>400</v>
      </c>
      <c r="DM23">
        <v>11</v>
      </c>
      <c r="DN23">
        <v>0.04</v>
      </c>
      <c r="DO23">
        <v>0.01</v>
      </c>
      <c r="DP23">
        <v>32.193764927832099</v>
      </c>
      <c r="DQ23">
        <v>0.29526647002196499</v>
      </c>
      <c r="DR23">
        <v>6.6486550211548201E-2</v>
      </c>
      <c r="DS23">
        <v>1</v>
      </c>
      <c r="DT23">
        <v>0.52022062926743395</v>
      </c>
      <c r="DU23">
        <v>-7.0187273727145101E-4</v>
      </c>
      <c r="DV23">
        <v>6.6466763569916505E-4</v>
      </c>
      <c r="DW23">
        <v>1</v>
      </c>
      <c r="DX23">
        <v>2</v>
      </c>
      <c r="DY23">
        <v>2</v>
      </c>
      <c r="DZ23" t="s">
        <v>283</v>
      </c>
      <c r="EA23">
        <v>1.86673</v>
      </c>
      <c r="EB23">
        <v>1.8632500000000001</v>
      </c>
      <c r="EC23">
        <v>1.8688899999999999</v>
      </c>
      <c r="ED23">
        <v>1.8668</v>
      </c>
      <c r="EE23">
        <v>1.87148</v>
      </c>
      <c r="EF23">
        <v>1.8640099999999999</v>
      </c>
      <c r="EG23">
        <v>1.86554</v>
      </c>
      <c r="EH23">
        <v>1.86548</v>
      </c>
      <c r="EI23" t="s">
        <v>284</v>
      </c>
      <c r="EJ23" t="s">
        <v>19</v>
      </c>
      <c r="EK23" t="s">
        <v>19</v>
      </c>
      <c r="EL23" t="s">
        <v>19</v>
      </c>
      <c r="EM23" t="s">
        <v>285</v>
      </c>
      <c r="EN23" t="s">
        <v>286</v>
      </c>
      <c r="EO23" t="s">
        <v>287</v>
      </c>
      <c r="EP23" t="s">
        <v>287</v>
      </c>
      <c r="EQ23" t="s">
        <v>287</v>
      </c>
      <c r="ER23" t="s">
        <v>287</v>
      </c>
      <c r="ES23">
        <v>0</v>
      </c>
      <c r="ET23">
        <v>100</v>
      </c>
      <c r="EU23">
        <v>100</v>
      </c>
      <c r="EV23">
        <v>-0.20499999999999999</v>
      </c>
      <c r="EW23">
        <v>3.4000000000000002E-2</v>
      </c>
      <c r="EX23">
        <v>2</v>
      </c>
      <c r="EY23">
        <v>512.12599999999998</v>
      </c>
      <c r="EZ23">
        <v>506.16300000000001</v>
      </c>
      <c r="FA23">
        <v>22.888999999999999</v>
      </c>
      <c r="FB23">
        <v>31.145099999999999</v>
      </c>
      <c r="FC23">
        <v>30.000499999999999</v>
      </c>
      <c r="FD23">
        <v>31.158300000000001</v>
      </c>
      <c r="FE23">
        <v>31.1539</v>
      </c>
      <c r="FF23">
        <v>22.042899999999999</v>
      </c>
      <c r="FG23">
        <v>62.647399999999998</v>
      </c>
      <c r="FH23">
        <v>0</v>
      </c>
      <c r="FI23">
        <v>22.817599999999999</v>
      </c>
      <c r="FJ23">
        <v>400</v>
      </c>
      <c r="FK23">
        <v>11.4801</v>
      </c>
      <c r="FL23">
        <v>101.06699999999999</v>
      </c>
      <c r="FM23">
        <v>101.60899999999999</v>
      </c>
    </row>
    <row r="24" spans="1:169" x14ac:dyDescent="0.35">
      <c r="A24">
        <v>9</v>
      </c>
      <c r="B24">
        <v>1566590488.8</v>
      </c>
      <c r="C24">
        <v>949.70000004768394</v>
      </c>
      <c r="D24" t="s">
        <v>318</v>
      </c>
      <c r="E24" t="s">
        <v>319</v>
      </c>
      <c r="G24">
        <v>1566590488.8</v>
      </c>
      <c r="H24">
        <f t="shared" si="0"/>
        <v>6.9052216109072731E-3</v>
      </c>
      <c r="I24">
        <f t="shared" si="1"/>
        <v>38.961974377457679</v>
      </c>
      <c r="J24">
        <f t="shared" si="2"/>
        <v>449.50799999999998</v>
      </c>
      <c r="K24">
        <f t="shared" si="3"/>
        <v>292.38245265940947</v>
      </c>
      <c r="L24">
        <f t="shared" si="4"/>
        <v>29.135992689831994</v>
      </c>
      <c r="M24">
        <f t="shared" si="5"/>
        <v>44.793597163223993</v>
      </c>
      <c r="N24">
        <f t="shared" si="6"/>
        <v>0.46385195503346716</v>
      </c>
      <c r="O24">
        <f t="shared" si="7"/>
        <v>2.2578942216426445</v>
      </c>
      <c r="P24">
        <f t="shared" si="8"/>
        <v>0.4166923672281781</v>
      </c>
      <c r="Q24">
        <f t="shared" si="9"/>
        <v>0.26426914065581492</v>
      </c>
      <c r="R24">
        <f t="shared" si="10"/>
        <v>281.52365995403306</v>
      </c>
      <c r="S24">
        <f t="shared" si="11"/>
        <v>26.916176367846692</v>
      </c>
      <c r="T24">
        <f t="shared" si="12"/>
        <v>27.021799999999999</v>
      </c>
      <c r="U24">
        <f t="shared" si="13"/>
        <v>3.583744895906035</v>
      </c>
      <c r="V24">
        <f t="shared" si="14"/>
        <v>54.990876384039211</v>
      </c>
      <c r="W24">
        <f t="shared" si="15"/>
        <v>1.9784765494675998</v>
      </c>
      <c r="X24">
        <f t="shared" si="16"/>
        <v>3.5978269115962687</v>
      </c>
      <c r="Y24">
        <f t="shared" si="17"/>
        <v>1.6052683464384352</v>
      </c>
      <c r="Z24">
        <f t="shared" si="18"/>
        <v>-304.52027304101074</v>
      </c>
      <c r="AA24">
        <f t="shared" si="19"/>
        <v>8.13140323091692</v>
      </c>
      <c r="AB24">
        <f t="shared" si="20"/>
        <v>0.77763641901599123</v>
      </c>
      <c r="AC24">
        <f t="shared" si="21"/>
        <v>-14.08757343704475</v>
      </c>
      <c r="AD24">
        <v>-4.1396609332808802E-2</v>
      </c>
      <c r="AE24">
        <v>4.6471320518235201E-2</v>
      </c>
      <c r="AF24">
        <v>3.4693442345143501</v>
      </c>
      <c r="AG24">
        <v>0</v>
      </c>
      <c r="AH24">
        <v>0</v>
      </c>
      <c r="AI24">
        <f t="shared" si="22"/>
        <v>1</v>
      </c>
      <c r="AJ24">
        <f t="shared" si="23"/>
        <v>0</v>
      </c>
      <c r="AK24">
        <f t="shared" si="24"/>
        <v>52765.559065451052</v>
      </c>
      <c r="AL24" t="s">
        <v>278</v>
      </c>
      <c r="AM24">
        <v>602.34923076923099</v>
      </c>
      <c r="AN24">
        <v>3447.2</v>
      </c>
      <c r="AO24">
        <f t="shared" si="25"/>
        <v>2844.8507692307689</v>
      </c>
      <c r="AP24">
        <f t="shared" si="26"/>
        <v>0.82526420550904189</v>
      </c>
      <c r="AQ24">
        <v>-2.3039181891607399</v>
      </c>
      <c r="AR24" t="s">
        <v>320</v>
      </c>
      <c r="AS24">
        <v>794.16296153846201</v>
      </c>
      <c r="AT24">
        <v>1351.22</v>
      </c>
      <c r="AU24">
        <f t="shared" si="27"/>
        <v>0.41226228035518864</v>
      </c>
      <c r="AV24">
        <v>0.5</v>
      </c>
      <c r="AW24">
        <f t="shared" si="28"/>
        <v>1471.0524000962978</v>
      </c>
      <c r="AX24">
        <f t="shared" si="29"/>
        <v>38.961974377457679</v>
      </c>
      <c r="AY24">
        <f t="shared" si="30"/>
        <v>303.22970849283649</v>
      </c>
      <c r="AZ24">
        <f t="shared" si="31"/>
        <v>0.5992362457630882</v>
      </c>
      <c r="BA24">
        <f t="shared" si="32"/>
        <v>2.8051952849481827E-2</v>
      </c>
      <c r="BB24">
        <f t="shared" si="33"/>
        <v>1.551175974304702</v>
      </c>
      <c r="BC24" t="s">
        <v>321</v>
      </c>
      <c r="BD24">
        <v>541.52</v>
      </c>
      <c r="BE24">
        <f t="shared" si="34"/>
        <v>809.7</v>
      </c>
      <c r="BF24">
        <f t="shared" si="35"/>
        <v>0.68797954608069412</v>
      </c>
      <c r="BG24">
        <f t="shared" si="36"/>
        <v>0.72133889485421643</v>
      </c>
      <c r="BH24">
        <f t="shared" si="37"/>
        <v>0.74386270815956701</v>
      </c>
      <c r="BI24">
        <f t="shared" si="38"/>
        <v>0.73676272325762115</v>
      </c>
      <c r="BJ24">
        <v>1586</v>
      </c>
      <c r="BK24">
        <v>300</v>
      </c>
      <c r="BL24">
        <v>300</v>
      </c>
      <c r="BM24">
        <v>300</v>
      </c>
      <c r="BN24">
        <v>10287.9</v>
      </c>
      <c r="BO24">
        <v>1205.18</v>
      </c>
      <c r="BP24">
        <v>-7.0668299999999996E-3</v>
      </c>
      <c r="BQ24">
        <v>3.8929399999999998</v>
      </c>
      <c r="BR24">
        <f t="shared" si="39"/>
        <v>1749.82</v>
      </c>
      <c r="BS24">
        <f t="shared" si="40"/>
        <v>1471.0524000962978</v>
      </c>
      <c r="BT24">
        <f t="shared" si="41"/>
        <v>0.84068784223308557</v>
      </c>
      <c r="BU24">
        <f t="shared" si="42"/>
        <v>0.19137568446617129</v>
      </c>
      <c r="BV24" t="s">
        <v>281</v>
      </c>
      <c r="BW24">
        <v>1566590488.8</v>
      </c>
      <c r="BX24">
        <v>449.50799999999998</v>
      </c>
      <c r="BY24">
        <v>499.97500000000002</v>
      </c>
      <c r="BZ24">
        <v>19.854199999999999</v>
      </c>
      <c r="CA24">
        <v>11.734400000000001</v>
      </c>
      <c r="CB24">
        <v>500.12</v>
      </c>
      <c r="CC24">
        <v>99.550200000000004</v>
      </c>
      <c r="CD24">
        <v>0.100078</v>
      </c>
      <c r="CE24">
        <v>27.0886</v>
      </c>
      <c r="CF24">
        <v>27.021799999999999</v>
      </c>
      <c r="CG24">
        <v>999.9</v>
      </c>
      <c r="CH24">
        <v>10028.1</v>
      </c>
      <c r="CI24">
        <v>0</v>
      </c>
      <c r="CJ24">
        <v>1725.87</v>
      </c>
      <c r="CK24">
        <v>1749.82</v>
      </c>
      <c r="CL24">
        <v>0.97700600000000004</v>
      </c>
      <c r="CM24">
        <v>2.2994500000000001E-2</v>
      </c>
      <c r="CN24">
        <v>0</v>
      </c>
      <c r="CO24">
        <v>793.71799999999996</v>
      </c>
      <c r="CP24">
        <v>4.99986</v>
      </c>
      <c r="CQ24">
        <v>18448.5</v>
      </c>
      <c r="CR24">
        <v>14219.3</v>
      </c>
      <c r="CS24">
        <v>44.186999999999998</v>
      </c>
      <c r="CT24">
        <v>45.811999999999998</v>
      </c>
      <c r="CU24">
        <v>44.561999999999998</v>
      </c>
      <c r="CV24">
        <v>45.561999999999998</v>
      </c>
      <c r="CW24">
        <v>46.061999999999998</v>
      </c>
      <c r="CX24">
        <v>1704.7</v>
      </c>
      <c r="CY24">
        <v>40.119999999999997</v>
      </c>
      <c r="CZ24">
        <v>0</v>
      </c>
      <c r="DA24">
        <v>131.30000019073501</v>
      </c>
      <c r="DB24">
        <v>794.16296153846201</v>
      </c>
      <c r="DC24">
        <v>0.10314528619141899</v>
      </c>
      <c r="DD24">
        <v>668.64957703866503</v>
      </c>
      <c r="DE24">
        <v>18373.892307692298</v>
      </c>
      <c r="DF24">
        <v>15</v>
      </c>
      <c r="DG24">
        <v>1566590523.8</v>
      </c>
      <c r="DH24" t="s">
        <v>322</v>
      </c>
      <c r="DI24">
        <v>66</v>
      </c>
      <c r="DJ24">
        <v>-0.22600000000000001</v>
      </c>
      <c r="DK24">
        <v>3.6999999999999998E-2</v>
      </c>
      <c r="DL24">
        <v>500</v>
      </c>
      <c r="DM24">
        <v>12</v>
      </c>
      <c r="DN24">
        <v>0.03</v>
      </c>
      <c r="DO24">
        <v>0.01</v>
      </c>
      <c r="DP24">
        <v>39.085862228625999</v>
      </c>
      <c r="DQ24">
        <v>-0.41525241462725998</v>
      </c>
      <c r="DR24">
        <v>8.6084994893955005E-2</v>
      </c>
      <c r="DS24">
        <v>0</v>
      </c>
      <c r="DT24">
        <v>0.47519864802599798</v>
      </c>
      <c r="DU24">
        <v>-3.3483575717125E-2</v>
      </c>
      <c r="DV24">
        <v>6.32393554719739E-3</v>
      </c>
      <c r="DW24">
        <v>1</v>
      </c>
      <c r="DX24">
        <v>1</v>
      </c>
      <c r="DY24">
        <v>2</v>
      </c>
      <c r="DZ24" t="s">
        <v>323</v>
      </c>
      <c r="EA24">
        <v>1.8667199999999999</v>
      </c>
      <c r="EB24">
        <v>1.8632500000000001</v>
      </c>
      <c r="EC24">
        <v>1.86887</v>
      </c>
      <c r="ED24">
        <v>1.8667800000000001</v>
      </c>
      <c r="EE24">
        <v>1.8714900000000001</v>
      </c>
      <c r="EF24">
        <v>1.8640099999999999</v>
      </c>
      <c r="EG24">
        <v>1.86554</v>
      </c>
      <c r="EH24">
        <v>1.86544</v>
      </c>
      <c r="EI24" t="s">
        <v>284</v>
      </c>
      <c r="EJ24" t="s">
        <v>19</v>
      </c>
      <c r="EK24" t="s">
        <v>19</v>
      </c>
      <c r="EL24" t="s">
        <v>19</v>
      </c>
      <c r="EM24" t="s">
        <v>285</v>
      </c>
      <c r="EN24" t="s">
        <v>286</v>
      </c>
      <c r="EO24" t="s">
        <v>287</v>
      </c>
      <c r="EP24" t="s">
        <v>287</v>
      </c>
      <c r="EQ24" t="s">
        <v>287</v>
      </c>
      <c r="ER24" t="s">
        <v>287</v>
      </c>
      <c r="ES24">
        <v>0</v>
      </c>
      <c r="ET24">
        <v>100</v>
      </c>
      <c r="EU24">
        <v>100</v>
      </c>
      <c r="EV24">
        <v>-0.22600000000000001</v>
      </c>
      <c r="EW24">
        <v>3.6999999999999998E-2</v>
      </c>
      <c r="EX24">
        <v>2</v>
      </c>
      <c r="EY24">
        <v>511.55900000000003</v>
      </c>
      <c r="EZ24">
        <v>506.291</v>
      </c>
      <c r="FA24">
        <v>22.021100000000001</v>
      </c>
      <c r="FB24">
        <v>31.2957</v>
      </c>
      <c r="FC24">
        <v>30.000599999999999</v>
      </c>
      <c r="FD24">
        <v>31.254999999999999</v>
      </c>
      <c r="FE24">
        <v>31.2469</v>
      </c>
      <c r="FF24">
        <v>26.351600000000001</v>
      </c>
      <c r="FG24">
        <v>61.427100000000003</v>
      </c>
      <c r="FH24">
        <v>0</v>
      </c>
      <c r="FI24">
        <v>22.002199999999998</v>
      </c>
      <c r="FJ24">
        <v>500</v>
      </c>
      <c r="FK24">
        <v>11.8188</v>
      </c>
      <c r="FL24">
        <v>101.048</v>
      </c>
      <c r="FM24">
        <v>101.583</v>
      </c>
    </row>
    <row r="25" spans="1:169" x14ac:dyDescent="0.35">
      <c r="A25">
        <v>10</v>
      </c>
      <c r="B25">
        <v>1566590615.3</v>
      </c>
      <c r="C25">
        <v>1076.2000000476801</v>
      </c>
      <c r="D25" t="s">
        <v>324</v>
      </c>
      <c r="E25" t="s">
        <v>325</v>
      </c>
      <c r="G25">
        <v>1566590615.3</v>
      </c>
      <c r="H25">
        <f t="shared" si="0"/>
        <v>6.317664617681417E-3</v>
      </c>
      <c r="I25">
        <f t="shared" si="1"/>
        <v>43.94315864308053</v>
      </c>
      <c r="J25">
        <f t="shared" si="2"/>
        <v>543.23500000000001</v>
      </c>
      <c r="K25">
        <f t="shared" si="3"/>
        <v>345.71269796548523</v>
      </c>
      <c r="L25">
        <f t="shared" si="4"/>
        <v>34.449396736272845</v>
      </c>
      <c r="M25">
        <f t="shared" si="5"/>
        <v>54.131994995154997</v>
      </c>
      <c r="N25">
        <f t="shared" si="6"/>
        <v>0.41136008648350653</v>
      </c>
      <c r="O25">
        <f t="shared" si="7"/>
        <v>2.2543162509196994</v>
      </c>
      <c r="P25">
        <f t="shared" si="8"/>
        <v>0.37375460641413194</v>
      </c>
      <c r="Q25">
        <f t="shared" si="9"/>
        <v>0.23668818594527236</v>
      </c>
      <c r="R25">
        <f t="shared" si="10"/>
        <v>281.53163990671663</v>
      </c>
      <c r="S25">
        <f t="shared" si="11"/>
        <v>26.970347677065888</v>
      </c>
      <c r="T25">
        <f t="shared" si="12"/>
        <v>27.052499999999998</v>
      </c>
      <c r="U25">
        <f t="shared" si="13"/>
        <v>3.5902107343067393</v>
      </c>
      <c r="V25">
        <f t="shared" si="14"/>
        <v>54.722895546131703</v>
      </c>
      <c r="W25">
        <f t="shared" si="15"/>
        <v>1.9526918809080001</v>
      </c>
      <c r="X25">
        <f t="shared" si="16"/>
        <v>3.5683270437725101</v>
      </c>
      <c r="Y25">
        <f t="shared" si="17"/>
        <v>1.6375188533987393</v>
      </c>
      <c r="Z25">
        <f t="shared" si="18"/>
        <v>-278.60900963975047</v>
      </c>
      <c r="AA25">
        <f t="shared" si="19"/>
        <v>-12.651762032608449</v>
      </c>
      <c r="AB25">
        <f t="shared" si="20"/>
        <v>-1.2111923308086241</v>
      </c>
      <c r="AC25">
        <f t="shared" si="21"/>
        <v>-10.940324096450897</v>
      </c>
      <c r="AD25">
        <v>-4.13000479737805E-2</v>
      </c>
      <c r="AE25">
        <v>4.6362921933486199E-2</v>
      </c>
      <c r="AF25">
        <v>3.4629404463748799</v>
      </c>
      <c r="AG25">
        <v>0</v>
      </c>
      <c r="AH25">
        <v>0</v>
      </c>
      <c r="AI25">
        <f t="shared" si="22"/>
        <v>1</v>
      </c>
      <c r="AJ25">
        <f t="shared" si="23"/>
        <v>0</v>
      </c>
      <c r="AK25">
        <f t="shared" si="24"/>
        <v>52672.09738364473</v>
      </c>
      <c r="AL25" t="s">
        <v>278</v>
      </c>
      <c r="AM25">
        <v>602.34923076923099</v>
      </c>
      <c r="AN25">
        <v>3447.2</v>
      </c>
      <c r="AO25">
        <f t="shared" si="25"/>
        <v>2844.8507692307689</v>
      </c>
      <c r="AP25">
        <f t="shared" si="26"/>
        <v>0.82526420550904189</v>
      </c>
      <c r="AQ25">
        <v>-2.3039181891607399</v>
      </c>
      <c r="AR25" t="s">
        <v>326</v>
      </c>
      <c r="AS25">
        <v>812.47188461538497</v>
      </c>
      <c r="AT25">
        <v>1420.67</v>
      </c>
      <c r="AU25">
        <f t="shared" si="27"/>
        <v>0.42810653803108045</v>
      </c>
      <c r="AV25">
        <v>0.5</v>
      </c>
      <c r="AW25">
        <f t="shared" si="28"/>
        <v>1471.0944000962952</v>
      </c>
      <c r="AX25">
        <f t="shared" si="29"/>
        <v>43.94315864308053</v>
      </c>
      <c r="AY25">
        <f t="shared" si="30"/>
        <v>314.89256537106706</v>
      </c>
      <c r="AZ25">
        <f t="shared" si="31"/>
        <v>0.61522380285358325</v>
      </c>
      <c r="BA25">
        <f t="shared" si="32"/>
        <v>3.143719181394071E-2</v>
      </c>
      <c r="BB25">
        <f t="shared" si="33"/>
        <v>1.4264607544327674</v>
      </c>
      <c r="BC25" t="s">
        <v>327</v>
      </c>
      <c r="BD25">
        <v>546.64</v>
      </c>
      <c r="BE25">
        <f t="shared" si="34"/>
        <v>874.03000000000009</v>
      </c>
      <c r="BF25">
        <f t="shared" si="35"/>
        <v>0.69585496537260172</v>
      </c>
      <c r="BG25">
        <f t="shared" si="36"/>
        <v>0.69866853297294307</v>
      </c>
      <c r="BH25">
        <f t="shared" si="37"/>
        <v>0.74322703058890749</v>
      </c>
      <c r="BI25">
        <f t="shared" si="38"/>
        <v>0.71235019492708285</v>
      </c>
      <c r="BJ25">
        <v>1588</v>
      </c>
      <c r="BK25">
        <v>300</v>
      </c>
      <c r="BL25">
        <v>300</v>
      </c>
      <c r="BM25">
        <v>300</v>
      </c>
      <c r="BN25">
        <v>10288.299999999999</v>
      </c>
      <c r="BO25">
        <v>1265.8499999999999</v>
      </c>
      <c r="BP25">
        <v>-7.0670799999999999E-3</v>
      </c>
      <c r="BQ25">
        <v>5.0069600000000003</v>
      </c>
      <c r="BR25">
        <f t="shared" si="39"/>
        <v>1749.87</v>
      </c>
      <c r="BS25">
        <f t="shared" si="40"/>
        <v>1471.0944000962952</v>
      </c>
      <c r="BT25">
        <f t="shared" si="41"/>
        <v>0.84068782257898889</v>
      </c>
      <c r="BU25">
        <f t="shared" si="42"/>
        <v>0.19137564515797767</v>
      </c>
      <c r="BV25" t="s">
        <v>281</v>
      </c>
      <c r="BW25">
        <v>1566590615.3</v>
      </c>
      <c r="BX25">
        <v>543.23500000000001</v>
      </c>
      <c r="BY25">
        <v>600.07799999999997</v>
      </c>
      <c r="BZ25">
        <v>19.596</v>
      </c>
      <c r="CA25">
        <v>12.164300000000001</v>
      </c>
      <c r="CB25">
        <v>500.06299999999999</v>
      </c>
      <c r="CC25">
        <v>99.547300000000007</v>
      </c>
      <c r="CD25">
        <v>0.100173</v>
      </c>
      <c r="CE25">
        <v>26.948399999999999</v>
      </c>
      <c r="CF25">
        <v>27.052499999999998</v>
      </c>
      <c r="CG25">
        <v>999.9</v>
      </c>
      <c r="CH25">
        <v>10005</v>
      </c>
      <c r="CI25">
        <v>0</v>
      </c>
      <c r="CJ25">
        <v>1751.07</v>
      </c>
      <c r="CK25">
        <v>1749.87</v>
      </c>
      <c r="CL25">
        <v>0.97700600000000004</v>
      </c>
      <c r="CM25">
        <v>2.2994500000000001E-2</v>
      </c>
      <c r="CN25">
        <v>0</v>
      </c>
      <c r="CO25">
        <v>811.95699999999999</v>
      </c>
      <c r="CP25">
        <v>4.99986</v>
      </c>
      <c r="CQ25">
        <v>18853.900000000001</v>
      </c>
      <c r="CR25">
        <v>14219.7</v>
      </c>
      <c r="CS25">
        <v>44.311999999999998</v>
      </c>
      <c r="CT25">
        <v>46.061999999999998</v>
      </c>
      <c r="CU25">
        <v>44.75</v>
      </c>
      <c r="CV25">
        <v>45.811999999999998</v>
      </c>
      <c r="CW25">
        <v>46.186999999999998</v>
      </c>
      <c r="CX25">
        <v>1704.75</v>
      </c>
      <c r="CY25">
        <v>40.119999999999997</v>
      </c>
      <c r="CZ25">
        <v>0</v>
      </c>
      <c r="DA25">
        <v>126</v>
      </c>
      <c r="DB25">
        <v>812.47188461538497</v>
      </c>
      <c r="DC25">
        <v>-3.9015042910581599</v>
      </c>
      <c r="DD25">
        <v>76.1811967532376</v>
      </c>
      <c r="DE25">
        <v>18866.480769230799</v>
      </c>
      <c r="DF25">
        <v>15</v>
      </c>
      <c r="DG25">
        <v>1566590649.3</v>
      </c>
      <c r="DH25" t="s">
        <v>328</v>
      </c>
      <c r="DI25">
        <v>67</v>
      </c>
      <c r="DJ25">
        <v>-9.4E-2</v>
      </c>
      <c r="DK25">
        <v>4.2999999999999997E-2</v>
      </c>
      <c r="DL25">
        <v>600</v>
      </c>
      <c r="DM25">
        <v>12</v>
      </c>
      <c r="DN25">
        <v>0.04</v>
      </c>
      <c r="DO25">
        <v>0.01</v>
      </c>
      <c r="DP25">
        <v>44.301940153503999</v>
      </c>
      <c r="DQ25">
        <v>-0.79939357652624199</v>
      </c>
      <c r="DR25">
        <v>0.15447003874213799</v>
      </c>
      <c r="DS25">
        <v>0</v>
      </c>
      <c r="DT25">
        <v>0.420544482118343</v>
      </c>
      <c r="DU25">
        <v>-3.09538615286029E-2</v>
      </c>
      <c r="DV25">
        <v>5.8879255047001701E-3</v>
      </c>
      <c r="DW25">
        <v>1</v>
      </c>
      <c r="DX25">
        <v>1</v>
      </c>
      <c r="DY25">
        <v>2</v>
      </c>
      <c r="DZ25" t="s">
        <v>323</v>
      </c>
      <c r="EA25">
        <v>1.8667499999999999</v>
      </c>
      <c r="EB25">
        <v>1.8632500000000001</v>
      </c>
      <c r="EC25">
        <v>1.8689</v>
      </c>
      <c r="ED25">
        <v>1.86683</v>
      </c>
      <c r="EE25">
        <v>1.8714900000000001</v>
      </c>
      <c r="EF25">
        <v>1.8640099999999999</v>
      </c>
      <c r="EG25">
        <v>1.86554</v>
      </c>
      <c r="EH25">
        <v>1.86548</v>
      </c>
      <c r="EI25" t="s">
        <v>284</v>
      </c>
      <c r="EJ25" t="s">
        <v>19</v>
      </c>
      <c r="EK25" t="s">
        <v>19</v>
      </c>
      <c r="EL25" t="s">
        <v>19</v>
      </c>
      <c r="EM25" t="s">
        <v>285</v>
      </c>
      <c r="EN25" t="s">
        <v>286</v>
      </c>
      <c r="EO25" t="s">
        <v>287</v>
      </c>
      <c r="EP25" t="s">
        <v>287</v>
      </c>
      <c r="EQ25" t="s">
        <v>287</v>
      </c>
      <c r="ER25" t="s">
        <v>287</v>
      </c>
      <c r="ES25">
        <v>0</v>
      </c>
      <c r="ET25">
        <v>100</v>
      </c>
      <c r="EU25">
        <v>100</v>
      </c>
      <c r="EV25">
        <v>-9.4E-2</v>
      </c>
      <c r="EW25">
        <v>4.2999999999999997E-2</v>
      </c>
      <c r="EX25">
        <v>2</v>
      </c>
      <c r="EY25">
        <v>511.065</v>
      </c>
      <c r="EZ25">
        <v>506.774</v>
      </c>
      <c r="FA25">
        <v>22.299700000000001</v>
      </c>
      <c r="FB25">
        <v>31.423100000000002</v>
      </c>
      <c r="FC25">
        <v>30.000599999999999</v>
      </c>
      <c r="FD25">
        <v>31.358699999999999</v>
      </c>
      <c r="FE25">
        <v>31.343499999999999</v>
      </c>
      <c r="FF25">
        <v>30.511199999999999</v>
      </c>
      <c r="FG25">
        <v>59.36</v>
      </c>
      <c r="FH25">
        <v>0</v>
      </c>
      <c r="FI25">
        <v>22.252500000000001</v>
      </c>
      <c r="FJ25">
        <v>600</v>
      </c>
      <c r="FK25">
        <v>12.2606</v>
      </c>
      <c r="FL25">
        <v>101.027</v>
      </c>
      <c r="FM25">
        <v>101.56100000000001</v>
      </c>
    </row>
    <row r="26" spans="1:169" x14ac:dyDescent="0.35">
      <c r="A26">
        <v>11</v>
      </c>
      <c r="B26">
        <v>1566590740.8</v>
      </c>
      <c r="C26">
        <v>1201.7000000476801</v>
      </c>
      <c r="D26" t="s">
        <v>329</v>
      </c>
      <c r="E26" t="s">
        <v>330</v>
      </c>
      <c r="G26">
        <v>1566590740.8</v>
      </c>
      <c r="H26">
        <f t="shared" si="0"/>
        <v>5.7028657725477806E-3</v>
      </c>
      <c r="I26">
        <f t="shared" si="1"/>
        <v>51.189563190789009</v>
      </c>
      <c r="J26">
        <f t="shared" si="2"/>
        <v>733.67100000000005</v>
      </c>
      <c r="K26">
        <f t="shared" si="3"/>
        <v>475.60459941331362</v>
      </c>
      <c r="L26">
        <f t="shared" si="4"/>
        <v>47.390936722048899</v>
      </c>
      <c r="M26">
        <f t="shared" si="5"/>
        <v>73.105592289671705</v>
      </c>
      <c r="N26">
        <f t="shared" si="6"/>
        <v>0.36469866266186662</v>
      </c>
      <c r="O26">
        <f t="shared" si="7"/>
        <v>2.251770784806844</v>
      </c>
      <c r="P26">
        <f t="shared" si="8"/>
        <v>0.33477818291130701</v>
      </c>
      <c r="Q26">
        <f t="shared" si="9"/>
        <v>0.21171966315379168</v>
      </c>
      <c r="R26">
        <f t="shared" si="10"/>
        <v>281.58909556611758</v>
      </c>
      <c r="S26">
        <f t="shared" si="11"/>
        <v>26.805389251516733</v>
      </c>
      <c r="T26">
        <f t="shared" si="12"/>
        <v>26.9892</v>
      </c>
      <c r="U26">
        <f t="shared" si="13"/>
        <v>3.5768900218078645</v>
      </c>
      <c r="V26">
        <f t="shared" si="14"/>
        <v>55.170771331779278</v>
      </c>
      <c r="W26">
        <f t="shared" si="15"/>
        <v>1.9263591758977501</v>
      </c>
      <c r="X26">
        <f t="shared" si="16"/>
        <v>3.4916299507818107</v>
      </c>
      <c r="Y26">
        <f t="shared" si="17"/>
        <v>1.6505308459101145</v>
      </c>
      <c r="Z26">
        <f t="shared" si="18"/>
        <v>-251.49638056935711</v>
      </c>
      <c r="AA26">
        <f t="shared" si="19"/>
        <v>-49.785101032362739</v>
      </c>
      <c r="AB26">
        <f t="shared" si="20"/>
        <v>-4.7611583497025318</v>
      </c>
      <c r="AC26">
        <f t="shared" si="21"/>
        <v>-24.453544385304831</v>
      </c>
      <c r="AD26">
        <v>-4.12314363776028E-2</v>
      </c>
      <c r="AE26">
        <v>4.62858994060708E-2</v>
      </c>
      <c r="AF26">
        <v>3.45838709796412</v>
      </c>
      <c r="AG26">
        <v>0</v>
      </c>
      <c r="AH26">
        <v>0</v>
      </c>
      <c r="AI26">
        <f t="shared" si="22"/>
        <v>1</v>
      </c>
      <c r="AJ26">
        <f t="shared" si="23"/>
        <v>0</v>
      </c>
      <c r="AK26">
        <f t="shared" si="24"/>
        <v>52652.907669574648</v>
      </c>
      <c r="AL26" t="s">
        <v>278</v>
      </c>
      <c r="AM26">
        <v>602.34923076923099</v>
      </c>
      <c r="AN26">
        <v>3447.2</v>
      </c>
      <c r="AO26">
        <f t="shared" si="25"/>
        <v>2844.8507692307689</v>
      </c>
      <c r="AP26">
        <f t="shared" si="26"/>
        <v>0.82526420550904189</v>
      </c>
      <c r="AQ26">
        <v>-2.3039181891607399</v>
      </c>
      <c r="AR26" t="s">
        <v>331</v>
      </c>
      <c r="AS26">
        <v>828.04923076923103</v>
      </c>
      <c r="AT26">
        <v>1479.36</v>
      </c>
      <c r="AU26">
        <f t="shared" si="27"/>
        <v>0.44026522903875254</v>
      </c>
      <c r="AV26">
        <v>0.5</v>
      </c>
      <c r="AW26">
        <f t="shared" si="28"/>
        <v>1471.3968000962752</v>
      </c>
      <c r="AX26">
        <f t="shared" si="29"/>
        <v>51.189563190789009</v>
      </c>
      <c r="AY26">
        <f t="shared" si="30"/>
        <v>323.90242460063712</v>
      </c>
      <c r="AZ26">
        <f t="shared" si="31"/>
        <v>0.63044830196841872</v>
      </c>
      <c r="BA26">
        <f t="shared" si="32"/>
        <v>3.6355578166575871E-2</v>
      </c>
      <c r="BB26">
        <f t="shared" si="33"/>
        <v>1.3301968418775687</v>
      </c>
      <c r="BC26" t="s">
        <v>332</v>
      </c>
      <c r="BD26">
        <v>546.70000000000005</v>
      </c>
      <c r="BE26">
        <f t="shared" si="34"/>
        <v>932.65999999999985</v>
      </c>
      <c r="BF26">
        <f t="shared" si="35"/>
        <v>0.69833676712925286</v>
      </c>
      <c r="BG26">
        <f t="shared" si="36"/>
        <v>0.67844854335459404</v>
      </c>
      <c r="BH26">
        <f t="shared" si="37"/>
        <v>0.74264854216332743</v>
      </c>
      <c r="BI26">
        <f t="shared" si="38"/>
        <v>0.69171993880441485</v>
      </c>
      <c r="BJ26">
        <v>1590</v>
      </c>
      <c r="BK26">
        <v>300</v>
      </c>
      <c r="BL26">
        <v>300</v>
      </c>
      <c r="BM26">
        <v>300</v>
      </c>
      <c r="BN26">
        <v>10288.6</v>
      </c>
      <c r="BO26">
        <v>1314.42</v>
      </c>
      <c r="BP26">
        <v>-7.0674700000000002E-3</v>
      </c>
      <c r="BQ26">
        <v>4.5871599999999999</v>
      </c>
      <c r="BR26">
        <f t="shared" si="39"/>
        <v>1750.23</v>
      </c>
      <c r="BS26">
        <f t="shared" si="40"/>
        <v>1471.3968000962752</v>
      </c>
      <c r="BT26">
        <f t="shared" si="41"/>
        <v>0.84068768110264092</v>
      </c>
      <c r="BU26">
        <f t="shared" si="42"/>
        <v>0.19137536220528201</v>
      </c>
      <c r="BV26" t="s">
        <v>281</v>
      </c>
      <c r="BW26">
        <v>1566590740.8</v>
      </c>
      <c r="BX26">
        <v>733.67100000000005</v>
      </c>
      <c r="BY26">
        <v>800.11199999999997</v>
      </c>
      <c r="BZ26">
        <v>19.3325</v>
      </c>
      <c r="CA26">
        <v>12.6221</v>
      </c>
      <c r="CB26">
        <v>500.05500000000001</v>
      </c>
      <c r="CC26">
        <v>99.543599999999998</v>
      </c>
      <c r="CD26">
        <v>9.9962700000000002E-2</v>
      </c>
      <c r="CE26">
        <v>26.5791</v>
      </c>
      <c r="CF26">
        <v>26.9892</v>
      </c>
      <c r="CG26">
        <v>999.9</v>
      </c>
      <c r="CH26">
        <v>9988.75</v>
      </c>
      <c r="CI26">
        <v>0</v>
      </c>
      <c r="CJ26">
        <v>1772.29</v>
      </c>
      <c r="CK26">
        <v>1750.23</v>
      </c>
      <c r="CL26">
        <v>0.97701000000000005</v>
      </c>
      <c r="CM26">
        <v>2.2990400000000001E-2</v>
      </c>
      <c r="CN26">
        <v>0</v>
      </c>
      <c r="CO26">
        <v>826.65899999999999</v>
      </c>
      <c r="CP26">
        <v>4.99986</v>
      </c>
      <c r="CQ26">
        <v>19157.2</v>
      </c>
      <c r="CR26">
        <v>14222.6</v>
      </c>
      <c r="CS26">
        <v>44.375</v>
      </c>
      <c r="CT26">
        <v>46.125</v>
      </c>
      <c r="CU26">
        <v>44.686999999999998</v>
      </c>
      <c r="CV26">
        <v>45.936999999999998</v>
      </c>
      <c r="CW26">
        <v>46.186999999999998</v>
      </c>
      <c r="CX26">
        <v>1705.11</v>
      </c>
      <c r="CY26">
        <v>40.119999999999997</v>
      </c>
      <c r="CZ26">
        <v>0</v>
      </c>
      <c r="DA26">
        <v>125</v>
      </c>
      <c r="DB26">
        <v>828.04923076923103</v>
      </c>
      <c r="DC26">
        <v>-14.8687179512784</v>
      </c>
      <c r="DD26">
        <v>839.72649344130605</v>
      </c>
      <c r="DE26">
        <v>19063.123076923101</v>
      </c>
      <c r="DF26">
        <v>15</v>
      </c>
      <c r="DG26">
        <v>1566590776.8</v>
      </c>
      <c r="DH26" t="s">
        <v>333</v>
      </c>
      <c r="DI26">
        <v>68</v>
      </c>
      <c r="DJ26">
        <v>-0.17199999999999999</v>
      </c>
      <c r="DK26">
        <v>0.05</v>
      </c>
      <c r="DL26">
        <v>800</v>
      </c>
      <c r="DM26">
        <v>13</v>
      </c>
      <c r="DN26">
        <v>0.02</v>
      </c>
      <c r="DO26">
        <v>0.02</v>
      </c>
      <c r="DP26">
        <v>51.524444314524601</v>
      </c>
      <c r="DQ26">
        <v>-1.9557490067496199</v>
      </c>
      <c r="DR26">
        <v>0.37729681115785402</v>
      </c>
      <c r="DS26">
        <v>0</v>
      </c>
      <c r="DT26">
        <v>0.37030714346215898</v>
      </c>
      <c r="DU26">
        <v>-1.77079415663828E-2</v>
      </c>
      <c r="DV26">
        <v>3.3756204209062501E-3</v>
      </c>
      <c r="DW26">
        <v>1</v>
      </c>
      <c r="DX26">
        <v>1</v>
      </c>
      <c r="DY26">
        <v>2</v>
      </c>
      <c r="DZ26" t="s">
        <v>323</v>
      </c>
      <c r="EA26">
        <v>1.8667199999999999</v>
      </c>
      <c r="EB26">
        <v>1.8632500000000001</v>
      </c>
      <c r="EC26">
        <v>1.8689</v>
      </c>
      <c r="ED26">
        <v>1.8667899999999999</v>
      </c>
      <c r="EE26">
        <v>1.8714900000000001</v>
      </c>
      <c r="EF26">
        <v>1.8640099999999999</v>
      </c>
      <c r="EG26">
        <v>1.86554</v>
      </c>
      <c r="EH26">
        <v>1.8654599999999999</v>
      </c>
      <c r="EI26" t="s">
        <v>284</v>
      </c>
      <c r="EJ26" t="s">
        <v>19</v>
      </c>
      <c r="EK26" t="s">
        <v>19</v>
      </c>
      <c r="EL26" t="s">
        <v>19</v>
      </c>
      <c r="EM26" t="s">
        <v>285</v>
      </c>
      <c r="EN26" t="s">
        <v>286</v>
      </c>
      <c r="EO26" t="s">
        <v>287</v>
      </c>
      <c r="EP26" t="s">
        <v>287</v>
      </c>
      <c r="EQ26" t="s">
        <v>287</v>
      </c>
      <c r="ER26" t="s">
        <v>287</v>
      </c>
      <c r="ES26">
        <v>0</v>
      </c>
      <c r="ET26">
        <v>100</v>
      </c>
      <c r="EU26">
        <v>100</v>
      </c>
      <c r="EV26">
        <v>-0.17199999999999999</v>
      </c>
      <c r="EW26">
        <v>0.05</v>
      </c>
      <c r="EX26">
        <v>2</v>
      </c>
      <c r="EY26">
        <v>510.858</v>
      </c>
      <c r="EZ26">
        <v>507.55399999999997</v>
      </c>
      <c r="FA26">
        <v>21.410699999999999</v>
      </c>
      <c r="FB26">
        <v>31.499199999999998</v>
      </c>
      <c r="FC26">
        <v>30.000399999999999</v>
      </c>
      <c r="FD26">
        <v>31.435300000000002</v>
      </c>
      <c r="FE26">
        <v>31.417100000000001</v>
      </c>
      <c r="FF26">
        <v>38.502400000000002</v>
      </c>
      <c r="FG26">
        <v>57.851999999999997</v>
      </c>
      <c r="FH26">
        <v>0</v>
      </c>
      <c r="FI26">
        <v>21.9039</v>
      </c>
      <c r="FJ26">
        <v>800</v>
      </c>
      <c r="FK26">
        <v>12.582100000000001</v>
      </c>
      <c r="FL26">
        <v>101.01</v>
      </c>
      <c r="FM26">
        <v>101.54300000000001</v>
      </c>
    </row>
    <row r="27" spans="1:169" x14ac:dyDescent="0.35">
      <c r="A27">
        <v>12</v>
      </c>
      <c r="B27">
        <v>1566590868.3</v>
      </c>
      <c r="C27">
        <v>1329.2000000476801</v>
      </c>
      <c r="D27" t="s">
        <v>334</v>
      </c>
      <c r="E27" t="s">
        <v>335</v>
      </c>
      <c r="G27">
        <v>1566590868.3</v>
      </c>
      <c r="H27">
        <f t="shared" si="0"/>
        <v>5.2249476518512238E-3</v>
      </c>
      <c r="I27">
        <f t="shared" si="1"/>
        <v>54.177978661612521</v>
      </c>
      <c r="J27">
        <f t="shared" si="2"/>
        <v>929.09900000000005</v>
      </c>
      <c r="K27">
        <f t="shared" si="3"/>
        <v>622.49436079005454</v>
      </c>
      <c r="L27">
        <f t="shared" si="4"/>
        <v>62.026174741541936</v>
      </c>
      <c r="M27">
        <f t="shared" si="5"/>
        <v>92.576673069056014</v>
      </c>
      <c r="N27">
        <f t="shared" si="6"/>
        <v>0.32452606723491823</v>
      </c>
      <c r="O27">
        <f t="shared" si="7"/>
        <v>2.2601556828945406</v>
      </c>
      <c r="P27">
        <f t="shared" si="8"/>
        <v>0.30068440392029727</v>
      </c>
      <c r="Q27">
        <f t="shared" si="9"/>
        <v>0.18992366147885609</v>
      </c>
      <c r="R27">
        <f t="shared" si="10"/>
        <v>281.54928528917202</v>
      </c>
      <c r="S27">
        <f t="shared" si="11"/>
        <v>26.686466596675732</v>
      </c>
      <c r="T27">
        <f t="shared" si="12"/>
        <v>26.995000000000001</v>
      </c>
      <c r="U27">
        <f t="shared" si="13"/>
        <v>3.5781087629434394</v>
      </c>
      <c r="V27">
        <f t="shared" si="14"/>
        <v>55.139767855795341</v>
      </c>
      <c r="W27">
        <f t="shared" si="15"/>
        <v>1.8942018777088001</v>
      </c>
      <c r="X27">
        <f t="shared" si="16"/>
        <v>3.4352735808801818</v>
      </c>
      <c r="Y27">
        <f t="shared" si="17"/>
        <v>1.6839068852346393</v>
      </c>
      <c r="Z27">
        <f t="shared" si="18"/>
        <v>-230.42019144663897</v>
      </c>
      <c r="AA27">
        <f t="shared" si="19"/>
        <v>-84.2954932153025</v>
      </c>
      <c r="AB27">
        <f t="shared" si="20"/>
        <v>-8.0207821439841087</v>
      </c>
      <c r="AC27">
        <f t="shared" si="21"/>
        <v>-41.18718151675354</v>
      </c>
      <c r="AD27">
        <v>-4.1457713152506903E-2</v>
      </c>
      <c r="AE27">
        <v>4.6539914908834898E-2</v>
      </c>
      <c r="AF27">
        <v>3.4733938669317799</v>
      </c>
      <c r="AG27">
        <v>0</v>
      </c>
      <c r="AH27">
        <v>0</v>
      </c>
      <c r="AI27">
        <f t="shared" si="22"/>
        <v>1</v>
      </c>
      <c r="AJ27">
        <f t="shared" si="23"/>
        <v>0</v>
      </c>
      <c r="AK27">
        <f t="shared" si="24"/>
        <v>52978.651171504367</v>
      </c>
      <c r="AL27" t="s">
        <v>278</v>
      </c>
      <c r="AM27">
        <v>602.34923076923099</v>
      </c>
      <c r="AN27">
        <v>3447.2</v>
      </c>
      <c r="AO27">
        <f t="shared" si="25"/>
        <v>2844.8507692307689</v>
      </c>
      <c r="AP27">
        <f t="shared" si="26"/>
        <v>0.82526420550904189</v>
      </c>
      <c r="AQ27">
        <v>-2.3039181891607399</v>
      </c>
      <c r="AR27" t="s">
        <v>336</v>
      </c>
      <c r="AS27">
        <v>818.00857692307704</v>
      </c>
      <c r="AT27">
        <v>1462.4</v>
      </c>
      <c r="AU27">
        <f t="shared" si="27"/>
        <v>0.44063964925938393</v>
      </c>
      <c r="AV27">
        <v>0.5</v>
      </c>
      <c r="AW27">
        <f t="shared" si="28"/>
        <v>1471.1793000963617</v>
      </c>
      <c r="AX27">
        <f t="shared" si="29"/>
        <v>54.177978661612521</v>
      </c>
      <c r="AY27">
        <f t="shared" si="30"/>
        <v>324.12996539606337</v>
      </c>
      <c r="AZ27">
        <f t="shared" si="31"/>
        <v>0.63243982494529549</v>
      </c>
      <c r="BA27">
        <f t="shared" si="32"/>
        <v>3.8392259085669379E-2</v>
      </c>
      <c r="BB27">
        <f t="shared" si="33"/>
        <v>1.3572210065645511</v>
      </c>
      <c r="BC27" t="s">
        <v>337</v>
      </c>
      <c r="BD27">
        <v>537.52</v>
      </c>
      <c r="BE27">
        <f t="shared" si="34"/>
        <v>924.88000000000011</v>
      </c>
      <c r="BF27">
        <f t="shared" si="35"/>
        <v>0.69672976286320709</v>
      </c>
      <c r="BG27">
        <f t="shared" si="36"/>
        <v>0.68213686728437484</v>
      </c>
      <c r="BH27">
        <f t="shared" si="37"/>
        <v>0.74924812130947549</v>
      </c>
      <c r="BI27">
        <f t="shared" si="38"/>
        <v>0.69768158719154116</v>
      </c>
      <c r="BJ27">
        <v>1592</v>
      </c>
      <c r="BK27">
        <v>300</v>
      </c>
      <c r="BL27">
        <v>300</v>
      </c>
      <c r="BM27">
        <v>300</v>
      </c>
      <c r="BN27">
        <v>10287.4</v>
      </c>
      <c r="BO27">
        <v>1298.55</v>
      </c>
      <c r="BP27">
        <v>-7.0665499999999996E-3</v>
      </c>
      <c r="BQ27">
        <v>6.3690199999999999</v>
      </c>
      <c r="BR27">
        <f t="shared" si="39"/>
        <v>1749.97</v>
      </c>
      <c r="BS27">
        <f t="shared" si="40"/>
        <v>1471.1793000963617</v>
      </c>
      <c r="BT27">
        <f t="shared" si="41"/>
        <v>0.84068829756873642</v>
      </c>
      <c r="BU27">
        <f t="shared" si="42"/>
        <v>0.19137659513747282</v>
      </c>
      <c r="BV27" t="s">
        <v>281</v>
      </c>
      <c r="BW27">
        <v>1566590868.3</v>
      </c>
      <c r="BX27">
        <v>929.09900000000005</v>
      </c>
      <c r="BY27">
        <v>999.93399999999997</v>
      </c>
      <c r="BZ27">
        <v>19.010200000000001</v>
      </c>
      <c r="CA27">
        <v>12.8598</v>
      </c>
      <c r="CB27">
        <v>500.02800000000002</v>
      </c>
      <c r="CC27">
        <v>99.541300000000007</v>
      </c>
      <c r="CD27">
        <v>0.10004399999999999</v>
      </c>
      <c r="CE27">
        <v>26.3032</v>
      </c>
      <c r="CF27">
        <v>26.995000000000001</v>
      </c>
      <c r="CG27">
        <v>999.9</v>
      </c>
      <c r="CH27">
        <v>10043.799999999999</v>
      </c>
      <c r="CI27">
        <v>0</v>
      </c>
      <c r="CJ27">
        <v>1692.17</v>
      </c>
      <c r="CK27">
        <v>1749.97</v>
      </c>
      <c r="CL27">
        <v>0.97699100000000005</v>
      </c>
      <c r="CM27">
        <v>2.30093E-2</v>
      </c>
      <c r="CN27">
        <v>0</v>
      </c>
      <c r="CO27">
        <v>816.51400000000001</v>
      </c>
      <c r="CP27">
        <v>4.99986</v>
      </c>
      <c r="CQ27">
        <v>18579.8</v>
      </c>
      <c r="CR27">
        <v>14220.5</v>
      </c>
      <c r="CS27">
        <v>44.436999999999998</v>
      </c>
      <c r="CT27">
        <v>46.186999999999998</v>
      </c>
      <c r="CU27">
        <v>44.811999999999998</v>
      </c>
      <c r="CV27">
        <v>46</v>
      </c>
      <c r="CW27">
        <v>46.25</v>
      </c>
      <c r="CX27">
        <v>1704.82</v>
      </c>
      <c r="CY27">
        <v>40.15</v>
      </c>
      <c r="CZ27">
        <v>0</v>
      </c>
      <c r="DA27">
        <v>127.30000019073501</v>
      </c>
      <c r="DB27">
        <v>818.00857692307704</v>
      </c>
      <c r="DC27">
        <v>-11.941641021201599</v>
      </c>
      <c r="DD27">
        <v>-116.834177228736</v>
      </c>
      <c r="DE27">
        <v>18583.761538461498</v>
      </c>
      <c r="DF27">
        <v>15</v>
      </c>
      <c r="DG27">
        <v>1566590900.3</v>
      </c>
      <c r="DH27" t="s">
        <v>338</v>
      </c>
      <c r="DI27">
        <v>69</v>
      </c>
      <c r="DJ27">
        <v>0.126</v>
      </c>
      <c r="DK27">
        <v>5.2999999999999999E-2</v>
      </c>
      <c r="DL27">
        <v>1000</v>
      </c>
      <c r="DM27">
        <v>13</v>
      </c>
      <c r="DN27">
        <v>0.04</v>
      </c>
      <c r="DO27">
        <v>0.02</v>
      </c>
      <c r="DP27">
        <v>54.967426106185798</v>
      </c>
      <c r="DQ27">
        <v>-1.5063296987810599</v>
      </c>
      <c r="DR27">
        <v>0.34611826042492999</v>
      </c>
      <c r="DS27">
        <v>0</v>
      </c>
      <c r="DT27">
        <v>0.328545607675235</v>
      </c>
      <c r="DU27">
        <v>-1.4806369653335301E-2</v>
      </c>
      <c r="DV27">
        <v>4.7375823445441603E-3</v>
      </c>
      <c r="DW27">
        <v>1</v>
      </c>
      <c r="DX27">
        <v>1</v>
      </c>
      <c r="DY27">
        <v>2</v>
      </c>
      <c r="DZ27" t="s">
        <v>323</v>
      </c>
      <c r="EA27">
        <v>1.86666</v>
      </c>
      <c r="EB27">
        <v>1.8632500000000001</v>
      </c>
      <c r="EC27">
        <v>1.8688899999999999</v>
      </c>
      <c r="ED27">
        <v>1.8667800000000001</v>
      </c>
      <c r="EE27">
        <v>1.87147</v>
      </c>
      <c r="EF27">
        <v>1.8640099999999999</v>
      </c>
      <c r="EG27">
        <v>1.86554</v>
      </c>
      <c r="EH27">
        <v>1.8654200000000001</v>
      </c>
      <c r="EI27" t="s">
        <v>284</v>
      </c>
      <c r="EJ27" t="s">
        <v>19</v>
      </c>
      <c r="EK27" t="s">
        <v>19</v>
      </c>
      <c r="EL27" t="s">
        <v>19</v>
      </c>
      <c r="EM27" t="s">
        <v>285</v>
      </c>
      <c r="EN27" t="s">
        <v>286</v>
      </c>
      <c r="EO27" t="s">
        <v>287</v>
      </c>
      <c r="EP27" t="s">
        <v>287</v>
      </c>
      <c r="EQ27" t="s">
        <v>287</v>
      </c>
      <c r="ER27" t="s">
        <v>287</v>
      </c>
      <c r="ES27">
        <v>0</v>
      </c>
      <c r="ET27">
        <v>100</v>
      </c>
      <c r="EU27">
        <v>100</v>
      </c>
      <c r="EV27">
        <v>0.126</v>
      </c>
      <c r="EW27">
        <v>5.2999999999999999E-2</v>
      </c>
      <c r="EX27">
        <v>2</v>
      </c>
      <c r="EY27">
        <v>510.471</v>
      </c>
      <c r="EZ27">
        <v>508.12</v>
      </c>
      <c r="FA27">
        <v>20.7591</v>
      </c>
      <c r="FB27">
        <v>31.5762</v>
      </c>
      <c r="FC27">
        <v>30.000299999999999</v>
      </c>
      <c r="FD27">
        <v>31.5093</v>
      </c>
      <c r="FE27">
        <v>31.490200000000002</v>
      </c>
      <c r="FF27">
        <v>46.113700000000001</v>
      </c>
      <c r="FG27">
        <v>57.337899999999998</v>
      </c>
      <c r="FH27">
        <v>0</v>
      </c>
      <c r="FI27">
        <v>20.763500000000001</v>
      </c>
      <c r="FJ27">
        <v>1000</v>
      </c>
      <c r="FK27">
        <v>12.9094</v>
      </c>
      <c r="FL27">
        <v>100.998</v>
      </c>
      <c r="FM27">
        <v>101.523</v>
      </c>
    </row>
    <row r="28" spans="1:169" x14ac:dyDescent="0.35">
      <c r="A28">
        <v>13</v>
      </c>
      <c r="B28">
        <v>1566590991.8</v>
      </c>
      <c r="C28">
        <v>1452.7000000476801</v>
      </c>
      <c r="D28" t="s">
        <v>339</v>
      </c>
      <c r="E28" t="s">
        <v>340</v>
      </c>
      <c r="G28">
        <v>1566590991.8</v>
      </c>
      <c r="H28">
        <f t="shared" si="0"/>
        <v>4.5683543953975135E-3</v>
      </c>
      <c r="I28">
        <f t="shared" si="1"/>
        <v>54.83122085704079</v>
      </c>
      <c r="J28">
        <f t="shared" si="2"/>
        <v>1127.6020000000001</v>
      </c>
      <c r="K28">
        <f t="shared" si="3"/>
        <v>761.26166544981993</v>
      </c>
      <c r="L28">
        <f t="shared" si="4"/>
        <v>75.85227647343514</v>
      </c>
      <c r="M28">
        <f t="shared" si="5"/>
        <v>112.35450639099122</v>
      </c>
      <c r="N28">
        <f t="shared" si="6"/>
        <v>0.27321502100020639</v>
      </c>
      <c r="O28">
        <f t="shared" si="7"/>
        <v>2.244047437575901</v>
      </c>
      <c r="P28">
        <f t="shared" si="8"/>
        <v>0.2559889544737588</v>
      </c>
      <c r="Q28">
        <f t="shared" si="9"/>
        <v>0.16145019969981314</v>
      </c>
      <c r="R28">
        <f t="shared" si="10"/>
        <v>281.57162915651719</v>
      </c>
      <c r="S28">
        <f t="shared" si="11"/>
        <v>26.788985465368608</v>
      </c>
      <c r="T28">
        <f t="shared" si="12"/>
        <v>27.050699999999999</v>
      </c>
      <c r="U28">
        <f t="shared" si="13"/>
        <v>3.5898313489493634</v>
      </c>
      <c r="V28">
        <f t="shared" si="14"/>
        <v>54.533683893828503</v>
      </c>
      <c r="W28">
        <f t="shared" si="15"/>
        <v>1.8602927892735601</v>
      </c>
      <c r="X28">
        <f t="shared" si="16"/>
        <v>3.4112729169284801</v>
      </c>
      <c r="Y28">
        <f t="shared" si="17"/>
        <v>1.7295385596758033</v>
      </c>
      <c r="Z28">
        <f t="shared" si="18"/>
        <v>-201.46442883703034</v>
      </c>
      <c r="AA28">
        <f t="shared" si="19"/>
        <v>-104.79381622076747</v>
      </c>
      <c r="AB28">
        <f t="shared" si="20"/>
        <v>-10.039629840477286</v>
      </c>
      <c r="AC28">
        <f t="shared" si="21"/>
        <v>-34.726245741757907</v>
      </c>
      <c r="AD28">
        <v>-4.10236869739284E-2</v>
      </c>
      <c r="AE28">
        <v>4.60526825005989E-2</v>
      </c>
      <c r="AF28">
        <v>3.4445840736337301</v>
      </c>
      <c r="AG28">
        <v>0</v>
      </c>
      <c r="AH28">
        <v>0</v>
      </c>
      <c r="AI28">
        <f t="shared" si="22"/>
        <v>1</v>
      </c>
      <c r="AJ28">
        <f t="shared" si="23"/>
        <v>0</v>
      </c>
      <c r="AK28">
        <f t="shared" si="24"/>
        <v>52467.234681387403</v>
      </c>
      <c r="AL28" t="s">
        <v>278</v>
      </c>
      <c r="AM28">
        <v>602.34923076923099</v>
      </c>
      <c r="AN28">
        <v>3447.2</v>
      </c>
      <c r="AO28">
        <f t="shared" si="25"/>
        <v>2844.8507692307689</v>
      </c>
      <c r="AP28">
        <f t="shared" si="26"/>
        <v>0.82526420550904189</v>
      </c>
      <c r="AQ28">
        <v>-2.3039181891607399</v>
      </c>
      <c r="AR28" t="s">
        <v>341</v>
      </c>
      <c r="AS28">
        <v>804.90307692307704</v>
      </c>
      <c r="AT28">
        <v>1421.9</v>
      </c>
      <c r="AU28">
        <f t="shared" si="27"/>
        <v>0.43392427250645127</v>
      </c>
      <c r="AV28">
        <v>0.5</v>
      </c>
      <c r="AW28">
        <f t="shared" si="28"/>
        <v>1471.2969000963537</v>
      </c>
      <c r="AX28">
        <f t="shared" si="29"/>
        <v>54.83122085704079</v>
      </c>
      <c r="AY28">
        <f t="shared" si="30"/>
        <v>319.21571850765361</v>
      </c>
      <c r="AZ28">
        <f t="shared" si="31"/>
        <v>0.62465714888529433</v>
      </c>
      <c r="BA28">
        <f t="shared" si="32"/>
        <v>3.8833181149542158E-2</v>
      </c>
      <c r="BB28">
        <f t="shared" si="33"/>
        <v>1.4243617694633937</v>
      </c>
      <c r="BC28" t="s">
        <v>342</v>
      </c>
      <c r="BD28">
        <v>533.70000000000005</v>
      </c>
      <c r="BE28">
        <f t="shared" si="34"/>
        <v>888.2</v>
      </c>
      <c r="BF28">
        <f t="shared" si="35"/>
        <v>0.6946598998839485</v>
      </c>
      <c r="BG28">
        <f t="shared" si="36"/>
        <v>0.69514329843830436</v>
      </c>
      <c r="BH28">
        <f t="shared" si="37"/>
        <v>0.75284771394460015</v>
      </c>
      <c r="BI28">
        <f t="shared" si="38"/>
        <v>0.71191783481410131</v>
      </c>
      <c r="BJ28">
        <v>1594</v>
      </c>
      <c r="BK28">
        <v>300</v>
      </c>
      <c r="BL28">
        <v>300</v>
      </c>
      <c r="BM28">
        <v>300</v>
      </c>
      <c r="BN28">
        <v>10286.5</v>
      </c>
      <c r="BO28">
        <v>1265.31</v>
      </c>
      <c r="BP28">
        <v>-7.0662900000000002E-3</v>
      </c>
      <c r="BQ28">
        <v>4.33521</v>
      </c>
      <c r="BR28">
        <f t="shared" si="39"/>
        <v>1750.11</v>
      </c>
      <c r="BS28">
        <f t="shared" si="40"/>
        <v>1471.2969000963537</v>
      </c>
      <c r="BT28">
        <f t="shared" si="41"/>
        <v>0.84068824250838736</v>
      </c>
      <c r="BU28">
        <f t="shared" si="42"/>
        <v>0.1913764850167749</v>
      </c>
      <c r="BV28" t="s">
        <v>281</v>
      </c>
      <c r="BW28">
        <v>1566590991.8</v>
      </c>
      <c r="BX28">
        <v>1127.6020000000001</v>
      </c>
      <c r="BY28">
        <v>1199.58</v>
      </c>
      <c r="BZ28">
        <v>18.670100000000001</v>
      </c>
      <c r="CA28">
        <v>13.2905</v>
      </c>
      <c r="CB28">
        <v>500.00700000000001</v>
      </c>
      <c r="CC28">
        <v>99.540300000000002</v>
      </c>
      <c r="CD28">
        <v>9.9915599999999993E-2</v>
      </c>
      <c r="CE28">
        <v>26.1845</v>
      </c>
      <c r="CF28">
        <v>27.050699999999999</v>
      </c>
      <c r="CG28">
        <v>999.9</v>
      </c>
      <c r="CH28">
        <v>9938.75</v>
      </c>
      <c r="CI28">
        <v>0</v>
      </c>
      <c r="CJ28">
        <v>817.851</v>
      </c>
      <c r="CK28">
        <v>1750.11</v>
      </c>
      <c r="CL28">
        <v>0.97699499999999995</v>
      </c>
      <c r="CM28">
        <v>2.3005299999999999E-2</v>
      </c>
      <c r="CN28">
        <v>0</v>
      </c>
      <c r="CO28">
        <v>803.49</v>
      </c>
      <c r="CP28">
        <v>4.99986</v>
      </c>
      <c r="CQ28">
        <v>17075</v>
      </c>
      <c r="CR28">
        <v>14221.6</v>
      </c>
      <c r="CS28">
        <v>44.436999999999998</v>
      </c>
      <c r="CT28">
        <v>45.936999999999998</v>
      </c>
      <c r="CU28">
        <v>44.811999999999998</v>
      </c>
      <c r="CV28">
        <v>45.875</v>
      </c>
      <c r="CW28">
        <v>46.25</v>
      </c>
      <c r="CX28">
        <v>1704.96</v>
      </c>
      <c r="CY28">
        <v>40.15</v>
      </c>
      <c r="CZ28">
        <v>0</v>
      </c>
      <c r="DA28">
        <v>122.80000019073501</v>
      </c>
      <c r="DB28">
        <v>804.90307692307704</v>
      </c>
      <c r="DC28">
        <v>-15.6434871762754</v>
      </c>
      <c r="DD28">
        <v>-281.77777807259099</v>
      </c>
      <c r="DE28">
        <v>17153.0846153846</v>
      </c>
      <c r="DF28">
        <v>15</v>
      </c>
      <c r="DG28">
        <v>1566591023.8</v>
      </c>
      <c r="DH28" t="s">
        <v>343</v>
      </c>
      <c r="DI28">
        <v>70</v>
      </c>
      <c r="DJ28">
        <v>0.188</v>
      </c>
      <c r="DK28">
        <v>6.3E-2</v>
      </c>
      <c r="DL28">
        <v>1200</v>
      </c>
      <c r="DM28">
        <v>13</v>
      </c>
      <c r="DN28">
        <v>0.06</v>
      </c>
      <c r="DO28">
        <v>0.02</v>
      </c>
      <c r="DP28">
        <v>55.5984003072588</v>
      </c>
      <c r="DQ28">
        <v>-1.3186514646621801</v>
      </c>
      <c r="DR28">
        <v>0.27900512073372902</v>
      </c>
      <c r="DS28">
        <v>0</v>
      </c>
      <c r="DT28">
        <v>0.29112514635204001</v>
      </c>
      <c r="DU28">
        <v>-4.6417249104431201E-2</v>
      </c>
      <c r="DV28">
        <v>8.8229763263349206E-3</v>
      </c>
      <c r="DW28">
        <v>1</v>
      </c>
      <c r="DX28">
        <v>1</v>
      </c>
      <c r="DY28">
        <v>2</v>
      </c>
      <c r="DZ28" t="s">
        <v>323</v>
      </c>
      <c r="EA28">
        <v>1.8667199999999999</v>
      </c>
      <c r="EB28">
        <v>1.8632500000000001</v>
      </c>
      <c r="EC28">
        <v>1.8689</v>
      </c>
      <c r="ED28">
        <v>1.8667899999999999</v>
      </c>
      <c r="EE28">
        <v>1.8714900000000001</v>
      </c>
      <c r="EF28">
        <v>1.8640099999999999</v>
      </c>
      <c r="EG28">
        <v>1.86554</v>
      </c>
      <c r="EH28">
        <v>1.86547</v>
      </c>
      <c r="EI28" t="s">
        <v>284</v>
      </c>
      <c r="EJ28" t="s">
        <v>19</v>
      </c>
      <c r="EK28" t="s">
        <v>19</v>
      </c>
      <c r="EL28" t="s">
        <v>19</v>
      </c>
      <c r="EM28" t="s">
        <v>285</v>
      </c>
      <c r="EN28" t="s">
        <v>286</v>
      </c>
      <c r="EO28" t="s">
        <v>287</v>
      </c>
      <c r="EP28" t="s">
        <v>287</v>
      </c>
      <c r="EQ28" t="s">
        <v>287</v>
      </c>
      <c r="ER28" t="s">
        <v>287</v>
      </c>
      <c r="ES28">
        <v>0</v>
      </c>
      <c r="ET28">
        <v>100</v>
      </c>
      <c r="EU28">
        <v>100</v>
      </c>
      <c r="EV28">
        <v>0.188</v>
      </c>
      <c r="EW28">
        <v>6.3E-2</v>
      </c>
      <c r="EX28">
        <v>2</v>
      </c>
      <c r="EY28">
        <v>510.3</v>
      </c>
      <c r="EZ28">
        <v>509.291</v>
      </c>
      <c r="FA28">
        <v>21.222000000000001</v>
      </c>
      <c r="FB28">
        <v>31.593399999999999</v>
      </c>
      <c r="FC28">
        <v>30.0002</v>
      </c>
      <c r="FD28">
        <v>31.551200000000001</v>
      </c>
      <c r="FE28">
        <v>31.530999999999999</v>
      </c>
      <c r="FF28">
        <v>53.409199999999998</v>
      </c>
      <c r="FG28">
        <v>55.8476</v>
      </c>
      <c r="FH28">
        <v>0</v>
      </c>
      <c r="FI28">
        <v>21.198499999999999</v>
      </c>
      <c r="FJ28">
        <v>1200</v>
      </c>
      <c r="FK28">
        <v>13.441800000000001</v>
      </c>
      <c r="FL28">
        <v>100.989</v>
      </c>
      <c r="FM28">
        <v>101.517</v>
      </c>
    </row>
    <row r="29" spans="1:169" x14ac:dyDescent="0.35">
      <c r="A29">
        <v>14</v>
      </c>
      <c r="B29">
        <v>1566591115.3</v>
      </c>
      <c r="C29">
        <v>1576.2000000476801</v>
      </c>
      <c r="D29" t="s">
        <v>344</v>
      </c>
      <c r="E29" t="s">
        <v>345</v>
      </c>
      <c r="G29">
        <v>1566591115.3</v>
      </c>
      <c r="H29">
        <f t="shared" si="0"/>
        <v>3.6295637793167632E-3</v>
      </c>
      <c r="I29">
        <f t="shared" si="1"/>
        <v>56.153894487187884</v>
      </c>
      <c r="J29">
        <f t="shared" si="2"/>
        <v>1526.2049999999999</v>
      </c>
      <c r="K29">
        <f t="shared" si="3"/>
        <v>1046.2494706560281</v>
      </c>
      <c r="L29">
        <f t="shared" si="4"/>
        <v>104.24385665953831</v>
      </c>
      <c r="M29">
        <f t="shared" si="5"/>
        <v>152.06458852811846</v>
      </c>
      <c r="N29">
        <f t="shared" si="6"/>
        <v>0.21175522385479223</v>
      </c>
      <c r="O29">
        <f t="shared" si="7"/>
        <v>2.2627263763560079</v>
      </c>
      <c r="P29">
        <f t="shared" si="8"/>
        <v>0.20132965777696463</v>
      </c>
      <c r="Q29">
        <f t="shared" si="9"/>
        <v>0.12672494544575888</v>
      </c>
      <c r="R29">
        <f t="shared" si="10"/>
        <v>281.58702723599083</v>
      </c>
      <c r="S29">
        <f t="shared" si="11"/>
        <v>26.537033046936674</v>
      </c>
      <c r="T29">
        <f t="shared" si="12"/>
        <v>26.981000000000002</v>
      </c>
      <c r="U29">
        <f t="shared" si="13"/>
        <v>3.5751675923076331</v>
      </c>
      <c r="V29">
        <f t="shared" si="14"/>
        <v>55.37629110764766</v>
      </c>
      <c r="W29">
        <f t="shared" si="15"/>
        <v>1.8276385939562396</v>
      </c>
      <c r="X29">
        <f t="shared" si="16"/>
        <v>3.3003990650140098</v>
      </c>
      <c r="Y29">
        <f t="shared" si="17"/>
        <v>1.7475289983513935</v>
      </c>
      <c r="Z29">
        <f t="shared" si="18"/>
        <v>-160.06376266786927</v>
      </c>
      <c r="AA29">
        <f t="shared" si="19"/>
        <v>-165.23288741265156</v>
      </c>
      <c r="AB29">
        <f t="shared" si="20"/>
        <v>-15.650000605852707</v>
      </c>
      <c r="AC29">
        <f t="shared" si="21"/>
        <v>-59.359623450382713</v>
      </c>
      <c r="AD29">
        <v>-4.1527240343743603E-2</v>
      </c>
      <c r="AE29">
        <v>4.6617965271914599E-2</v>
      </c>
      <c r="AF29">
        <v>3.47799923709929</v>
      </c>
      <c r="AG29">
        <v>0</v>
      </c>
      <c r="AH29">
        <v>0</v>
      </c>
      <c r="AI29">
        <f t="shared" si="22"/>
        <v>1</v>
      </c>
      <c r="AJ29">
        <f t="shared" si="23"/>
        <v>0</v>
      </c>
      <c r="AK29">
        <f t="shared" si="24"/>
        <v>53183.874112511214</v>
      </c>
      <c r="AL29" t="s">
        <v>278</v>
      </c>
      <c r="AM29">
        <v>602.34923076923099</v>
      </c>
      <c r="AN29">
        <v>3447.2</v>
      </c>
      <c r="AO29">
        <f t="shared" si="25"/>
        <v>2844.8507692307689</v>
      </c>
      <c r="AP29">
        <f t="shared" si="26"/>
        <v>0.82526420550904189</v>
      </c>
      <c r="AQ29">
        <v>-2.3039181891607399</v>
      </c>
      <c r="AR29" t="s">
        <v>346</v>
      </c>
      <c r="AS29">
        <v>798.02996153846198</v>
      </c>
      <c r="AT29">
        <v>1386.49</v>
      </c>
      <c r="AU29">
        <f t="shared" si="27"/>
        <v>0.42442429333175002</v>
      </c>
      <c r="AV29">
        <v>0.5</v>
      </c>
      <c r="AW29">
        <f t="shared" si="28"/>
        <v>1471.3806000963243</v>
      </c>
      <c r="AX29">
        <f t="shared" si="29"/>
        <v>56.153894487187884</v>
      </c>
      <c r="AY29">
        <f t="shared" si="30"/>
        <v>312.24483570896439</v>
      </c>
      <c r="AZ29">
        <f t="shared" si="31"/>
        <v>0.6187783539729822</v>
      </c>
      <c r="BA29">
        <f t="shared" si="32"/>
        <v>3.972990582621632E-2</v>
      </c>
      <c r="BB29">
        <f t="shared" si="33"/>
        <v>1.4862782998795521</v>
      </c>
      <c r="BC29" t="s">
        <v>347</v>
      </c>
      <c r="BD29">
        <v>528.55999999999995</v>
      </c>
      <c r="BE29">
        <f t="shared" si="34"/>
        <v>857.93000000000006</v>
      </c>
      <c r="BF29">
        <f t="shared" si="35"/>
        <v>0.68590682044168871</v>
      </c>
      <c r="BG29">
        <f t="shared" si="36"/>
        <v>0.70605144861990521</v>
      </c>
      <c r="BH29">
        <f t="shared" si="37"/>
        <v>0.75045203814464201</v>
      </c>
      <c r="BI29">
        <f t="shared" si="38"/>
        <v>0.72436488489594975</v>
      </c>
      <c r="BJ29">
        <v>1596</v>
      </c>
      <c r="BK29">
        <v>300</v>
      </c>
      <c r="BL29">
        <v>300</v>
      </c>
      <c r="BM29">
        <v>300</v>
      </c>
      <c r="BN29">
        <v>10285.299999999999</v>
      </c>
      <c r="BO29">
        <v>1232.72</v>
      </c>
      <c r="BP29">
        <v>-7.0650599999999997E-3</v>
      </c>
      <c r="BQ29">
        <v>2.1309800000000001</v>
      </c>
      <c r="BR29">
        <f t="shared" si="39"/>
        <v>1750.21</v>
      </c>
      <c r="BS29">
        <f t="shared" si="40"/>
        <v>1471.3806000963243</v>
      </c>
      <c r="BT29">
        <f t="shared" si="41"/>
        <v>0.84068803177694351</v>
      </c>
      <c r="BU29">
        <f t="shared" si="42"/>
        <v>0.19137606355388717</v>
      </c>
      <c r="BV29" t="s">
        <v>281</v>
      </c>
      <c r="BW29">
        <v>1566591115.3</v>
      </c>
      <c r="BX29">
        <v>1526.2049999999999</v>
      </c>
      <c r="BY29">
        <v>1600.22</v>
      </c>
      <c r="BZ29">
        <v>18.3432</v>
      </c>
      <c r="CA29">
        <v>14.0686</v>
      </c>
      <c r="CB29">
        <v>500.11500000000001</v>
      </c>
      <c r="CC29">
        <v>99.535799999999995</v>
      </c>
      <c r="CD29">
        <v>9.9955699999999995E-2</v>
      </c>
      <c r="CE29">
        <v>25.6265</v>
      </c>
      <c r="CF29">
        <v>26.981000000000002</v>
      </c>
      <c r="CG29">
        <v>999.9</v>
      </c>
      <c r="CH29">
        <v>10061.200000000001</v>
      </c>
      <c r="CI29">
        <v>0</v>
      </c>
      <c r="CJ29">
        <v>349.75200000000001</v>
      </c>
      <c r="CK29">
        <v>1750.21</v>
      </c>
      <c r="CL29">
        <v>0.97699899999999995</v>
      </c>
      <c r="CM29">
        <v>2.3001199999999999E-2</v>
      </c>
      <c r="CN29">
        <v>0</v>
      </c>
      <c r="CO29">
        <v>797.26700000000005</v>
      </c>
      <c r="CP29">
        <v>4.99986</v>
      </c>
      <c r="CQ29">
        <v>16813.2</v>
      </c>
      <c r="CR29">
        <v>14222.5</v>
      </c>
      <c r="CS29">
        <v>44.375</v>
      </c>
      <c r="CT29">
        <v>45.561999999999998</v>
      </c>
      <c r="CU29">
        <v>44.811999999999998</v>
      </c>
      <c r="CV29">
        <v>45.25</v>
      </c>
      <c r="CW29">
        <v>46.125</v>
      </c>
      <c r="CX29">
        <v>1705.07</v>
      </c>
      <c r="CY29">
        <v>40.14</v>
      </c>
      <c r="CZ29">
        <v>0</v>
      </c>
      <c r="DA29">
        <v>123</v>
      </c>
      <c r="DB29">
        <v>798.02996153846198</v>
      </c>
      <c r="DC29">
        <v>-8.9260512863246007</v>
      </c>
      <c r="DD29">
        <v>-399.81538497653401</v>
      </c>
      <c r="DE29">
        <v>16892.6615384615</v>
      </c>
      <c r="DF29">
        <v>15</v>
      </c>
      <c r="DG29">
        <v>1566591154.3</v>
      </c>
      <c r="DH29" t="s">
        <v>348</v>
      </c>
      <c r="DI29">
        <v>71</v>
      </c>
      <c r="DJ29">
        <v>1.2999999999999999E-2</v>
      </c>
      <c r="DK29">
        <v>7.2999999999999995E-2</v>
      </c>
      <c r="DL29">
        <v>1600</v>
      </c>
      <c r="DM29">
        <v>14</v>
      </c>
      <c r="DN29">
        <v>0.02</v>
      </c>
      <c r="DO29">
        <v>0.02</v>
      </c>
      <c r="DP29">
        <v>56.3253123588945</v>
      </c>
      <c r="DQ29">
        <v>-1.3209620020566299</v>
      </c>
      <c r="DR29">
        <v>0.28907606784367001</v>
      </c>
      <c r="DS29">
        <v>0</v>
      </c>
      <c r="DT29">
        <v>0.215007027577239</v>
      </c>
      <c r="DU29">
        <v>-2.3539101739666699E-2</v>
      </c>
      <c r="DV29">
        <v>4.6140197801260701E-3</v>
      </c>
      <c r="DW29">
        <v>1</v>
      </c>
      <c r="DX29">
        <v>1</v>
      </c>
      <c r="DY29">
        <v>2</v>
      </c>
      <c r="DZ29" t="s">
        <v>323</v>
      </c>
      <c r="EA29">
        <v>1.8667400000000001</v>
      </c>
      <c r="EB29">
        <v>1.8632500000000001</v>
      </c>
      <c r="EC29">
        <v>1.8688899999999999</v>
      </c>
      <c r="ED29">
        <v>1.8668199999999999</v>
      </c>
      <c r="EE29">
        <v>1.8714900000000001</v>
      </c>
      <c r="EF29">
        <v>1.8640099999999999</v>
      </c>
      <c r="EG29">
        <v>1.8655299999999999</v>
      </c>
      <c r="EH29">
        <v>1.8654900000000001</v>
      </c>
      <c r="EI29" t="s">
        <v>284</v>
      </c>
      <c r="EJ29" t="s">
        <v>19</v>
      </c>
      <c r="EK29" t="s">
        <v>19</v>
      </c>
      <c r="EL29" t="s">
        <v>19</v>
      </c>
      <c r="EM29" t="s">
        <v>285</v>
      </c>
      <c r="EN29" t="s">
        <v>286</v>
      </c>
      <c r="EO29" t="s">
        <v>287</v>
      </c>
      <c r="EP29" t="s">
        <v>287</v>
      </c>
      <c r="EQ29" t="s">
        <v>287</v>
      </c>
      <c r="ER29" t="s">
        <v>287</v>
      </c>
      <c r="ES29">
        <v>0</v>
      </c>
      <c r="ET29">
        <v>100</v>
      </c>
      <c r="EU29">
        <v>100</v>
      </c>
      <c r="EV29">
        <v>1.2999999999999999E-2</v>
      </c>
      <c r="EW29">
        <v>7.2999999999999995E-2</v>
      </c>
      <c r="EX29">
        <v>2</v>
      </c>
      <c r="EY29">
        <v>510.24400000000003</v>
      </c>
      <c r="EZ29">
        <v>511.22899999999998</v>
      </c>
      <c r="FA29">
        <v>19.9678</v>
      </c>
      <c r="FB29">
        <v>31.4727</v>
      </c>
      <c r="FC29">
        <v>29.997199999999999</v>
      </c>
      <c r="FD29">
        <v>31.480599999999999</v>
      </c>
      <c r="FE29">
        <v>31.463999999999999</v>
      </c>
      <c r="FF29">
        <v>67.171499999999995</v>
      </c>
      <c r="FG29">
        <v>53.911999999999999</v>
      </c>
      <c r="FH29">
        <v>0</v>
      </c>
      <c r="FI29">
        <v>20.546500000000002</v>
      </c>
      <c r="FJ29">
        <v>1600</v>
      </c>
      <c r="FK29">
        <v>14.002700000000001</v>
      </c>
      <c r="FL29">
        <v>101.009</v>
      </c>
      <c r="FM29">
        <v>101.547</v>
      </c>
    </row>
  </sheetData>
  <sortState xmlns:xlrd2="http://schemas.microsoft.com/office/spreadsheetml/2017/richdata2" ref="J34:L47">
    <sortCondition ref="J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2019-08-23T15:14:13Z</dcterms:created>
  <dcterms:modified xsi:type="dcterms:W3CDTF">2019-08-28T03:13:41Z</dcterms:modified>
</cp:coreProperties>
</file>