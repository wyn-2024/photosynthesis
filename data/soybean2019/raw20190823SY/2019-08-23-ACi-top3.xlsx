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1AE973A1-9078-442E-A2ED-40A7B44FA0AB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U29" i="1" l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 s="1"/>
  <c r="J29" i="1" s="1"/>
  <c r="X29" i="1"/>
  <c r="W29" i="1"/>
  <c r="V29" i="1" s="1"/>
  <c r="O29" i="1"/>
  <c r="I29" i="1"/>
  <c r="AX29" i="1" s="1"/>
  <c r="H29" i="1"/>
  <c r="Z29" i="1" s="1"/>
  <c r="BU28" i="1"/>
  <c r="BT28" i="1"/>
  <c r="BR28" i="1"/>
  <c r="BS28" i="1" s="1"/>
  <c r="AW28" i="1" s="1"/>
  <c r="AY28" i="1" s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 s="1"/>
  <c r="H28" i="1" s="1"/>
  <c r="X28" i="1"/>
  <c r="W28" i="1"/>
  <c r="V28" i="1" s="1"/>
  <c r="O28" i="1"/>
  <c r="BU27" i="1"/>
  <c r="BT27" i="1"/>
  <c r="BR27" i="1"/>
  <c r="BI27" i="1"/>
  <c r="BH27" i="1"/>
  <c r="BG27" i="1"/>
  <c r="BF27" i="1"/>
  <c r="BE27" i="1"/>
  <c r="AZ27" i="1" s="1"/>
  <c r="BB27" i="1"/>
  <c r="AU27" i="1"/>
  <c r="AO27" i="1"/>
  <c r="AP27" i="1" s="1"/>
  <c r="AK27" i="1"/>
  <c r="AI27" i="1" s="1"/>
  <c r="X27" i="1"/>
  <c r="W27" i="1"/>
  <c r="V27" i="1" s="1"/>
  <c r="O27" i="1"/>
  <c r="BU26" i="1"/>
  <c r="BT26" i="1"/>
  <c r="BR26" i="1"/>
  <c r="BI26" i="1"/>
  <c r="BH26" i="1"/>
  <c r="BG26" i="1"/>
  <c r="BF26" i="1"/>
  <c r="BE26" i="1"/>
  <c r="AZ26" i="1" s="1"/>
  <c r="BB26" i="1"/>
  <c r="AU26" i="1"/>
  <c r="AO26" i="1"/>
  <c r="AP26" i="1" s="1"/>
  <c r="AK26" i="1"/>
  <c r="AI26" i="1" s="1"/>
  <c r="X26" i="1"/>
  <c r="W26" i="1"/>
  <c r="V26" i="1" s="1"/>
  <c r="O26" i="1"/>
  <c r="H26" i="1"/>
  <c r="Z26" i="1" s="1"/>
  <c r="BU25" i="1"/>
  <c r="BT25" i="1"/>
  <c r="BR25" i="1"/>
  <c r="BS25" i="1" s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 s="1"/>
  <c r="J25" i="1" s="1"/>
  <c r="X25" i="1"/>
  <c r="W25" i="1"/>
  <c r="V25" i="1" s="1"/>
  <c r="O25" i="1"/>
  <c r="I25" i="1"/>
  <c r="AX25" i="1" s="1"/>
  <c r="H25" i="1"/>
  <c r="Z25" i="1" s="1"/>
  <c r="BU24" i="1"/>
  <c r="BT24" i="1"/>
  <c r="BR24" i="1"/>
  <c r="BS24" i="1" s="1"/>
  <c r="AW24" i="1" s="1"/>
  <c r="BI24" i="1"/>
  <c r="BH24" i="1"/>
  <c r="BG24" i="1"/>
  <c r="BF24" i="1"/>
  <c r="BE24" i="1"/>
  <c r="AZ24" i="1" s="1"/>
  <c r="BB24" i="1"/>
  <c r="AU24" i="1"/>
  <c r="AY24" i="1" s="1"/>
  <c r="AP24" i="1"/>
  <c r="AO24" i="1"/>
  <c r="AK24" i="1"/>
  <c r="AI24" i="1"/>
  <c r="H24" i="1" s="1"/>
  <c r="X24" i="1"/>
  <c r="W24" i="1"/>
  <c r="O24" i="1"/>
  <c r="BU23" i="1"/>
  <c r="BT23" i="1"/>
  <c r="BR23" i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 s="1"/>
  <c r="X23" i="1"/>
  <c r="W23" i="1"/>
  <c r="V23" i="1" s="1"/>
  <c r="O23" i="1"/>
  <c r="BU22" i="1"/>
  <c r="BT22" i="1"/>
  <c r="BR22" i="1"/>
  <c r="BI22" i="1"/>
  <c r="BH22" i="1"/>
  <c r="BG22" i="1"/>
  <c r="BF22" i="1"/>
  <c r="BE22" i="1"/>
  <c r="AZ22" i="1" s="1"/>
  <c r="BB22" i="1"/>
  <c r="AU22" i="1"/>
  <c r="AO22" i="1"/>
  <c r="AP22" i="1" s="1"/>
  <c r="AK22" i="1"/>
  <c r="AI22" i="1" s="1"/>
  <c r="J22" i="1" s="1"/>
  <c r="X22" i="1"/>
  <c r="W22" i="1"/>
  <c r="V22" i="1" s="1"/>
  <c r="O22" i="1"/>
  <c r="BU21" i="1"/>
  <c r="BT21" i="1"/>
  <c r="BR21" i="1"/>
  <c r="BI21" i="1"/>
  <c r="BH21" i="1"/>
  <c r="BG21" i="1"/>
  <c r="BF21" i="1"/>
  <c r="BE21" i="1"/>
  <c r="AZ21" i="1" s="1"/>
  <c r="BB21" i="1"/>
  <c r="AU21" i="1"/>
  <c r="AP21" i="1"/>
  <c r="AO21" i="1"/>
  <c r="AK21" i="1"/>
  <c r="AI21" i="1"/>
  <c r="X21" i="1"/>
  <c r="W21" i="1"/>
  <c r="O21" i="1"/>
  <c r="H21" i="1"/>
  <c r="BU20" i="1"/>
  <c r="BT20" i="1"/>
  <c r="BR20" i="1"/>
  <c r="BS20" i="1" s="1"/>
  <c r="AW20" i="1" s="1"/>
  <c r="BI20" i="1"/>
  <c r="BH20" i="1"/>
  <c r="BG20" i="1"/>
  <c r="BF20" i="1"/>
  <c r="BE20" i="1"/>
  <c r="AZ20" i="1" s="1"/>
  <c r="BB20" i="1"/>
  <c r="AU20" i="1"/>
  <c r="AO20" i="1"/>
  <c r="AP20" i="1" s="1"/>
  <c r="AK20" i="1"/>
  <c r="AI20" i="1"/>
  <c r="H20" i="1" s="1"/>
  <c r="Z20" i="1"/>
  <c r="X20" i="1"/>
  <c r="W20" i="1"/>
  <c r="V20" i="1"/>
  <c r="R20" i="1"/>
  <c r="O20" i="1"/>
  <c r="I20" i="1"/>
  <c r="AX20" i="1" s="1"/>
  <c r="BA20" i="1" s="1"/>
  <c r="BU19" i="1"/>
  <c r="BT19" i="1"/>
  <c r="BR19" i="1"/>
  <c r="BI19" i="1"/>
  <c r="BH19" i="1"/>
  <c r="BG19" i="1"/>
  <c r="BF19" i="1"/>
  <c r="BE19" i="1"/>
  <c r="AZ19" i="1" s="1"/>
  <c r="BB19" i="1"/>
  <c r="AU19" i="1"/>
  <c r="AO19" i="1"/>
  <c r="AP19" i="1" s="1"/>
  <c r="AK19" i="1"/>
  <c r="AI19" i="1" s="1"/>
  <c r="H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P18" i="1"/>
  <c r="AO18" i="1"/>
  <c r="AK18" i="1"/>
  <c r="AI18" i="1"/>
  <c r="X18" i="1"/>
  <c r="W18" i="1"/>
  <c r="V18" i="1"/>
  <c r="O18" i="1"/>
  <c r="BU17" i="1"/>
  <c r="BT17" i="1"/>
  <c r="BR17" i="1"/>
  <c r="BS17" i="1" s="1"/>
  <c r="AW17" i="1" s="1"/>
  <c r="AY17" i="1" s="1"/>
  <c r="BI17" i="1"/>
  <c r="BH17" i="1"/>
  <c r="BG17" i="1"/>
  <c r="BF17" i="1"/>
  <c r="BE17" i="1"/>
  <c r="AZ17" i="1" s="1"/>
  <c r="BB17" i="1"/>
  <c r="AU17" i="1"/>
  <c r="AO17" i="1"/>
  <c r="AP17" i="1" s="1"/>
  <c r="AK17" i="1"/>
  <c r="AI17" i="1" s="1"/>
  <c r="X17" i="1"/>
  <c r="W17" i="1"/>
  <c r="V17" i="1" s="1"/>
  <c r="O17" i="1"/>
  <c r="H23" i="1" l="1"/>
  <c r="Z23" i="1" s="1"/>
  <c r="AJ23" i="1"/>
  <c r="M23" i="1"/>
  <c r="J23" i="1"/>
  <c r="I23" i="1"/>
  <c r="AX23" i="1" s="1"/>
  <c r="I17" i="1"/>
  <c r="AX17" i="1" s="1"/>
  <c r="BA17" i="1" s="1"/>
  <c r="M17" i="1"/>
  <c r="J17" i="1"/>
  <c r="H27" i="1"/>
  <c r="Z27" i="1" s="1"/>
  <c r="I27" i="1"/>
  <c r="AX27" i="1" s="1"/>
  <c r="BA27" i="1" s="1"/>
  <c r="M27" i="1"/>
  <c r="AJ27" i="1"/>
  <c r="J27" i="1"/>
  <c r="H22" i="1"/>
  <c r="BS26" i="1"/>
  <c r="AY20" i="1"/>
  <c r="BS19" i="1"/>
  <c r="AW19" i="1" s="1"/>
  <c r="AY19" i="1" s="1"/>
  <c r="M20" i="1"/>
  <c r="AJ20" i="1"/>
  <c r="BS21" i="1"/>
  <c r="I22" i="1"/>
  <c r="AX22" i="1" s="1"/>
  <c r="BS22" i="1"/>
  <c r="R22" i="1" s="1"/>
  <c r="BS23" i="1"/>
  <c r="M25" i="1"/>
  <c r="AJ25" i="1"/>
  <c r="M29" i="1"/>
  <c r="AJ29" i="1"/>
  <c r="J20" i="1"/>
  <c r="M22" i="1"/>
  <c r="AJ22" i="1"/>
  <c r="V24" i="1"/>
  <c r="R24" i="1"/>
  <c r="AY27" i="1"/>
  <c r="BS27" i="1"/>
  <c r="AW27" i="1" s="1"/>
  <c r="R28" i="1"/>
  <c r="AW22" i="1"/>
  <c r="BA22" i="1" s="1"/>
  <c r="AW18" i="1"/>
  <c r="R18" i="1"/>
  <c r="S24" i="1"/>
  <c r="T24" i="1" s="1"/>
  <c r="S28" i="1"/>
  <c r="T28" i="1" s="1"/>
  <c r="AA28" i="1" s="1"/>
  <c r="AJ19" i="1"/>
  <c r="J19" i="1"/>
  <c r="S20" i="1"/>
  <c r="T20" i="1" s="1"/>
  <c r="P20" i="1" s="1"/>
  <c r="N20" i="1" s="1"/>
  <c r="Q20" i="1" s="1"/>
  <c r="K20" i="1" s="1"/>
  <c r="L20" i="1" s="1"/>
  <c r="I19" i="1"/>
  <c r="AX19" i="1" s="1"/>
  <c r="BA19" i="1" s="1"/>
  <c r="Z21" i="1"/>
  <c r="AJ26" i="1"/>
  <c r="J26" i="1"/>
  <c r="I26" i="1"/>
  <c r="AX26" i="1" s="1"/>
  <c r="R29" i="1"/>
  <c r="AW29" i="1"/>
  <c r="AY29" i="1" s="1"/>
  <c r="M18" i="1"/>
  <c r="I18" i="1"/>
  <c r="AX18" i="1" s="1"/>
  <c r="BA18" i="1" s="1"/>
  <c r="H18" i="1"/>
  <c r="M19" i="1"/>
  <c r="R19" i="1"/>
  <c r="Z19" i="1"/>
  <c r="M21" i="1"/>
  <c r="I21" i="1"/>
  <c r="AX21" i="1" s="1"/>
  <c r="AJ21" i="1"/>
  <c r="J21" i="1"/>
  <c r="Z22" i="1"/>
  <c r="Z24" i="1"/>
  <c r="R25" i="1"/>
  <c r="AW25" i="1"/>
  <c r="BA25" i="1" s="1"/>
  <c r="M26" i="1"/>
  <c r="R17" i="1"/>
  <c r="H17" i="1"/>
  <c r="AJ17" i="1"/>
  <c r="J18" i="1"/>
  <c r="AJ18" i="1"/>
  <c r="AY18" i="1"/>
  <c r="V21" i="1"/>
  <c r="M24" i="1"/>
  <c r="I24" i="1"/>
  <c r="AX24" i="1" s="1"/>
  <c r="BA24" i="1" s="1"/>
  <c r="AJ24" i="1"/>
  <c r="J24" i="1"/>
  <c r="AY25" i="1"/>
  <c r="M28" i="1"/>
  <c r="I28" i="1"/>
  <c r="AX28" i="1" s="1"/>
  <c r="BA28" i="1" s="1"/>
  <c r="J28" i="1"/>
  <c r="Z28" i="1"/>
  <c r="AJ28" i="1"/>
  <c r="AW23" i="1" l="1"/>
  <c r="AY23" i="1" s="1"/>
  <c r="R23" i="1"/>
  <c r="S23" i="1" s="1"/>
  <c r="T23" i="1" s="1"/>
  <c r="P23" i="1" s="1"/>
  <c r="N23" i="1" s="1"/>
  <c r="Q23" i="1" s="1"/>
  <c r="K23" i="1" s="1"/>
  <c r="L23" i="1" s="1"/>
  <c r="AW21" i="1"/>
  <c r="AY21" i="1" s="1"/>
  <c r="R21" i="1"/>
  <c r="S21" i="1" s="1"/>
  <c r="T21" i="1" s="1"/>
  <c r="BA23" i="1"/>
  <c r="R26" i="1"/>
  <c r="S26" i="1" s="1"/>
  <c r="T26" i="1" s="1"/>
  <c r="AW26" i="1"/>
  <c r="AY26" i="1" s="1"/>
  <c r="BA29" i="1"/>
  <c r="BA26" i="1"/>
  <c r="R27" i="1"/>
  <c r="S27" i="1" s="1"/>
  <c r="T27" i="1" s="1"/>
  <c r="P27" i="1" s="1"/>
  <c r="N27" i="1" s="1"/>
  <c r="Q27" i="1" s="1"/>
  <c r="K27" i="1" s="1"/>
  <c r="L27" i="1" s="1"/>
  <c r="Z17" i="1"/>
  <c r="U24" i="1"/>
  <c r="Y24" i="1" s="1"/>
  <c r="AB24" i="1"/>
  <c r="S18" i="1"/>
  <c r="T18" i="1" s="1"/>
  <c r="S17" i="1"/>
  <c r="T17" i="1" s="1"/>
  <c r="S19" i="1"/>
  <c r="T19" i="1" s="1"/>
  <c r="AB20" i="1"/>
  <c r="U20" i="1"/>
  <c r="Y20" i="1" s="1"/>
  <c r="AA20" i="1"/>
  <c r="P24" i="1"/>
  <c r="N24" i="1" s="1"/>
  <c r="Q24" i="1" s="1"/>
  <c r="K24" i="1" s="1"/>
  <c r="L24" i="1" s="1"/>
  <c r="AA24" i="1"/>
  <c r="U26" i="1"/>
  <c r="Y26" i="1" s="1"/>
  <c r="U28" i="1"/>
  <c r="Y28" i="1" s="1"/>
  <c r="AB28" i="1"/>
  <c r="AC28" i="1" s="1"/>
  <c r="P28" i="1"/>
  <c r="N28" i="1" s="1"/>
  <c r="Q28" i="1" s="1"/>
  <c r="K28" i="1" s="1"/>
  <c r="L28" i="1" s="1"/>
  <c r="AB27" i="1"/>
  <c r="U27" i="1"/>
  <c r="Y27" i="1" s="1"/>
  <c r="AA27" i="1"/>
  <c r="S25" i="1"/>
  <c r="T25" i="1" s="1"/>
  <c r="Z18" i="1"/>
  <c r="S29" i="1"/>
  <c r="T29" i="1" s="1"/>
  <c r="AB23" i="1"/>
  <c r="U23" i="1"/>
  <c r="Y23" i="1" s="1"/>
  <c r="AA23" i="1"/>
  <c r="AY22" i="1"/>
  <c r="S22" i="1"/>
  <c r="T22" i="1" s="1"/>
  <c r="P21" i="1" l="1"/>
  <c r="N21" i="1" s="1"/>
  <c r="Q21" i="1" s="1"/>
  <c r="K21" i="1" s="1"/>
  <c r="L21" i="1" s="1"/>
  <c r="AA21" i="1"/>
  <c r="AC24" i="1"/>
  <c r="P26" i="1"/>
  <c r="N26" i="1" s="1"/>
  <c r="Q26" i="1" s="1"/>
  <c r="K26" i="1" s="1"/>
  <c r="L26" i="1" s="1"/>
  <c r="AA26" i="1"/>
  <c r="AB21" i="1"/>
  <c r="AC21" i="1" s="1"/>
  <c r="AC20" i="1"/>
  <c r="U21" i="1"/>
  <c r="Y21" i="1" s="1"/>
  <c r="AB26" i="1"/>
  <c r="AC26" i="1" s="1"/>
  <c r="BA21" i="1"/>
  <c r="U29" i="1"/>
  <c r="Y29" i="1" s="1"/>
  <c r="AB29" i="1"/>
  <c r="AA29" i="1"/>
  <c r="P29" i="1"/>
  <c r="N29" i="1" s="1"/>
  <c r="Q29" i="1" s="1"/>
  <c r="K29" i="1" s="1"/>
  <c r="L29" i="1" s="1"/>
  <c r="AB17" i="1"/>
  <c r="U17" i="1"/>
  <c r="Y17" i="1" s="1"/>
  <c r="AA17" i="1"/>
  <c r="U25" i="1"/>
  <c r="Y25" i="1" s="1"/>
  <c r="AB25" i="1"/>
  <c r="P25" i="1"/>
  <c r="N25" i="1" s="1"/>
  <c r="Q25" i="1" s="1"/>
  <c r="K25" i="1" s="1"/>
  <c r="L25" i="1" s="1"/>
  <c r="AA25" i="1"/>
  <c r="AC27" i="1"/>
  <c r="U18" i="1"/>
  <c r="Y18" i="1" s="1"/>
  <c r="AB18" i="1"/>
  <c r="AA18" i="1"/>
  <c r="U22" i="1"/>
  <c r="Y22" i="1" s="1"/>
  <c r="AB22" i="1"/>
  <c r="P22" i="1"/>
  <c r="N22" i="1" s="1"/>
  <c r="Q22" i="1" s="1"/>
  <c r="K22" i="1" s="1"/>
  <c r="L22" i="1" s="1"/>
  <c r="AA22" i="1"/>
  <c r="AC23" i="1"/>
  <c r="P18" i="1"/>
  <c r="N18" i="1" s="1"/>
  <c r="Q18" i="1" s="1"/>
  <c r="K18" i="1" s="1"/>
  <c r="L18" i="1" s="1"/>
  <c r="U19" i="1"/>
  <c r="Y19" i="1" s="1"/>
  <c r="AB19" i="1"/>
  <c r="AA19" i="1"/>
  <c r="P19" i="1"/>
  <c r="N19" i="1" s="1"/>
  <c r="Q19" i="1" s="1"/>
  <c r="K19" i="1" s="1"/>
  <c r="L19" i="1" s="1"/>
  <c r="P17" i="1"/>
  <c r="N17" i="1" s="1"/>
  <c r="Q17" i="1" s="1"/>
  <c r="K17" i="1" s="1"/>
  <c r="L17" i="1" s="1"/>
  <c r="AC19" i="1" l="1"/>
  <c r="AC18" i="1"/>
  <c r="AC29" i="1"/>
  <c r="AC22" i="1"/>
  <c r="AC25" i="1"/>
  <c r="AC17" i="1"/>
</calcChain>
</file>

<file path=xl/sharedStrings.xml><?xml version="1.0" encoding="utf-8"?>
<sst xmlns="http://schemas.openxmlformats.org/spreadsheetml/2006/main" count="766" uniqueCount="349">
  <si>
    <t>File opened</t>
  </si>
  <si>
    <t>2019-08-23 16:01:30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</si>
  <si>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</si>
  <si>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</si>
  <si>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</si>
  <si>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</si>
  <si>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</si>
  <si>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</si>
  <si>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</si>
  <si>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</si>
  <si>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</si>
  <si>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</si>
  <si>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</si>
  <si>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{"co2bspanconc2": "0", "co2aspan2a": "0.164928", "flowbzero": "0.20796", "chamberpressurezero": "2.57337", "h2oaspan2a": "0.0661155", "ssa_ref": "36614.9", "co2aspan2": "0", "h2oaspan2": "0", "h2obspan2a": "0.0975941", "ssb_ref": "36526.8", "oxygen": "21", "co2bspan2a": "0.163389", "h2obspan2b": "0.0963575", "h2oaspanconc1": "12.19", "co2azero": "0.869071", "co2aspan1": "0.992625", "h2oaspanconc2": "0", "h2oaspan2b": "0.0662632", "tbzero": "0.197721", "h2obspan2": "0", "co2bzero": "0.880288", "h2oaspan1": "1.00223", "co2aspanconc2": "0", "h2obzero": "1.01783", "co2aspan2b": "0.163711", "co2bspanconc1": "1002", "flowazero": "0.4286", "h2obspanconc2": "0", "tazero": "0.00774765", "co2bspan1": "0.992131", "h2oazero": "1.00263", "co2bspan2": "0", "h2obspan1": "0.998578", "co2bspan2b": "0.162103", "h2obspanconc1": "20", "co2aspanconc1": "1002", "flowmeterzero": "0.991801"}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</si>
  <si>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</si>
  <si>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</si>
  <si>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</si>
  <si>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</si>
  <si>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</si>
  <si>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</si>
  <si>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</si>
  <si>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</si>
  <si>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</si>
  <si>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16:01:30</t>
  </si>
  <si>
    <t>Stability Definition:	A (GasEx): Slp&lt;0.3 Std&lt;0.5	gsw (GasEx): Slp&lt;1 Std&lt;0.5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</si>
  <si>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</si>
  <si>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</si>
  <si>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</si>
  <si>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</si>
  <si>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</si>
  <si>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</si>
  <si>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</si>
  <si>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</si>
  <si>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</si>
  <si>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</si>
  <si>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</si>
  <si>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</si>
  <si>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</si>
  <si>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</si>
  <si>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</si>
  <si>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</si>
  <si>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</si>
  <si>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</si>
  <si>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</si>
  <si>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</si>
  <si>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</si>
  <si>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</si>
  <si>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</si>
  <si>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</si>
  <si>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</si>
  <si>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</si>
  <si>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</si>
  <si>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</si>
  <si>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</si>
  <si>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</si>
  <si>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</si>
  <si>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</si>
  <si>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</si>
  <si>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</si>
  <si>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</si>
  <si>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</si>
  <si>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</si>
  <si>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</si>
  <si>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</si>
  <si>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</si>
  <si>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</si>
  <si>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</si>
  <si>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</si>
  <si>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</si>
  <si>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</si>
  <si>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</si>
  <si>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0.570593 73.8588 386.38 619.433 848.611 1051.49 1232.95 1389.7</t>
  </si>
  <si>
    <t>Fs_true</t>
  </si>
  <si>
    <t>0.0938281 100.298 404.41 600.711 801.999 1000.17 1200.83 1401.26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</si>
  <si>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</si>
  <si>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</si>
  <si>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</si>
  <si>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</si>
  <si>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</si>
  <si>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</si>
  <si>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</si>
  <si>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</si>
  <si>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</si>
  <si>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</si>
  <si>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</si>
  <si>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</si>
  <si>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</si>
  <si>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</si>
  <si>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</si>
  <si>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</si>
  <si>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</si>
  <si>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</si>
  <si>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</si>
  <si>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</si>
  <si>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</si>
  <si>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</si>
  <si>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</si>
  <si>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</si>
  <si>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</si>
  <si>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</si>
  <si>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</si>
  <si>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</si>
  <si>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</si>
  <si>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</si>
  <si>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</si>
  <si>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</si>
  <si>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</si>
  <si>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</si>
  <si>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</si>
  <si>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</si>
  <si>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</si>
  <si>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</si>
  <si>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</si>
  <si>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</si>
  <si>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</si>
  <si>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</si>
  <si>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</si>
  <si>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</si>
  <si>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</si>
  <si>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</si>
  <si>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</si>
  <si>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</si>
  <si>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</si>
  <si>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</si>
  <si>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</si>
  <si>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</si>
  <si>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</si>
  <si>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</si>
  <si>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</si>
  <si>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</si>
  <si>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</si>
  <si>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</si>
  <si>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</si>
  <si>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</si>
  <si>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</si>
  <si>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</si>
  <si>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</si>
  <si>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</si>
  <si>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</si>
  <si>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</si>
  <si>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</si>
  <si>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</si>
  <si>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</si>
  <si>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</si>
  <si>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</si>
  <si>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</si>
  <si>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</si>
  <si>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</si>
  <si>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</si>
  <si>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</si>
  <si>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</si>
  <si>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</si>
  <si>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</si>
  <si>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</si>
  <si>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</si>
  <si>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</si>
  <si>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</si>
  <si>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</si>
  <si>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</si>
  <si>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</si>
  <si>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</si>
  <si>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</si>
  <si>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</si>
  <si>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</si>
  <si>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</si>
  <si>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</si>
  <si>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</si>
  <si>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</si>
  <si>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</si>
  <si>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</si>
  <si>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</si>
  <si>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</si>
  <si>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</si>
  <si>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</si>
  <si>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</si>
  <si>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</si>
  <si>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</si>
  <si>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</si>
  <si>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</si>
  <si>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</si>
  <si>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</si>
  <si>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</si>
  <si>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</si>
  <si>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</si>
  <si>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</si>
  <si>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</si>
  <si>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</si>
  <si>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</si>
  <si>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</si>
  <si>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</si>
  <si>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</si>
  <si>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</si>
  <si>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</si>
  <si>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</si>
  <si>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</si>
  <si>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</si>
  <si>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</si>
  <si>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</si>
  <si>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</si>
  <si>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</si>
  <si>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</si>
  <si>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</si>
  <si>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</si>
  <si>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</si>
  <si>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</si>
  <si>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</si>
  <si>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</si>
  <si>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</si>
  <si>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</si>
  <si>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</si>
  <si>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</si>
  <si>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</si>
  <si>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</si>
  <si>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</si>
  <si>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</si>
  <si>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</si>
  <si>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</si>
  <si>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</si>
  <si>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</si>
  <si>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</si>
  <si>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</si>
  <si>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</si>
  <si>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</si>
  <si>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</si>
  <si>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</si>
  <si>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</si>
  <si>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</si>
  <si>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</si>
  <si>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</si>
  <si>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</si>
  <si>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</si>
  <si>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</si>
  <si>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</si>
  <si>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</si>
  <si>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</si>
  <si>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</si>
  <si>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</si>
  <si>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</si>
  <si>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</si>
  <si>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</si>
  <si>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</si>
  <si>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</si>
  <si>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</si>
  <si>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</si>
  <si>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</si>
  <si>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</si>
  <si>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</si>
  <si>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</si>
  <si>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</si>
  <si>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</si>
  <si>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</si>
  <si>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</si>
  <si>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</si>
  <si>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</si>
  <si>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</si>
  <si>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</si>
  <si>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</si>
  <si>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</si>
  <si>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</si>
  <si>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</si>
  <si>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</si>
  <si>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</si>
  <si>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</si>
  <si>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</si>
  <si>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</si>
  <si>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</si>
  <si>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</si>
  <si>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</si>
  <si>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</si>
  <si>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</si>
  <si>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</si>
  <si>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</si>
  <si>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</si>
  <si>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</si>
  <si>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</si>
  <si>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</si>
  <si>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20190823 16:04:21</t>
  </si>
  <si>
    <t>16:04:21</t>
  </si>
  <si>
    <t>MPF-1455-20190823-05_45_47</t>
  </si>
  <si>
    <t>MPF-1648-20190823-16_04_23</t>
  </si>
  <si>
    <t>DARK-1649-20190823-16_04_30</t>
  </si>
  <si>
    <t>0: Broadleaf</t>
  </si>
  <si>
    <t>16:04:45</t>
  </si>
  <si>
    <t>2/2</t>
  </si>
  <si>
    <t>5</t>
  </si>
  <si>
    <t>11111111</t>
  </si>
  <si>
    <t>oooooooo</t>
  </si>
  <si>
    <t>off</t>
  </si>
  <si>
    <t>20190823 16:06:17</t>
  </si>
  <si>
    <t>16:06:17</t>
  </si>
  <si>
    <t>MPF-1650-20190823-16_06_19</t>
  </si>
  <si>
    <t>DARK-1651-20190823-16_06_26</t>
  </si>
  <si>
    <t>16:06:39</t>
  </si>
  <si>
    <t>1/2</t>
  </si>
  <si>
    <t>20190823 16:08:12</t>
  </si>
  <si>
    <t>16:08:12</t>
  </si>
  <si>
    <t>MPF-1652-20190823-16_08_13</t>
  </si>
  <si>
    <t>DARK-1653-20190823-16_08_21</t>
  </si>
  <si>
    <t>16:08:37</t>
  </si>
  <si>
    <t>20190823 16:10:09</t>
  </si>
  <si>
    <t>16:10:09</t>
  </si>
  <si>
    <t>MPF-1654-20190823-16_10_10</t>
  </si>
  <si>
    <t>DARK-1655-20190823-16_10_18</t>
  </si>
  <si>
    <t>16:10:34</t>
  </si>
  <si>
    <t>20190823 16:11:57</t>
  </si>
  <si>
    <t>16:11:57</t>
  </si>
  <si>
    <t>MPF-1656-20190823-16_11_59</t>
  </si>
  <si>
    <t>DARK-1657-20190823-16_12_06</t>
  </si>
  <si>
    <t>16:12:28</t>
  </si>
  <si>
    <t>20190823 16:13:45</t>
  </si>
  <si>
    <t>16:13:45</t>
  </si>
  <si>
    <t>MPF-1658-20190823-16_13_46</t>
  </si>
  <si>
    <t>DARK-1659-20190823-16_13_54</t>
  </si>
  <si>
    <t>16:14:18</t>
  </si>
  <si>
    <t>20190823 16:17:43</t>
  </si>
  <si>
    <t>16:17:43</t>
  </si>
  <si>
    <t>MPF-1662-20190823-16_17_45</t>
  </si>
  <si>
    <t>DARK-1663-20190823-16_17_52</t>
  </si>
  <si>
    <t>16:18:12</t>
  </si>
  <si>
    <t>20190823 16:19:43</t>
  </si>
  <si>
    <t>16:19:43</t>
  </si>
  <si>
    <t>MPF-1664-20190823-16_19_45</t>
  </si>
  <si>
    <t>DARK-1665-20190823-16_19_52</t>
  </si>
  <si>
    <t>16:20:15</t>
  </si>
  <si>
    <t>20190823 16:21:47</t>
  </si>
  <si>
    <t>16:21:47</t>
  </si>
  <si>
    <t>MPF-1666-20190823-16_21_48</t>
  </si>
  <si>
    <t>DARK-1667-20190823-16_21_56</t>
  </si>
  <si>
    <t>16:22:20</t>
  </si>
  <si>
    <t>20190823 16:23:52</t>
  </si>
  <si>
    <t>16:23:52</t>
  </si>
  <si>
    <t>MPF-1668-20190823-16_23_53</t>
  </si>
  <si>
    <t>DARK-1669-20190823-16_24_01</t>
  </si>
  <si>
    <t>16:24:29</t>
  </si>
  <si>
    <t>20190823 16:26:01</t>
  </si>
  <si>
    <t>16:26:01</t>
  </si>
  <si>
    <t>MPF-1670-20190823-16_26_02</t>
  </si>
  <si>
    <t>DARK-1671-20190823-16_26_10</t>
  </si>
  <si>
    <t>16:26:31</t>
  </si>
  <si>
    <t>20190823 16:28:02</t>
  </si>
  <si>
    <t>16:28:02</t>
  </si>
  <si>
    <t>MPF-1672-20190823-16_28_04</t>
  </si>
  <si>
    <t>DARK-1673-20190823-16_28_11</t>
  </si>
  <si>
    <t>16:28:30</t>
  </si>
  <si>
    <t>20190823 16:30:01</t>
  </si>
  <si>
    <t>16:30:01</t>
  </si>
  <si>
    <t>MPF-1674-20190823-16_30_03</t>
  </si>
  <si>
    <t>DARK-1675-20190823-16_30_10</t>
  </si>
  <si>
    <t>16:30:42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</si>
</sst>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M29"/>
  <sheetViews>
    <sheetView tabSelected="1" topLeftCell="A14" workbookViewId="0">
      <selection activeCell="A23" sqref="A23:XFD23"/>
    </sheetView>
  </sheetViews>
  <sheetFormatPr defaultRowHeight="14.5" x14ac:dyDescent="0.35"/>
  <sheetData>
    <row r="2" spans="1:169" x14ac:dyDescent="0.35">
      <c r="A2" t="s">
        <v>25</v>
      </c>
      <c r="B2" t="s">
        <v>26</v>
      </c>
      <c r="C2" t="s">
        <v>28</v>
      </c>
      <c r="D2" t="s">
        <v>30</v>
      </c>
    </row>
    <row r="3" spans="1:169" x14ac:dyDescent="0.35">
      <c r="B3" t="s">
        <v>27</v>
      </c>
      <c r="C3" t="s">
        <v>29</v>
      </c>
      <c r="D3" t="s">
        <v>15</v>
      </c>
    </row>
    <row r="4" spans="1:169" x14ac:dyDescent="0.35">
      <c r="A4" t="s">
        <v>31</v>
      </c>
      <c r="B4" t="s">
        <v>32</v>
      </c>
      <c r="C4" t="s">
        <v>33</v>
      </c>
      <c r="D4" t="s">
        <v>34</v>
      </c>
    </row>
    <row r="5" spans="1:169" x14ac:dyDescent="0.35">
      <c r="B5">
        <v>6</v>
      </c>
      <c r="C5">
        <v>0.5</v>
      </c>
      <c r="D5">
        <v>2</v>
      </c>
    </row>
    <row r="6" spans="1:169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69" x14ac:dyDescent="0.35">
      <c r="B7">
        <v>0</v>
      </c>
      <c r="C7">
        <v>1</v>
      </c>
      <c r="D7">
        <v>0</v>
      </c>
      <c r="E7">
        <v>0</v>
      </c>
    </row>
    <row r="8" spans="1:169" x14ac:dyDescent="0.3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69" x14ac:dyDescent="0.3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9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69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9" x14ac:dyDescent="0.3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69" x14ac:dyDescent="0.3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2</v>
      </c>
    </row>
    <row r="14" spans="1:169" x14ac:dyDescent="0.3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31</v>
      </c>
      <c r="BW14" t="s">
        <v>82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83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84</v>
      </c>
      <c r="DC14" t="s">
        <v>84</v>
      </c>
      <c r="DD14" t="s">
        <v>84</v>
      </c>
      <c r="DE14" t="s">
        <v>84</v>
      </c>
      <c r="DF14" t="s">
        <v>84</v>
      </c>
      <c r="DG14" t="s">
        <v>85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86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87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88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</row>
    <row r="15" spans="1:169" x14ac:dyDescent="0.3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95</v>
      </c>
      <c r="BX15" t="s">
        <v>162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90</v>
      </c>
      <c r="DH15" t="s">
        <v>93</v>
      </c>
      <c r="DI15" t="s">
        <v>197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</row>
    <row r="16" spans="1:169" x14ac:dyDescent="0.35">
      <c r="B16" t="s">
        <v>254</v>
      </c>
      <c r="C16" t="s">
        <v>254</v>
      </c>
      <c r="G16" t="s">
        <v>254</v>
      </c>
      <c r="H16" t="s">
        <v>255</v>
      </c>
      <c r="I16" t="s">
        <v>256</v>
      </c>
      <c r="J16" t="s">
        <v>257</v>
      </c>
      <c r="K16" t="s">
        <v>257</v>
      </c>
      <c r="L16" t="s">
        <v>167</v>
      </c>
      <c r="M16" t="s">
        <v>167</v>
      </c>
      <c r="N16" t="s">
        <v>255</v>
      </c>
      <c r="O16" t="s">
        <v>255</v>
      </c>
      <c r="P16" t="s">
        <v>255</v>
      </c>
      <c r="Q16" t="s">
        <v>255</v>
      </c>
      <c r="R16" t="s">
        <v>258</v>
      </c>
      <c r="S16" t="s">
        <v>259</v>
      </c>
      <c r="T16" t="s">
        <v>259</v>
      </c>
      <c r="U16" t="s">
        <v>260</v>
      </c>
      <c r="V16" t="s">
        <v>261</v>
      </c>
      <c r="W16" t="s">
        <v>260</v>
      </c>
      <c r="X16" t="s">
        <v>260</v>
      </c>
      <c r="Y16" t="s">
        <v>260</v>
      </c>
      <c r="Z16" t="s">
        <v>258</v>
      </c>
      <c r="AA16" t="s">
        <v>258</v>
      </c>
      <c r="AB16" t="s">
        <v>258</v>
      </c>
      <c r="AC16" t="s">
        <v>258</v>
      </c>
      <c r="AG16" t="s">
        <v>262</v>
      </c>
      <c r="AH16" t="s">
        <v>261</v>
      </c>
      <c r="AJ16" t="s">
        <v>261</v>
      </c>
      <c r="AK16" t="s">
        <v>262</v>
      </c>
      <c r="AQ16" t="s">
        <v>256</v>
      </c>
      <c r="AW16" t="s">
        <v>256</v>
      </c>
      <c r="AX16" t="s">
        <v>256</v>
      </c>
      <c r="AY16" t="s">
        <v>256</v>
      </c>
      <c r="BA16" t="s">
        <v>263</v>
      </c>
      <c r="BK16" t="s">
        <v>264</v>
      </c>
      <c r="BL16" t="s">
        <v>264</v>
      </c>
      <c r="BM16" t="s">
        <v>264</v>
      </c>
      <c r="BN16" t="s">
        <v>256</v>
      </c>
      <c r="BP16" t="s">
        <v>265</v>
      </c>
      <c r="BR16" t="s">
        <v>256</v>
      </c>
      <c r="BS16" t="s">
        <v>256</v>
      </c>
      <c r="BU16" t="s">
        <v>266</v>
      </c>
      <c r="BW16" t="s">
        <v>254</v>
      </c>
      <c r="BX16" t="s">
        <v>257</v>
      </c>
      <c r="BY16" t="s">
        <v>257</v>
      </c>
      <c r="BZ16" t="s">
        <v>267</v>
      </c>
      <c r="CA16" t="s">
        <v>267</v>
      </c>
      <c r="CB16" t="s">
        <v>262</v>
      </c>
      <c r="CC16" t="s">
        <v>260</v>
      </c>
      <c r="CD16" t="s">
        <v>260</v>
      </c>
      <c r="CE16" t="s">
        <v>259</v>
      </c>
      <c r="CF16" t="s">
        <v>259</v>
      </c>
      <c r="CG16" t="s">
        <v>259</v>
      </c>
      <c r="CH16" t="s">
        <v>268</v>
      </c>
      <c r="CI16" t="s">
        <v>256</v>
      </c>
      <c r="CJ16" t="s">
        <v>256</v>
      </c>
      <c r="CK16" t="s">
        <v>256</v>
      </c>
      <c r="CP16" t="s">
        <v>256</v>
      </c>
      <c r="CS16" t="s">
        <v>259</v>
      </c>
      <c r="CT16" t="s">
        <v>259</v>
      </c>
      <c r="CU16" t="s">
        <v>259</v>
      </c>
      <c r="CV16" t="s">
        <v>259</v>
      </c>
      <c r="CW16" t="s">
        <v>259</v>
      </c>
      <c r="CX16" t="s">
        <v>256</v>
      </c>
      <c r="CY16" t="s">
        <v>256</v>
      </c>
      <c r="CZ16" t="s">
        <v>256</v>
      </c>
      <c r="DA16" t="s">
        <v>254</v>
      </c>
      <c r="DC16" t="s">
        <v>269</v>
      </c>
      <c r="DD16" t="s">
        <v>269</v>
      </c>
      <c r="DF16" t="s">
        <v>254</v>
      </c>
      <c r="DG16" t="s">
        <v>270</v>
      </c>
      <c r="DJ16" t="s">
        <v>271</v>
      </c>
      <c r="DK16" t="s">
        <v>272</v>
      </c>
      <c r="DL16" t="s">
        <v>271</v>
      </c>
      <c r="DM16" t="s">
        <v>272</v>
      </c>
      <c r="DN16" t="s">
        <v>261</v>
      </c>
      <c r="DO16" t="s">
        <v>261</v>
      </c>
      <c r="DP16" t="s">
        <v>256</v>
      </c>
      <c r="DQ16" t="s">
        <v>273</v>
      </c>
      <c r="DR16" t="s">
        <v>256</v>
      </c>
      <c r="DT16" t="s">
        <v>255</v>
      </c>
      <c r="DU16" t="s">
        <v>274</v>
      </c>
      <c r="DV16" t="s">
        <v>255</v>
      </c>
      <c r="EA16" t="s">
        <v>275</v>
      </c>
      <c r="EB16" t="s">
        <v>275</v>
      </c>
      <c r="EC16" t="s">
        <v>275</v>
      </c>
      <c r="ED16" t="s">
        <v>275</v>
      </c>
      <c r="EE16" t="s">
        <v>275</v>
      </c>
      <c r="EF16" t="s">
        <v>275</v>
      </c>
      <c r="EG16" t="s">
        <v>275</v>
      </c>
      <c r="EH16" t="s">
        <v>275</v>
      </c>
      <c r="EI16" t="s">
        <v>275</v>
      </c>
      <c r="EJ16" t="s">
        <v>275</v>
      </c>
      <c r="EK16" t="s">
        <v>275</v>
      </c>
      <c r="EL16" t="s">
        <v>275</v>
      </c>
      <c r="ES16" t="s">
        <v>275</v>
      </c>
      <c r="ET16" t="s">
        <v>261</v>
      </c>
      <c r="EU16" t="s">
        <v>261</v>
      </c>
      <c r="EV16" t="s">
        <v>271</v>
      </c>
      <c r="EW16" t="s">
        <v>272</v>
      </c>
      <c r="EY16" t="s">
        <v>262</v>
      </c>
      <c r="EZ16" t="s">
        <v>262</v>
      </c>
      <c r="FA16" t="s">
        <v>259</v>
      </c>
      <c r="FB16" t="s">
        <v>259</v>
      </c>
      <c r="FC16" t="s">
        <v>259</v>
      </c>
      <c r="FD16" t="s">
        <v>259</v>
      </c>
      <c r="FE16" t="s">
        <v>259</v>
      </c>
      <c r="FF16" t="s">
        <v>261</v>
      </c>
      <c r="FG16" t="s">
        <v>261</v>
      </c>
      <c r="FH16" t="s">
        <v>261</v>
      </c>
      <c r="FI16" t="s">
        <v>259</v>
      </c>
      <c r="FJ16" t="s">
        <v>257</v>
      </c>
      <c r="FK16" t="s">
        <v>267</v>
      </c>
      <c r="FL16" t="s">
        <v>261</v>
      </c>
      <c r="FM16" t="s">
        <v>261</v>
      </c>
    </row>
    <row r="17" spans="1:169" x14ac:dyDescent="0.35">
      <c r="A17">
        <v>1</v>
      </c>
      <c r="B17">
        <v>1566594261.7</v>
      </c>
      <c r="C17">
        <v>0</v>
      </c>
      <c r="D17" t="s">
        <v>276</v>
      </c>
      <c r="E17" t="s">
        <v>277</v>
      </c>
      <c r="G17">
        <v>1566594261.7</v>
      </c>
      <c r="H17">
        <f t="shared" ref="H17:H29" si="0">CB17*AI17*(BZ17-CA17)/(100*$B$5*(1000-AI17*BZ17))</f>
        <v>1.8266433064646191E-3</v>
      </c>
      <c r="I17">
        <f t="shared" ref="I17:I29" si="1">CB17*AI17*(BY17-BX17*(1000-AI17*CA17)/(1000-AI17*BZ17))/(100*$B$5)</f>
        <v>14.083675210722046</v>
      </c>
      <c r="J17">
        <f t="shared" ref="J17:J29" si="2">BX17 - IF(AI17&gt;1, I17*$B$5*100/(AK17*CH17), 0)</f>
        <v>382.30500000000001</v>
      </c>
      <c r="K17">
        <f t="shared" ref="K17:K29" si="3">((Q17-H17/2)*J17-I17)/(Q17+H17/2)</f>
        <v>149.51717924753515</v>
      </c>
      <c r="L17">
        <f t="shared" ref="L17:L29" si="4">K17*(CC17+CD17)/1000</f>
        <v>14.892355433062944</v>
      </c>
      <c r="M17">
        <f t="shared" ref="M17:M29" si="5">(BX17 - IF(AI17&gt;1, I17*$B$5*100/(AK17*CH17), 0))*(CC17+CD17)/1000</f>
        <v>38.078714248690503</v>
      </c>
      <c r="N17">
        <f t="shared" ref="N17:N29" si="6">2/((1/P17-1/O17)+SIGN(P17)*SQRT((1/P17-1/O17)*(1/P17-1/O17) + 4*$C$5/(($C$5+1)*($C$5+1))*(2*1/P17*1/O17-1/O17*1/O17)))</f>
        <v>0.10229791605133791</v>
      </c>
      <c r="O17">
        <f t="shared" ref="O17:O29" si="7">AF17+AE17*$B$5+AD17*$B$5*$B$5</f>
        <v>2.2528693270251687</v>
      </c>
      <c r="P17">
        <f t="shared" ref="P17:P29" si="8">H17*(1000-(1000*0.61365*EXP(17.502*T17/(240.97+T17))/(CC17+CD17)+BZ17)/2)/(1000*0.61365*EXP(17.502*T17/(240.97+T17))/(CC17+CD17)-BZ17)</f>
        <v>9.9785645673773585E-2</v>
      </c>
      <c r="Q17">
        <f t="shared" ref="Q17:Q29" si="9">1/(($C$5+1)/(N17/1.6)+1/(O17/1.37)) + $C$5/(($C$5+1)/(N17/1.6) + $C$5/(O17/1.37))</f>
        <v>6.2586607304470618E-2</v>
      </c>
      <c r="R17">
        <f t="shared" ref="R17:R29" si="10">(BS17*BU17)</f>
        <v>281.56627935909421</v>
      </c>
      <c r="S17">
        <f t="shared" ref="S17:S29" si="11">(CE17+(R17+2*0.95*0.0000000567*(((CE17+$B$7)+273)^4-(CE17+273)^4)-44100*H17)/(1.84*29.3*O17+8*0.95*0.0000000567*(CE17+273)^3))</f>
        <v>27.034767501506263</v>
      </c>
      <c r="T17">
        <f t="shared" ref="T17:T29" si="12">($C$7*CF17+$D$7*CG17+$E$7*S17)</f>
        <v>26.990100000000002</v>
      </c>
      <c r="U17">
        <f t="shared" ref="U17:U29" si="13">0.61365*EXP(17.502*T17/(240.97+T17))</f>
        <v>3.5770791130563091</v>
      </c>
      <c r="V17">
        <f t="shared" ref="V17:V29" si="14">(W17/X17*100)</f>
        <v>54.968767568934993</v>
      </c>
      <c r="W17">
        <f t="shared" ref="W17:W29" si="15">BZ17*(CC17+CD17)/1000</f>
        <v>1.8030229612514102</v>
      </c>
      <c r="X17">
        <f t="shared" ref="X17:X29" si="16">0.61365*EXP(17.502*CE17/(240.97+CE17))</f>
        <v>3.2800862034796086</v>
      </c>
      <c r="Y17">
        <f t="shared" ref="Y17:Y29" si="17">(U17-BZ17*(CC17+CD17)/1000)</f>
        <v>1.774056151804899</v>
      </c>
      <c r="Z17">
        <f t="shared" ref="Z17:Z29" si="18">(-H17*44100)</f>
        <v>-80.554969815089706</v>
      </c>
      <c r="AA17">
        <f t="shared" ref="AA17:AA29" si="19">2*29.3*O17*0.92*(CE17-T17)</f>
        <v>-178.24983994433344</v>
      </c>
      <c r="AB17">
        <f t="shared" ref="AB17:AB29" si="20">2*0.95*0.0000000567*(((CE17+$B$7)+273)^4-(T17+273)^4)</f>
        <v>-16.94871869569171</v>
      </c>
      <c r="AC17">
        <f t="shared" ref="AC17:AC29" si="21">R17+AB17+Z17+AA17</f>
        <v>5.8127509039793779</v>
      </c>
      <c r="AD17">
        <v>-4.1261038331070303E-2</v>
      </c>
      <c r="AE17">
        <v>4.6319130192111597E-2</v>
      </c>
      <c r="AF17">
        <v>3.4603519257910298</v>
      </c>
      <c r="AG17">
        <v>0</v>
      </c>
      <c r="AH17">
        <v>0</v>
      </c>
      <c r="AI17">
        <f t="shared" ref="AI17:AI29" si="22">IF(AG17*$H$13&gt;=AK17,1,(AK17/(AK17-AG17*$H$13)))</f>
        <v>1</v>
      </c>
      <c r="AJ17">
        <f t="shared" ref="AJ17:AJ29" si="23">(AI17-1)*100</f>
        <v>0</v>
      </c>
      <c r="AK17">
        <f t="shared" ref="AK17:AK29" si="24">MAX(0,($B$13+$C$13*CH17)/(1+$D$13*CH17)*CC17/(CE17+273)*$E$13)</f>
        <v>52874.780156992638</v>
      </c>
      <c r="AL17" t="s">
        <v>278</v>
      </c>
      <c r="AM17">
        <v>602.34923076923099</v>
      </c>
      <c r="AN17">
        <v>3447.2</v>
      </c>
      <c r="AO17">
        <f t="shared" ref="AO17:AO29" si="25">AN17-AM17</f>
        <v>2844.8507692307689</v>
      </c>
      <c r="AP17">
        <f t="shared" ref="AP17:AP29" si="26">AO17/AN17</f>
        <v>0.82526420550904189</v>
      </c>
      <c r="AQ17">
        <v>-2.3039181891607399</v>
      </c>
      <c r="AR17" t="s">
        <v>279</v>
      </c>
      <c r="AS17">
        <v>813.70296153846198</v>
      </c>
      <c r="AT17">
        <v>1109.3599999999999</v>
      </c>
      <c r="AU17">
        <f t="shared" ref="AU17:AU29" si="27">1-AS17/AT17</f>
        <v>0.26651135651324909</v>
      </c>
      <c r="AV17">
        <v>0.5</v>
      </c>
      <c r="AW17">
        <f t="shared" ref="AW17:AW29" si="28">BS17</f>
        <v>1471.2714000963315</v>
      </c>
      <c r="AX17">
        <f t="shared" ref="AX17:AX29" si="29">I17</f>
        <v>14.083675210722046</v>
      </c>
      <c r="AY17">
        <f t="shared" ref="AY17:AY29" si="30">AU17*AV17*AW17</f>
        <v>196.05526831941026</v>
      </c>
      <c r="AZ17">
        <f t="shared" ref="AZ17:AZ29" si="31">BE17/AT17</f>
        <v>0.48507247421936966</v>
      </c>
      <c r="BA17">
        <f t="shared" ref="BA17:BA29" si="32">(AX17-AQ17)/AW17</f>
        <v>1.113838915023415E-2</v>
      </c>
      <c r="BB17">
        <f t="shared" ref="BB17:BB29" si="33">(AN17-AT17)/AT17</f>
        <v>2.1073772265089783</v>
      </c>
      <c r="BC17" t="s">
        <v>280</v>
      </c>
      <c r="BD17">
        <v>571.24</v>
      </c>
      <c r="BE17">
        <f t="shared" ref="BE17:BE29" si="34">AT17-BD17</f>
        <v>538.11999999999989</v>
      </c>
      <c r="BF17">
        <f t="shared" ref="BF17:BF29" si="35">(AT17-AS17)/(AT17-BD17)</f>
        <v>0.54942585011064071</v>
      </c>
      <c r="BG17">
        <f t="shared" ref="BG17:BG29" si="36">(AN17-AT17)/(AN17-BD17)</f>
        <v>0.81289030445486032</v>
      </c>
      <c r="BH17">
        <f t="shared" ref="BH17:BH29" si="37">(AT17-AS17)/(AT17-AM17)</f>
        <v>0.58313759076578486</v>
      </c>
      <c r="BI17">
        <f t="shared" ref="BI17:BI29" si="38">(AN17-AT17)/(AN17-AM17)</f>
        <v>0.82177948498582876</v>
      </c>
      <c r="BJ17">
        <v>1648</v>
      </c>
      <c r="BK17">
        <v>300</v>
      </c>
      <c r="BL17">
        <v>300</v>
      </c>
      <c r="BM17">
        <v>300</v>
      </c>
      <c r="BN17">
        <v>10305.799999999999</v>
      </c>
      <c r="BO17">
        <v>1046.76</v>
      </c>
      <c r="BP17">
        <v>-7.0801299999999996E-3</v>
      </c>
      <c r="BQ17">
        <v>6.9976799999999999</v>
      </c>
      <c r="BR17">
        <f t="shared" ref="BR17:BR29" si="39">$B$11*CI17+$C$11*CJ17+$F$11*CK17</f>
        <v>1750.08</v>
      </c>
      <c r="BS17">
        <f t="shared" ref="BS17:BS29" si="40">BR17*BT17</f>
        <v>1471.2714000963315</v>
      </c>
      <c r="BT17">
        <f t="shared" ref="BT17:BT29" si="41">($B$11*$D$9+$C$11*$D$9+$F$11*((CX17+CP17)/MAX(CX17+CP17+CY17, 0.1)*$I$9+CY17/MAX(CX17+CP17+CY17, 0.1)*$J$9))/($B$11+$C$11+$F$11)</f>
        <v>0.8406880828855432</v>
      </c>
      <c r="BU17">
        <f t="shared" ref="BU17:BU29" si="42">($B$11*$K$9+$C$11*$K$9+$F$11*((CX17+CP17)/MAX(CX17+CP17+CY17, 0.1)*$P$9+CY17/MAX(CX17+CP17+CY17, 0.1)*$Q$9))/($B$11+$C$11+$F$11)</f>
        <v>0.1913761657710866</v>
      </c>
      <c r="BV17" t="s">
        <v>281</v>
      </c>
      <c r="BW17">
        <v>1566594261.7</v>
      </c>
      <c r="BX17">
        <v>382.30500000000001</v>
      </c>
      <c r="BY17">
        <v>400.041</v>
      </c>
      <c r="BZ17">
        <v>18.1021</v>
      </c>
      <c r="CA17">
        <v>15.950100000000001</v>
      </c>
      <c r="CB17">
        <v>500.06799999999998</v>
      </c>
      <c r="CC17">
        <v>99.503</v>
      </c>
      <c r="CD17">
        <v>9.9972099999999994E-2</v>
      </c>
      <c r="CE17">
        <v>25.522500000000001</v>
      </c>
      <c r="CF17">
        <v>26.990100000000002</v>
      </c>
      <c r="CG17">
        <v>999.9</v>
      </c>
      <c r="CH17">
        <v>10000</v>
      </c>
      <c r="CI17">
        <v>0</v>
      </c>
      <c r="CJ17">
        <v>441.61599999999999</v>
      </c>
      <c r="CK17">
        <v>1750.08</v>
      </c>
      <c r="CL17">
        <v>0.97699599999999998</v>
      </c>
      <c r="CM17">
        <v>2.3004E-2</v>
      </c>
      <c r="CN17">
        <v>0</v>
      </c>
      <c r="CO17">
        <v>812.22900000000004</v>
      </c>
      <c r="CP17">
        <v>4.99986</v>
      </c>
      <c r="CQ17">
        <v>15614.5</v>
      </c>
      <c r="CR17">
        <v>14221.4</v>
      </c>
      <c r="CS17">
        <v>39.875</v>
      </c>
      <c r="CT17">
        <v>41.186999999999998</v>
      </c>
      <c r="CU17">
        <v>40.311999999999998</v>
      </c>
      <c r="CV17">
        <v>40.875</v>
      </c>
      <c r="CW17">
        <v>41.875</v>
      </c>
      <c r="CX17">
        <v>1704.94</v>
      </c>
      <c r="CY17">
        <v>40.14</v>
      </c>
      <c r="CZ17">
        <v>0</v>
      </c>
      <c r="DA17">
        <v>264.799999952316</v>
      </c>
      <c r="DB17">
        <v>813.70296153846198</v>
      </c>
      <c r="DC17">
        <v>-11.554769212162499</v>
      </c>
      <c r="DD17">
        <v>-112.129914383914</v>
      </c>
      <c r="DE17">
        <v>15626.015384615401</v>
      </c>
      <c r="DF17">
        <v>15</v>
      </c>
      <c r="DG17">
        <v>1566594285.5999999</v>
      </c>
      <c r="DH17" t="s">
        <v>282</v>
      </c>
      <c r="DI17">
        <v>97</v>
      </c>
      <c r="DJ17">
        <v>-0.217</v>
      </c>
      <c r="DK17">
        <v>0.105</v>
      </c>
      <c r="DL17">
        <v>400</v>
      </c>
      <c r="DM17">
        <v>16</v>
      </c>
      <c r="DN17">
        <v>0.18</v>
      </c>
      <c r="DO17">
        <v>0.03</v>
      </c>
      <c r="DP17">
        <v>14.066024930373001</v>
      </c>
      <c r="DQ17">
        <v>-0.232931444890221</v>
      </c>
      <c r="DR17">
        <v>5.0807136192379303E-2</v>
      </c>
      <c r="DS17">
        <v>1</v>
      </c>
      <c r="DT17">
        <v>0.105496795335937</v>
      </c>
      <c r="DU17">
        <v>4.1058545863534796E-3</v>
      </c>
      <c r="DV17">
        <v>1.54260474896697E-3</v>
      </c>
      <c r="DW17">
        <v>1</v>
      </c>
      <c r="DX17">
        <v>2</v>
      </c>
      <c r="DY17">
        <v>2</v>
      </c>
      <c r="DZ17" t="s">
        <v>283</v>
      </c>
      <c r="EA17">
        <v>1.8667499999999999</v>
      </c>
      <c r="EB17">
        <v>1.8632500000000001</v>
      </c>
      <c r="EC17">
        <v>1.8689</v>
      </c>
      <c r="ED17">
        <v>1.8668199999999999</v>
      </c>
      <c r="EE17">
        <v>1.8714900000000001</v>
      </c>
      <c r="EF17">
        <v>1.8640099999999999</v>
      </c>
      <c r="EG17">
        <v>1.86554</v>
      </c>
      <c r="EH17">
        <v>1.86551</v>
      </c>
      <c r="EI17" t="s">
        <v>284</v>
      </c>
      <c r="EJ17" t="s">
        <v>19</v>
      </c>
      <c r="EK17" t="s">
        <v>19</v>
      </c>
      <c r="EL17" t="s">
        <v>19</v>
      </c>
      <c r="EM17" t="s">
        <v>285</v>
      </c>
      <c r="EN17" t="s">
        <v>286</v>
      </c>
      <c r="EO17" t="s">
        <v>287</v>
      </c>
      <c r="EP17" t="s">
        <v>287</v>
      </c>
      <c r="EQ17" t="s">
        <v>287</v>
      </c>
      <c r="ER17" t="s">
        <v>287</v>
      </c>
      <c r="ES17">
        <v>0</v>
      </c>
      <c r="ET17">
        <v>100</v>
      </c>
      <c r="EU17">
        <v>100</v>
      </c>
      <c r="EV17">
        <v>-0.217</v>
      </c>
      <c r="EW17">
        <v>0.105</v>
      </c>
      <c r="EX17">
        <v>2</v>
      </c>
      <c r="EY17">
        <v>508.45600000000002</v>
      </c>
      <c r="EZ17">
        <v>521.13900000000001</v>
      </c>
      <c r="FA17">
        <v>22.074000000000002</v>
      </c>
      <c r="FB17">
        <v>29.703700000000001</v>
      </c>
      <c r="FC17">
        <v>29.999099999999999</v>
      </c>
      <c r="FD17">
        <v>29.813500000000001</v>
      </c>
      <c r="FE17">
        <v>29.815000000000001</v>
      </c>
      <c r="FF17">
        <v>22.114100000000001</v>
      </c>
      <c r="FG17">
        <v>42.249899999999997</v>
      </c>
      <c r="FH17">
        <v>0</v>
      </c>
      <c r="FI17">
        <v>22.074300000000001</v>
      </c>
      <c r="FJ17">
        <v>400</v>
      </c>
      <c r="FK17">
        <v>15.9415</v>
      </c>
      <c r="FL17">
        <v>101.318</v>
      </c>
      <c r="FM17">
        <v>101.95099999999999</v>
      </c>
    </row>
    <row r="18" spans="1:169" x14ac:dyDescent="0.35">
      <c r="A18">
        <v>2</v>
      </c>
      <c r="B18">
        <v>1566594377.7</v>
      </c>
      <c r="C18">
        <v>116</v>
      </c>
      <c r="D18" t="s">
        <v>288</v>
      </c>
      <c r="E18" t="s">
        <v>289</v>
      </c>
      <c r="G18">
        <v>1566594377.7</v>
      </c>
      <c r="H18">
        <f t="shared" si="0"/>
        <v>1.8431945640525974E-3</v>
      </c>
      <c r="I18">
        <f t="shared" si="1"/>
        <v>10.129581714537411</v>
      </c>
      <c r="J18">
        <f t="shared" si="2"/>
        <v>287.2</v>
      </c>
      <c r="K18">
        <f t="shared" si="3"/>
        <v>121.29967359023624</v>
      </c>
      <c r="L18">
        <f t="shared" si="4"/>
        <v>12.08350812844248</v>
      </c>
      <c r="M18">
        <f t="shared" si="5"/>
        <v>28.609998953599995</v>
      </c>
      <c r="N18">
        <f t="shared" si="6"/>
        <v>0.10353738639792887</v>
      </c>
      <c r="O18">
        <f t="shared" si="7"/>
        <v>2.2507872084780676</v>
      </c>
      <c r="P18">
        <f t="shared" si="8"/>
        <v>0.10096237689510958</v>
      </c>
      <c r="Q18">
        <f t="shared" si="9"/>
        <v>6.3327505923511496E-2</v>
      </c>
      <c r="R18">
        <f t="shared" si="10"/>
        <v>281.569471340154</v>
      </c>
      <c r="S18">
        <f t="shared" si="11"/>
        <v>27.019887747225219</v>
      </c>
      <c r="T18">
        <f t="shared" si="12"/>
        <v>27.0183</v>
      </c>
      <c r="U18">
        <f t="shared" si="13"/>
        <v>3.5830083940945947</v>
      </c>
      <c r="V18">
        <f t="shared" si="14"/>
        <v>55.327499820825679</v>
      </c>
      <c r="W18">
        <f t="shared" si="15"/>
        <v>1.8136368452267997</v>
      </c>
      <c r="X18">
        <f t="shared" si="16"/>
        <v>3.2780025323756514</v>
      </c>
      <c r="Y18">
        <f t="shared" si="17"/>
        <v>1.769371548867795</v>
      </c>
      <c r="Z18">
        <f t="shared" si="18"/>
        <v>-81.284880274719541</v>
      </c>
      <c r="AA18">
        <f t="shared" si="19"/>
        <v>-182.80539883509684</v>
      </c>
      <c r="AB18">
        <f t="shared" si="20"/>
        <v>-17.399490821287426</v>
      </c>
      <c r="AC18">
        <f t="shared" si="21"/>
        <v>7.9701409050187522E-2</v>
      </c>
      <c r="AD18">
        <v>-4.1204943463671699E-2</v>
      </c>
      <c r="AE18">
        <v>4.6256158789276497E-2</v>
      </c>
      <c r="AF18">
        <v>3.4566282204345899</v>
      </c>
      <c r="AG18">
        <v>0</v>
      </c>
      <c r="AH18">
        <v>0</v>
      </c>
      <c r="AI18">
        <f t="shared" si="22"/>
        <v>1</v>
      </c>
      <c r="AJ18">
        <f t="shared" si="23"/>
        <v>0</v>
      </c>
      <c r="AK18">
        <f t="shared" si="24"/>
        <v>52808.014578485025</v>
      </c>
      <c r="AL18" t="s">
        <v>278</v>
      </c>
      <c r="AM18">
        <v>602.34923076923099</v>
      </c>
      <c r="AN18">
        <v>3447.2</v>
      </c>
      <c r="AO18">
        <f t="shared" si="25"/>
        <v>2844.8507692307689</v>
      </c>
      <c r="AP18">
        <f t="shared" si="26"/>
        <v>0.82526420550904189</v>
      </c>
      <c r="AQ18">
        <v>-2.3039181891607399</v>
      </c>
      <c r="AR18" t="s">
        <v>290</v>
      </c>
      <c r="AS18">
        <v>797.48453846153802</v>
      </c>
      <c r="AT18">
        <v>1077.0899999999999</v>
      </c>
      <c r="AU18">
        <f t="shared" si="27"/>
        <v>0.25959340587923196</v>
      </c>
      <c r="AV18">
        <v>0.5</v>
      </c>
      <c r="AW18">
        <f t="shared" si="28"/>
        <v>1471.2882000963305</v>
      </c>
      <c r="AX18">
        <f t="shared" si="29"/>
        <v>10.129581714537411</v>
      </c>
      <c r="AY18">
        <f t="shared" si="30"/>
        <v>190.96835744646569</v>
      </c>
      <c r="AZ18">
        <f t="shared" si="31"/>
        <v>0.46698975944442889</v>
      </c>
      <c r="BA18">
        <f t="shared" si="32"/>
        <v>8.450757576173102E-3</v>
      </c>
      <c r="BB18">
        <f t="shared" si="33"/>
        <v>2.2004753548914202</v>
      </c>
      <c r="BC18" t="s">
        <v>291</v>
      </c>
      <c r="BD18">
        <v>574.1</v>
      </c>
      <c r="BE18">
        <f t="shared" si="34"/>
        <v>502.9899999999999</v>
      </c>
      <c r="BF18">
        <f t="shared" si="35"/>
        <v>0.55588672048840326</v>
      </c>
      <c r="BG18">
        <f t="shared" si="36"/>
        <v>0.82493125891893759</v>
      </c>
      <c r="BH18">
        <f t="shared" si="37"/>
        <v>0.58896450370485709</v>
      </c>
      <c r="BI18">
        <f t="shared" si="38"/>
        <v>0.83312278648656979</v>
      </c>
      <c r="BJ18">
        <v>1650</v>
      </c>
      <c r="BK18">
        <v>300</v>
      </c>
      <c r="BL18">
        <v>300</v>
      </c>
      <c r="BM18">
        <v>300</v>
      </c>
      <c r="BN18">
        <v>10304.6</v>
      </c>
      <c r="BO18">
        <v>1016.57</v>
      </c>
      <c r="BP18">
        <v>-7.0790100000000002E-3</v>
      </c>
      <c r="BQ18">
        <v>8.1251200000000008</v>
      </c>
      <c r="BR18">
        <f t="shared" si="39"/>
        <v>1750.1</v>
      </c>
      <c r="BS18">
        <f t="shared" si="40"/>
        <v>1471.2882000963305</v>
      </c>
      <c r="BT18">
        <f t="shared" si="41"/>
        <v>0.84068807502218756</v>
      </c>
      <c r="BU18">
        <f t="shared" si="42"/>
        <v>0.19137615004437517</v>
      </c>
      <c r="BV18" t="s">
        <v>281</v>
      </c>
      <c r="BW18">
        <v>1566594377.7</v>
      </c>
      <c r="BX18">
        <v>287.2</v>
      </c>
      <c r="BY18">
        <v>299.988</v>
      </c>
      <c r="BZ18">
        <v>18.206099999999999</v>
      </c>
      <c r="CA18">
        <v>16.035</v>
      </c>
      <c r="CB18">
        <v>500.10700000000003</v>
      </c>
      <c r="CC18">
        <v>99.516999999999996</v>
      </c>
      <c r="CD18">
        <v>9.9987999999999994E-2</v>
      </c>
      <c r="CE18">
        <v>25.511800000000001</v>
      </c>
      <c r="CF18">
        <v>27.0183</v>
      </c>
      <c r="CG18">
        <v>999.9</v>
      </c>
      <c r="CH18">
        <v>9985</v>
      </c>
      <c r="CI18">
        <v>0</v>
      </c>
      <c r="CJ18">
        <v>1104.1500000000001</v>
      </c>
      <c r="CK18">
        <v>1750.1</v>
      </c>
      <c r="CL18">
        <v>0.97699599999999998</v>
      </c>
      <c r="CM18">
        <v>2.3004E-2</v>
      </c>
      <c r="CN18">
        <v>0</v>
      </c>
      <c r="CO18">
        <v>796.49699999999996</v>
      </c>
      <c r="CP18">
        <v>4.99986</v>
      </c>
      <c r="CQ18">
        <v>17239.7</v>
      </c>
      <c r="CR18">
        <v>14221.6</v>
      </c>
      <c r="CS18">
        <v>40.186999999999998</v>
      </c>
      <c r="CT18">
        <v>41.436999999999998</v>
      </c>
      <c r="CU18">
        <v>40.625</v>
      </c>
      <c r="CV18">
        <v>41.186999999999998</v>
      </c>
      <c r="CW18">
        <v>42.186999999999998</v>
      </c>
      <c r="CX18">
        <v>1704.96</v>
      </c>
      <c r="CY18">
        <v>40.14</v>
      </c>
      <c r="CZ18">
        <v>0</v>
      </c>
      <c r="DA18">
        <v>115.39999985694899</v>
      </c>
      <c r="DB18">
        <v>797.48453846153802</v>
      </c>
      <c r="DC18">
        <v>-6.0746666573374002</v>
      </c>
      <c r="DD18">
        <v>2839.5555553080799</v>
      </c>
      <c r="DE18">
        <v>16941.553846153802</v>
      </c>
      <c r="DF18">
        <v>15</v>
      </c>
      <c r="DG18">
        <v>1566594399.5999999</v>
      </c>
      <c r="DH18" t="s">
        <v>292</v>
      </c>
      <c r="DI18">
        <v>98</v>
      </c>
      <c r="DJ18">
        <v>-0.23100000000000001</v>
      </c>
      <c r="DK18">
        <v>0.106</v>
      </c>
      <c r="DL18">
        <v>300</v>
      </c>
      <c r="DM18">
        <v>16</v>
      </c>
      <c r="DN18">
        <v>0.14000000000000001</v>
      </c>
      <c r="DO18">
        <v>0.03</v>
      </c>
      <c r="DP18">
        <v>10.0139457278871</v>
      </c>
      <c r="DQ18">
        <v>0.35135198000136197</v>
      </c>
      <c r="DR18">
        <v>6.9997112176763604E-2</v>
      </c>
      <c r="DS18">
        <v>0</v>
      </c>
      <c r="DT18">
        <v>0.101122168460786</v>
      </c>
      <c r="DU18">
        <v>8.7364576889359894E-3</v>
      </c>
      <c r="DV18">
        <v>1.69379993329793E-3</v>
      </c>
      <c r="DW18">
        <v>1</v>
      </c>
      <c r="DX18">
        <v>1</v>
      </c>
      <c r="DY18">
        <v>2</v>
      </c>
      <c r="DZ18" t="s">
        <v>293</v>
      </c>
      <c r="EA18">
        <v>1.8667499999999999</v>
      </c>
      <c r="EB18">
        <v>1.8632500000000001</v>
      </c>
      <c r="EC18">
        <v>1.8689</v>
      </c>
      <c r="ED18">
        <v>1.86683</v>
      </c>
      <c r="EE18">
        <v>1.8714900000000001</v>
      </c>
      <c r="EF18">
        <v>1.8640099999999999</v>
      </c>
      <c r="EG18">
        <v>1.8655600000000001</v>
      </c>
      <c r="EH18">
        <v>1.86551</v>
      </c>
      <c r="EI18" t="s">
        <v>284</v>
      </c>
      <c r="EJ18" t="s">
        <v>19</v>
      </c>
      <c r="EK18" t="s">
        <v>19</v>
      </c>
      <c r="EL18" t="s">
        <v>19</v>
      </c>
      <c r="EM18" t="s">
        <v>285</v>
      </c>
      <c r="EN18" t="s">
        <v>286</v>
      </c>
      <c r="EO18" t="s">
        <v>287</v>
      </c>
      <c r="EP18" t="s">
        <v>287</v>
      </c>
      <c r="EQ18" t="s">
        <v>287</v>
      </c>
      <c r="ER18" t="s">
        <v>287</v>
      </c>
      <c r="ES18">
        <v>0</v>
      </c>
      <c r="ET18">
        <v>100</v>
      </c>
      <c r="EU18">
        <v>100</v>
      </c>
      <c r="EV18">
        <v>-0.23100000000000001</v>
      </c>
      <c r="EW18">
        <v>0.106</v>
      </c>
      <c r="EX18">
        <v>2</v>
      </c>
      <c r="EY18">
        <v>508.12599999999998</v>
      </c>
      <c r="EZ18">
        <v>522.39099999999996</v>
      </c>
      <c r="FA18">
        <v>21.466799999999999</v>
      </c>
      <c r="FB18">
        <v>29.438400000000001</v>
      </c>
      <c r="FC18">
        <v>29.999300000000002</v>
      </c>
      <c r="FD18">
        <v>29.58</v>
      </c>
      <c r="FE18">
        <v>29.588999999999999</v>
      </c>
      <c r="FF18">
        <v>17.6233</v>
      </c>
      <c r="FG18">
        <v>41.459699999999998</v>
      </c>
      <c r="FH18">
        <v>0</v>
      </c>
      <c r="FI18">
        <v>21.4574</v>
      </c>
      <c r="FJ18">
        <v>300</v>
      </c>
      <c r="FK18">
        <v>15.958500000000001</v>
      </c>
      <c r="FL18">
        <v>101.358</v>
      </c>
      <c r="FM18">
        <v>102</v>
      </c>
    </row>
    <row r="19" spans="1:169" x14ac:dyDescent="0.35">
      <c r="A19">
        <v>3</v>
      </c>
      <c r="B19">
        <v>1566594492.2</v>
      </c>
      <c r="C19">
        <v>230.5</v>
      </c>
      <c r="D19" t="s">
        <v>294</v>
      </c>
      <c r="E19" t="s">
        <v>295</v>
      </c>
      <c r="G19">
        <v>1566594492.2</v>
      </c>
      <c r="H19">
        <f t="shared" si="0"/>
        <v>1.9511934862402245E-3</v>
      </c>
      <c r="I19">
        <f t="shared" si="1"/>
        <v>6.5837647012011402</v>
      </c>
      <c r="J19">
        <f t="shared" si="2"/>
        <v>191.65600000000001</v>
      </c>
      <c r="K19">
        <f t="shared" si="3"/>
        <v>88.04446366255759</v>
      </c>
      <c r="L19">
        <f t="shared" si="4"/>
        <v>8.7701875698933947</v>
      </c>
      <c r="M19">
        <f t="shared" si="5"/>
        <v>19.091025136317601</v>
      </c>
      <c r="N19">
        <f t="shared" si="6"/>
        <v>0.1082954792292861</v>
      </c>
      <c r="O19">
        <f t="shared" si="7"/>
        <v>2.2562358448645008</v>
      </c>
      <c r="P19">
        <f t="shared" si="8"/>
        <v>0.10548842957458364</v>
      </c>
      <c r="Q19">
        <f t="shared" si="9"/>
        <v>6.6176410513485592E-2</v>
      </c>
      <c r="R19">
        <f t="shared" si="10"/>
        <v>281.53914752010309</v>
      </c>
      <c r="S19">
        <f t="shared" si="11"/>
        <v>26.804672334994649</v>
      </c>
      <c r="T19">
        <f t="shared" si="12"/>
        <v>27.073399999999999</v>
      </c>
      <c r="U19">
        <f t="shared" si="13"/>
        <v>3.5946183829225387</v>
      </c>
      <c r="V19">
        <f t="shared" si="14"/>
        <v>55.552402761383391</v>
      </c>
      <c r="W19">
        <f t="shared" si="15"/>
        <v>1.8020506878918903</v>
      </c>
      <c r="X19">
        <f t="shared" si="16"/>
        <v>3.2438753290875924</v>
      </c>
      <c r="Y19">
        <f t="shared" si="17"/>
        <v>1.7925676950306484</v>
      </c>
      <c r="Z19">
        <f t="shared" si="18"/>
        <v>-86.047632743193901</v>
      </c>
      <c r="AA19">
        <f t="shared" si="19"/>
        <v>-211.37067732110572</v>
      </c>
      <c r="AB19">
        <f t="shared" si="20"/>
        <v>-20.057633667547915</v>
      </c>
      <c r="AC19">
        <f t="shared" si="21"/>
        <v>-35.936796211744451</v>
      </c>
      <c r="AD19">
        <v>-4.1351836135554702E-2</v>
      </c>
      <c r="AE19">
        <v>4.6421058681970002E-2</v>
      </c>
      <c r="AF19">
        <v>3.4663755936526499</v>
      </c>
      <c r="AG19">
        <v>0</v>
      </c>
      <c r="AH19">
        <v>0</v>
      </c>
      <c r="AI19">
        <f t="shared" si="22"/>
        <v>1</v>
      </c>
      <c r="AJ19">
        <f t="shared" si="23"/>
        <v>0</v>
      </c>
      <c r="AK19">
        <f t="shared" si="24"/>
        <v>53019.696571662957</v>
      </c>
      <c r="AL19" t="s">
        <v>278</v>
      </c>
      <c r="AM19">
        <v>602.34923076923099</v>
      </c>
      <c r="AN19">
        <v>3447.2</v>
      </c>
      <c r="AO19">
        <f t="shared" si="25"/>
        <v>2844.8507692307689</v>
      </c>
      <c r="AP19">
        <f t="shared" si="26"/>
        <v>0.82526420550904189</v>
      </c>
      <c r="AQ19">
        <v>-2.3039181891607399</v>
      </c>
      <c r="AR19" t="s">
        <v>296</v>
      </c>
      <c r="AS19">
        <v>790.25526923076904</v>
      </c>
      <c r="AT19">
        <v>1046</v>
      </c>
      <c r="AU19">
        <f t="shared" si="27"/>
        <v>0.24449783056331831</v>
      </c>
      <c r="AV19">
        <v>0.5</v>
      </c>
      <c r="AW19">
        <f t="shared" si="28"/>
        <v>1471.128600096341</v>
      </c>
      <c r="AX19">
        <f t="shared" si="29"/>
        <v>6.5837647012011402</v>
      </c>
      <c r="AY19">
        <f t="shared" si="30"/>
        <v>179.84387560160343</v>
      </c>
      <c r="AZ19">
        <f t="shared" si="31"/>
        <v>0.45217973231357556</v>
      </c>
      <c r="BA19">
        <f t="shared" si="32"/>
        <v>6.0414044630631514E-3</v>
      </c>
      <c r="BB19">
        <f t="shared" si="33"/>
        <v>2.2956022944550667</v>
      </c>
      <c r="BC19" t="s">
        <v>297</v>
      </c>
      <c r="BD19">
        <v>573.02</v>
      </c>
      <c r="BE19">
        <f t="shared" si="34"/>
        <v>472.98</v>
      </c>
      <c r="BF19">
        <f t="shared" si="35"/>
        <v>0.54070939737247015</v>
      </c>
      <c r="BG19">
        <f t="shared" si="36"/>
        <v>0.83543828152725297</v>
      </c>
      <c r="BH19">
        <f t="shared" si="37"/>
        <v>0.57645505993973156</v>
      </c>
      <c r="BI19">
        <f t="shared" si="38"/>
        <v>0.8440513034886783</v>
      </c>
      <c r="BJ19">
        <v>1652</v>
      </c>
      <c r="BK19">
        <v>300</v>
      </c>
      <c r="BL19">
        <v>300</v>
      </c>
      <c r="BM19">
        <v>300</v>
      </c>
      <c r="BN19">
        <v>10303.200000000001</v>
      </c>
      <c r="BO19">
        <v>992.65099999999995</v>
      </c>
      <c r="BP19">
        <v>-7.0776600000000004E-3</v>
      </c>
      <c r="BQ19">
        <v>6.1233500000000003</v>
      </c>
      <c r="BR19">
        <f t="shared" si="39"/>
        <v>1749.91</v>
      </c>
      <c r="BS19">
        <f t="shared" si="40"/>
        <v>1471.128600096341</v>
      </c>
      <c r="BT19">
        <f t="shared" si="41"/>
        <v>0.84068814973132377</v>
      </c>
      <c r="BU19">
        <f t="shared" si="42"/>
        <v>0.19137629946264773</v>
      </c>
      <c r="BV19" t="s">
        <v>281</v>
      </c>
      <c r="BW19">
        <v>1566594492.2</v>
      </c>
      <c r="BX19">
        <v>191.65600000000001</v>
      </c>
      <c r="BY19">
        <v>200.005</v>
      </c>
      <c r="BZ19">
        <v>18.090900000000001</v>
      </c>
      <c r="CA19">
        <v>15.7919</v>
      </c>
      <c r="CB19">
        <v>500.01600000000002</v>
      </c>
      <c r="CC19">
        <v>99.510999999999996</v>
      </c>
      <c r="CD19">
        <v>9.9892099999999998E-2</v>
      </c>
      <c r="CE19">
        <v>25.335699999999999</v>
      </c>
      <c r="CF19">
        <v>27.073399999999999</v>
      </c>
      <c r="CG19">
        <v>999.9</v>
      </c>
      <c r="CH19">
        <v>10021.200000000001</v>
      </c>
      <c r="CI19">
        <v>0</v>
      </c>
      <c r="CJ19">
        <v>1266.4100000000001</v>
      </c>
      <c r="CK19">
        <v>1749.91</v>
      </c>
      <c r="CL19">
        <v>0.97699599999999998</v>
      </c>
      <c r="CM19">
        <v>2.3004E-2</v>
      </c>
      <c r="CN19">
        <v>0</v>
      </c>
      <c r="CO19">
        <v>789.41099999999994</v>
      </c>
      <c r="CP19">
        <v>4.99986</v>
      </c>
      <c r="CQ19">
        <v>17581.599999999999</v>
      </c>
      <c r="CR19">
        <v>14220</v>
      </c>
      <c r="CS19">
        <v>40.686999999999998</v>
      </c>
      <c r="CT19">
        <v>42.125</v>
      </c>
      <c r="CU19">
        <v>41.061999999999998</v>
      </c>
      <c r="CV19">
        <v>41.936999999999998</v>
      </c>
      <c r="CW19">
        <v>42.625</v>
      </c>
      <c r="CX19">
        <v>1704.77</v>
      </c>
      <c r="CY19">
        <v>40.14</v>
      </c>
      <c r="CZ19">
        <v>0</v>
      </c>
      <c r="DA19">
        <v>114.200000047684</v>
      </c>
      <c r="DB19">
        <v>790.25526923076904</v>
      </c>
      <c r="DC19">
        <v>-3.4648547071831</v>
      </c>
      <c r="DD19">
        <v>-154.13333344061499</v>
      </c>
      <c r="DE19">
        <v>17604.807692307699</v>
      </c>
      <c r="DF19">
        <v>15</v>
      </c>
      <c r="DG19">
        <v>1566594517.7</v>
      </c>
      <c r="DH19" t="s">
        <v>298</v>
      </c>
      <c r="DI19">
        <v>99</v>
      </c>
      <c r="DJ19">
        <v>-0.27200000000000002</v>
      </c>
      <c r="DK19">
        <v>0.104</v>
      </c>
      <c r="DL19">
        <v>200</v>
      </c>
      <c r="DM19">
        <v>16</v>
      </c>
      <c r="DN19">
        <v>0.18</v>
      </c>
      <c r="DO19">
        <v>0.04</v>
      </c>
      <c r="DP19">
        <v>6.4053208135369903</v>
      </c>
      <c r="DQ19">
        <v>0.470435860596846</v>
      </c>
      <c r="DR19">
        <v>9.2686320651446094E-2</v>
      </c>
      <c r="DS19">
        <v>0</v>
      </c>
      <c r="DT19">
        <v>0.107606529283253</v>
      </c>
      <c r="DU19">
        <v>1.1635491453782E-3</v>
      </c>
      <c r="DV19">
        <v>2.66614418858979E-4</v>
      </c>
      <c r="DW19">
        <v>1</v>
      </c>
      <c r="DX19">
        <v>1</v>
      </c>
      <c r="DY19">
        <v>2</v>
      </c>
      <c r="DZ19" t="s">
        <v>293</v>
      </c>
      <c r="EA19">
        <v>1.8666700000000001</v>
      </c>
      <c r="EB19">
        <v>1.8632299999999999</v>
      </c>
      <c r="EC19">
        <v>1.8688800000000001</v>
      </c>
      <c r="ED19">
        <v>1.86677</v>
      </c>
      <c r="EE19">
        <v>1.87147</v>
      </c>
      <c r="EF19">
        <v>1.86399</v>
      </c>
      <c r="EG19">
        <v>1.86554</v>
      </c>
      <c r="EH19">
        <v>1.86541</v>
      </c>
      <c r="EI19" t="s">
        <v>284</v>
      </c>
      <c r="EJ19" t="s">
        <v>19</v>
      </c>
      <c r="EK19" t="s">
        <v>19</v>
      </c>
      <c r="EL19" t="s">
        <v>19</v>
      </c>
      <c r="EM19" t="s">
        <v>285</v>
      </c>
      <c r="EN19" t="s">
        <v>286</v>
      </c>
      <c r="EO19" t="s">
        <v>287</v>
      </c>
      <c r="EP19" t="s">
        <v>287</v>
      </c>
      <c r="EQ19" t="s">
        <v>287</v>
      </c>
      <c r="ER19" t="s">
        <v>287</v>
      </c>
      <c r="ES19">
        <v>0</v>
      </c>
      <c r="ET19">
        <v>100</v>
      </c>
      <c r="EU19">
        <v>100</v>
      </c>
      <c r="EV19">
        <v>-0.27200000000000002</v>
      </c>
      <c r="EW19">
        <v>0.104</v>
      </c>
      <c r="EX19">
        <v>2</v>
      </c>
      <c r="EY19">
        <v>507.392</v>
      </c>
      <c r="EZ19">
        <v>522.52800000000002</v>
      </c>
      <c r="FA19">
        <v>19.611799999999999</v>
      </c>
      <c r="FB19">
        <v>29.368300000000001</v>
      </c>
      <c r="FC19">
        <v>30.0002</v>
      </c>
      <c r="FD19">
        <v>29.4633</v>
      </c>
      <c r="FE19">
        <v>29.479199999999999</v>
      </c>
      <c r="FF19">
        <v>12.9504</v>
      </c>
      <c r="FG19">
        <v>42.155799999999999</v>
      </c>
      <c r="FH19">
        <v>0</v>
      </c>
      <c r="FI19">
        <v>19.613199999999999</v>
      </c>
      <c r="FJ19">
        <v>200</v>
      </c>
      <c r="FK19">
        <v>15.738899999999999</v>
      </c>
      <c r="FL19">
        <v>101.369</v>
      </c>
      <c r="FM19">
        <v>102.009</v>
      </c>
    </row>
    <row r="20" spans="1:169" x14ac:dyDescent="0.35">
      <c r="A20">
        <v>4</v>
      </c>
      <c r="B20">
        <v>1566594609.2</v>
      </c>
      <c r="C20">
        <v>347.5</v>
      </c>
      <c r="D20" t="s">
        <v>299</v>
      </c>
      <c r="E20" t="s">
        <v>300</v>
      </c>
      <c r="G20">
        <v>1566594609.2</v>
      </c>
      <c r="H20">
        <f t="shared" si="0"/>
        <v>2.4782308158228846E-3</v>
      </c>
      <c r="I20">
        <f t="shared" si="1"/>
        <v>2.7121081801068176</v>
      </c>
      <c r="J20">
        <f t="shared" si="2"/>
        <v>96.436599999999999</v>
      </c>
      <c r="K20">
        <f t="shared" si="3"/>
        <v>61.793848279969147</v>
      </c>
      <c r="L20">
        <f t="shared" si="4"/>
        <v>6.1542724259944181</v>
      </c>
      <c r="M20">
        <f t="shared" si="5"/>
        <v>9.6044691301259988</v>
      </c>
      <c r="N20">
        <f t="shared" si="6"/>
        <v>0.13822322477248675</v>
      </c>
      <c r="O20">
        <f t="shared" si="7"/>
        <v>2.2552033950334769</v>
      </c>
      <c r="P20">
        <f t="shared" si="8"/>
        <v>0.13368331912245843</v>
      </c>
      <c r="Q20">
        <f t="shared" si="9"/>
        <v>8.3947545220252245E-2</v>
      </c>
      <c r="R20">
        <f t="shared" si="10"/>
        <v>281.56308737803471</v>
      </c>
      <c r="S20">
        <f t="shared" si="11"/>
        <v>26.553831292432776</v>
      </c>
      <c r="T20">
        <f t="shared" si="12"/>
        <v>26.992100000000001</v>
      </c>
      <c r="U20">
        <f t="shared" si="13"/>
        <v>3.5774993470721888</v>
      </c>
      <c r="V20">
        <f t="shared" si="14"/>
        <v>55.152213875763223</v>
      </c>
      <c r="W20">
        <f t="shared" si="15"/>
        <v>1.7808930965759999</v>
      </c>
      <c r="X20">
        <f t="shared" si="16"/>
        <v>3.2290509689922309</v>
      </c>
      <c r="Y20">
        <f t="shared" si="17"/>
        <v>1.7966062504961888</v>
      </c>
      <c r="Z20">
        <f t="shared" si="18"/>
        <v>-109.28997897778922</v>
      </c>
      <c r="AA20">
        <f t="shared" si="19"/>
        <v>-210.75114958563984</v>
      </c>
      <c r="AB20">
        <f t="shared" si="20"/>
        <v>-19.992125366482316</v>
      </c>
      <c r="AC20">
        <f t="shared" si="21"/>
        <v>-58.470166551876645</v>
      </c>
      <c r="AD20">
        <v>-4.1323976988335197E-2</v>
      </c>
      <c r="AE20">
        <v>4.6389784348620698E-2</v>
      </c>
      <c r="AF20">
        <v>3.4645278605218199</v>
      </c>
      <c r="AG20">
        <v>0</v>
      </c>
      <c r="AH20">
        <v>0</v>
      </c>
      <c r="AI20">
        <f t="shared" si="22"/>
        <v>1</v>
      </c>
      <c r="AJ20">
        <f t="shared" si="23"/>
        <v>0</v>
      </c>
      <c r="AK20">
        <f t="shared" si="24"/>
        <v>52998.748249732249</v>
      </c>
      <c r="AL20" t="s">
        <v>278</v>
      </c>
      <c r="AM20">
        <v>602.34923076923099</v>
      </c>
      <c r="AN20">
        <v>3447.2</v>
      </c>
      <c r="AO20">
        <f t="shared" si="25"/>
        <v>2844.8507692307689</v>
      </c>
      <c r="AP20">
        <f t="shared" si="26"/>
        <v>0.82526420550904189</v>
      </c>
      <c r="AQ20">
        <v>-2.3039181891607399</v>
      </c>
      <c r="AR20" t="s">
        <v>301</v>
      </c>
      <c r="AS20">
        <v>788.86311538461496</v>
      </c>
      <c r="AT20">
        <v>1014.12</v>
      </c>
      <c r="AU20">
        <f t="shared" si="27"/>
        <v>0.2221205425545153</v>
      </c>
      <c r="AV20">
        <v>0.5</v>
      </c>
      <c r="AW20">
        <f t="shared" si="28"/>
        <v>1471.2546000963325</v>
      </c>
      <c r="AX20">
        <f t="shared" si="29"/>
        <v>2.7121081801068176</v>
      </c>
      <c r="AY20">
        <f t="shared" si="30"/>
        <v>163.3979350046119</v>
      </c>
      <c r="AZ20">
        <f t="shared" si="31"/>
        <v>0.42705005324813633</v>
      </c>
      <c r="BA20">
        <f t="shared" si="32"/>
        <v>3.4093530575463457E-3</v>
      </c>
      <c r="BB20">
        <f t="shared" si="33"/>
        <v>2.3992032501084681</v>
      </c>
      <c r="BC20" t="s">
        <v>302</v>
      </c>
      <c r="BD20">
        <v>581.04</v>
      </c>
      <c r="BE20">
        <f t="shared" si="34"/>
        <v>433.08000000000004</v>
      </c>
      <c r="BF20">
        <f t="shared" si="35"/>
        <v>0.52012765451044851</v>
      </c>
      <c r="BG20">
        <f t="shared" si="36"/>
        <v>0.84889887515002649</v>
      </c>
      <c r="BH20">
        <f t="shared" si="37"/>
        <v>0.54704437868717226</v>
      </c>
      <c r="BI20">
        <f t="shared" si="38"/>
        <v>0.8552575151974986</v>
      </c>
      <c r="BJ20">
        <v>1654</v>
      </c>
      <c r="BK20">
        <v>300</v>
      </c>
      <c r="BL20">
        <v>300</v>
      </c>
      <c r="BM20">
        <v>300</v>
      </c>
      <c r="BN20">
        <v>10301.700000000001</v>
      </c>
      <c r="BO20">
        <v>969.803</v>
      </c>
      <c r="BP20">
        <v>-7.0764699999999996E-3</v>
      </c>
      <c r="BQ20">
        <v>6.0562699999999996</v>
      </c>
      <c r="BR20">
        <f t="shared" si="39"/>
        <v>1750.06</v>
      </c>
      <c r="BS20">
        <f t="shared" si="40"/>
        <v>1471.2546000963325</v>
      </c>
      <c r="BT20">
        <f t="shared" si="41"/>
        <v>0.84068809074907869</v>
      </c>
      <c r="BU20">
        <f t="shared" si="42"/>
        <v>0.19137618149815741</v>
      </c>
      <c r="BV20" t="s">
        <v>281</v>
      </c>
      <c r="BW20">
        <v>1566594609.2</v>
      </c>
      <c r="BX20">
        <v>96.436599999999999</v>
      </c>
      <c r="BY20">
        <v>99.977800000000002</v>
      </c>
      <c r="BZ20">
        <v>17.881599999999999</v>
      </c>
      <c r="CA20">
        <v>14.961</v>
      </c>
      <c r="CB20">
        <v>500.017</v>
      </c>
      <c r="CC20">
        <v>99.493600000000001</v>
      </c>
      <c r="CD20">
        <v>0.10001</v>
      </c>
      <c r="CE20">
        <v>25.258700000000001</v>
      </c>
      <c r="CF20">
        <v>26.992100000000001</v>
      </c>
      <c r="CG20">
        <v>999.9</v>
      </c>
      <c r="CH20">
        <v>10016.200000000001</v>
      </c>
      <c r="CI20">
        <v>0</v>
      </c>
      <c r="CJ20">
        <v>1413.78</v>
      </c>
      <c r="CK20">
        <v>1750.06</v>
      </c>
      <c r="CL20">
        <v>0.97699999999999998</v>
      </c>
      <c r="CM20">
        <v>2.29999E-2</v>
      </c>
      <c r="CN20">
        <v>0</v>
      </c>
      <c r="CO20">
        <v>788.22400000000005</v>
      </c>
      <c r="CP20">
        <v>4.99986</v>
      </c>
      <c r="CQ20">
        <v>18028.099999999999</v>
      </c>
      <c r="CR20">
        <v>14221.2</v>
      </c>
      <c r="CS20">
        <v>41.311999999999998</v>
      </c>
      <c r="CT20">
        <v>42.936999999999998</v>
      </c>
      <c r="CU20">
        <v>41.686999999999998</v>
      </c>
      <c r="CV20">
        <v>42.875</v>
      </c>
      <c r="CW20">
        <v>43.25</v>
      </c>
      <c r="CX20">
        <v>1704.92</v>
      </c>
      <c r="CY20">
        <v>40.14</v>
      </c>
      <c r="CZ20">
        <v>0</v>
      </c>
      <c r="DA20">
        <v>116.59999990463299</v>
      </c>
      <c r="DB20">
        <v>788.86311538461496</v>
      </c>
      <c r="DC20">
        <v>-3.0411966027058899</v>
      </c>
      <c r="DD20">
        <v>-11.911110780107601</v>
      </c>
      <c r="DE20">
        <v>18024.900000000001</v>
      </c>
      <c r="DF20">
        <v>15</v>
      </c>
      <c r="DG20">
        <v>1566594634.2</v>
      </c>
      <c r="DH20" t="s">
        <v>303</v>
      </c>
      <c r="DI20">
        <v>100</v>
      </c>
      <c r="DJ20">
        <v>-0.23400000000000001</v>
      </c>
      <c r="DK20">
        <v>8.5000000000000006E-2</v>
      </c>
      <c r="DL20">
        <v>100</v>
      </c>
      <c r="DM20">
        <v>15</v>
      </c>
      <c r="DN20">
        <v>0.26</v>
      </c>
      <c r="DO20">
        <v>0.03</v>
      </c>
      <c r="DP20">
        <v>2.6541858518883399</v>
      </c>
      <c r="DQ20">
        <v>0.40297690388760499</v>
      </c>
      <c r="DR20">
        <v>7.9254928644183403E-2</v>
      </c>
      <c r="DS20">
        <v>0</v>
      </c>
      <c r="DT20">
        <v>0.133778173952353</v>
      </c>
      <c r="DU20">
        <v>1.9442547143132701E-2</v>
      </c>
      <c r="DV20">
        <v>3.7467149246621298E-3</v>
      </c>
      <c r="DW20">
        <v>1</v>
      </c>
      <c r="DX20">
        <v>1</v>
      </c>
      <c r="DY20">
        <v>2</v>
      </c>
      <c r="DZ20" t="s">
        <v>293</v>
      </c>
      <c r="EA20">
        <v>1.8666799999999999</v>
      </c>
      <c r="EB20">
        <v>1.8632500000000001</v>
      </c>
      <c r="EC20">
        <v>1.8689</v>
      </c>
      <c r="ED20">
        <v>1.86677</v>
      </c>
      <c r="EE20">
        <v>1.8714900000000001</v>
      </c>
      <c r="EF20">
        <v>1.86399</v>
      </c>
      <c r="EG20">
        <v>1.86554</v>
      </c>
      <c r="EH20">
        <v>1.8654200000000001</v>
      </c>
      <c r="EI20" t="s">
        <v>284</v>
      </c>
      <c r="EJ20" t="s">
        <v>19</v>
      </c>
      <c r="EK20" t="s">
        <v>19</v>
      </c>
      <c r="EL20" t="s">
        <v>19</v>
      </c>
      <c r="EM20" t="s">
        <v>285</v>
      </c>
      <c r="EN20" t="s">
        <v>286</v>
      </c>
      <c r="EO20" t="s">
        <v>287</v>
      </c>
      <c r="EP20" t="s">
        <v>287</v>
      </c>
      <c r="EQ20" t="s">
        <v>287</v>
      </c>
      <c r="ER20" t="s">
        <v>287</v>
      </c>
      <c r="ES20">
        <v>0</v>
      </c>
      <c r="ET20">
        <v>100</v>
      </c>
      <c r="EU20">
        <v>100</v>
      </c>
      <c r="EV20">
        <v>-0.23400000000000001</v>
      </c>
      <c r="EW20">
        <v>8.5000000000000006E-2</v>
      </c>
      <c r="EX20">
        <v>2</v>
      </c>
      <c r="EY20">
        <v>506.88499999999999</v>
      </c>
      <c r="EZ20">
        <v>520.22</v>
      </c>
      <c r="FA20">
        <v>19.8855</v>
      </c>
      <c r="FB20">
        <v>29.578299999999999</v>
      </c>
      <c r="FC20">
        <v>30.001000000000001</v>
      </c>
      <c r="FD20">
        <v>29.55</v>
      </c>
      <c r="FE20">
        <v>29.554200000000002</v>
      </c>
      <c r="FF20">
        <v>8.09009</v>
      </c>
      <c r="FG20">
        <v>46.129100000000001</v>
      </c>
      <c r="FH20">
        <v>0</v>
      </c>
      <c r="FI20">
        <v>19.8979</v>
      </c>
      <c r="FJ20">
        <v>100</v>
      </c>
      <c r="FK20">
        <v>14.844099999999999</v>
      </c>
      <c r="FL20">
        <v>101.337</v>
      </c>
      <c r="FM20">
        <v>101.962</v>
      </c>
    </row>
    <row r="21" spans="1:169" x14ac:dyDescent="0.35">
      <c r="A21">
        <v>5</v>
      </c>
      <c r="B21">
        <v>1566594717.7</v>
      </c>
      <c r="C21">
        <v>456</v>
      </c>
      <c r="D21" t="s">
        <v>304</v>
      </c>
      <c r="E21" t="s">
        <v>305</v>
      </c>
      <c r="G21">
        <v>1566594717.7</v>
      </c>
      <c r="H21">
        <f t="shared" si="0"/>
        <v>3.1637574587111048E-3</v>
      </c>
      <c r="I21">
        <f t="shared" si="1"/>
        <v>0.35825183872306016</v>
      </c>
      <c r="J21">
        <f t="shared" si="2"/>
        <v>49.258099999999999</v>
      </c>
      <c r="K21">
        <f t="shared" si="3"/>
        <v>44.604041625296098</v>
      </c>
      <c r="L21">
        <f t="shared" si="4"/>
        <v>4.44251611307216</v>
      </c>
      <c r="M21">
        <f t="shared" si="5"/>
        <v>4.9060554823178997</v>
      </c>
      <c r="N21">
        <f t="shared" si="6"/>
        <v>0.180822954457725</v>
      </c>
      <c r="O21">
        <f t="shared" si="7"/>
        <v>2.2581584524148242</v>
      </c>
      <c r="P21">
        <f t="shared" si="8"/>
        <v>0.17314676039074153</v>
      </c>
      <c r="Q21">
        <f t="shared" si="9"/>
        <v>0.108879245435789</v>
      </c>
      <c r="R21">
        <f t="shared" si="10"/>
        <v>281.52741376065512</v>
      </c>
      <c r="S21">
        <f t="shared" si="11"/>
        <v>26.433107369695932</v>
      </c>
      <c r="T21">
        <f t="shared" si="12"/>
        <v>26.9757</v>
      </c>
      <c r="U21">
        <f t="shared" si="13"/>
        <v>3.5740546999644534</v>
      </c>
      <c r="V21">
        <f t="shared" si="14"/>
        <v>55.487844932837049</v>
      </c>
      <c r="W21">
        <f t="shared" si="15"/>
        <v>1.8032989120704002</v>
      </c>
      <c r="X21">
        <f t="shared" si="16"/>
        <v>3.2498989900457085</v>
      </c>
      <c r="Y21">
        <f t="shared" si="17"/>
        <v>1.7707557878940532</v>
      </c>
      <c r="Z21">
        <f t="shared" si="18"/>
        <v>-139.52170392915971</v>
      </c>
      <c r="AA21">
        <f t="shared" si="19"/>
        <v>-195.85826975722262</v>
      </c>
      <c r="AB21">
        <f t="shared" si="20"/>
        <v>-18.563575737679965</v>
      </c>
      <c r="AC21">
        <f t="shared" si="21"/>
        <v>-72.416135663407175</v>
      </c>
      <c r="AD21">
        <v>-4.1403745862367197E-2</v>
      </c>
      <c r="AE21">
        <v>4.64793318978588E-2</v>
      </c>
      <c r="AF21">
        <v>3.4698173120728901</v>
      </c>
      <c r="AG21">
        <v>0</v>
      </c>
      <c r="AH21">
        <v>0</v>
      </c>
      <c r="AI21">
        <f t="shared" si="22"/>
        <v>1</v>
      </c>
      <c r="AJ21">
        <f t="shared" si="23"/>
        <v>0</v>
      </c>
      <c r="AK21">
        <f t="shared" si="24"/>
        <v>53077.667150716698</v>
      </c>
      <c r="AL21" t="s">
        <v>278</v>
      </c>
      <c r="AM21">
        <v>602.34923076923099</v>
      </c>
      <c r="AN21">
        <v>3447.2</v>
      </c>
      <c r="AO21">
        <f t="shared" si="25"/>
        <v>2844.8507692307689</v>
      </c>
      <c r="AP21">
        <f t="shared" si="26"/>
        <v>0.82526420550904189</v>
      </c>
      <c r="AQ21">
        <v>-2.3039181891607399</v>
      </c>
      <c r="AR21" t="s">
        <v>306</v>
      </c>
      <c r="AS21">
        <v>788.420769230769</v>
      </c>
      <c r="AT21">
        <v>991.59900000000005</v>
      </c>
      <c r="AU21">
        <f t="shared" si="27"/>
        <v>0.20489959224367016</v>
      </c>
      <c r="AV21">
        <v>0.5</v>
      </c>
      <c r="AW21">
        <f t="shared" si="28"/>
        <v>1471.0695000963206</v>
      </c>
      <c r="AX21">
        <f t="shared" si="29"/>
        <v>0.35825183872306016</v>
      </c>
      <c r="AY21">
        <f t="shared" si="30"/>
        <v>150.71077036591788</v>
      </c>
      <c r="AZ21">
        <f t="shared" si="31"/>
        <v>0.41696189689582186</v>
      </c>
      <c r="BA21">
        <f t="shared" si="32"/>
        <v>1.8096833818589061E-3</v>
      </c>
      <c r="BB21">
        <f t="shared" si="33"/>
        <v>2.4764052807636951</v>
      </c>
      <c r="BC21" t="s">
        <v>307</v>
      </c>
      <c r="BD21">
        <v>578.14</v>
      </c>
      <c r="BE21">
        <f t="shared" si="34"/>
        <v>413.45900000000006</v>
      </c>
      <c r="BF21">
        <f t="shared" si="35"/>
        <v>0.49141083098742805</v>
      </c>
      <c r="BG21">
        <f t="shared" si="36"/>
        <v>0.85589043101224782</v>
      </c>
      <c r="BH21">
        <f t="shared" si="37"/>
        <v>0.5219739273596733</v>
      </c>
      <c r="BI21">
        <f t="shared" si="38"/>
        <v>0.86317392341250287</v>
      </c>
      <c r="BJ21">
        <v>1656</v>
      </c>
      <c r="BK21">
        <v>300</v>
      </c>
      <c r="BL21">
        <v>300</v>
      </c>
      <c r="BM21">
        <v>300</v>
      </c>
      <c r="BN21">
        <v>10300.1</v>
      </c>
      <c r="BO21">
        <v>952.14</v>
      </c>
      <c r="BP21">
        <v>-7.0751599999999996E-3</v>
      </c>
      <c r="BQ21">
        <v>5.6056499999999998</v>
      </c>
      <c r="BR21">
        <f t="shared" si="39"/>
        <v>1749.84</v>
      </c>
      <c r="BS21">
        <f t="shared" si="40"/>
        <v>1471.0695000963206</v>
      </c>
      <c r="BT21">
        <f t="shared" si="41"/>
        <v>0.84068800581557213</v>
      </c>
      <c r="BU21">
        <f t="shared" si="42"/>
        <v>0.19137601163114434</v>
      </c>
      <c r="BV21" t="s">
        <v>281</v>
      </c>
      <c r="BW21">
        <v>1566594717.7</v>
      </c>
      <c r="BX21">
        <v>49.258099999999999</v>
      </c>
      <c r="BY21">
        <v>49.874899999999997</v>
      </c>
      <c r="BZ21">
        <v>18.105599999999999</v>
      </c>
      <c r="CA21">
        <v>14.378500000000001</v>
      </c>
      <c r="CB21">
        <v>500.09</v>
      </c>
      <c r="CC21">
        <v>99.498900000000006</v>
      </c>
      <c r="CD21">
        <v>0.100059</v>
      </c>
      <c r="CE21">
        <v>25.366900000000001</v>
      </c>
      <c r="CF21">
        <v>26.9757</v>
      </c>
      <c r="CG21">
        <v>999.9</v>
      </c>
      <c r="CH21">
        <v>10035</v>
      </c>
      <c r="CI21">
        <v>0</v>
      </c>
      <c r="CJ21">
        <v>1411.67</v>
      </c>
      <c r="CK21">
        <v>1749.84</v>
      </c>
      <c r="CL21">
        <v>0.97699999999999998</v>
      </c>
      <c r="CM21">
        <v>2.29999E-2</v>
      </c>
      <c r="CN21">
        <v>0</v>
      </c>
      <c r="CO21">
        <v>788.31700000000001</v>
      </c>
      <c r="CP21">
        <v>4.99986</v>
      </c>
      <c r="CQ21">
        <v>18009.8</v>
      </c>
      <c r="CR21">
        <v>14219.4</v>
      </c>
      <c r="CS21">
        <v>41.875</v>
      </c>
      <c r="CT21">
        <v>43.625</v>
      </c>
      <c r="CU21">
        <v>42.25</v>
      </c>
      <c r="CV21">
        <v>43.625</v>
      </c>
      <c r="CW21">
        <v>43.811999999999998</v>
      </c>
      <c r="CX21">
        <v>1704.71</v>
      </c>
      <c r="CY21">
        <v>40.130000000000003</v>
      </c>
      <c r="CZ21">
        <v>0</v>
      </c>
      <c r="DA21">
        <v>108.200000047684</v>
      </c>
      <c r="DB21">
        <v>788.420769230769</v>
      </c>
      <c r="DC21">
        <v>0.264273493667597</v>
      </c>
      <c r="DD21">
        <v>-329.93504343957602</v>
      </c>
      <c r="DE21">
        <v>18078.053846153802</v>
      </c>
      <c r="DF21">
        <v>15</v>
      </c>
      <c r="DG21">
        <v>1566594748.2</v>
      </c>
      <c r="DH21" t="s">
        <v>308</v>
      </c>
      <c r="DI21">
        <v>101</v>
      </c>
      <c r="DJ21">
        <v>-0.29499999999999998</v>
      </c>
      <c r="DK21">
        <v>7.6999999999999999E-2</v>
      </c>
      <c r="DL21">
        <v>50</v>
      </c>
      <c r="DM21">
        <v>14</v>
      </c>
      <c r="DN21">
        <v>0.23</v>
      </c>
      <c r="DO21">
        <v>0.02</v>
      </c>
      <c r="DP21">
        <v>0.338894086308689</v>
      </c>
      <c r="DQ21">
        <v>0.29441841130122398</v>
      </c>
      <c r="DR21">
        <v>7.1920401241694507E-2</v>
      </c>
      <c r="DS21">
        <v>1</v>
      </c>
      <c r="DT21">
        <v>0.171500447415631</v>
      </c>
      <c r="DU21">
        <v>2.8816062174440001E-2</v>
      </c>
      <c r="DV21">
        <v>5.5016097813374498E-3</v>
      </c>
      <c r="DW21">
        <v>1</v>
      </c>
      <c r="DX21">
        <v>2</v>
      </c>
      <c r="DY21">
        <v>2</v>
      </c>
      <c r="DZ21" t="s">
        <v>283</v>
      </c>
      <c r="EA21">
        <v>1.86669</v>
      </c>
      <c r="EB21">
        <v>1.8632299999999999</v>
      </c>
      <c r="EC21">
        <v>1.8688899999999999</v>
      </c>
      <c r="ED21">
        <v>1.8667800000000001</v>
      </c>
      <c r="EE21">
        <v>1.8714900000000001</v>
      </c>
      <c r="EF21">
        <v>1.8640000000000001</v>
      </c>
      <c r="EG21">
        <v>1.86555</v>
      </c>
      <c r="EH21">
        <v>1.8654599999999999</v>
      </c>
      <c r="EI21" t="s">
        <v>284</v>
      </c>
      <c r="EJ21" t="s">
        <v>19</v>
      </c>
      <c r="EK21" t="s">
        <v>19</v>
      </c>
      <c r="EL21" t="s">
        <v>19</v>
      </c>
      <c r="EM21" t="s">
        <v>285</v>
      </c>
      <c r="EN21" t="s">
        <v>286</v>
      </c>
      <c r="EO21" t="s">
        <v>287</v>
      </c>
      <c r="EP21" t="s">
        <v>287</v>
      </c>
      <c r="EQ21" t="s">
        <v>287</v>
      </c>
      <c r="ER21" t="s">
        <v>287</v>
      </c>
      <c r="ES21">
        <v>0</v>
      </c>
      <c r="ET21">
        <v>100</v>
      </c>
      <c r="EU21">
        <v>100</v>
      </c>
      <c r="EV21">
        <v>-0.29499999999999998</v>
      </c>
      <c r="EW21">
        <v>7.6999999999999999E-2</v>
      </c>
      <c r="EX21">
        <v>2</v>
      </c>
      <c r="EY21">
        <v>506.98399999999998</v>
      </c>
      <c r="EZ21">
        <v>518.51800000000003</v>
      </c>
      <c r="FA21">
        <v>19.756799999999998</v>
      </c>
      <c r="FB21">
        <v>29.904499999999999</v>
      </c>
      <c r="FC21">
        <v>30.000299999999999</v>
      </c>
      <c r="FD21">
        <v>29.765999999999998</v>
      </c>
      <c r="FE21">
        <v>29.753599999999999</v>
      </c>
      <c r="FF21">
        <v>5.6392199999999999</v>
      </c>
      <c r="FG21">
        <v>48.256799999999998</v>
      </c>
      <c r="FH21">
        <v>0</v>
      </c>
      <c r="FI21">
        <v>19.9498</v>
      </c>
      <c r="FJ21">
        <v>50</v>
      </c>
      <c r="FK21">
        <v>14.248799999999999</v>
      </c>
      <c r="FL21">
        <v>101.28400000000001</v>
      </c>
      <c r="FM21">
        <v>101.896</v>
      </c>
    </row>
    <row r="22" spans="1:169" x14ac:dyDescent="0.35">
      <c r="A22">
        <v>6</v>
      </c>
      <c r="B22">
        <v>1566594825.2</v>
      </c>
      <c r="C22">
        <v>563.5</v>
      </c>
      <c r="D22" t="s">
        <v>309</v>
      </c>
      <c r="E22" t="s">
        <v>310</v>
      </c>
      <c r="G22">
        <v>1566594825.2</v>
      </c>
      <c r="H22">
        <f t="shared" si="0"/>
        <v>4.3561577003289782E-3</v>
      </c>
      <c r="I22">
        <f t="shared" si="1"/>
        <v>-2.0507816547116966</v>
      </c>
      <c r="J22">
        <f t="shared" si="2"/>
        <v>14.884</v>
      </c>
      <c r="K22">
        <f t="shared" si="3"/>
        <v>27.630033226109006</v>
      </c>
      <c r="L22">
        <f t="shared" si="4"/>
        <v>2.7522963365973649</v>
      </c>
      <c r="M22">
        <f t="shared" si="5"/>
        <v>1.4826322624616</v>
      </c>
      <c r="N22">
        <f t="shared" si="6"/>
        <v>0.25920896448499753</v>
      </c>
      <c r="O22">
        <f t="shared" si="7"/>
        <v>2.2524413160013985</v>
      </c>
      <c r="P22">
        <f t="shared" si="8"/>
        <v>0.24370408131788127</v>
      </c>
      <c r="Q22">
        <f t="shared" si="9"/>
        <v>0.15363075737913282</v>
      </c>
      <c r="R22">
        <f t="shared" si="10"/>
        <v>281.53060574171928</v>
      </c>
      <c r="S22">
        <f t="shared" si="11"/>
        <v>26.421048599284109</v>
      </c>
      <c r="T22">
        <f t="shared" si="12"/>
        <v>26.9693</v>
      </c>
      <c r="U22">
        <f t="shared" si="13"/>
        <v>3.5727112330404305</v>
      </c>
      <c r="V22">
        <f t="shared" si="14"/>
        <v>55.36577091279127</v>
      </c>
      <c r="W22">
        <f t="shared" si="15"/>
        <v>1.8405399296898002</v>
      </c>
      <c r="X22">
        <f t="shared" si="16"/>
        <v>3.3243281893227943</v>
      </c>
      <c r="Y22">
        <f t="shared" si="17"/>
        <v>1.7321713033506303</v>
      </c>
      <c r="Z22">
        <f t="shared" si="18"/>
        <v>-192.10655458450793</v>
      </c>
      <c r="AA22">
        <f t="shared" si="19"/>
        <v>-148.27044541471452</v>
      </c>
      <c r="AB22">
        <f t="shared" si="20"/>
        <v>-14.115303128198743</v>
      </c>
      <c r="AC22">
        <f t="shared" si="21"/>
        <v>-72.961697385701882</v>
      </c>
      <c r="AD22">
        <v>-4.1249503341776503E-2</v>
      </c>
      <c r="AE22">
        <v>4.6306181156108801E-2</v>
      </c>
      <c r="AF22">
        <v>3.4595863493687</v>
      </c>
      <c r="AG22">
        <v>0</v>
      </c>
      <c r="AH22">
        <v>0</v>
      </c>
      <c r="AI22">
        <f t="shared" si="22"/>
        <v>1</v>
      </c>
      <c r="AJ22">
        <f t="shared" si="23"/>
        <v>0</v>
      </c>
      <c r="AK22">
        <f t="shared" si="24"/>
        <v>52820.854610911614</v>
      </c>
      <c r="AL22" t="s">
        <v>278</v>
      </c>
      <c r="AM22">
        <v>602.34923076923099</v>
      </c>
      <c r="AN22">
        <v>3447.2</v>
      </c>
      <c r="AO22">
        <f t="shared" si="25"/>
        <v>2844.8507692307689</v>
      </c>
      <c r="AP22">
        <f t="shared" si="26"/>
        <v>0.82526420550904189</v>
      </c>
      <c r="AQ22">
        <v>-2.3039181891607399</v>
      </c>
      <c r="AR22" t="s">
        <v>311</v>
      </c>
      <c r="AS22">
        <v>792.43792307692297</v>
      </c>
      <c r="AT22">
        <v>968.74900000000002</v>
      </c>
      <c r="AU22">
        <f t="shared" si="27"/>
        <v>0.18199871888701513</v>
      </c>
      <c r="AV22">
        <v>0.5</v>
      </c>
      <c r="AW22">
        <f t="shared" si="28"/>
        <v>1471.0863000963195</v>
      </c>
      <c r="AX22">
        <f t="shared" si="29"/>
        <v>-2.0507816547116966</v>
      </c>
      <c r="AY22">
        <f t="shared" si="30"/>
        <v>133.86791099488462</v>
      </c>
      <c r="AZ22">
        <f t="shared" si="31"/>
        <v>0.40226002813938394</v>
      </c>
      <c r="BA22">
        <f t="shared" si="32"/>
        <v>1.7207456451227173E-4</v>
      </c>
      <c r="BB22">
        <f t="shared" si="33"/>
        <v>2.5584036731908886</v>
      </c>
      <c r="BC22" t="s">
        <v>312</v>
      </c>
      <c r="BD22">
        <v>579.05999999999995</v>
      </c>
      <c r="BE22">
        <f t="shared" si="34"/>
        <v>389.68900000000008</v>
      </c>
      <c r="BF22">
        <f t="shared" si="35"/>
        <v>0.45244047669571635</v>
      </c>
      <c r="BG22">
        <f t="shared" si="36"/>
        <v>0.86413180667610368</v>
      </c>
      <c r="BH22">
        <f t="shared" si="37"/>
        <v>0.48119865712041782</v>
      </c>
      <c r="BI22">
        <f t="shared" si="38"/>
        <v>0.87120597916992271</v>
      </c>
      <c r="BJ22">
        <v>1658</v>
      </c>
      <c r="BK22">
        <v>300</v>
      </c>
      <c r="BL22">
        <v>300</v>
      </c>
      <c r="BM22">
        <v>300</v>
      </c>
      <c r="BN22">
        <v>10299.6</v>
      </c>
      <c r="BO22">
        <v>938.11699999999996</v>
      </c>
      <c r="BP22">
        <v>-7.0743300000000002E-3</v>
      </c>
      <c r="BQ22">
        <v>5.7044699999999997</v>
      </c>
      <c r="BR22">
        <f t="shared" si="39"/>
        <v>1749.86</v>
      </c>
      <c r="BS22">
        <f t="shared" si="40"/>
        <v>1471.0863000963195</v>
      </c>
      <c r="BT22">
        <f t="shared" si="41"/>
        <v>0.84068799795201876</v>
      </c>
      <c r="BU22">
        <f t="shared" si="42"/>
        <v>0.19137599590403773</v>
      </c>
      <c r="BV22" t="s">
        <v>281</v>
      </c>
      <c r="BW22">
        <v>1566594825.2</v>
      </c>
      <c r="BX22">
        <v>14.884</v>
      </c>
      <c r="BY22">
        <v>12.501099999999999</v>
      </c>
      <c r="BZ22">
        <v>18.477</v>
      </c>
      <c r="CA22">
        <v>13.3467</v>
      </c>
      <c r="CB22">
        <v>500.04899999999998</v>
      </c>
      <c r="CC22">
        <v>99.512500000000003</v>
      </c>
      <c r="CD22">
        <v>9.9987400000000004E-2</v>
      </c>
      <c r="CE22">
        <v>25.7483</v>
      </c>
      <c r="CF22">
        <v>26.9693</v>
      </c>
      <c r="CG22">
        <v>999.9</v>
      </c>
      <c r="CH22">
        <v>9996.25</v>
      </c>
      <c r="CI22">
        <v>0</v>
      </c>
      <c r="CJ22">
        <v>1368.35</v>
      </c>
      <c r="CK22">
        <v>1749.86</v>
      </c>
      <c r="CL22">
        <v>0.97699999999999998</v>
      </c>
      <c r="CM22">
        <v>2.29999E-2</v>
      </c>
      <c r="CN22">
        <v>0</v>
      </c>
      <c r="CO22">
        <v>792.56700000000001</v>
      </c>
      <c r="CP22">
        <v>4.99986</v>
      </c>
      <c r="CQ22">
        <v>18156.099999999999</v>
      </c>
      <c r="CR22">
        <v>14219.6</v>
      </c>
      <c r="CS22">
        <v>42.186999999999998</v>
      </c>
      <c r="CT22">
        <v>44</v>
      </c>
      <c r="CU22">
        <v>42.561999999999998</v>
      </c>
      <c r="CV22">
        <v>44.061999999999998</v>
      </c>
      <c r="CW22">
        <v>44.186999999999998</v>
      </c>
      <c r="CX22">
        <v>1704.73</v>
      </c>
      <c r="CY22">
        <v>40.130000000000003</v>
      </c>
      <c r="CZ22">
        <v>0</v>
      </c>
      <c r="DA22">
        <v>107</v>
      </c>
      <c r="DB22">
        <v>792.43792307692297</v>
      </c>
      <c r="DC22">
        <v>1.1790769241074499</v>
      </c>
      <c r="DD22">
        <v>284.21196688557097</v>
      </c>
      <c r="DE22">
        <v>18044.607692307702</v>
      </c>
      <c r="DF22">
        <v>15</v>
      </c>
      <c r="DG22">
        <v>1566594858.7</v>
      </c>
      <c r="DH22" t="s">
        <v>313</v>
      </c>
      <c r="DI22">
        <v>102</v>
      </c>
      <c r="DJ22">
        <v>-0.40400000000000003</v>
      </c>
      <c r="DK22">
        <v>6.0999999999999999E-2</v>
      </c>
      <c r="DL22">
        <v>12</v>
      </c>
      <c r="DM22">
        <v>13</v>
      </c>
      <c r="DN22">
        <v>0.26</v>
      </c>
      <c r="DO22">
        <v>0.01</v>
      </c>
      <c r="DP22">
        <v>-2.1519660941296599</v>
      </c>
      <c r="DQ22">
        <v>0.28530035256881597</v>
      </c>
      <c r="DR22">
        <v>7.8095430510196101E-2</v>
      </c>
      <c r="DS22">
        <v>1</v>
      </c>
      <c r="DT22">
        <v>0.24378631833935999</v>
      </c>
      <c r="DU22">
        <v>4.7533961598993701E-2</v>
      </c>
      <c r="DV22">
        <v>9.0289330660188096E-3</v>
      </c>
      <c r="DW22">
        <v>1</v>
      </c>
      <c r="DX22">
        <v>2</v>
      </c>
      <c r="DY22">
        <v>2</v>
      </c>
      <c r="DZ22" t="s">
        <v>283</v>
      </c>
      <c r="EA22">
        <v>1.8667100000000001</v>
      </c>
      <c r="EB22">
        <v>1.86324</v>
      </c>
      <c r="EC22">
        <v>1.8688899999999999</v>
      </c>
      <c r="ED22">
        <v>1.8668</v>
      </c>
      <c r="EE22">
        <v>1.87148</v>
      </c>
      <c r="EF22">
        <v>1.8640099999999999</v>
      </c>
      <c r="EG22">
        <v>1.86554</v>
      </c>
      <c r="EH22">
        <v>1.8654500000000001</v>
      </c>
      <c r="EI22" t="s">
        <v>284</v>
      </c>
      <c r="EJ22" t="s">
        <v>19</v>
      </c>
      <c r="EK22" t="s">
        <v>19</v>
      </c>
      <c r="EL22" t="s">
        <v>19</v>
      </c>
      <c r="EM22" t="s">
        <v>285</v>
      </c>
      <c r="EN22" t="s">
        <v>286</v>
      </c>
      <c r="EO22" t="s">
        <v>287</v>
      </c>
      <c r="EP22" t="s">
        <v>287</v>
      </c>
      <c r="EQ22" t="s">
        <v>287</v>
      </c>
      <c r="ER22" t="s">
        <v>287</v>
      </c>
      <c r="ES22">
        <v>0</v>
      </c>
      <c r="ET22">
        <v>100</v>
      </c>
      <c r="EU22">
        <v>100</v>
      </c>
      <c r="EV22">
        <v>-0.40400000000000003</v>
      </c>
      <c r="EW22">
        <v>6.0999999999999999E-2</v>
      </c>
      <c r="EX22">
        <v>2</v>
      </c>
      <c r="EY22">
        <v>507.48500000000001</v>
      </c>
      <c r="EZ22">
        <v>516.98599999999999</v>
      </c>
      <c r="FA22">
        <v>20.925999999999998</v>
      </c>
      <c r="FB22">
        <v>30.2118</v>
      </c>
      <c r="FC22">
        <v>30.000900000000001</v>
      </c>
      <c r="FD22">
        <v>30.011199999999999</v>
      </c>
      <c r="FE22">
        <v>29.9834</v>
      </c>
      <c r="FF22">
        <v>3.8332799999999998</v>
      </c>
      <c r="FG22">
        <v>51.997799999999998</v>
      </c>
      <c r="FH22">
        <v>0</v>
      </c>
      <c r="FI22">
        <v>20.938600000000001</v>
      </c>
      <c r="FJ22">
        <v>12.5</v>
      </c>
      <c r="FK22">
        <v>13.199299999999999</v>
      </c>
      <c r="FL22">
        <v>101.229</v>
      </c>
      <c r="FM22">
        <v>101.837</v>
      </c>
    </row>
    <row r="23" spans="1:169" x14ac:dyDescent="0.35">
      <c r="A23">
        <v>8</v>
      </c>
      <c r="B23">
        <v>1566595063.7</v>
      </c>
      <c r="C23">
        <v>802</v>
      </c>
      <c r="D23" t="s">
        <v>314</v>
      </c>
      <c r="E23" t="s">
        <v>315</v>
      </c>
      <c r="G23">
        <v>1566595063.7</v>
      </c>
      <c r="H23">
        <f t="shared" si="0"/>
        <v>4.5131489362128744E-3</v>
      </c>
      <c r="I23">
        <f t="shared" si="1"/>
        <v>25.444383045197082</v>
      </c>
      <c r="J23">
        <f t="shared" si="2"/>
        <v>367.505</v>
      </c>
      <c r="K23">
        <f t="shared" si="3"/>
        <v>201.98008028401748</v>
      </c>
      <c r="L23">
        <f t="shared" si="4"/>
        <v>20.12181865776363</v>
      </c>
      <c r="M23">
        <f t="shared" si="5"/>
        <v>36.611872593688503</v>
      </c>
      <c r="N23">
        <f t="shared" si="6"/>
        <v>0.27323551996494078</v>
      </c>
      <c r="O23">
        <f t="shared" si="7"/>
        <v>2.2495366979745608</v>
      </c>
      <c r="P23">
        <f t="shared" si="8"/>
        <v>0.25604615935506103</v>
      </c>
      <c r="Q23">
        <f t="shared" si="9"/>
        <v>0.16148304788908854</v>
      </c>
      <c r="R23">
        <f t="shared" si="10"/>
        <v>281.54177767544689</v>
      </c>
      <c r="S23">
        <f t="shared" si="11"/>
        <v>27.098685222747235</v>
      </c>
      <c r="T23">
        <f t="shared" si="12"/>
        <v>27.176200000000001</v>
      </c>
      <c r="U23">
        <f t="shared" si="13"/>
        <v>3.6163669328332944</v>
      </c>
      <c r="V23">
        <f t="shared" si="14"/>
        <v>55.004011426873078</v>
      </c>
      <c r="W23">
        <f t="shared" si="15"/>
        <v>1.9090814429738701</v>
      </c>
      <c r="X23">
        <f t="shared" si="16"/>
        <v>3.4708040258335742</v>
      </c>
      <c r="Y23">
        <f t="shared" si="17"/>
        <v>1.7072854898594243</v>
      </c>
      <c r="Z23">
        <f t="shared" si="18"/>
        <v>-199.02986808698776</v>
      </c>
      <c r="AA23">
        <f t="shared" si="19"/>
        <v>-84.724127891397785</v>
      </c>
      <c r="AB23">
        <f t="shared" si="20"/>
        <v>-8.1140486136009464</v>
      </c>
      <c r="AC23">
        <f t="shared" si="21"/>
        <v>-10.326266916539623</v>
      </c>
      <c r="AD23">
        <v>-4.1171275725495102E-2</v>
      </c>
      <c r="AE23">
        <v>4.6218363803717397E-2</v>
      </c>
      <c r="AF23">
        <v>3.4543924412700799</v>
      </c>
      <c r="AG23">
        <v>0</v>
      </c>
      <c r="AH23">
        <v>0</v>
      </c>
      <c r="AI23">
        <f t="shared" si="22"/>
        <v>1</v>
      </c>
      <c r="AJ23">
        <f t="shared" si="23"/>
        <v>0</v>
      </c>
      <c r="AK23">
        <f t="shared" si="24"/>
        <v>52596.565322124276</v>
      </c>
      <c r="AL23" t="s">
        <v>278</v>
      </c>
      <c r="AM23">
        <v>602.34923076923099</v>
      </c>
      <c r="AN23">
        <v>3447.2</v>
      </c>
      <c r="AO23">
        <f t="shared" si="25"/>
        <v>2844.8507692307689</v>
      </c>
      <c r="AP23">
        <f t="shared" si="26"/>
        <v>0.82526420550904189</v>
      </c>
      <c r="AQ23">
        <v>-2.3039181891607399</v>
      </c>
      <c r="AR23" t="s">
        <v>316</v>
      </c>
      <c r="AS23">
        <v>754.57884615384603</v>
      </c>
      <c r="AT23">
        <v>1116.2</v>
      </c>
      <c r="AU23">
        <f t="shared" si="27"/>
        <v>0.32397523189943922</v>
      </c>
      <c r="AV23">
        <v>0.5</v>
      </c>
      <c r="AW23">
        <f t="shared" si="28"/>
        <v>1471.1451000963157</v>
      </c>
      <c r="AX23">
        <f t="shared" si="29"/>
        <v>25.444383045197082</v>
      </c>
      <c r="AY23">
        <f t="shared" si="30"/>
        <v>238.3072874807138</v>
      </c>
      <c r="AZ23">
        <f t="shared" si="31"/>
        <v>0.52687690378068441</v>
      </c>
      <c r="BA23">
        <f t="shared" si="32"/>
        <v>1.8861702514960044E-2</v>
      </c>
      <c r="BB23">
        <f t="shared" si="33"/>
        <v>2.0883354237591827</v>
      </c>
      <c r="BC23" t="s">
        <v>317</v>
      </c>
      <c r="BD23">
        <v>528.1</v>
      </c>
      <c r="BE23">
        <f t="shared" si="34"/>
        <v>588.1</v>
      </c>
      <c r="BF23">
        <f t="shared" si="35"/>
        <v>0.61489738793768745</v>
      </c>
      <c r="BG23">
        <f t="shared" si="36"/>
        <v>0.79853379466273855</v>
      </c>
      <c r="BH23">
        <f t="shared" si="37"/>
        <v>0.70374742143034696</v>
      </c>
      <c r="BI23">
        <f t="shared" si="38"/>
        <v>0.81937514094290742</v>
      </c>
      <c r="BJ23">
        <v>1662</v>
      </c>
      <c r="BK23">
        <v>300</v>
      </c>
      <c r="BL23">
        <v>300</v>
      </c>
      <c r="BM23">
        <v>300</v>
      </c>
      <c r="BN23">
        <v>10298.5</v>
      </c>
      <c r="BO23">
        <v>1030.23</v>
      </c>
      <c r="BP23">
        <v>-7.07408E-3</v>
      </c>
      <c r="BQ23">
        <v>5.5203899999999999</v>
      </c>
      <c r="BR23">
        <f t="shared" si="39"/>
        <v>1749.93</v>
      </c>
      <c r="BS23">
        <f t="shared" si="40"/>
        <v>1471.1451000963157</v>
      </c>
      <c r="BT23">
        <f t="shared" si="41"/>
        <v>0.84068797043099763</v>
      </c>
      <c r="BU23">
        <f t="shared" si="42"/>
        <v>0.19137594086199544</v>
      </c>
      <c r="BV23" t="s">
        <v>281</v>
      </c>
      <c r="BW23">
        <v>1566595063.7</v>
      </c>
      <c r="BX23">
        <v>367.505</v>
      </c>
      <c r="BY23">
        <v>400.02800000000002</v>
      </c>
      <c r="BZ23">
        <v>19.1631</v>
      </c>
      <c r="CA23">
        <v>13.8512</v>
      </c>
      <c r="CB23">
        <v>500.00900000000001</v>
      </c>
      <c r="CC23">
        <v>99.522900000000007</v>
      </c>
      <c r="CD23">
        <v>9.9887699999999996E-2</v>
      </c>
      <c r="CE23">
        <v>26.477599999999999</v>
      </c>
      <c r="CF23">
        <v>27.176200000000001</v>
      </c>
      <c r="CG23">
        <v>999.9</v>
      </c>
      <c r="CH23">
        <v>9976.25</v>
      </c>
      <c r="CI23">
        <v>0</v>
      </c>
      <c r="CJ23">
        <v>1368.92</v>
      </c>
      <c r="CK23">
        <v>1749.93</v>
      </c>
      <c r="CL23">
        <v>0.97700399999999998</v>
      </c>
      <c r="CM23">
        <v>2.29959E-2</v>
      </c>
      <c r="CN23">
        <v>0</v>
      </c>
      <c r="CO23">
        <v>754.82299999999998</v>
      </c>
      <c r="CP23">
        <v>4.99986</v>
      </c>
      <c r="CQ23">
        <v>17711.8</v>
      </c>
      <c r="CR23">
        <v>14220.2</v>
      </c>
      <c r="CS23">
        <v>42.561999999999998</v>
      </c>
      <c r="CT23">
        <v>44.186999999999998</v>
      </c>
      <c r="CU23">
        <v>42.875</v>
      </c>
      <c r="CV23">
        <v>44.311999999999998</v>
      </c>
      <c r="CW23">
        <v>44.625</v>
      </c>
      <c r="CX23">
        <v>1704.8</v>
      </c>
      <c r="CY23">
        <v>40.130000000000003</v>
      </c>
      <c r="CZ23">
        <v>0</v>
      </c>
      <c r="DA23">
        <v>119.40000009536701</v>
      </c>
      <c r="DB23">
        <v>754.57884615384603</v>
      </c>
      <c r="DC23">
        <v>0.175384612544941</v>
      </c>
      <c r="DD23">
        <v>278.62222199951799</v>
      </c>
      <c r="DE23">
        <v>17688.95</v>
      </c>
      <c r="DF23">
        <v>15</v>
      </c>
      <c r="DG23">
        <v>1566595092.2</v>
      </c>
      <c r="DH23" t="s">
        <v>318</v>
      </c>
      <c r="DI23">
        <v>104</v>
      </c>
      <c r="DJ23">
        <v>-0.23200000000000001</v>
      </c>
      <c r="DK23">
        <v>6.8000000000000005E-2</v>
      </c>
      <c r="DL23">
        <v>400</v>
      </c>
      <c r="DM23">
        <v>14</v>
      </c>
      <c r="DN23">
        <v>0.04</v>
      </c>
      <c r="DO23">
        <v>0.01</v>
      </c>
      <c r="DP23">
        <v>25.794899389296098</v>
      </c>
      <c r="DQ23">
        <v>-1.0200705572920601</v>
      </c>
      <c r="DR23">
        <v>0.19336196265800701</v>
      </c>
      <c r="DS23">
        <v>0</v>
      </c>
      <c r="DT23">
        <v>0.28238725457477698</v>
      </c>
      <c r="DU23">
        <v>-3.1828231017620501E-2</v>
      </c>
      <c r="DV23">
        <v>6.0193961035420497E-3</v>
      </c>
      <c r="DW23">
        <v>1</v>
      </c>
      <c r="DX23">
        <v>1</v>
      </c>
      <c r="DY23">
        <v>2</v>
      </c>
      <c r="DZ23" t="s">
        <v>293</v>
      </c>
      <c r="EA23">
        <v>1.8666700000000001</v>
      </c>
      <c r="EB23">
        <v>1.86321</v>
      </c>
      <c r="EC23">
        <v>1.86886</v>
      </c>
      <c r="ED23">
        <v>1.86677</v>
      </c>
      <c r="EE23">
        <v>1.87147</v>
      </c>
      <c r="EF23">
        <v>1.86399</v>
      </c>
      <c r="EG23">
        <v>1.8655299999999999</v>
      </c>
      <c r="EH23">
        <v>1.8654200000000001</v>
      </c>
      <c r="EI23" t="s">
        <v>284</v>
      </c>
      <c r="EJ23" t="s">
        <v>19</v>
      </c>
      <c r="EK23" t="s">
        <v>19</v>
      </c>
      <c r="EL23" t="s">
        <v>19</v>
      </c>
      <c r="EM23" t="s">
        <v>285</v>
      </c>
      <c r="EN23" t="s">
        <v>286</v>
      </c>
      <c r="EO23" t="s">
        <v>287</v>
      </c>
      <c r="EP23" t="s">
        <v>287</v>
      </c>
      <c r="EQ23" t="s">
        <v>287</v>
      </c>
      <c r="ER23" t="s">
        <v>287</v>
      </c>
      <c r="ES23">
        <v>0</v>
      </c>
      <c r="ET23">
        <v>100</v>
      </c>
      <c r="EU23">
        <v>100</v>
      </c>
      <c r="EV23">
        <v>-0.23200000000000001</v>
      </c>
      <c r="EW23">
        <v>6.8000000000000005E-2</v>
      </c>
      <c r="EX23">
        <v>2</v>
      </c>
      <c r="EY23">
        <v>508.00099999999998</v>
      </c>
      <c r="EZ23">
        <v>519.476</v>
      </c>
      <c r="FA23">
        <v>20.960899999999999</v>
      </c>
      <c r="FB23">
        <v>30.406700000000001</v>
      </c>
      <c r="FC23">
        <v>30.000699999999998</v>
      </c>
      <c r="FD23">
        <v>30.282900000000001</v>
      </c>
      <c r="FE23">
        <v>30.2575</v>
      </c>
      <c r="FF23">
        <v>22.067799999999998</v>
      </c>
      <c r="FG23">
        <v>48.177199999999999</v>
      </c>
      <c r="FH23">
        <v>0</v>
      </c>
      <c r="FI23">
        <v>20.773099999999999</v>
      </c>
      <c r="FJ23">
        <v>400</v>
      </c>
      <c r="FK23">
        <v>13.874499999999999</v>
      </c>
      <c r="FL23">
        <v>101.19499999999999</v>
      </c>
      <c r="FM23">
        <v>101.79900000000001</v>
      </c>
    </row>
    <row r="24" spans="1:169" x14ac:dyDescent="0.35">
      <c r="A24">
        <v>9</v>
      </c>
      <c r="B24">
        <v>1566595183.7</v>
      </c>
      <c r="C24">
        <v>922</v>
      </c>
      <c r="D24" t="s">
        <v>319</v>
      </c>
      <c r="E24" t="s">
        <v>320</v>
      </c>
      <c r="G24">
        <v>1566595183.7</v>
      </c>
      <c r="H24">
        <f t="shared" si="0"/>
        <v>3.8086157026617521E-3</v>
      </c>
      <c r="I24">
        <f t="shared" si="1"/>
        <v>28.902435892264009</v>
      </c>
      <c r="J24">
        <f t="shared" si="2"/>
        <v>463.221</v>
      </c>
      <c r="K24">
        <f t="shared" si="3"/>
        <v>242.64054181654166</v>
      </c>
      <c r="L24">
        <f t="shared" si="4"/>
        <v>24.172121805249088</v>
      </c>
      <c r="M24">
        <f t="shared" si="5"/>
        <v>46.146593437857</v>
      </c>
      <c r="N24">
        <f t="shared" si="6"/>
        <v>0.23000510557918147</v>
      </c>
      <c r="O24">
        <f t="shared" si="7"/>
        <v>2.2542957569556306</v>
      </c>
      <c r="P24">
        <f t="shared" si="8"/>
        <v>0.21771771126531389</v>
      </c>
      <c r="Q24">
        <f t="shared" si="9"/>
        <v>0.13712281594383782</v>
      </c>
      <c r="R24">
        <f t="shared" si="10"/>
        <v>281.59397302388356</v>
      </c>
      <c r="S24">
        <f t="shared" si="11"/>
        <v>26.736841181056029</v>
      </c>
      <c r="T24">
        <f t="shared" si="12"/>
        <v>26.743099999999998</v>
      </c>
      <c r="U24">
        <f t="shared" si="13"/>
        <v>3.5255103232060279</v>
      </c>
      <c r="V24">
        <f t="shared" si="14"/>
        <v>54.601354836507589</v>
      </c>
      <c r="W24">
        <f t="shared" si="15"/>
        <v>1.8296414348219998</v>
      </c>
      <c r="X24">
        <f t="shared" si="16"/>
        <v>3.3509084899092354</v>
      </c>
      <c r="Y24">
        <f t="shared" si="17"/>
        <v>1.6958688883840281</v>
      </c>
      <c r="Z24">
        <f t="shared" si="18"/>
        <v>-167.95995248738328</v>
      </c>
      <c r="AA24">
        <f t="shared" si="19"/>
        <v>-104.56750328727252</v>
      </c>
      <c r="AB24">
        <f t="shared" si="20"/>
        <v>-9.9420113450005285</v>
      </c>
      <c r="AC24">
        <f t="shared" si="21"/>
        <v>-0.87549409577276549</v>
      </c>
      <c r="AD24">
        <v>-4.1299495289505501E-2</v>
      </c>
      <c r="AE24">
        <v>4.63623014969698E-2</v>
      </c>
      <c r="AF24">
        <v>3.4629037783960102</v>
      </c>
      <c r="AG24">
        <v>0</v>
      </c>
      <c r="AH24">
        <v>0</v>
      </c>
      <c r="AI24">
        <f t="shared" si="22"/>
        <v>1</v>
      </c>
      <c r="AJ24">
        <f t="shared" si="23"/>
        <v>0</v>
      </c>
      <c r="AK24">
        <f t="shared" si="24"/>
        <v>52858.656540127799</v>
      </c>
      <c r="AL24" t="s">
        <v>278</v>
      </c>
      <c r="AM24">
        <v>602.34923076923099</v>
      </c>
      <c r="AN24">
        <v>3447.2</v>
      </c>
      <c r="AO24">
        <f t="shared" si="25"/>
        <v>2844.8507692307689</v>
      </c>
      <c r="AP24">
        <f t="shared" si="26"/>
        <v>0.82526420550904189</v>
      </c>
      <c r="AQ24">
        <v>-2.3039181891607399</v>
      </c>
      <c r="AR24" t="s">
        <v>321</v>
      </c>
      <c r="AS24">
        <v>768.463153846154</v>
      </c>
      <c r="AT24">
        <v>1168.74</v>
      </c>
      <c r="AU24">
        <f t="shared" si="27"/>
        <v>0.34248579337906293</v>
      </c>
      <c r="AV24">
        <v>0.5</v>
      </c>
      <c r="AW24">
        <f t="shared" si="28"/>
        <v>1471.414500096346</v>
      </c>
      <c r="AX24">
        <f t="shared" si="29"/>
        <v>28.902435892264009</v>
      </c>
      <c r="AY24">
        <f t="shared" si="30"/>
        <v>251.96928122747718</v>
      </c>
      <c r="AZ24">
        <f t="shared" si="31"/>
        <v>0.54405599192292553</v>
      </c>
      <c r="BA24">
        <f t="shared" si="32"/>
        <v>2.1208404619759695E-2</v>
      </c>
      <c r="BB24">
        <f t="shared" si="33"/>
        <v>1.9495011722025428</v>
      </c>
      <c r="BC24" t="s">
        <v>322</v>
      </c>
      <c r="BD24">
        <v>532.88</v>
      </c>
      <c r="BE24">
        <f t="shared" si="34"/>
        <v>635.86</v>
      </c>
      <c r="BF24">
        <f t="shared" si="35"/>
        <v>0.62950468051748187</v>
      </c>
      <c r="BG24">
        <f t="shared" si="36"/>
        <v>0.78181531197672194</v>
      </c>
      <c r="BH24">
        <f t="shared" si="37"/>
        <v>0.70671498883619355</v>
      </c>
      <c r="BI24">
        <f t="shared" si="38"/>
        <v>0.80090668538514664</v>
      </c>
      <c r="BJ24">
        <v>1664</v>
      </c>
      <c r="BK24">
        <v>300</v>
      </c>
      <c r="BL24">
        <v>300</v>
      </c>
      <c r="BM24">
        <v>300</v>
      </c>
      <c r="BN24">
        <v>10297.5</v>
      </c>
      <c r="BO24">
        <v>1072.8699999999999</v>
      </c>
      <c r="BP24">
        <v>-7.0736799999999997E-3</v>
      </c>
      <c r="BQ24">
        <v>5.3317899999999998</v>
      </c>
      <c r="BR24">
        <f t="shared" si="39"/>
        <v>1750.25</v>
      </c>
      <c r="BS24">
        <f t="shared" si="40"/>
        <v>1471.414500096346</v>
      </c>
      <c r="BT24">
        <f t="shared" si="41"/>
        <v>0.84068818745684681</v>
      </c>
      <c r="BU24">
        <f t="shared" si="42"/>
        <v>0.19137637491369375</v>
      </c>
      <c r="BV24" t="s">
        <v>281</v>
      </c>
      <c r="BW24">
        <v>1566595183.7</v>
      </c>
      <c r="BX24">
        <v>463.221</v>
      </c>
      <c r="BY24">
        <v>500.02100000000002</v>
      </c>
      <c r="BZ24">
        <v>18.366</v>
      </c>
      <c r="CA24">
        <v>13.8796</v>
      </c>
      <c r="CB24">
        <v>500</v>
      </c>
      <c r="CC24">
        <v>99.521100000000004</v>
      </c>
      <c r="CD24">
        <v>0.10001699999999999</v>
      </c>
      <c r="CE24">
        <v>25.8827</v>
      </c>
      <c r="CF24">
        <v>26.743099999999998</v>
      </c>
      <c r="CG24">
        <v>999.9</v>
      </c>
      <c r="CH24">
        <v>10007.5</v>
      </c>
      <c r="CI24">
        <v>0</v>
      </c>
      <c r="CJ24">
        <v>371.50099999999998</v>
      </c>
      <c r="CK24">
        <v>1750.25</v>
      </c>
      <c r="CL24">
        <v>0.976993</v>
      </c>
      <c r="CM24">
        <v>2.3006700000000001E-2</v>
      </c>
      <c r="CN24">
        <v>0</v>
      </c>
      <c r="CO24">
        <v>768.37400000000002</v>
      </c>
      <c r="CP24">
        <v>4.99986</v>
      </c>
      <c r="CQ24">
        <v>15192.5</v>
      </c>
      <c r="CR24">
        <v>14222.8</v>
      </c>
      <c r="CS24">
        <v>42.625</v>
      </c>
      <c r="CT24">
        <v>44</v>
      </c>
      <c r="CU24">
        <v>43</v>
      </c>
      <c r="CV24">
        <v>44.061999999999998</v>
      </c>
      <c r="CW24">
        <v>44.625</v>
      </c>
      <c r="CX24">
        <v>1705.1</v>
      </c>
      <c r="CY24">
        <v>40.15</v>
      </c>
      <c r="CZ24">
        <v>0</v>
      </c>
      <c r="DA24">
        <v>119.299999952316</v>
      </c>
      <c r="DB24">
        <v>768.463153846154</v>
      </c>
      <c r="DC24">
        <v>-2.52321367939712</v>
      </c>
      <c r="DD24">
        <v>-129.99999994843901</v>
      </c>
      <c r="DE24">
        <v>15208.8807692308</v>
      </c>
      <c r="DF24">
        <v>15</v>
      </c>
      <c r="DG24">
        <v>1566595215.7</v>
      </c>
      <c r="DH24" t="s">
        <v>323</v>
      </c>
      <c r="DI24">
        <v>105</v>
      </c>
      <c r="DJ24">
        <v>-0.19800000000000001</v>
      </c>
      <c r="DK24">
        <v>7.1999999999999995E-2</v>
      </c>
      <c r="DL24">
        <v>500</v>
      </c>
      <c r="DM24">
        <v>14</v>
      </c>
      <c r="DN24">
        <v>0.04</v>
      </c>
      <c r="DO24">
        <v>0.02</v>
      </c>
      <c r="DP24">
        <v>29.389638165778798</v>
      </c>
      <c r="DQ24">
        <v>-1.3860923895864501</v>
      </c>
      <c r="DR24">
        <v>0.262999071663641</v>
      </c>
      <c r="DS24">
        <v>0</v>
      </c>
      <c r="DT24">
        <v>0.23818274738998199</v>
      </c>
      <c r="DU24">
        <v>-2.4998393422887601E-2</v>
      </c>
      <c r="DV24">
        <v>4.6994556619436899E-3</v>
      </c>
      <c r="DW24">
        <v>1</v>
      </c>
      <c r="DX24">
        <v>1</v>
      </c>
      <c r="DY24">
        <v>2</v>
      </c>
      <c r="DZ24" t="s">
        <v>293</v>
      </c>
      <c r="EA24">
        <v>1.86676</v>
      </c>
      <c r="EB24">
        <v>1.8632500000000001</v>
      </c>
      <c r="EC24">
        <v>1.8689</v>
      </c>
      <c r="ED24">
        <v>1.86683</v>
      </c>
      <c r="EE24">
        <v>1.8714900000000001</v>
      </c>
      <c r="EF24">
        <v>1.8640099999999999</v>
      </c>
      <c r="EG24">
        <v>1.86555</v>
      </c>
      <c r="EH24">
        <v>1.8655200000000001</v>
      </c>
      <c r="EI24" t="s">
        <v>284</v>
      </c>
      <c r="EJ24" t="s">
        <v>19</v>
      </c>
      <c r="EK24" t="s">
        <v>19</v>
      </c>
      <c r="EL24" t="s">
        <v>19</v>
      </c>
      <c r="EM24" t="s">
        <v>285</v>
      </c>
      <c r="EN24" t="s">
        <v>286</v>
      </c>
      <c r="EO24" t="s">
        <v>287</v>
      </c>
      <c r="EP24" t="s">
        <v>287</v>
      </c>
      <c r="EQ24" t="s">
        <v>287</v>
      </c>
      <c r="ER24" t="s">
        <v>287</v>
      </c>
      <c r="ES24">
        <v>0</v>
      </c>
      <c r="ET24">
        <v>100</v>
      </c>
      <c r="EU24">
        <v>100</v>
      </c>
      <c r="EV24">
        <v>-0.19800000000000001</v>
      </c>
      <c r="EW24">
        <v>7.1999999999999995E-2</v>
      </c>
      <c r="EX24">
        <v>2</v>
      </c>
      <c r="EY24">
        <v>508.27800000000002</v>
      </c>
      <c r="EZ24">
        <v>520.19299999999998</v>
      </c>
      <c r="FA24">
        <v>22.147600000000001</v>
      </c>
      <c r="FB24">
        <v>30.411799999999999</v>
      </c>
      <c r="FC24">
        <v>29.999300000000002</v>
      </c>
      <c r="FD24">
        <v>30.323599999999999</v>
      </c>
      <c r="FE24">
        <v>30.2986</v>
      </c>
      <c r="FF24">
        <v>26.364799999999999</v>
      </c>
      <c r="FG24">
        <v>48.091500000000003</v>
      </c>
      <c r="FH24">
        <v>0</v>
      </c>
      <c r="FI24">
        <v>22.345199999999998</v>
      </c>
      <c r="FJ24">
        <v>500</v>
      </c>
      <c r="FK24">
        <v>14.0761</v>
      </c>
      <c r="FL24">
        <v>101.197</v>
      </c>
      <c r="FM24">
        <v>101.807</v>
      </c>
    </row>
    <row r="25" spans="1:169" x14ac:dyDescent="0.35">
      <c r="A25">
        <v>10</v>
      </c>
      <c r="B25">
        <v>1566595307.2</v>
      </c>
      <c r="C25">
        <v>1045.5</v>
      </c>
      <c r="D25" t="s">
        <v>324</v>
      </c>
      <c r="E25" t="s">
        <v>325</v>
      </c>
      <c r="G25">
        <v>1566595307.2</v>
      </c>
      <c r="H25">
        <f t="shared" si="0"/>
        <v>3.1191905178324032E-3</v>
      </c>
      <c r="I25">
        <f t="shared" si="1"/>
        <v>31.912966198455688</v>
      </c>
      <c r="J25">
        <f t="shared" si="2"/>
        <v>559.68100000000004</v>
      </c>
      <c r="K25">
        <f t="shared" si="3"/>
        <v>260.01165335757514</v>
      </c>
      <c r="L25">
        <f t="shared" si="4"/>
        <v>25.899566562243006</v>
      </c>
      <c r="M25">
        <f t="shared" si="5"/>
        <v>55.749406328293006</v>
      </c>
      <c r="N25">
        <f t="shared" si="6"/>
        <v>0.18402931298693712</v>
      </c>
      <c r="O25">
        <f t="shared" si="7"/>
        <v>2.2701277546286711</v>
      </c>
      <c r="P25">
        <f t="shared" si="8"/>
        <v>0.17612485829749561</v>
      </c>
      <c r="Q25">
        <f t="shared" si="9"/>
        <v>0.11075992705388583</v>
      </c>
      <c r="R25">
        <f t="shared" si="10"/>
        <v>281.57801311861971</v>
      </c>
      <c r="S25">
        <f t="shared" si="11"/>
        <v>27.264767421017247</v>
      </c>
      <c r="T25">
        <f t="shared" si="12"/>
        <v>27.065200000000001</v>
      </c>
      <c r="U25">
        <f t="shared" si="13"/>
        <v>3.5928885035135449</v>
      </c>
      <c r="V25">
        <f t="shared" si="14"/>
        <v>55.014434933518075</v>
      </c>
      <c r="W25">
        <f t="shared" si="15"/>
        <v>1.8772359820380002</v>
      </c>
      <c r="X25">
        <f t="shared" si="16"/>
        <v>3.4122607717529716</v>
      </c>
      <c r="Y25">
        <f t="shared" si="17"/>
        <v>1.7156525214755447</v>
      </c>
      <c r="Z25">
        <f t="shared" si="18"/>
        <v>-137.55630183640898</v>
      </c>
      <c r="AA25">
        <f t="shared" si="19"/>
        <v>-107.18664627110455</v>
      </c>
      <c r="AB25">
        <f t="shared" si="20"/>
        <v>-10.151884358639881</v>
      </c>
      <c r="AC25">
        <f t="shared" si="21"/>
        <v>26.683180652466277</v>
      </c>
      <c r="AD25">
        <v>-4.1727824897675903E-2</v>
      </c>
      <c r="AE25">
        <v>4.6843139005875598E-2</v>
      </c>
      <c r="AF25">
        <v>3.49127061690975</v>
      </c>
      <c r="AG25">
        <v>0</v>
      </c>
      <c r="AH25">
        <v>0</v>
      </c>
      <c r="AI25">
        <f t="shared" si="22"/>
        <v>1</v>
      </c>
      <c r="AJ25">
        <f t="shared" si="23"/>
        <v>0</v>
      </c>
      <c r="AK25">
        <f t="shared" si="24"/>
        <v>53328.567329122947</v>
      </c>
      <c r="AL25" t="s">
        <v>278</v>
      </c>
      <c r="AM25">
        <v>602.34923076923099</v>
      </c>
      <c r="AN25">
        <v>3447.2</v>
      </c>
      <c r="AO25">
        <f t="shared" si="25"/>
        <v>2844.8507692307689</v>
      </c>
      <c r="AP25">
        <f t="shared" si="26"/>
        <v>0.82526420550904189</v>
      </c>
      <c r="AQ25">
        <v>-2.3039181891607399</v>
      </c>
      <c r="AR25" t="s">
        <v>326</v>
      </c>
      <c r="AS25">
        <v>778.93111538461505</v>
      </c>
      <c r="AT25">
        <v>1222.3900000000001</v>
      </c>
      <c r="AU25">
        <f t="shared" si="27"/>
        <v>0.36278019667649852</v>
      </c>
      <c r="AV25">
        <v>0.5</v>
      </c>
      <c r="AW25">
        <f t="shared" si="28"/>
        <v>1471.3305000963517</v>
      </c>
      <c r="AX25">
        <f t="shared" si="29"/>
        <v>31.912966198455688</v>
      </c>
      <c r="AY25">
        <f t="shared" si="30"/>
        <v>266.88478410054267</v>
      </c>
      <c r="AZ25">
        <f t="shared" si="31"/>
        <v>0.5618419653302138</v>
      </c>
      <c r="BA25">
        <f t="shared" si="32"/>
        <v>2.3255743278193242E-2</v>
      </c>
      <c r="BB25">
        <f t="shared" si="33"/>
        <v>1.8200492477850763</v>
      </c>
      <c r="BC25" t="s">
        <v>327</v>
      </c>
      <c r="BD25">
        <v>535.6</v>
      </c>
      <c r="BE25">
        <f t="shared" si="34"/>
        <v>686.79000000000008</v>
      </c>
      <c r="BF25">
        <f t="shared" si="35"/>
        <v>0.6456979347622781</v>
      </c>
      <c r="BG25">
        <f t="shared" si="36"/>
        <v>0.76411938453084205</v>
      </c>
      <c r="BH25">
        <f t="shared" si="37"/>
        <v>0.7152092356209836</v>
      </c>
      <c r="BI25">
        <f t="shared" si="38"/>
        <v>0.78204805118884146</v>
      </c>
      <c r="BJ25">
        <v>1666</v>
      </c>
      <c r="BK25">
        <v>300</v>
      </c>
      <c r="BL25">
        <v>300</v>
      </c>
      <c r="BM25">
        <v>300</v>
      </c>
      <c r="BN25">
        <v>10297.1</v>
      </c>
      <c r="BO25">
        <v>1114.4000000000001</v>
      </c>
      <c r="BP25">
        <v>-7.0734600000000002E-3</v>
      </c>
      <c r="BQ25">
        <v>4.7559800000000001</v>
      </c>
      <c r="BR25">
        <f t="shared" si="39"/>
        <v>1750.15</v>
      </c>
      <c r="BS25">
        <f t="shared" si="40"/>
        <v>1471.3305000963517</v>
      </c>
      <c r="BT25">
        <f t="shared" si="41"/>
        <v>0.8406882267784771</v>
      </c>
      <c r="BU25">
        <f t="shared" si="42"/>
        <v>0.19137645355695426</v>
      </c>
      <c r="BV25" t="s">
        <v>281</v>
      </c>
      <c r="BW25">
        <v>1566595307.2</v>
      </c>
      <c r="BX25">
        <v>559.68100000000004</v>
      </c>
      <c r="BY25">
        <v>600.06500000000005</v>
      </c>
      <c r="BZ25">
        <v>18.846</v>
      </c>
      <c r="CA25">
        <v>15.174099999999999</v>
      </c>
      <c r="CB25">
        <v>500.08</v>
      </c>
      <c r="CC25">
        <v>99.509200000000007</v>
      </c>
      <c r="CD25">
        <v>0.100053</v>
      </c>
      <c r="CE25">
        <v>26.189399999999999</v>
      </c>
      <c r="CF25">
        <v>27.065200000000001</v>
      </c>
      <c r="CG25">
        <v>999.9</v>
      </c>
      <c r="CH25">
        <v>10112.5</v>
      </c>
      <c r="CI25">
        <v>0</v>
      </c>
      <c r="CJ25">
        <v>423.93099999999998</v>
      </c>
      <c r="CK25">
        <v>1750.15</v>
      </c>
      <c r="CL25">
        <v>0.976993</v>
      </c>
      <c r="CM25">
        <v>2.3006700000000001E-2</v>
      </c>
      <c r="CN25">
        <v>0</v>
      </c>
      <c r="CO25">
        <v>778.40499999999997</v>
      </c>
      <c r="CP25">
        <v>4.99986</v>
      </c>
      <c r="CQ25">
        <v>15325.7</v>
      </c>
      <c r="CR25">
        <v>14222</v>
      </c>
      <c r="CS25">
        <v>42.436999999999998</v>
      </c>
      <c r="CT25">
        <v>43.625</v>
      </c>
      <c r="CU25">
        <v>42.875</v>
      </c>
      <c r="CV25">
        <v>43.436999999999998</v>
      </c>
      <c r="CW25">
        <v>44.311999999999998</v>
      </c>
      <c r="CX25">
        <v>1705</v>
      </c>
      <c r="CY25">
        <v>40.15</v>
      </c>
      <c r="CZ25">
        <v>0</v>
      </c>
      <c r="DA25">
        <v>123.10000014305101</v>
      </c>
      <c r="DB25">
        <v>778.93111538461505</v>
      </c>
      <c r="DC25">
        <v>-3.22943589459901</v>
      </c>
      <c r="DD25">
        <v>-81.805128166905504</v>
      </c>
      <c r="DE25">
        <v>15329.7846153846</v>
      </c>
      <c r="DF25">
        <v>15</v>
      </c>
      <c r="DG25">
        <v>1566595340.7</v>
      </c>
      <c r="DH25" t="s">
        <v>328</v>
      </c>
      <c r="DI25">
        <v>106</v>
      </c>
      <c r="DJ25">
        <v>-8.5999999999999993E-2</v>
      </c>
      <c r="DK25">
        <v>8.8999999999999996E-2</v>
      </c>
      <c r="DL25">
        <v>600</v>
      </c>
      <c r="DM25">
        <v>15</v>
      </c>
      <c r="DN25">
        <v>7.0000000000000007E-2</v>
      </c>
      <c r="DO25">
        <v>0.02</v>
      </c>
      <c r="DP25">
        <v>32.425067599277398</v>
      </c>
      <c r="DQ25">
        <v>-1.1685642922149599</v>
      </c>
      <c r="DR25">
        <v>0.22126652497084401</v>
      </c>
      <c r="DS25">
        <v>0</v>
      </c>
      <c r="DT25">
        <v>0.18516627795871701</v>
      </c>
      <c r="DU25">
        <v>-7.9684501545842605E-3</v>
      </c>
      <c r="DV25">
        <v>1.9341130727784099E-3</v>
      </c>
      <c r="DW25">
        <v>1</v>
      </c>
      <c r="DX25">
        <v>1</v>
      </c>
      <c r="DY25">
        <v>2</v>
      </c>
      <c r="DZ25" t="s">
        <v>293</v>
      </c>
      <c r="EA25">
        <v>1.8667499999999999</v>
      </c>
      <c r="EB25">
        <v>1.8632500000000001</v>
      </c>
      <c r="EC25">
        <v>1.8689</v>
      </c>
      <c r="ED25">
        <v>1.8668400000000001</v>
      </c>
      <c r="EE25">
        <v>1.8714900000000001</v>
      </c>
      <c r="EF25">
        <v>1.8640099999999999</v>
      </c>
      <c r="EG25">
        <v>1.86554</v>
      </c>
      <c r="EH25">
        <v>1.86551</v>
      </c>
      <c r="EI25" t="s">
        <v>284</v>
      </c>
      <c r="EJ25" t="s">
        <v>19</v>
      </c>
      <c r="EK25" t="s">
        <v>19</v>
      </c>
      <c r="EL25" t="s">
        <v>19</v>
      </c>
      <c r="EM25" t="s">
        <v>285</v>
      </c>
      <c r="EN25" t="s">
        <v>286</v>
      </c>
      <c r="EO25" t="s">
        <v>287</v>
      </c>
      <c r="EP25" t="s">
        <v>287</v>
      </c>
      <c r="EQ25" t="s">
        <v>287</v>
      </c>
      <c r="ER25" t="s">
        <v>287</v>
      </c>
      <c r="ES25">
        <v>0</v>
      </c>
      <c r="ET25">
        <v>100</v>
      </c>
      <c r="EU25">
        <v>100</v>
      </c>
      <c r="EV25">
        <v>-8.5999999999999993E-2</v>
      </c>
      <c r="EW25">
        <v>8.8999999999999996E-2</v>
      </c>
      <c r="EX25">
        <v>2</v>
      </c>
      <c r="EY25">
        <v>508.20499999999998</v>
      </c>
      <c r="EZ25">
        <v>522.96100000000001</v>
      </c>
      <c r="FA25">
        <v>22.293800000000001</v>
      </c>
      <c r="FB25">
        <v>30.141200000000001</v>
      </c>
      <c r="FC25">
        <v>29.999099999999999</v>
      </c>
      <c r="FD25">
        <v>30.1739</v>
      </c>
      <c r="FE25">
        <v>30.160499999999999</v>
      </c>
      <c r="FF25">
        <v>30.5352</v>
      </c>
      <c r="FG25">
        <v>43.409700000000001</v>
      </c>
      <c r="FH25">
        <v>0</v>
      </c>
      <c r="FI25">
        <v>22.276299999999999</v>
      </c>
      <c r="FJ25">
        <v>600</v>
      </c>
      <c r="FK25">
        <v>15.266400000000001</v>
      </c>
      <c r="FL25">
        <v>101.239</v>
      </c>
      <c r="FM25">
        <v>101.86</v>
      </c>
    </row>
    <row r="26" spans="1:169" x14ac:dyDescent="0.35">
      <c r="A26">
        <v>11</v>
      </c>
      <c r="B26">
        <v>1566595432.2</v>
      </c>
      <c r="C26">
        <v>1170.5</v>
      </c>
      <c r="D26" t="s">
        <v>329</v>
      </c>
      <c r="E26" t="s">
        <v>330</v>
      </c>
      <c r="G26">
        <v>1566595432.2</v>
      </c>
      <c r="H26">
        <f t="shared" si="0"/>
        <v>2.7645859168368243E-3</v>
      </c>
      <c r="I26">
        <f t="shared" si="1"/>
        <v>38.315253499211543</v>
      </c>
      <c r="J26">
        <f t="shared" si="2"/>
        <v>751.54600000000005</v>
      </c>
      <c r="K26">
        <f t="shared" si="3"/>
        <v>345.04384220762222</v>
      </c>
      <c r="L26">
        <f t="shared" si="4"/>
        <v>34.368124509733292</v>
      </c>
      <c r="M26">
        <f t="shared" si="5"/>
        <v>74.857810351097001</v>
      </c>
      <c r="N26">
        <f t="shared" si="6"/>
        <v>0.16213544142014064</v>
      </c>
      <c r="O26">
        <f t="shared" si="7"/>
        <v>2.2500295576032143</v>
      </c>
      <c r="P26">
        <f t="shared" si="8"/>
        <v>0.15591315262291647</v>
      </c>
      <c r="Q26">
        <f t="shared" si="9"/>
        <v>9.7984872042701746E-2</v>
      </c>
      <c r="R26">
        <f t="shared" si="10"/>
        <v>281.52685193510615</v>
      </c>
      <c r="S26">
        <f t="shared" si="11"/>
        <v>27.15771474088838</v>
      </c>
      <c r="T26">
        <f t="shared" si="12"/>
        <v>26.958400000000001</v>
      </c>
      <c r="U26">
        <f t="shared" si="13"/>
        <v>3.5704241556674714</v>
      </c>
      <c r="V26">
        <f t="shared" si="14"/>
        <v>55.039526775032769</v>
      </c>
      <c r="W26">
        <f t="shared" si="15"/>
        <v>1.85234598190705</v>
      </c>
      <c r="X26">
        <f t="shared" si="16"/>
        <v>3.365483118120336</v>
      </c>
      <c r="Y26">
        <f t="shared" si="17"/>
        <v>1.7180781737604214</v>
      </c>
      <c r="Z26">
        <f t="shared" si="18"/>
        <v>-121.91823893250395</v>
      </c>
      <c r="AA26">
        <f t="shared" si="19"/>
        <v>-121.5947221339275</v>
      </c>
      <c r="AB26">
        <f t="shared" si="20"/>
        <v>-11.599605100085748</v>
      </c>
      <c r="AC26">
        <f t="shared" si="21"/>
        <v>26.414285768588954</v>
      </c>
      <c r="AD26">
        <v>-4.1184543061160601E-2</v>
      </c>
      <c r="AE26">
        <v>4.6233257550284297E-2</v>
      </c>
      <c r="AF26">
        <v>3.4552735625032902</v>
      </c>
      <c r="AG26">
        <v>0</v>
      </c>
      <c r="AH26">
        <v>0</v>
      </c>
      <c r="AI26">
        <f t="shared" si="22"/>
        <v>1</v>
      </c>
      <c r="AJ26">
        <f t="shared" si="23"/>
        <v>0</v>
      </c>
      <c r="AK26">
        <f t="shared" si="24"/>
        <v>52704.24538634401</v>
      </c>
      <c r="AL26" t="s">
        <v>278</v>
      </c>
      <c r="AM26">
        <v>602.34923076923099</v>
      </c>
      <c r="AN26">
        <v>3447.2</v>
      </c>
      <c r="AO26">
        <f t="shared" si="25"/>
        <v>2844.8507692307689</v>
      </c>
      <c r="AP26">
        <f t="shared" si="26"/>
        <v>0.82526420550904189</v>
      </c>
      <c r="AQ26">
        <v>-2.3039181891607399</v>
      </c>
      <c r="AR26" t="s">
        <v>331</v>
      </c>
      <c r="AS26">
        <v>805.54915384615401</v>
      </c>
      <c r="AT26">
        <v>1308.22</v>
      </c>
      <c r="AU26">
        <f t="shared" si="27"/>
        <v>0.38424030067866721</v>
      </c>
      <c r="AV26">
        <v>0.5</v>
      </c>
      <c r="AW26">
        <f t="shared" si="28"/>
        <v>1471.0692000962968</v>
      </c>
      <c r="AX26">
        <f t="shared" si="29"/>
        <v>38.315253499211543</v>
      </c>
      <c r="AY26">
        <f t="shared" si="30"/>
        <v>282.62203588206376</v>
      </c>
      <c r="AZ26">
        <f t="shared" si="31"/>
        <v>0.58331167540627726</v>
      </c>
      <c r="BA26">
        <f t="shared" si="32"/>
        <v>2.7612006074026522E-2</v>
      </c>
      <c r="BB26">
        <f t="shared" si="33"/>
        <v>1.6350308052162477</v>
      </c>
      <c r="BC26" t="s">
        <v>332</v>
      </c>
      <c r="BD26">
        <v>545.12</v>
      </c>
      <c r="BE26">
        <f t="shared" si="34"/>
        <v>763.1</v>
      </c>
      <c r="BF26">
        <f t="shared" si="35"/>
        <v>0.65872211525861091</v>
      </c>
      <c r="BG26">
        <f t="shared" si="36"/>
        <v>0.73705066710772948</v>
      </c>
      <c r="BH26">
        <f t="shared" si="37"/>
        <v>0.71212871826614588</v>
      </c>
      <c r="BI26">
        <f t="shared" si="38"/>
        <v>0.75187775159762327</v>
      </c>
      <c r="BJ26">
        <v>1668</v>
      </c>
      <c r="BK26">
        <v>300</v>
      </c>
      <c r="BL26">
        <v>300</v>
      </c>
      <c r="BM26">
        <v>300</v>
      </c>
      <c r="BN26">
        <v>10297.6</v>
      </c>
      <c r="BO26">
        <v>1188.8</v>
      </c>
      <c r="BP26">
        <v>-7.0741600000000003E-3</v>
      </c>
      <c r="BQ26">
        <v>7.28735</v>
      </c>
      <c r="BR26">
        <f t="shared" si="39"/>
        <v>1749.84</v>
      </c>
      <c r="BS26">
        <f t="shared" si="40"/>
        <v>1471.0692000962968</v>
      </c>
      <c r="BT26">
        <f t="shared" si="41"/>
        <v>0.84068783437131211</v>
      </c>
      <c r="BU26">
        <f t="shared" si="42"/>
        <v>0.19137566874262427</v>
      </c>
      <c r="BV26" t="s">
        <v>281</v>
      </c>
      <c r="BW26">
        <v>1566595432.2</v>
      </c>
      <c r="BX26">
        <v>751.54600000000005</v>
      </c>
      <c r="BY26">
        <v>800.01</v>
      </c>
      <c r="BZ26">
        <v>18.596900000000002</v>
      </c>
      <c r="CA26">
        <v>15.3416</v>
      </c>
      <c r="CB26">
        <v>500.07799999999997</v>
      </c>
      <c r="CC26">
        <v>99.505099999999999</v>
      </c>
      <c r="CD26">
        <v>9.99945E-2</v>
      </c>
      <c r="CE26">
        <v>25.956</v>
      </c>
      <c r="CF26">
        <v>26.958400000000001</v>
      </c>
      <c r="CG26">
        <v>999.9</v>
      </c>
      <c r="CH26">
        <v>9981.25</v>
      </c>
      <c r="CI26">
        <v>0</v>
      </c>
      <c r="CJ26">
        <v>428.15199999999999</v>
      </c>
      <c r="CK26">
        <v>1749.84</v>
      </c>
      <c r="CL26">
        <v>0.97700799999999999</v>
      </c>
      <c r="CM26">
        <v>2.29918E-2</v>
      </c>
      <c r="CN26">
        <v>0</v>
      </c>
      <c r="CO26">
        <v>805.14800000000002</v>
      </c>
      <c r="CP26">
        <v>4.99986</v>
      </c>
      <c r="CQ26">
        <v>15721.6</v>
      </c>
      <c r="CR26">
        <v>14219.5</v>
      </c>
      <c r="CS26">
        <v>42.25</v>
      </c>
      <c r="CT26">
        <v>43.436999999999998</v>
      </c>
      <c r="CU26">
        <v>42.811999999999998</v>
      </c>
      <c r="CV26">
        <v>43.061999999999998</v>
      </c>
      <c r="CW26">
        <v>44.125</v>
      </c>
      <c r="CX26">
        <v>1704.72</v>
      </c>
      <c r="CY26">
        <v>40.119999999999997</v>
      </c>
      <c r="CZ26">
        <v>0</v>
      </c>
      <c r="DA26">
        <v>124.299999952316</v>
      </c>
      <c r="DB26">
        <v>805.54915384615401</v>
      </c>
      <c r="DC26">
        <v>-5.08499144751109</v>
      </c>
      <c r="DD26">
        <v>-132.97435892548799</v>
      </c>
      <c r="DE26">
        <v>15737.996153846199</v>
      </c>
      <c r="DF26">
        <v>15</v>
      </c>
      <c r="DG26">
        <v>1566595469.7</v>
      </c>
      <c r="DH26" t="s">
        <v>333</v>
      </c>
      <c r="DI26">
        <v>107</v>
      </c>
      <c r="DJ26">
        <v>-0.13900000000000001</v>
      </c>
      <c r="DK26">
        <v>9.5000000000000001E-2</v>
      </c>
      <c r="DL26">
        <v>800</v>
      </c>
      <c r="DM26">
        <v>15</v>
      </c>
      <c r="DN26">
        <v>0.04</v>
      </c>
      <c r="DO26">
        <v>0.03</v>
      </c>
      <c r="DP26">
        <v>38.661800073670797</v>
      </c>
      <c r="DQ26">
        <v>-1.1847985996853501</v>
      </c>
      <c r="DR26">
        <v>0.226264473511394</v>
      </c>
      <c r="DS26">
        <v>0</v>
      </c>
      <c r="DT26">
        <v>0.16425087944859201</v>
      </c>
      <c r="DU26">
        <v>-5.7271081445488198E-3</v>
      </c>
      <c r="DV26">
        <v>1.12303270102069E-3</v>
      </c>
      <c r="DW26">
        <v>1</v>
      </c>
      <c r="DX26">
        <v>1</v>
      </c>
      <c r="DY26">
        <v>2</v>
      </c>
      <c r="DZ26" t="s">
        <v>293</v>
      </c>
      <c r="EA26">
        <v>1.86676</v>
      </c>
      <c r="EB26">
        <v>1.86324</v>
      </c>
      <c r="EC26">
        <v>1.8689</v>
      </c>
      <c r="ED26">
        <v>1.8668499999999999</v>
      </c>
      <c r="EE26">
        <v>1.8714900000000001</v>
      </c>
      <c r="EF26">
        <v>1.8640099999999999</v>
      </c>
      <c r="EG26">
        <v>1.86555</v>
      </c>
      <c r="EH26">
        <v>1.86551</v>
      </c>
      <c r="EI26" t="s">
        <v>284</v>
      </c>
      <c r="EJ26" t="s">
        <v>19</v>
      </c>
      <c r="EK26" t="s">
        <v>19</v>
      </c>
      <c r="EL26" t="s">
        <v>19</v>
      </c>
      <c r="EM26" t="s">
        <v>285</v>
      </c>
      <c r="EN26" t="s">
        <v>286</v>
      </c>
      <c r="EO26" t="s">
        <v>287</v>
      </c>
      <c r="EP26" t="s">
        <v>287</v>
      </c>
      <c r="EQ26" t="s">
        <v>287</v>
      </c>
      <c r="ER26" t="s">
        <v>287</v>
      </c>
      <c r="ES26">
        <v>0</v>
      </c>
      <c r="ET26">
        <v>100</v>
      </c>
      <c r="EU26">
        <v>100</v>
      </c>
      <c r="EV26">
        <v>-0.13900000000000001</v>
      </c>
      <c r="EW26">
        <v>9.5000000000000001E-2</v>
      </c>
      <c r="EX26">
        <v>2</v>
      </c>
      <c r="EY26">
        <v>508.66300000000001</v>
      </c>
      <c r="EZ26">
        <v>525.36099999999999</v>
      </c>
      <c r="FA26">
        <v>22.315100000000001</v>
      </c>
      <c r="FB26">
        <v>29.7973</v>
      </c>
      <c r="FC26">
        <v>29.998999999999999</v>
      </c>
      <c r="FD26">
        <v>29.920999999999999</v>
      </c>
      <c r="FE26">
        <v>29.9237</v>
      </c>
      <c r="FF26">
        <v>38.523600000000002</v>
      </c>
      <c r="FG26">
        <v>42.753700000000002</v>
      </c>
      <c r="FH26">
        <v>0</v>
      </c>
      <c r="FI26">
        <v>22.318899999999999</v>
      </c>
      <c r="FJ26">
        <v>800</v>
      </c>
      <c r="FK26">
        <v>15.4055</v>
      </c>
      <c r="FL26">
        <v>101.29600000000001</v>
      </c>
      <c r="FM26">
        <v>101.932</v>
      </c>
    </row>
    <row r="27" spans="1:169" x14ac:dyDescent="0.35">
      <c r="A27">
        <v>12</v>
      </c>
      <c r="B27">
        <v>1566595561.2</v>
      </c>
      <c r="C27">
        <v>1299.5</v>
      </c>
      <c r="D27" t="s">
        <v>334</v>
      </c>
      <c r="E27" t="s">
        <v>335</v>
      </c>
      <c r="G27">
        <v>1566595561.2</v>
      </c>
      <c r="H27">
        <f t="shared" si="0"/>
        <v>2.3579439684838655E-3</v>
      </c>
      <c r="I27">
        <f t="shared" si="1"/>
        <v>42.243586521679113</v>
      </c>
      <c r="J27">
        <f t="shared" si="2"/>
        <v>946.53300000000002</v>
      </c>
      <c r="K27">
        <f t="shared" si="3"/>
        <v>415.14331196821712</v>
      </c>
      <c r="L27">
        <f t="shared" si="4"/>
        <v>41.358558798502443</v>
      </c>
      <c r="M27">
        <f t="shared" si="5"/>
        <v>94.298136587155199</v>
      </c>
      <c r="N27">
        <f t="shared" si="6"/>
        <v>0.1358102165652342</v>
      </c>
      <c r="O27">
        <f t="shared" si="7"/>
        <v>2.2501408014735791</v>
      </c>
      <c r="P27">
        <f t="shared" si="8"/>
        <v>0.13141520705298579</v>
      </c>
      <c r="Q27">
        <f t="shared" si="9"/>
        <v>8.2517530416346518E-2</v>
      </c>
      <c r="R27">
        <f t="shared" si="10"/>
        <v>281.59556901441056</v>
      </c>
      <c r="S27">
        <f t="shared" si="11"/>
        <v>27.26102848558952</v>
      </c>
      <c r="T27">
        <f t="shared" si="12"/>
        <v>27.029199999999999</v>
      </c>
      <c r="U27">
        <f t="shared" si="13"/>
        <v>3.5853025062514283</v>
      </c>
      <c r="V27">
        <f t="shared" si="14"/>
        <v>54.970372251800512</v>
      </c>
      <c r="W27">
        <f t="shared" si="15"/>
        <v>1.8464953811167999</v>
      </c>
      <c r="X27">
        <f t="shared" si="16"/>
        <v>3.3590738164526788</v>
      </c>
      <c r="Y27">
        <f t="shared" si="17"/>
        <v>1.7388071251346284</v>
      </c>
      <c r="Z27">
        <f t="shared" si="18"/>
        <v>-103.98532901013847</v>
      </c>
      <c r="AA27">
        <f t="shared" si="19"/>
        <v>-134.09562176874874</v>
      </c>
      <c r="AB27">
        <f t="shared" si="20"/>
        <v>-12.793985000864632</v>
      </c>
      <c r="AC27">
        <f t="shared" si="21"/>
        <v>30.720633234658749</v>
      </c>
      <c r="AD27">
        <v>-4.1187538009072301E-2</v>
      </c>
      <c r="AE27">
        <v>4.6236619641687002E-2</v>
      </c>
      <c r="AF27">
        <v>3.4554724519500599</v>
      </c>
      <c r="AG27">
        <v>0</v>
      </c>
      <c r="AH27">
        <v>0</v>
      </c>
      <c r="AI27">
        <f t="shared" si="22"/>
        <v>1</v>
      </c>
      <c r="AJ27">
        <f t="shared" si="23"/>
        <v>0</v>
      </c>
      <c r="AK27">
        <f t="shared" si="24"/>
        <v>52714.022510016897</v>
      </c>
      <c r="AL27" t="s">
        <v>278</v>
      </c>
      <c r="AM27">
        <v>602.34923076923099</v>
      </c>
      <c r="AN27">
        <v>3447.2</v>
      </c>
      <c r="AO27">
        <f t="shared" si="25"/>
        <v>2844.8507692307689</v>
      </c>
      <c r="AP27">
        <f t="shared" si="26"/>
        <v>0.82526420550904189</v>
      </c>
      <c r="AQ27">
        <v>-2.3039181891607399</v>
      </c>
      <c r="AR27" t="s">
        <v>336</v>
      </c>
      <c r="AS27">
        <v>816.405653846154</v>
      </c>
      <c r="AT27">
        <v>1350.52</v>
      </c>
      <c r="AU27">
        <f t="shared" si="27"/>
        <v>0.39548792032242841</v>
      </c>
      <c r="AV27">
        <v>0.5</v>
      </c>
      <c r="AW27">
        <f t="shared" si="28"/>
        <v>1471.4229000963455</v>
      </c>
      <c r="AX27">
        <f t="shared" si="29"/>
        <v>42.243586521679113</v>
      </c>
      <c r="AY27">
        <f t="shared" si="30"/>
        <v>290.96499133694999</v>
      </c>
      <c r="AZ27">
        <f t="shared" si="31"/>
        <v>0.59363800610135353</v>
      </c>
      <c r="BA27">
        <f t="shared" si="32"/>
        <v>3.0275119891040828E-2</v>
      </c>
      <c r="BB27">
        <f t="shared" si="33"/>
        <v>1.5524982969522849</v>
      </c>
      <c r="BC27" t="s">
        <v>337</v>
      </c>
      <c r="BD27">
        <v>548.79999999999995</v>
      </c>
      <c r="BE27">
        <f t="shared" si="34"/>
        <v>801.72</v>
      </c>
      <c r="BF27">
        <f t="shared" si="35"/>
        <v>0.66621057994542476</v>
      </c>
      <c r="BG27">
        <f t="shared" si="36"/>
        <v>0.72339221639525264</v>
      </c>
      <c r="BH27">
        <f t="shared" si="37"/>
        <v>0.71389362979657056</v>
      </c>
      <c r="BI27">
        <f t="shared" si="38"/>
        <v>0.73700878185850494</v>
      </c>
      <c r="BJ27">
        <v>1670</v>
      </c>
      <c r="BK27">
        <v>300</v>
      </c>
      <c r="BL27">
        <v>300</v>
      </c>
      <c r="BM27">
        <v>300</v>
      </c>
      <c r="BN27">
        <v>10298.1</v>
      </c>
      <c r="BO27">
        <v>1227.49</v>
      </c>
      <c r="BP27">
        <v>-7.0745699999999996E-3</v>
      </c>
      <c r="BQ27">
        <v>9.5521200000000004</v>
      </c>
      <c r="BR27">
        <f t="shared" si="39"/>
        <v>1750.26</v>
      </c>
      <c r="BS27">
        <f t="shared" si="40"/>
        <v>1471.4229000963455</v>
      </c>
      <c r="BT27">
        <f t="shared" si="41"/>
        <v>0.84068818352493091</v>
      </c>
      <c r="BU27">
        <f t="shared" si="42"/>
        <v>0.19137636704986194</v>
      </c>
      <c r="BV27" t="s">
        <v>281</v>
      </c>
      <c r="BW27">
        <v>1566595561.2</v>
      </c>
      <c r="BX27">
        <v>946.53300000000002</v>
      </c>
      <c r="BY27">
        <v>999.89800000000002</v>
      </c>
      <c r="BZ27">
        <v>18.534500000000001</v>
      </c>
      <c r="CA27">
        <v>15.7577</v>
      </c>
      <c r="CB27">
        <v>500.05200000000002</v>
      </c>
      <c r="CC27">
        <v>99.524799999999999</v>
      </c>
      <c r="CD27">
        <v>9.9974400000000005E-2</v>
      </c>
      <c r="CE27">
        <v>25.9238</v>
      </c>
      <c r="CF27">
        <v>27.029199999999999</v>
      </c>
      <c r="CG27">
        <v>999.9</v>
      </c>
      <c r="CH27">
        <v>9980</v>
      </c>
      <c r="CI27">
        <v>0</v>
      </c>
      <c r="CJ27">
        <v>484.03100000000001</v>
      </c>
      <c r="CK27">
        <v>1750.26</v>
      </c>
      <c r="CL27">
        <v>0.976993</v>
      </c>
      <c r="CM27">
        <v>2.3006700000000001E-2</v>
      </c>
      <c r="CN27">
        <v>0</v>
      </c>
      <c r="CO27">
        <v>815.38900000000001</v>
      </c>
      <c r="CP27">
        <v>4.99986</v>
      </c>
      <c r="CQ27">
        <v>16047.7</v>
      </c>
      <c r="CR27">
        <v>14222.8</v>
      </c>
      <c r="CS27">
        <v>42.061999999999998</v>
      </c>
      <c r="CT27">
        <v>43.25</v>
      </c>
      <c r="CU27">
        <v>42.625</v>
      </c>
      <c r="CV27">
        <v>42.811999999999998</v>
      </c>
      <c r="CW27">
        <v>44</v>
      </c>
      <c r="CX27">
        <v>1705.11</v>
      </c>
      <c r="CY27">
        <v>40.15</v>
      </c>
      <c r="CZ27">
        <v>0</v>
      </c>
      <c r="DA27">
        <v>128.299999952316</v>
      </c>
      <c r="DB27">
        <v>816.405653846154</v>
      </c>
      <c r="DC27">
        <v>-10.827384595359201</v>
      </c>
      <c r="DD27">
        <v>0.40683776116454101</v>
      </c>
      <c r="DE27">
        <v>16024.680769230799</v>
      </c>
      <c r="DF27">
        <v>15</v>
      </c>
      <c r="DG27">
        <v>1566595591.2</v>
      </c>
      <c r="DH27" t="s">
        <v>338</v>
      </c>
      <c r="DI27">
        <v>108</v>
      </c>
      <c r="DJ27">
        <v>0.215</v>
      </c>
      <c r="DK27">
        <v>0.105</v>
      </c>
      <c r="DL27">
        <v>1000</v>
      </c>
      <c r="DM27">
        <v>16</v>
      </c>
      <c r="DN27">
        <v>0.04</v>
      </c>
      <c r="DO27">
        <v>0.04</v>
      </c>
      <c r="DP27">
        <v>43.173822130525899</v>
      </c>
      <c r="DQ27">
        <v>-1.9343409456890599</v>
      </c>
      <c r="DR27">
        <v>0.36579632979762</v>
      </c>
      <c r="DS27">
        <v>0</v>
      </c>
      <c r="DT27">
        <v>0.138414481475443</v>
      </c>
      <c r="DU27">
        <v>-9.6854673234013904E-3</v>
      </c>
      <c r="DV27">
        <v>2.0399578509152001E-3</v>
      </c>
      <c r="DW27">
        <v>1</v>
      </c>
      <c r="DX27">
        <v>1</v>
      </c>
      <c r="DY27">
        <v>2</v>
      </c>
      <c r="DZ27" t="s">
        <v>293</v>
      </c>
      <c r="EA27">
        <v>1.8667400000000001</v>
      </c>
      <c r="EB27">
        <v>1.8632500000000001</v>
      </c>
      <c r="EC27">
        <v>1.8689</v>
      </c>
      <c r="ED27">
        <v>1.8668199999999999</v>
      </c>
      <c r="EE27">
        <v>1.8714900000000001</v>
      </c>
      <c r="EF27">
        <v>1.8640099999999999</v>
      </c>
      <c r="EG27">
        <v>1.8655600000000001</v>
      </c>
      <c r="EH27">
        <v>1.86551</v>
      </c>
      <c r="EI27" t="s">
        <v>284</v>
      </c>
      <c r="EJ27" t="s">
        <v>19</v>
      </c>
      <c r="EK27" t="s">
        <v>19</v>
      </c>
      <c r="EL27" t="s">
        <v>19</v>
      </c>
      <c r="EM27" t="s">
        <v>285</v>
      </c>
      <c r="EN27" t="s">
        <v>286</v>
      </c>
      <c r="EO27" t="s">
        <v>287</v>
      </c>
      <c r="EP27" t="s">
        <v>287</v>
      </c>
      <c r="EQ27" t="s">
        <v>287</v>
      </c>
      <c r="ER27" t="s">
        <v>287</v>
      </c>
      <c r="ES27">
        <v>0</v>
      </c>
      <c r="ET27">
        <v>100</v>
      </c>
      <c r="EU27">
        <v>100</v>
      </c>
      <c r="EV27">
        <v>0.215</v>
      </c>
      <c r="EW27">
        <v>0.105</v>
      </c>
      <c r="EX27">
        <v>2</v>
      </c>
      <c r="EY27">
        <v>508.34</v>
      </c>
      <c r="EZ27">
        <v>527.28599999999994</v>
      </c>
      <c r="FA27">
        <v>21.979600000000001</v>
      </c>
      <c r="FB27">
        <v>29.432600000000001</v>
      </c>
      <c r="FC27">
        <v>29.999199999999998</v>
      </c>
      <c r="FD27">
        <v>29.620699999999999</v>
      </c>
      <c r="FE27">
        <v>29.6342</v>
      </c>
      <c r="FF27">
        <v>46.152000000000001</v>
      </c>
      <c r="FG27">
        <v>40.742800000000003</v>
      </c>
      <c r="FH27">
        <v>0</v>
      </c>
      <c r="FI27">
        <v>21.965599999999998</v>
      </c>
      <c r="FJ27">
        <v>1000</v>
      </c>
      <c r="FK27">
        <v>15.8643</v>
      </c>
      <c r="FL27">
        <v>101.35599999999999</v>
      </c>
      <c r="FM27">
        <v>102.003</v>
      </c>
    </row>
    <row r="28" spans="1:169" x14ac:dyDescent="0.35">
      <c r="A28">
        <v>13</v>
      </c>
      <c r="B28">
        <v>1566595682.8</v>
      </c>
      <c r="C28">
        <v>1421.0999999046301</v>
      </c>
      <c r="D28" t="s">
        <v>339</v>
      </c>
      <c r="E28" t="s">
        <v>340</v>
      </c>
      <c r="G28">
        <v>1566595682.8</v>
      </c>
      <c r="H28">
        <f t="shared" si="0"/>
        <v>2.1199077048132324E-3</v>
      </c>
      <c r="I28">
        <f t="shared" si="1"/>
        <v>44.983287553540222</v>
      </c>
      <c r="J28">
        <f t="shared" si="2"/>
        <v>1143.146</v>
      </c>
      <c r="K28">
        <f t="shared" si="3"/>
        <v>508.99693440476096</v>
      </c>
      <c r="L28">
        <f t="shared" si="4"/>
        <v>50.707110378368583</v>
      </c>
      <c r="M28">
        <f t="shared" si="5"/>
        <v>113.88208156573201</v>
      </c>
      <c r="N28">
        <f t="shared" si="6"/>
        <v>0.12092399381433257</v>
      </c>
      <c r="O28">
        <f t="shared" si="7"/>
        <v>2.249036770532348</v>
      </c>
      <c r="P28">
        <f t="shared" si="8"/>
        <v>0.11742463976523002</v>
      </c>
      <c r="Q28">
        <f t="shared" si="9"/>
        <v>7.3696367868526264E-2</v>
      </c>
      <c r="R28">
        <f t="shared" si="10"/>
        <v>281.55566925126851</v>
      </c>
      <c r="S28">
        <f t="shared" si="11"/>
        <v>27.139245997054637</v>
      </c>
      <c r="T28">
        <f t="shared" si="12"/>
        <v>26.999600000000001</v>
      </c>
      <c r="U28">
        <f t="shared" si="13"/>
        <v>3.5790756084757067</v>
      </c>
      <c r="V28">
        <f t="shared" si="14"/>
        <v>55.115000272193782</v>
      </c>
      <c r="W28">
        <f t="shared" si="15"/>
        <v>1.8293920607028</v>
      </c>
      <c r="X28">
        <f t="shared" si="16"/>
        <v>3.3192271644163478</v>
      </c>
      <c r="Y28">
        <f t="shared" si="17"/>
        <v>1.7496835477729067</v>
      </c>
      <c r="Z28">
        <f t="shared" si="18"/>
        <v>-93.487929782263549</v>
      </c>
      <c r="AA28">
        <f t="shared" si="19"/>
        <v>-154.86058988031897</v>
      </c>
      <c r="AB28">
        <f t="shared" si="20"/>
        <v>-14.765331437484337</v>
      </c>
      <c r="AC28">
        <f t="shared" si="21"/>
        <v>18.44181815120163</v>
      </c>
      <c r="AD28">
        <v>-4.11578208139722E-2</v>
      </c>
      <c r="AE28">
        <v>4.6203259486817902E-2</v>
      </c>
      <c r="AF28">
        <v>3.4534987629144398</v>
      </c>
      <c r="AG28">
        <v>0</v>
      </c>
      <c r="AH28">
        <v>0</v>
      </c>
      <c r="AI28">
        <f t="shared" si="22"/>
        <v>1</v>
      </c>
      <c r="AJ28">
        <f t="shared" si="23"/>
        <v>0</v>
      </c>
      <c r="AK28">
        <f t="shared" si="24"/>
        <v>52712.968466812439</v>
      </c>
      <c r="AL28" t="s">
        <v>278</v>
      </c>
      <c r="AM28">
        <v>602.34923076923099</v>
      </c>
      <c r="AN28">
        <v>3447.2</v>
      </c>
      <c r="AO28">
        <f t="shared" si="25"/>
        <v>2844.8507692307689</v>
      </c>
      <c r="AP28">
        <f t="shared" si="26"/>
        <v>0.82526420550904189</v>
      </c>
      <c r="AQ28">
        <v>-2.3039181891607399</v>
      </c>
      <c r="AR28" t="s">
        <v>341</v>
      </c>
      <c r="AS28">
        <v>817.592115384615</v>
      </c>
      <c r="AT28">
        <v>1363.14</v>
      </c>
      <c r="AU28">
        <f t="shared" si="27"/>
        <v>0.40021412666005329</v>
      </c>
      <c r="AV28">
        <v>0.5</v>
      </c>
      <c r="AW28">
        <f t="shared" si="28"/>
        <v>1471.2129000963594</v>
      </c>
      <c r="AX28">
        <f t="shared" si="29"/>
        <v>44.983287553540222</v>
      </c>
      <c r="AY28">
        <f t="shared" si="30"/>
        <v>294.40009297153438</v>
      </c>
      <c r="AZ28">
        <f t="shared" si="31"/>
        <v>0.59770823246328331</v>
      </c>
      <c r="BA28">
        <f t="shared" si="32"/>
        <v>3.2141647031237841E-2</v>
      </c>
      <c r="BB28">
        <f t="shared" si="33"/>
        <v>1.5288671743181179</v>
      </c>
      <c r="BC28" t="s">
        <v>342</v>
      </c>
      <c r="BD28">
        <v>548.38</v>
      </c>
      <c r="BE28">
        <f t="shared" si="34"/>
        <v>814.7600000000001</v>
      </c>
      <c r="BF28">
        <f t="shared" si="35"/>
        <v>0.66958108475549249</v>
      </c>
      <c r="BG28">
        <f t="shared" si="36"/>
        <v>0.71893391103966431</v>
      </c>
      <c r="BH28">
        <f t="shared" si="37"/>
        <v>0.71708005233421168</v>
      </c>
      <c r="BI28">
        <f t="shared" si="38"/>
        <v>0.73257269679685766</v>
      </c>
      <c r="BJ28">
        <v>1672</v>
      </c>
      <c r="BK28">
        <v>300</v>
      </c>
      <c r="BL28">
        <v>300</v>
      </c>
      <c r="BM28">
        <v>300</v>
      </c>
      <c r="BN28">
        <v>10298.799999999999</v>
      </c>
      <c r="BO28">
        <v>1237.6099999999999</v>
      </c>
      <c r="BP28">
        <v>-7.0752100000000002E-3</v>
      </c>
      <c r="BQ28">
        <v>9.8962400000000006</v>
      </c>
      <c r="BR28">
        <f t="shared" si="39"/>
        <v>1750.01</v>
      </c>
      <c r="BS28">
        <f t="shared" si="40"/>
        <v>1471.2129000963594</v>
      </c>
      <c r="BT28">
        <f t="shared" si="41"/>
        <v>0.84068828183630917</v>
      </c>
      <c r="BU28">
        <f t="shared" si="42"/>
        <v>0.1913765636726184</v>
      </c>
      <c r="BV28" t="s">
        <v>281</v>
      </c>
      <c r="BW28">
        <v>1566595682.8</v>
      </c>
      <c r="BX28">
        <v>1143.146</v>
      </c>
      <c r="BY28">
        <v>1200.03</v>
      </c>
      <c r="BZ28">
        <v>18.363399999999999</v>
      </c>
      <c r="CA28">
        <v>15.866400000000001</v>
      </c>
      <c r="CB28">
        <v>500.03500000000003</v>
      </c>
      <c r="CC28">
        <v>99.521600000000007</v>
      </c>
      <c r="CD28">
        <v>0.10004200000000001</v>
      </c>
      <c r="CE28">
        <v>25.7224</v>
      </c>
      <c r="CF28">
        <v>26.999600000000001</v>
      </c>
      <c r="CG28">
        <v>999.9</v>
      </c>
      <c r="CH28">
        <v>9973.1200000000008</v>
      </c>
      <c r="CI28">
        <v>0</v>
      </c>
      <c r="CJ28">
        <v>502.36700000000002</v>
      </c>
      <c r="CK28">
        <v>1750.01</v>
      </c>
      <c r="CL28">
        <v>0.97699000000000003</v>
      </c>
      <c r="CM28">
        <v>2.3010200000000001E-2</v>
      </c>
      <c r="CN28">
        <v>0</v>
      </c>
      <c r="CO28">
        <v>816.58399999999995</v>
      </c>
      <c r="CP28">
        <v>4.99986</v>
      </c>
      <c r="CQ28">
        <v>16100.2</v>
      </c>
      <c r="CR28">
        <v>14220.8</v>
      </c>
      <c r="CS28">
        <v>42</v>
      </c>
      <c r="CT28">
        <v>43.186999999999998</v>
      </c>
      <c r="CU28">
        <v>42.5</v>
      </c>
      <c r="CV28">
        <v>42.811999999999998</v>
      </c>
      <c r="CW28">
        <v>43.936999999999998</v>
      </c>
      <c r="CX28">
        <v>1704.86</v>
      </c>
      <c r="CY28">
        <v>40.15</v>
      </c>
      <c r="CZ28">
        <v>0</v>
      </c>
      <c r="DA28">
        <v>121.200000047684</v>
      </c>
      <c r="DB28">
        <v>817.592115384615</v>
      </c>
      <c r="DC28">
        <v>-7.8264273486394202</v>
      </c>
      <c r="DD28">
        <v>13.965811842291799</v>
      </c>
      <c r="DE28">
        <v>16093.4653846154</v>
      </c>
      <c r="DF28">
        <v>15</v>
      </c>
      <c r="DG28">
        <v>1566595710.3</v>
      </c>
      <c r="DH28" t="s">
        <v>343</v>
      </c>
      <c r="DI28">
        <v>109</v>
      </c>
      <c r="DJ28">
        <v>0.221</v>
      </c>
      <c r="DK28">
        <v>0.107</v>
      </c>
      <c r="DL28">
        <v>1200</v>
      </c>
      <c r="DM28">
        <v>16</v>
      </c>
      <c r="DN28">
        <v>0.06</v>
      </c>
      <c r="DO28">
        <v>0.04</v>
      </c>
      <c r="DP28">
        <v>45.315555224870003</v>
      </c>
      <c r="DQ28">
        <v>-1.0733155851726901</v>
      </c>
      <c r="DR28">
        <v>0.210239651675241</v>
      </c>
      <c r="DS28">
        <v>0</v>
      </c>
      <c r="DT28">
        <v>0.12276871588417999</v>
      </c>
      <c r="DU28">
        <v>-5.6798067295347303E-3</v>
      </c>
      <c r="DV28">
        <v>1.0823061330218001E-3</v>
      </c>
      <c r="DW28">
        <v>1</v>
      </c>
      <c r="DX28">
        <v>1</v>
      </c>
      <c r="DY28">
        <v>2</v>
      </c>
      <c r="DZ28" t="s">
        <v>293</v>
      </c>
      <c r="EA28">
        <v>1.8667499999999999</v>
      </c>
      <c r="EB28">
        <v>1.86324</v>
      </c>
      <c r="EC28">
        <v>1.8689</v>
      </c>
      <c r="ED28">
        <v>1.86687</v>
      </c>
      <c r="EE28">
        <v>1.8714900000000001</v>
      </c>
      <c r="EF28">
        <v>1.8640099999999999</v>
      </c>
      <c r="EG28">
        <v>1.86554</v>
      </c>
      <c r="EH28">
        <v>1.8654999999999999</v>
      </c>
      <c r="EI28" t="s">
        <v>284</v>
      </c>
      <c r="EJ28" t="s">
        <v>19</v>
      </c>
      <c r="EK28" t="s">
        <v>19</v>
      </c>
      <c r="EL28" t="s">
        <v>19</v>
      </c>
      <c r="EM28" t="s">
        <v>285</v>
      </c>
      <c r="EN28" t="s">
        <v>286</v>
      </c>
      <c r="EO28" t="s">
        <v>287</v>
      </c>
      <c r="EP28" t="s">
        <v>287</v>
      </c>
      <c r="EQ28" t="s">
        <v>287</v>
      </c>
      <c r="ER28" t="s">
        <v>287</v>
      </c>
      <c r="ES28">
        <v>0</v>
      </c>
      <c r="ET28">
        <v>100</v>
      </c>
      <c r="EU28">
        <v>100</v>
      </c>
      <c r="EV28">
        <v>0.221</v>
      </c>
      <c r="EW28">
        <v>0.107</v>
      </c>
      <c r="EX28">
        <v>2</v>
      </c>
      <c r="EY28">
        <v>508.21899999999999</v>
      </c>
      <c r="EZ28">
        <v>528.48800000000006</v>
      </c>
      <c r="FA28">
        <v>21.532499999999999</v>
      </c>
      <c r="FB28">
        <v>29.164100000000001</v>
      </c>
      <c r="FC28">
        <v>29.999400000000001</v>
      </c>
      <c r="FD28">
        <v>29.359500000000001</v>
      </c>
      <c r="FE28">
        <v>29.380199999999999</v>
      </c>
      <c r="FF28">
        <v>53.444200000000002</v>
      </c>
      <c r="FG28">
        <v>40.209200000000003</v>
      </c>
      <c r="FH28">
        <v>0</v>
      </c>
      <c r="FI28">
        <v>21.537099999999999</v>
      </c>
      <c r="FJ28">
        <v>1200</v>
      </c>
      <c r="FK28">
        <v>15.914400000000001</v>
      </c>
      <c r="FL28">
        <v>101.399</v>
      </c>
      <c r="FM28">
        <v>102.053</v>
      </c>
    </row>
    <row r="29" spans="1:169" x14ac:dyDescent="0.35">
      <c r="A29">
        <v>14</v>
      </c>
      <c r="B29">
        <v>1566595801.7</v>
      </c>
      <c r="C29">
        <v>1540</v>
      </c>
      <c r="D29" t="s">
        <v>344</v>
      </c>
      <c r="E29" t="s">
        <v>345</v>
      </c>
      <c r="G29">
        <v>1566595801.7</v>
      </c>
      <c r="H29">
        <f t="shared" si="0"/>
        <v>1.875694853177878E-3</v>
      </c>
      <c r="I29">
        <f t="shared" si="1"/>
        <v>49.036521460507196</v>
      </c>
      <c r="J29">
        <f t="shared" si="2"/>
        <v>1537.7270000000001</v>
      </c>
      <c r="K29">
        <f t="shared" si="3"/>
        <v>735.50895760778394</v>
      </c>
      <c r="L29">
        <f t="shared" si="4"/>
        <v>73.268202451616474</v>
      </c>
      <c r="M29">
        <f t="shared" si="5"/>
        <v>153.18167370491378</v>
      </c>
      <c r="N29">
        <f t="shared" si="6"/>
        <v>0.10430010900974147</v>
      </c>
      <c r="O29">
        <f t="shared" si="7"/>
        <v>2.2503840991190085</v>
      </c>
      <c r="P29">
        <f t="shared" si="8"/>
        <v>0.10168708164213851</v>
      </c>
      <c r="Q29">
        <f t="shared" si="9"/>
        <v>6.3783743632584711E-2</v>
      </c>
      <c r="R29">
        <f t="shared" si="10"/>
        <v>281.5567034159173</v>
      </c>
      <c r="S29">
        <f t="shared" si="11"/>
        <v>27.183218174940087</v>
      </c>
      <c r="T29">
        <f t="shared" si="12"/>
        <v>27.183199999999999</v>
      </c>
      <c r="U29">
        <f t="shared" si="13"/>
        <v>3.6178520328894757</v>
      </c>
      <c r="V29">
        <f t="shared" si="14"/>
        <v>55.271084970095721</v>
      </c>
      <c r="W29">
        <f t="shared" si="15"/>
        <v>1.8306168658939197</v>
      </c>
      <c r="X29">
        <f t="shared" si="16"/>
        <v>3.3120697140003137</v>
      </c>
      <c r="Y29">
        <f t="shared" si="17"/>
        <v>1.787235166995556</v>
      </c>
      <c r="Z29">
        <f t="shared" si="18"/>
        <v>-82.718143025144414</v>
      </c>
      <c r="AA29">
        <f t="shared" si="19"/>
        <v>-181.64435774641117</v>
      </c>
      <c r="AB29">
        <f t="shared" si="20"/>
        <v>-17.321485331825581</v>
      </c>
      <c r="AC29">
        <f t="shared" si="21"/>
        <v>-0.12728268746383264</v>
      </c>
      <c r="AD29">
        <v>-4.1194088623427098E-2</v>
      </c>
      <c r="AE29">
        <v>4.62439732801656E-2</v>
      </c>
      <c r="AF29">
        <v>3.4559074498813902</v>
      </c>
      <c r="AG29">
        <v>0</v>
      </c>
      <c r="AH29">
        <v>0</v>
      </c>
      <c r="AI29">
        <f t="shared" si="22"/>
        <v>1</v>
      </c>
      <c r="AJ29">
        <f t="shared" si="23"/>
        <v>0</v>
      </c>
      <c r="AK29">
        <f t="shared" si="24"/>
        <v>52763.847290444457</v>
      </c>
      <c r="AL29" t="s">
        <v>278</v>
      </c>
      <c r="AM29">
        <v>602.34923076923099</v>
      </c>
      <c r="AN29">
        <v>3447.2</v>
      </c>
      <c r="AO29">
        <f t="shared" si="25"/>
        <v>2844.8507692307689</v>
      </c>
      <c r="AP29">
        <f t="shared" si="26"/>
        <v>0.82526420550904189</v>
      </c>
      <c r="AQ29">
        <v>-2.3039181891607399</v>
      </c>
      <c r="AR29" t="s">
        <v>346</v>
      </c>
      <c r="AS29">
        <v>803.35111538461604</v>
      </c>
      <c r="AT29">
        <v>1321.63</v>
      </c>
      <c r="AU29">
        <f t="shared" si="27"/>
        <v>0.39215127124489002</v>
      </c>
      <c r="AV29">
        <v>0.5</v>
      </c>
      <c r="AW29">
        <f t="shared" si="28"/>
        <v>1471.2210000963348</v>
      </c>
      <c r="AX29">
        <f t="shared" si="29"/>
        <v>49.036521460507196</v>
      </c>
      <c r="AY29">
        <f t="shared" si="30"/>
        <v>288.47059273497808</v>
      </c>
      <c r="AZ29">
        <f t="shared" si="31"/>
        <v>0.59419807359094456</v>
      </c>
      <c r="BA29">
        <f t="shared" si="32"/>
        <v>3.4896483700481568E-2</v>
      </c>
      <c r="BB29">
        <f t="shared" si="33"/>
        <v>1.608294303246748</v>
      </c>
      <c r="BC29" t="s">
        <v>347</v>
      </c>
      <c r="BD29">
        <v>536.32000000000005</v>
      </c>
      <c r="BE29">
        <f t="shared" si="34"/>
        <v>785.31000000000006</v>
      </c>
      <c r="BF29">
        <f t="shared" si="35"/>
        <v>0.65996725447961191</v>
      </c>
      <c r="BG29">
        <f t="shared" si="36"/>
        <v>0.73021560490298465</v>
      </c>
      <c r="BH29">
        <f t="shared" si="37"/>
        <v>0.72055156593391834</v>
      </c>
      <c r="BI29">
        <f t="shared" si="38"/>
        <v>0.74716397182926453</v>
      </c>
      <c r="BJ29">
        <v>1674</v>
      </c>
      <c r="BK29">
        <v>300</v>
      </c>
      <c r="BL29">
        <v>300</v>
      </c>
      <c r="BM29">
        <v>300</v>
      </c>
      <c r="BN29">
        <v>10299.700000000001</v>
      </c>
      <c r="BO29">
        <v>1199.83</v>
      </c>
      <c r="BP29">
        <v>-7.0756999999999999E-3</v>
      </c>
      <c r="BQ29">
        <v>6.8994099999999996</v>
      </c>
      <c r="BR29">
        <f t="shared" si="39"/>
        <v>1750.02</v>
      </c>
      <c r="BS29">
        <f t="shared" si="40"/>
        <v>1471.2210000963348</v>
      </c>
      <c r="BT29">
        <f t="shared" si="41"/>
        <v>0.84068810647668868</v>
      </c>
      <c r="BU29">
        <f t="shared" si="42"/>
        <v>0.19137621295337756</v>
      </c>
      <c r="BV29" t="s">
        <v>281</v>
      </c>
      <c r="BW29">
        <v>1566595801.7</v>
      </c>
      <c r="BX29">
        <v>1537.7270000000001</v>
      </c>
      <c r="BY29">
        <v>1600.03</v>
      </c>
      <c r="BZ29">
        <v>18.376799999999999</v>
      </c>
      <c r="CA29">
        <v>16.167400000000001</v>
      </c>
      <c r="CB29">
        <v>500.01600000000002</v>
      </c>
      <c r="CC29">
        <v>99.515699999999995</v>
      </c>
      <c r="CD29">
        <v>9.9949399999999994E-2</v>
      </c>
      <c r="CE29">
        <v>25.686</v>
      </c>
      <c r="CF29">
        <v>27.183199999999999</v>
      </c>
      <c r="CG29">
        <v>999.9</v>
      </c>
      <c r="CH29">
        <v>9982.5</v>
      </c>
      <c r="CI29">
        <v>0</v>
      </c>
      <c r="CJ29">
        <v>1261.3900000000001</v>
      </c>
      <c r="CK29">
        <v>1750.02</v>
      </c>
      <c r="CL29">
        <v>0.97699999999999998</v>
      </c>
      <c r="CM29">
        <v>2.29999E-2</v>
      </c>
      <c r="CN29">
        <v>0</v>
      </c>
      <c r="CO29">
        <v>802.66300000000001</v>
      </c>
      <c r="CP29">
        <v>4.99986</v>
      </c>
      <c r="CQ29">
        <v>18518.5</v>
      </c>
      <c r="CR29">
        <v>14220.9</v>
      </c>
      <c r="CS29">
        <v>42.061999999999998</v>
      </c>
      <c r="CT29">
        <v>43.375</v>
      </c>
      <c r="CU29">
        <v>42.436999999999998</v>
      </c>
      <c r="CV29">
        <v>43.061999999999998</v>
      </c>
      <c r="CW29">
        <v>43.936999999999998</v>
      </c>
      <c r="CX29">
        <v>1704.88</v>
      </c>
      <c r="CY29">
        <v>40.14</v>
      </c>
      <c r="CZ29">
        <v>0</v>
      </c>
      <c r="DA29">
        <v>118.39999985694899</v>
      </c>
      <c r="DB29">
        <v>803.35111538461604</v>
      </c>
      <c r="DC29">
        <v>-9.8615042885147393</v>
      </c>
      <c r="DD29">
        <v>-582.23247945989897</v>
      </c>
      <c r="DE29">
        <v>18602.280769230802</v>
      </c>
      <c r="DF29">
        <v>15</v>
      </c>
      <c r="DG29">
        <v>1566595842.2</v>
      </c>
      <c r="DH29" t="s">
        <v>348</v>
      </c>
      <c r="DI29">
        <v>110</v>
      </c>
      <c r="DJ29">
        <v>-5.1999999999999998E-2</v>
      </c>
      <c r="DK29">
        <v>0.113</v>
      </c>
      <c r="DL29">
        <v>1600</v>
      </c>
      <c r="DM29">
        <v>16</v>
      </c>
      <c r="DN29">
        <v>0.06</v>
      </c>
      <c r="DO29">
        <v>0.04</v>
      </c>
      <c r="DP29">
        <v>48.749803244466897</v>
      </c>
      <c r="DQ29">
        <v>-0.22022699460050099</v>
      </c>
      <c r="DR29">
        <v>0.15406001708104999</v>
      </c>
      <c r="DS29">
        <v>1</v>
      </c>
      <c r="DT29">
        <v>0.107451916915222</v>
      </c>
      <c r="DU29">
        <v>-6.4799627191475797E-3</v>
      </c>
      <c r="DV29">
        <v>1.39507644906649E-3</v>
      </c>
      <c r="DW29">
        <v>1</v>
      </c>
      <c r="DX29">
        <v>2</v>
      </c>
      <c r="DY29">
        <v>2</v>
      </c>
      <c r="DZ29" t="s">
        <v>283</v>
      </c>
      <c r="EA29">
        <v>1.8666799999999999</v>
      </c>
      <c r="EB29">
        <v>1.8632</v>
      </c>
      <c r="EC29">
        <v>1.86887</v>
      </c>
      <c r="ED29">
        <v>1.8667800000000001</v>
      </c>
      <c r="EE29">
        <v>1.87141</v>
      </c>
      <c r="EF29">
        <v>1.8639699999999999</v>
      </c>
      <c r="EG29">
        <v>1.86554</v>
      </c>
      <c r="EH29">
        <v>1.8654200000000001</v>
      </c>
      <c r="EI29" t="s">
        <v>284</v>
      </c>
      <c r="EJ29" t="s">
        <v>19</v>
      </c>
      <c r="EK29" t="s">
        <v>19</v>
      </c>
      <c r="EL29" t="s">
        <v>19</v>
      </c>
      <c r="EM29" t="s">
        <v>285</v>
      </c>
      <c r="EN29" t="s">
        <v>286</v>
      </c>
      <c r="EO29" t="s">
        <v>287</v>
      </c>
      <c r="EP29" t="s">
        <v>287</v>
      </c>
      <c r="EQ29" t="s">
        <v>287</v>
      </c>
      <c r="ER29" t="s">
        <v>287</v>
      </c>
      <c r="ES29">
        <v>0</v>
      </c>
      <c r="ET29">
        <v>100</v>
      </c>
      <c r="EU29">
        <v>100</v>
      </c>
      <c r="EV29">
        <v>-5.1999999999999998E-2</v>
      </c>
      <c r="EW29">
        <v>0.113</v>
      </c>
      <c r="EX29">
        <v>2</v>
      </c>
      <c r="EY29">
        <v>507.32900000000001</v>
      </c>
      <c r="EZ29">
        <v>529.35400000000004</v>
      </c>
      <c r="FA29">
        <v>20.025700000000001</v>
      </c>
      <c r="FB29">
        <v>29.043700000000001</v>
      </c>
      <c r="FC29">
        <v>30.000699999999998</v>
      </c>
      <c r="FD29">
        <v>29.191299999999998</v>
      </c>
      <c r="FE29">
        <v>29.215399999999999</v>
      </c>
      <c r="FF29">
        <v>67.220200000000006</v>
      </c>
      <c r="FG29">
        <v>38.555700000000002</v>
      </c>
      <c r="FH29">
        <v>0</v>
      </c>
      <c r="FI29">
        <v>19.971599999999999</v>
      </c>
      <c r="FJ29">
        <v>1600</v>
      </c>
      <c r="FK29">
        <v>16.1555</v>
      </c>
      <c r="FL29">
        <v>101.42100000000001</v>
      </c>
      <c r="FM29">
        <v>102.074</v>
      </c>
    </row>
  </sheetData>
  <sortState xmlns:xlrd2="http://schemas.microsoft.com/office/spreadsheetml/2017/richdata2" ref="J33:L46">
    <sortCondition ref="J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2019-08-23T16:32:51Z</dcterms:created>
  <dcterms:modified xsi:type="dcterms:W3CDTF">2019-08-28T03:14:25Z</dcterms:modified>
</cp:coreProperties>
</file>