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E87726E6-CC71-4CA9-AB9F-079EB2075708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U29" i="1" l="1"/>
  <c r="BT29" i="1"/>
  <c r="BR29" i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 s="1"/>
  <c r="H29" i="1" s="1"/>
  <c r="Z29" i="1" s="1"/>
  <c r="X29" i="1"/>
  <c r="W29" i="1"/>
  <c r="O29" i="1"/>
  <c r="BU28" i="1"/>
  <c r="BT28" i="1"/>
  <c r="BR28" i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 s="1"/>
  <c r="AJ28" i="1" s="1"/>
  <c r="X28" i="1"/>
  <c r="W28" i="1"/>
  <c r="O28" i="1"/>
  <c r="BU27" i="1"/>
  <c r="BT27" i="1"/>
  <c r="BR27" i="1"/>
  <c r="BI27" i="1"/>
  <c r="BH27" i="1"/>
  <c r="BG27" i="1"/>
  <c r="BF27" i="1"/>
  <c r="BE27" i="1"/>
  <c r="AZ27" i="1" s="1"/>
  <c r="BB27" i="1"/>
  <c r="AU27" i="1"/>
  <c r="AO27" i="1"/>
  <c r="AP27" i="1" s="1"/>
  <c r="AK27" i="1"/>
  <c r="AI27" i="1" s="1"/>
  <c r="X27" i="1"/>
  <c r="W27" i="1"/>
  <c r="V27" i="1" s="1"/>
  <c r="O27" i="1"/>
  <c r="BU26" i="1"/>
  <c r="BT26" i="1"/>
  <c r="BR26" i="1"/>
  <c r="BI26" i="1"/>
  <c r="BH26" i="1"/>
  <c r="BG26" i="1"/>
  <c r="BF26" i="1"/>
  <c r="BE26" i="1"/>
  <c r="AZ26" i="1" s="1"/>
  <c r="BB26" i="1"/>
  <c r="AU26" i="1"/>
  <c r="AO26" i="1"/>
  <c r="AP26" i="1" s="1"/>
  <c r="AK26" i="1"/>
  <c r="AI26" i="1" s="1"/>
  <c r="H26" i="1" s="1"/>
  <c r="Z26" i="1" s="1"/>
  <c r="X26" i="1"/>
  <c r="W26" i="1"/>
  <c r="O26" i="1"/>
  <c r="I26" i="1"/>
  <c r="M26" i="1" s="1"/>
  <c r="BU25" i="1"/>
  <c r="BT25" i="1"/>
  <c r="BR25" i="1"/>
  <c r="BI25" i="1"/>
  <c r="BH25" i="1"/>
  <c r="BG25" i="1"/>
  <c r="BF25" i="1"/>
  <c r="BE25" i="1"/>
  <c r="AZ25" i="1" s="1"/>
  <c r="BB25" i="1"/>
  <c r="AU25" i="1"/>
  <c r="AP25" i="1"/>
  <c r="AO25" i="1"/>
  <c r="AK25" i="1"/>
  <c r="AI25" i="1" s="1"/>
  <c r="AJ25" i="1" s="1"/>
  <c r="X25" i="1"/>
  <c r="W25" i="1"/>
  <c r="O25" i="1"/>
  <c r="BU24" i="1"/>
  <c r="BT24" i="1"/>
  <c r="BR24" i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 s="1"/>
  <c r="AJ24" i="1" s="1"/>
  <c r="X24" i="1"/>
  <c r="W24" i="1"/>
  <c r="O24" i="1"/>
  <c r="BU23" i="1"/>
  <c r="BT23" i="1"/>
  <c r="BR23" i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 s="1"/>
  <c r="I23" i="1" s="1"/>
  <c r="M23" i="1" s="1"/>
  <c r="X23" i="1"/>
  <c r="W23" i="1"/>
  <c r="O23" i="1"/>
  <c r="BU22" i="1"/>
  <c r="BT22" i="1"/>
  <c r="BR22" i="1"/>
  <c r="BI22" i="1"/>
  <c r="BH22" i="1"/>
  <c r="BG22" i="1"/>
  <c r="BF22" i="1"/>
  <c r="BE22" i="1"/>
  <c r="AZ22" i="1" s="1"/>
  <c r="BB22" i="1"/>
  <c r="AU22" i="1"/>
  <c r="AO22" i="1"/>
  <c r="AP22" i="1" s="1"/>
  <c r="AK22" i="1"/>
  <c r="AI22" i="1" s="1"/>
  <c r="H22" i="1" s="1"/>
  <c r="X22" i="1"/>
  <c r="W22" i="1"/>
  <c r="O22" i="1"/>
  <c r="BU21" i="1"/>
  <c r="BT21" i="1"/>
  <c r="BR21" i="1"/>
  <c r="BI21" i="1"/>
  <c r="BH21" i="1"/>
  <c r="BG21" i="1"/>
  <c r="BF21" i="1"/>
  <c r="BE21" i="1"/>
  <c r="AZ21" i="1" s="1"/>
  <c r="BB21" i="1"/>
  <c r="AU21" i="1"/>
  <c r="AO21" i="1"/>
  <c r="AP21" i="1" s="1"/>
  <c r="AK21" i="1"/>
  <c r="AI21" i="1" s="1"/>
  <c r="AJ21" i="1" s="1"/>
  <c r="X21" i="1"/>
  <c r="W21" i="1"/>
  <c r="O21" i="1"/>
  <c r="BU20" i="1"/>
  <c r="BT20" i="1"/>
  <c r="BR20" i="1"/>
  <c r="BI20" i="1"/>
  <c r="BH20" i="1"/>
  <c r="BG20" i="1"/>
  <c r="BF20" i="1"/>
  <c r="BE20" i="1"/>
  <c r="AZ20" i="1" s="1"/>
  <c r="BB20" i="1"/>
  <c r="AU20" i="1"/>
  <c r="AO20" i="1"/>
  <c r="AP20" i="1" s="1"/>
  <c r="AK20" i="1"/>
  <c r="AI20" i="1" s="1"/>
  <c r="AJ20" i="1" s="1"/>
  <c r="X20" i="1"/>
  <c r="W20" i="1"/>
  <c r="O20" i="1"/>
  <c r="BU19" i="1"/>
  <c r="BT19" i="1"/>
  <c r="BR19" i="1"/>
  <c r="BI19" i="1"/>
  <c r="BH19" i="1"/>
  <c r="BG19" i="1"/>
  <c r="BF19" i="1"/>
  <c r="BE19" i="1"/>
  <c r="AZ19" i="1" s="1"/>
  <c r="BB19" i="1"/>
  <c r="AU19" i="1"/>
  <c r="AO19" i="1"/>
  <c r="AP19" i="1" s="1"/>
  <c r="AK19" i="1"/>
  <c r="AI19" i="1" s="1"/>
  <c r="AJ19" i="1" s="1"/>
  <c r="X19" i="1"/>
  <c r="W19" i="1"/>
  <c r="O19" i="1"/>
  <c r="BU18" i="1"/>
  <c r="BT18" i="1"/>
  <c r="BR18" i="1"/>
  <c r="BI18" i="1"/>
  <c r="BH18" i="1"/>
  <c r="BG18" i="1"/>
  <c r="BF18" i="1"/>
  <c r="BE18" i="1"/>
  <c r="AZ18" i="1" s="1"/>
  <c r="BB18" i="1"/>
  <c r="AU18" i="1"/>
  <c r="AO18" i="1"/>
  <c r="AP18" i="1" s="1"/>
  <c r="AK18" i="1"/>
  <c r="AI18" i="1" s="1"/>
  <c r="H18" i="1" s="1"/>
  <c r="X18" i="1"/>
  <c r="W18" i="1"/>
  <c r="O18" i="1"/>
  <c r="BU17" i="1"/>
  <c r="BT17" i="1"/>
  <c r="BR17" i="1"/>
  <c r="BI17" i="1"/>
  <c r="BH17" i="1"/>
  <c r="BG17" i="1"/>
  <c r="BF17" i="1"/>
  <c r="BE17" i="1"/>
  <c r="AZ17" i="1" s="1"/>
  <c r="BB17" i="1"/>
  <c r="AU17" i="1"/>
  <c r="AO17" i="1"/>
  <c r="AP17" i="1" s="1"/>
  <c r="AK17" i="1"/>
  <c r="AI17" i="1" s="1"/>
  <c r="X17" i="1"/>
  <c r="W17" i="1"/>
  <c r="O17" i="1"/>
  <c r="BS17" i="1" l="1"/>
  <c r="R17" i="1" s="1"/>
  <c r="V18" i="1"/>
  <c r="BS21" i="1"/>
  <c r="AW21" i="1" s="1"/>
  <c r="V22" i="1"/>
  <c r="BS29" i="1"/>
  <c r="V23" i="1"/>
  <c r="BS28" i="1"/>
  <c r="AW28" i="1" s="1"/>
  <c r="BS22" i="1"/>
  <c r="AW22" i="1" s="1"/>
  <c r="AY22" i="1" s="1"/>
  <c r="BS27" i="1"/>
  <c r="AW27" i="1" s="1"/>
  <c r="AY27" i="1" s="1"/>
  <c r="V28" i="1"/>
  <c r="H25" i="1"/>
  <c r="Z25" i="1" s="1"/>
  <c r="V20" i="1"/>
  <c r="V21" i="1"/>
  <c r="V24" i="1"/>
  <c r="V26" i="1"/>
  <c r="V17" i="1"/>
  <c r="R21" i="1"/>
  <c r="AJ22" i="1"/>
  <c r="BS25" i="1"/>
  <c r="R22" i="1"/>
  <c r="S22" i="1" s="1"/>
  <c r="T22" i="1" s="1"/>
  <c r="H19" i="1"/>
  <c r="Z19" i="1" s="1"/>
  <c r="R28" i="1"/>
  <c r="AY28" i="1"/>
  <c r="BS18" i="1"/>
  <c r="AW18" i="1" s="1"/>
  <c r="AY18" i="1" s="1"/>
  <c r="H20" i="1"/>
  <c r="Z20" i="1" s="1"/>
  <c r="BS20" i="1"/>
  <c r="AW20" i="1" s="1"/>
  <c r="AY20" i="1" s="1"/>
  <c r="J23" i="1"/>
  <c r="AX23" i="1"/>
  <c r="R27" i="1"/>
  <c r="AW17" i="1"/>
  <c r="AY17" i="1" s="1"/>
  <c r="I18" i="1"/>
  <c r="AX18" i="1" s="1"/>
  <c r="V19" i="1"/>
  <c r="BS19" i="1"/>
  <c r="AW19" i="1" s="1"/>
  <c r="AY19" i="1" s="1"/>
  <c r="I20" i="1"/>
  <c r="J20" i="1" s="1"/>
  <c r="AY21" i="1"/>
  <c r="BS23" i="1"/>
  <c r="AW23" i="1" s="1"/>
  <c r="AY23" i="1" s="1"/>
  <c r="BS24" i="1"/>
  <c r="AW24" i="1" s="1"/>
  <c r="AY24" i="1" s="1"/>
  <c r="BS26" i="1"/>
  <c r="R26" i="1" s="1"/>
  <c r="Z18" i="1"/>
  <c r="Z22" i="1"/>
  <c r="R29" i="1"/>
  <c r="AW29" i="1"/>
  <c r="AY29" i="1" s="1"/>
  <c r="AJ17" i="1"/>
  <c r="I17" i="1"/>
  <c r="AX17" i="1" s="1"/>
  <c r="BA17" i="1" s="1"/>
  <c r="H17" i="1"/>
  <c r="R25" i="1"/>
  <c r="AW25" i="1"/>
  <c r="AY25" i="1" s="1"/>
  <c r="AW26" i="1"/>
  <c r="AY26" i="1" s="1"/>
  <c r="H27" i="1"/>
  <c r="AJ27" i="1"/>
  <c r="I29" i="1"/>
  <c r="AX29" i="1" s="1"/>
  <c r="BA29" i="1" s="1"/>
  <c r="AJ18" i="1"/>
  <c r="I19" i="1"/>
  <c r="M24" i="1"/>
  <c r="I24" i="1"/>
  <c r="H24" i="1"/>
  <c r="V25" i="1"/>
  <c r="AJ26" i="1"/>
  <c r="J26" i="1"/>
  <c r="AX26" i="1"/>
  <c r="I27" i="1"/>
  <c r="J27" i="1" s="1"/>
  <c r="M21" i="1"/>
  <c r="I21" i="1"/>
  <c r="AX21" i="1" s="1"/>
  <c r="BA21" i="1" s="1"/>
  <c r="H21" i="1"/>
  <c r="I22" i="1"/>
  <c r="AX22" i="1" s="1"/>
  <c r="J19" i="1"/>
  <c r="H23" i="1"/>
  <c r="AJ23" i="1"/>
  <c r="I25" i="1"/>
  <c r="AX25" i="1" s="1"/>
  <c r="I28" i="1"/>
  <c r="H28" i="1"/>
  <c r="V29" i="1"/>
  <c r="AJ29" i="1"/>
  <c r="R24" i="1" l="1"/>
  <c r="BA18" i="1"/>
  <c r="R23" i="1"/>
  <c r="BA22" i="1"/>
  <c r="S28" i="1"/>
  <c r="T28" i="1" s="1"/>
  <c r="U28" i="1" s="1"/>
  <c r="Y28" i="1" s="1"/>
  <c r="R18" i="1"/>
  <c r="J18" i="1"/>
  <c r="M18" i="1"/>
  <c r="BA25" i="1"/>
  <c r="M22" i="1"/>
  <c r="BA26" i="1"/>
  <c r="J21" i="1"/>
  <c r="R19" i="1"/>
  <c r="R20" i="1"/>
  <c r="S20" i="1" s="1"/>
  <c r="T20" i="1" s="1"/>
  <c r="AA20" i="1" s="1"/>
  <c r="BA23" i="1"/>
  <c r="J22" i="1"/>
  <c r="AX20" i="1"/>
  <c r="BA20" i="1" s="1"/>
  <c r="M20" i="1"/>
  <c r="AB28" i="1"/>
  <c r="AA28" i="1"/>
  <c r="AX19" i="1"/>
  <c r="BA19" i="1" s="1"/>
  <c r="M19" i="1"/>
  <c r="Z27" i="1"/>
  <c r="S26" i="1"/>
  <c r="T26" i="1" s="1"/>
  <c r="Z17" i="1"/>
  <c r="M29" i="1"/>
  <c r="S27" i="1"/>
  <c r="T27" i="1" s="1"/>
  <c r="P27" i="1" s="1"/>
  <c r="N27" i="1" s="1"/>
  <c r="Q27" i="1" s="1"/>
  <c r="K27" i="1" s="1"/>
  <c r="L27" i="1" s="1"/>
  <c r="S25" i="1"/>
  <c r="T25" i="1" s="1"/>
  <c r="U22" i="1"/>
  <c r="Y22" i="1" s="1"/>
  <c r="AB22" i="1"/>
  <c r="S29" i="1"/>
  <c r="T29" i="1" s="1"/>
  <c r="AA22" i="1"/>
  <c r="J25" i="1"/>
  <c r="Z23" i="1"/>
  <c r="P21" i="1"/>
  <c r="N21" i="1" s="1"/>
  <c r="Q21" i="1" s="1"/>
  <c r="Z21" i="1"/>
  <c r="AX24" i="1"/>
  <c r="BA24" i="1" s="1"/>
  <c r="J24" i="1"/>
  <c r="J29" i="1"/>
  <c r="S19" i="1"/>
  <c r="T19" i="1" s="1"/>
  <c r="S21" i="1"/>
  <c r="T21" i="1" s="1"/>
  <c r="M17" i="1"/>
  <c r="S18" i="1"/>
  <c r="T18" i="1" s="1"/>
  <c r="AX28" i="1"/>
  <c r="BA28" i="1" s="1"/>
  <c r="J28" i="1"/>
  <c r="S24" i="1"/>
  <c r="T24" i="1" s="1"/>
  <c r="AB20" i="1"/>
  <c r="AC20" i="1" s="1"/>
  <c r="U20" i="1"/>
  <c r="Y20" i="1" s="1"/>
  <c r="M28" i="1"/>
  <c r="M25" i="1"/>
  <c r="Z24" i="1"/>
  <c r="P28" i="1"/>
  <c r="N28" i="1" s="1"/>
  <c r="Q28" i="1" s="1"/>
  <c r="K28" i="1" s="1"/>
  <c r="L28" i="1" s="1"/>
  <c r="Z28" i="1"/>
  <c r="S23" i="1"/>
  <c r="T23" i="1" s="1"/>
  <c r="P23" i="1" s="1"/>
  <c r="N23" i="1" s="1"/>
  <c r="Q23" i="1" s="1"/>
  <c r="K23" i="1" s="1"/>
  <c r="L23" i="1" s="1"/>
  <c r="P20" i="1"/>
  <c r="N20" i="1" s="1"/>
  <c r="Q20" i="1" s="1"/>
  <c r="K20" i="1" s="1"/>
  <c r="L20" i="1" s="1"/>
  <c r="M27" i="1"/>
  <c r="AX27" i="1"/>
  <c r="BA27" i="1" s="1"/>
  <c r="S17" i="1"/>
  <c r="T17" i="1" s="1"/>
  <c r="P17" i="1" s="1"/>
  <c r="N17" i="1" s="1"/>
  <c r="Q17" i="1" s="1"/>
  <c r="J17" i="1"/>
  <c r="P22" i="1"/>
  <c r="N22" i="1" s="1"/>
  <c r="Q22" i="1" s="1"/>
  <c r="K22" i="1" s="1"/>
  <c r="L22" i="1" s="1"/>
  <c r="K21" i="1" l="1"/>
  <c r="L21" i="1" s="1"/>
  <c r="U24" i="1"/>
  <c r="Y24" i="1" s="1"/>
  <c r="AB24" i="1"/>
  <c r="AA24" i="1"/>
  <c r="AA19" i="1"/>
  <c r="U19" i="1"/>
  <c r="Y19" i="1" s="1"/>
  <c r="AB19" i="1"/>
  <c r="P19" i="1"/>
  <c r="N19" i="1" s="1"/>
  <c r="Q19" i="1" s="1"/>
  <c r="K19" i="1" s="1"/>
  <c r="L19" i="1" s="1"/>
  <c r="U29" i="1"/>
  <c r="Y29" i="1" s="1"/>
  <c r="AB29" i="1"/>
  <c r="AA29" i="1"/>
  <c r="P29" i="1"/>
  <c r="N29" i="1" s="1"/>
  <c r="Q29" i="1" s="1"/>
  <c r="K29" i="1" s="1"/>
  <c r="L29" i="1" s="1"/>
  <c r="K17" i="1"/>
  <c r="L17" i="1" s="1"/>
  <c r="AB17" i="1"/>
  <c r="U17" i="1"/>
  <c r="Y17" i="1" s="1"/>
  <c r="AA17" i="1"/>
  <c r="AC28" i="1"/>
  <c r="AB26" i="1"/>
  <c r="U26" i="1"/>
  <c r="Y26" i="1" s="1"/>
  <c r="AA26" i="1"/>
  <c r="P26" i="1"/>
  <c r="N26" i="1" s="1"/>
  <c r="Q26" i="1" s="1"/>
  <c r="K26" i="1" s="1"/>
  <c r="L26" i="1" s="1"/>
  <c r="AB18" i="1"/>
  <c r="U18" i="1"/>
  <c r="Y18" i="1" s="1"/>
  <c r="P18" i="1"/>
  <c r="N18" i="1" s="1"/>
  <c r="Q18" i="1" s="1"/>
  <c r="K18" i="1" s="1"/>
  <c r="L18" i="1" s="1"/>
  <c r="AA18" i="1"/>
  <c r="U25" i="1"/>
  <c r="Y25" i="1" s="1"/>
  <c r="AB25" i="1"/>
  <c r="AA25" i="1"/>
  <c r="P25" i="1"/>
  <c r="N25" i="1" s="1"/>
  <c r="Q25" i="1" s="1"/>
  <c r="K25" i="1" s="1"/>
  <c r="L25" i="1" s="1"/>
  <c r="AB23" i="1"/>
  <c r="U23" i="1"/>
  <c r="Y23" i="1" s="1"/>
  <c r="AA23" i="1"/>
  <c r="P24" i="1"/>
  <c r="N24" i="1" s="1"/>
  <c r="Q24" i="1" s="1"/>
  <c r="K24" i="1" s="1"/>
  <c r="L24" i="1" s="1"/>
  <c r="U21" i="1"/>
  <c r="Y21" i="1" s="1"/>
  <c r="AB21" i="1"/>
  <c r="AA21" i="1"/>
  <c r="AC22" i="1"/>
  <c r="AB27" i="1"/>
  <c r="U27" i="1"/>
  <c r="Y27" i="1" s="1"/>
  <c r="AA27" i="1"/>
  <c r="AC25" i="1" l="1"/>
  <c r="AC19" i="1"/>
  <c r="AC24" i="1"/>
  <c r="AC21" i="1"/>
  <c r="AC27" i="1"/>
  <c r="AC23" i="1"/>
  <c r="AC18" i="1"/>
  <c r="AC26" i="1"/>
  <c r="AC17" i="1"/>
  <c r="AC29" i="1"/>
</calcChain>
</file>

<file path=xl/sharedStrings.xml><?xml version="1.0" encoding="utf-8"?>
<sst xmlns="http://schemas.openxmlformats.org/spreadsheetml/2006/main" count="766" uniqueCount="349">
  <si>
    <t>File opened</t>
  </si>
  <si>
    <t>2019-08-18 11:40:48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</si>
  <si>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</si>
  <si>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</si>
  <si>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</si>
  <si>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</si>
  <si>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</si>
  <si>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</si>
  <si>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</si>
  <si>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</si>
  <si>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</si>
  <si>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</si>
  <si>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</si>
  <si>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{"tbzero": "0.197721", "h2obspan1": "0.998578", "co2aspan1": "0.992625", "co2aspan2a": "0.164928", "h2oaspanconc1": "12.19", "h2obspan2a": "0.0975941", "co2aspan2": "0", "co2bspan1": "0.992131", "co2aspan2b": "0.163711", "co2aspanconc1": "1002", "h2oaspan2": "0", "co2bspan2b": "0.162103", "ssa_ref": "36614.9", "h2obspanconc2": "0", "h2obzero": "1.01783", "flowbzero": "0.20796", "h2oaspan2b": "0.0662632", "oxygen": "21", "h2obspan2": "0", "co2bzero": "0.880288", "co2bspan2": "0", "chamberpressurezero": "2.57337", "ssb_ref": "36526.8", "co2bspanconc1": "1002", "h2oaspanconc2": "0", "flowmeterzero": "0.991801", "co2aspanconc2": "0", "h2oaspan1": "1.00223", "h2oaspan2a": "0.0661155", "co2bspanconc2": "0", "tazero": "0.00774765", "h2obspanconc1": "20", "h2obspan2b": "0.0963575", "flowazero": "0.4286", "co2azero": "0.869071", "co2bspan2a": "0.163389", "h2oazero": "1.00263"}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</si>
  <si>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</si>
  <si>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</si>
  <si>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</si>
  <si>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</si>
  <si>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</si>
  <si>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</si>
  <si>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</si>
  <si>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</si>
  <si>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</si>
  <si>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11:40:48</t>
  </si>
  <si>
    <t>Stability Definition:	A (GasEx): Slp&lt;0.3 Std&lt;0.5	gsw (GasEx): Slp&lt;1 Std&lt;0.5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</si>
  <si>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</si>
  <si>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</si>
  <si>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</si>
  <si>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</si>
  <si>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</si>
  <si>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</si>
  <si>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</si>
  <si>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</si>
  <si>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</si>
  <si>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</si>
  <si>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</si>
  <si>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</si>
  <si>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</si>
  <si>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</si>
  <si>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</si>
  <si>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</si>
  <si>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</si>
  <si>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</si>
  <si>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</si>
  <si>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</si>
  <si>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</si>
  <si>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</si>
  <si>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</si>
  <si>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</si>
  <si>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</si>
  <si>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</si>
  <si>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</si>
  <si>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</si>
  <si>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</si>
  <si>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</si>
  <si>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</si>
  <si>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</si>
  <si>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</si>
  <si>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</si>
  <si>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</si>
  <si>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</si>
  <si>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</si>
  <si>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</si>
  <si>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</si>
  <si>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</si>
  <si>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</si>
  <si>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</si>
  <si>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</si>
  <si>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</si>
  <si>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</si>
  <si>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</si>
  <si>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0.570593 73.8588 386.38 619.433 848.611 1051.49 1232.95 1389.7</t>
  </si>
  <si>
    <t>Fs_true</t>
  </si>
  <si>
    <t>0.0938281 100.298 404.41 600.711 801.999 1000.17 1200.83 1401.26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</si>
  <si>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</si>
  <si>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</si>
  <si>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</si>
  <si>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</si>
  <si>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</si>
  <si>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</si>
  <si>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</si>
  <si>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</si>
  <si>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</si>
  <si>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</si>
  <si>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</si>
  <si>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</si>
  <si>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</si>
  <si>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</si>
  <si>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</si>
  <si>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</si>
  <si>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</si>
  <si>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</si>
  <si>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</si>
  <si>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</si>
  <si>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</si>
  <si>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</si>
  <si>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</si>
  <si>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</si>
  <si>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</si>
  <si>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</si>
  <si>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</si>
  <si>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</si>
  <si>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</si>
  <si>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</si>
  <si>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</si>
  <si>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</si>
  <si>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</si>
  <si>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</si>
  <si>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</si>
  <si>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</si>
  <si>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</si>
  <si>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</si>
  <si>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</si>
  <si>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</si>
  <si>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</si>
  <si>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</si>
  <si>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</si>
  <si>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</si>
  <si>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</si>
  <si>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</si>
  <si>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</si>
  <si>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</si>
  <si>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</si>
  <si>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</si>
  <si>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</si>
  <si>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</si>
  <si>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</si>
  <si>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</si>
  <si>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</si>
  <si>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</si>
  <si>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</si>
  <si>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</si>
  <si>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</si>
  <si>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</si>
  <si>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</si>
  <si>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</si>
  <si>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</si>
  <si>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</si>
  <si>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</si>
  <si>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</si>
  <si>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</si>
  <si>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</si>
  <si>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</si>
  <si>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</si>
  <si>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</si>
  <si>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</si>
  <si>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</si>
  <si>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</si>
  <si>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</si>
  <si>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</si>
  <si>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</si>
  <si>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</si>
  <si>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</si>
  <si>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</si>
  <si>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</si>
  <si>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</si>
  <si>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</si>
  <si>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</si>
  <si>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</si>
  <si>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</si>
  <si>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</si>
  <si>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</si>
  <si>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</si>
  <si>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</si>
  <si>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</si>
  <si>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</si>
  <si>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</si>
  <si>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</si>
  <si>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</si>
  <si>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</si>
  <si>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</si>
  <si>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</si>
  <si>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</si>
  <si>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</si>
  <si>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</si>
  <si>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</si>
  <si>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</si>
  <si>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</si>
  <si>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</si>
  <si>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</si>
  <si>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</si>
  <si>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</si>
  <si>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</si>
  <si>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</si>
  <si>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</si>
  <si>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</si>
  <si>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</si>
  <si>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</si>
  <si>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</si>
  <si>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</si>
  <si>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</si>
  <si>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</si>
  <si>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</si>
  <si>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</si>
  <si>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</si>
  <si>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</si>
  <si>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</si>
  <si>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</si>
  <si>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</si>
  <si>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</si>
  <si>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</si>
  <si>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</si>
  <si>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</si>
  <si>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</si>
  <si>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</si>
  <si>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</si>
  <si>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</si>
  <si>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</si>
  <si>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</si>
  <si>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</si>
  <si>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</si>
  <si>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</si>
  <si>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</si>
  <si>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</si>
  <si>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</si>
  <si>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</si>
  <si>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</si>
  <si>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</si>
  <si>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</si>
  <si>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</si>
  <si>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</si>
  <si>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</si>
  <si>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</si>
  <si>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</si>
  <si>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</si>
  <si>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</si>
  <si>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</si>
  <si>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</si>
  <si>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</si>
  <si>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</si>
  <si>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</si>
  <si>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</si>
  <si>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</si>
  <si>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</si>
  <si>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</si>
  <si>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</si>
  <si>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</si>
  <si>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</si>
  <si>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</si>
  <si>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</si>
  <si>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</si>
  <si>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</si>
  <si>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</si>
  <si>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</si>
  <si>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</si>
  <si>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</si>
  <si>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</si>
  <si>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</si>
  <si>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</si>
  <si>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</si>
  <si>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</si>
  <si>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</si>
  <si>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</si>
  <si>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</si>
  <si>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</si>
  <si>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</si>
  <si>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</si>
  <si>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</si>
  <si>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</si>
  <si>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</si>
  <si>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</si>
  <si>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</si>
  <si>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</si>
  <si>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</si>
  <si>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</si>
  <si>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</si>
  <si>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</si>
  <si>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</si>
  <si>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</si>
  <si>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</si>
  <si>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</si>
  <si>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</si>
  <si>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</si>
  <si>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</si>
  <si>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</si>
  <si>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</si>
  <si>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20190818 11:49:57</t>
  </si>
  <si>
    <t>11:49:57</t>
  </si>
  <si>
    <t>RECT-1274-20190818-05_20_45</t>
  </si>
  <si>
    <t>MPF-1393-20190818-11_49_58</t>
  </si>
  <si>
    <t>DARK-1394-20190818-11_50_06</t>
  </si>
  <si>
    <t>0: Broadleaf</t>
  </si>
  <si>
    <t>11:50:30</t>
  </si>
  <si>
    <t>2/2</t>
  </si>
  <si>
    <t>5</t>
  </si>
  <si>
    <t>11111111</t>
  </si>
  <si>
    <t>oooooooo</t>
  </si>
  <si>
    <t>off</t>
  </si>
  <si>
    <t>20190818 11:51:53</t>
  </si>
  <si>
    <t>11:51:53</t>
  </si>
  <si>
    <t>MPF-1395-20190818-11_51_54</t>
  </si>
  <si>
    <t>DARK-1396-20190818-11_52_02</t>
  </si>
  <si>
    <t>11:52:29</t>
  </si>
  <si>
    <t>20190818 11:53:54</t>
  </si>
  <si>
    <t>11:53:54</t>
  </si>
  <si>
    <t>MPF-1397-20190818-11_53_56</t>
  </si>
  <si>
    <t>DARK-1398-20190818-11_54_03</t>
  </si>
  <si>
    <t>11:54:34</t>
  </si>
  <si>
    <t>20190818 11:55:58</t>
  </si>
  <si>
    <t>11:55:58</t>
  </si>
  <si>
    <t>MPF-1399-20190818-11_55_59</t>
  </si>
  <si>
    <t>DARK-1400-20190818-11_56_07</t>
  </si>
  <si>
    <t>11:56:38</t>
  </si>
  <si>
    <t>20190818 11:57:59</t>
  </si>
  <si>
    <t>11:57:59</t>
  </si>
  <si>
    <t>MPF-1401-20190818-11_58_00</t>
  </si>
  <si>
    <t>DARK-1402-20190818-11_58_08</t>
  </si>
  <si>
    <t>11:58:38</t>
  </si>
  <si>
    <t>20190818 11:59:58</t>
  </si>
  <si>
    <t>11:59:58</t>
  </si>
  <si>
    <t>MPF-1403-20190818-12_00_00</t>
  </si>
  <si>
    <t>DARK-1404-20190818-12_00_07</t>
  </si>
  <si>
    <t>12:00:33</t>
  </si>
  <si>
    <t>20190818 12:03:38</t>
  </si>
  <si>
    <t>12:03:38</t>
  </si>
  <si>
    <t>MPF-1407-20190818-12_03_40</t>
  </si>
  <si>
    <t>DARK-1408-20190818-12_03_47</t>
  </si>
  <si>
    <t>12:04:15</t>
  </si>
  <si>
    <t>20190818 12:05:47</t>
  </si>
  <si>
    <t>12:05:47</t>
  </si>
  <si>
    <t>MPF-1409-20190818-12_05_48</t>
  </si>
  <si>
    <t>DARK-1410-20190818-12_05_56</t>
  </si>
  <si>
    <t>12:06:24</t>
  </si>
  <si>
    <t>1/2</t>
  </si>
  <si>
    <t>20190818 12:07:55</t>
  </si>
  <si>
    <t>12:07:55</t>
  </si>
  <si>
    <t>MPF-1411-20190818-12_07_57</t>
  </si>
  <si>
    <t>DARK-1412-20190818-12_08_04</t>
  </si>
  <si>
    <t>12:08:31</t>
  </si>
  <si>
    <t>20190818 12:10:03</t>
  </si>
  <si>
    <t>12:10:03</t>
  </si>
  <si>
    <t>MPF-1413-20190818-12_10_04</t>
  </si>
  <si>
    <t>DARK-1414-20190818-12_10_12</t>
  </si>
  <si>
    <t>12:10:40</t>
  </si>
  <si>
    <t>20190818 12:12:12</t>
  </si>
  <si>
    <t>12:12:12</t>
  </si>
  <si>
    <t>MPF-1415-20190818-12_12_13</t>
  </si>
  <si>
    <t>DARK-1416-20190818-12_12_21</t>
  </si>
  <si>
    <t>12:12:50</t>
  </si>
  <si>
    <t>20190818 12:14:22</t>
  </si>
  <si>
    <t>12:14:22</t>
  </si>
  <si>
    <t>MPF-1417-20190818-12_14_23</t>
  </si>
  <si>
    <t>DARK-1418-20190818-12_14_31</t>
  </si>
  <si>
    <t>12:14:56</t>
  </si>
  <si>
    <t>20190818 12:16:27</t>
  </si>
  <si>
    <t>12:16:27</t>
  </si>
  <si>
    <t>MPF-1419-20190818-12_16_29</t>
  </si>
  <si>
    <t>DARK-1420-20190818-12_16_36</t>
  </si>
  <si>
    <t>12:17:04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</si>
</sst>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M29"/>
  <sheetViews>
    <sheetView tabSelected="1" topLeftCell="A12" workbookViewId="0">
      <selection activeCell="A23" sqref="A23:XFD23"/>
    </sheetView>
  </sheetViews>
  <sheetFormatPr defaultRowHeight="14.5" x14ac:dyDescent="0.35"/>
  <sheetData>
    <row r="2" spans="1:169" x14ac:dyDescent="0.35">
      <c r="A2" t="s">
        <v>25</v>
      </c>
      <c r="B2" t="s">
        <v>26</v>
      </c>
      <c r="C2" t="s">
        <v>28</v>
      </c>
      <c r="D2" t="s">
        <v>30</v>
      </c>
    </row>
    <row r="3" spans="1:169" x14ac:dyDescent="0.35">
      <c r="B3" t="s">
        <v>27</v>
      </c>
      <c r="C3" t="s">
        <v>29</v>
      </c>
      <c r="D3" t="s">
        <v>15</v>
      </c>
    </row>
    <row r="4" spans="1:169" x14ac:dyDescent="0.35">
      <c r="A4" t="s">
        <v>31</v>
      </c>
      <c r="B4" t="s">
        <v>32</v>
      </c>
      <c r="C4" t="s">
        <v>33</v>
      </c>
      <c r="D4" t="s">
        <v>34</v>
      </c>
    </row>
    <row r="5" spans="1:169" x14ac:dyDescent="0.35">
      <c r="B5">
        <v>6</v>
      </c>
      <c r="C5">
        <v>0.5</v>
      </c>
      <c r="D5">
        <v>2</v>
      </c>
    </row>
    <row r="6" spans="1:169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69" x14ac:dyDescent="0.35">
      <c r="B7">
        <v>0</v>
      </c>
      <c r="C7">
        <v>1</v>
      </c>
      <c r="D7">
        <v>0</v>
      </c>
      <c r="E7">
        <v>0</v>
      </c>
    </row>
    <row r="8" spans="1:169" x14ac:dyDescent="0.3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69" x14ac:dyDescent="0.3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9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69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9" x14ac:dyDescent="0.3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69" x14ac:dyDescent="0.3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2</v>
      </c>
    </row>
    <row r="14" spans="1:169" x14ac:dyDescent="0.3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31</v>
      </c>
      <c r="BW14" t="s">
        <v>82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83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84</v>
      </c>
      <c r="DC14" t="s">
        <v>84</v>
      </c>
      <c r="DD14" t="s">
        <v>84</v>
      </c>
      <c r="DE14" t="s">
        <v>84</v>
      </c>
      <c r="DF14" t="s">
        <v>84</v>
      </c>
      <c r="DG14" t="s">
        <v>85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86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87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88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</row>
    <row r="15" spans="1:169" x14ac:dyDescent="0.3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95</v>
      </c>
      <c r="BX15" t="s">
        <v>162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90</v>
      </c>
      <c r="DH15" t="s">
        <v>93</v>
      </c>
      <c r="DI15" t="s">
        <v>197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</row>
    <row r="16" spans="1:169" x14ac:dyDescent="0.35">
      <c r="B16" t="s">
        <v>254</v>
      </c>
      <c r="C16" t="s">
        <v>254</v>
      </c>
      <c r="G16" t="s">
        <v>254</v>
      </c>
      <c r="H16" t="s">
        <v>255</v>
      </c>
      <c r="I16" t="s">
        <v>256</v>
      </c>
      <c r="J16" t="s">
        <v>257</v>
      </c>
      <c r="K16" t="s">
        <v>257</v>
      </c>
      <c r="L16" t="s">
        <v>167</v>
      </c>
      <c r="M16" t="s">
        <v>167</v>
      </c>
      <c r="N16" t="s">
        <v>255</v>
      </c>
      <c r="O16" t="s">
        <v>255</v>
      </c>
      <c r="P16" t="s">
        <v>255</v>
      </c>
      <c r="Q16" t="s">
        <v>255</v>
      </c>
      <c r="R16" t="s">
        <v>258</v>
      </c>
      <c r="S16" t="s">
        <v>259</v>
      </c>
      <c r="T16" t="s">
        <v>259</v>
      </c>
      <c r="U16" t="s">
        <v>260</v>
      </c>
      <c r="V16" t="s">
        <v>261</v>
      </c>
      <c r="W16" t="s">
        <v>260</v>
      </c>
      <c r="X16" t="s">
        <v>260</v>
      </c>
      <c r="Y16" t="s">
        <v>260</v>
      </c>
      <c r="Z16" t="s">
        <v>258</v>
      </c>
      <c r="AA16" t="s">
        <v>258</v>
      </c>
      <c r="AB16" t="s">
        <v>258</v>
      </c>
      <c r="AC16" t="s">
        <v>258</v>
      </c>
      <c r="AG16" t="s">
        <v>262</v>
      </c>
      <c r="AH16" t="s">
        <v>261</v>
      </c>
      <c r="AJ16" t="s">
        <v>261</v>
      </c>
      <c r="AK16" t="s">
        <v>262</v>
      </c>
      <c r="AQ16" t="s">
        <v>256</v>
      </c>
      <c r="AW16" t="s">
        <v>256</v>
      </c>
      <c r="AX16" t="s">
        <v>256</v>
      </c>
      <c r="AY16" t="s">
        <v>256</v>
      </c>
      <c r="BA16" t="s">
        <v>263</v>
      </c>
      <c r="BK16" t="s">
        <v>264</v>
      </c>
      <c r="BL16" t="s">
        <v>264</v>
      </c>
      <c r="BM16" t="s">
        <v>264</v>
      </c>
      <c r="BN16" t="s">
        <v>256</v>
      </c>
      <c r="BP16" t="s">
        <v>265</v>
      </c>
      <c r="BR16" t="s">
        <v>256</v>
      </c>
      <c r="BS16" t="s">
        <v>256</v>
      </c>
      <c r="BU16" t="s">
        <v>266</v>
      </c>
      <c r="BW16" t="s">
        <v>254</v>
      </c>
      <c r="BX16" t="s">
        <v>257</v>
      </c>
      <c r="BY16" t="s">
        <v>257</v>
      </c>
      <c r="BZ16" t="s">
        <v>267</v>
      </c>
      <c r="CA16" t="s">
        <v>267</v>
      </c>
      <c r="CB16" t="s">
        <v>262</v>
      </c>
      <c r="CC16" t="s">
        <v>260</v>
      </c>
      <c r="CD16" t="s">
        <v>260</v>
      </c>
      <c r="CE16" t="s">
        <v>259</v>
      </c>
      <c r="CF16" t="s">
        <v>259</v>
      </c>
      <c r="CG16" t="s">
        <v>259</v>
      </c>
      <c r="CH16" t="s">
        <v>268</v>
      </c>
      <c r="CI16" t="s">
        <v>256</v>
      </c>
      <c r="CJ16" t="s">
        <v>256</v>
      </c>
      <c r="CK16" t="s">
        <v>256</v>
      </c>
      <c r="CP16" t="s">
        <v>256</v>
      </c>
      <c r="CS16" t="s">
        <v>259</v>
      </c>
      <c r="CT16" t="s">
        <v>259</v>
      </c>
      <c r="CU16" t="s">
        <v>259</v>
      </c>
      <c r="CV16" t="s">
        <v>259</v>
      </c>
      <c r="CW16" t="s">
        <v>259</v>
      </c>
      <c r="CX16" t="s">
        <v>256</v>
      </c>
      <c r="CY16" t="s">
        <v>256</v>
      </c>
      <c r="CZ16" t="s">
        <v>256</v>
      </c>
      <c r="DA16" t="s">
        <v>254</v>
      </c>
      <c r="DC16" t="s">
        <v>269</v>
      </c>
      <c r="DD16" t="s">
        <v>269</v>
      </c>
      <c r="DF16" t="s">
        <v>254</v>
      </c>
      <c r="DG16" t="s">
        <v>270</v>
      </c>
      <c r="DJ16" t="s">
        <v>271</v>
      </c>
      <c r="DK16" t="s">
        <v>272</v>
      </c>
      <c r="DL16" t="s">
        <v>271</v>
      </c>
      <c r="DM16" t="s">
        <v>272</v>
      </c>
      <c r="DN16" t="s">
        <v>261</v>
      </c>
      <c r="DO16" t="s">
        <v>261</v>
      </c>
      <c r="DP16" t="s">
        <v>256</v>
      </c>
      <c r="DQ16" t="s">
        <v>273</v>
      </c>
      <c r="DR16" t="s">
        <v>256</v>
      </c>
      <c r="DT16" t="s">
        <v>255</v>
      </c>
      <c r="DU16" t="s">
        <v>274</v>
      </c>
      <c r="DV16" t="s">
        <v>255</v>
      </c>
      <c r="EA16" t="s">
        <v>275</v>
      </c>
      <c r="EB16" t="s">
        <v>275</v>
      </c>
      <c r="EC16" t="s">
        <v>275</v>
      </c>
      <c r="ED16" t="s">
        <v>275</v>
      </c>
      <c r="EE16" t="s">
        <v>275</v>
      </c>
      <c r="EF16" t="s">
        <v>275</v>
      </c>
      <c r="EG16" t="s">
        <v>275</v>
      </c>
      <c r="EH16" t="s">
        <v>275</v>
      </c>
      <c r="EI16" t="s">
        <v>275</v>
      </c>
      <c r="EJ16" t="s">
        <v>275</v>
      </c>
      <c r="EK16" t="s">
        <v>275</v>
      </c>
      <c r="EL16" t="s">
        <v>275</v>
      </c>
      <c r="ES16" t="s">
        <v>275</v>
      </c>
      <c r="ET16" t="s">
        <v>261</v>
      </c>
      <c r="EU16" t="s">
        <v>261</v>
      </c>
      <c r="EV16" t="s">
        <v>271</v>
      </c>
      <c r="EW16" t="s">
        <v>272</v>
      </c>
      <c r="EY16" t="s">
        <v>262</v>
      </c>
      <c r="EZ16" t="s">
        <v>262</v>
      </c>
      <c r="FA16" t="s">
        <v>259</v>
      </c>
      <c r="FB16" t="s">
        <v>259</v>
      </c>
      <c r="FC16" t="s">
        <v>259</v>
      </c>
      <c r="FD16" t="s">
        <v>259</v>
      </c>
      <c r="FE16" t="s">
        <v>259</v>
      </c>
      <c r="FF16" t="s">
        <v>261</v>
      </c>
      <c r="FG16" t="s">
        <v>261</v>
      </c>
      <c r="FH16" t="s">
        <v>261</v>
      </c>
      <c r="FI16" t="s">
        <v>259</v>
      </c>
      <c r="FJ16" t="s">
        <v>257</v>
      </c>
      <c r="FK16" t="s">
        <v>267</v>
      </c>
      <c r="FL16" t="s">
        <v>261</v>
      </c>
      <c r="FM16" t="s">
        <v>261</v>
      </c>
    </row>
    <row r="17" spans="1:169" x14ac:dyDescent="0.35">
      <c r="A17">
        <v>1</v>
      </c>
      <c r="B17">
        <v>1566146997</v>
      </c>
      <c r="C17">
        <v>0</v>
      </c>
      <c r="D17" t="s">
        <v>276</v>
      </c>
      <c r="E17" t="s">
        <v>277</v>
      </c>
      <c r="G17">
        <v>1566146997</v>
      </c>
      <c r="H17">
        <f t="shared" ref="H17:H29" si="0">CB17*AI17*(BZ17-CA17)/(100*$B$5*(1000-AI17*BZ17))</f>
        <v>6.4076323263202182E-3</v>
      </c>
      <c r="I17">
        <f t="shared" ref="I17:I29" si="1">CB17*AI17*(BY17-BX17*(1000-AI17*CA17)/(1000-AI17*BZ17))/(100*$B$5)</f>
        <v>28.390812518087806</v>
      </c>
      <c r="J17">
        <f t="shared" ref="J17:J29" si="2">BX17 - IF(AI17&gt;1, I17*$B$5*100/(AK17*CH17), 0)</f>
        <v>363.25996761297409</v>
      </c>
      <c r="K17">
        <f t="shared" ref="K17:K29" si="3">((Q17-H17/2)*J17-I17)/(Q17+H17/2)</f>
        <v>231.11904018215185</v>
      </c>
      <c r="L17">
        <f t="shared" ref="L17:L29" si="4">K17*(CC17+CD17)/1000</f>
        <v>22.885431626335897</v>
      </c>
      <c r="M17">
        <f t="shared" ref="M17:M29" si="5">(BX17 - IF(AI17&gt;1, I17*$B$5*100/(AK17*CH17), 0))*(CC17+CD17)/1000</f>
        <v>35.970040135333292</v>
      </c>
      <c r="N17">
        <f t="shared" ref="N17:N29" si="6">2/((1/P17-1/O17)+SIGN(P17)*SQRT((1/P17-1/O17)*(1/P17-1/O17) + 4*$C$5/(($C$5+1)*($C$5+1))*(2*1/P17*1/O17-1/O17*1/O17)))</f>
        <v>0.39752013138759279</v>
      </c>
      <c r="O17">
        <f t="shared" ref="O17:O29" si="7">AF17+AE17*$B$5+AD17*$B$5*$B$5</f>
        <v>2.2453023103321268</v>
      </c>
      <c r="P17">
        <f t="shared" ref="P17:P29" si="8">H17*(1000-(1000*0.61365*EXP(17.502*T17/(240.97+T17))/(CC17+CD17)+BZ17)/2)/(1000*0.61365*EXP(17.502*T17/(240.97+T17))/(CC17+CD17)-BZ17)</f>
        <v>0.3621586085325918</v>
      </c>
      <c r="Q17">
        <f t="shared" ref="Q17:Q29" si="9">1/(($C$5+1)/(N17/1.6)+1/(O17/1.37)) + $C$5/(($C$5+1)/(N17/1.6) + $C$5/(O17/1.37))</f>
        <v>0.22926351569739695</v>
      </c>
      <c r="R17">
        <f t="shared" ref="R17:R29" si="10">(BS17*BU17)</f>
        <v>281.53698970384869</v>
      </c>
      <c r="S17">
        <f t="shared" ref="S17:S29" si="11">(CE17+(R17+2*0.95*0.0000000567*(((CE17+$B$7)+273)^4-(CE17+273)^4)-44100*H17)/(1.84*29.3*O17+8*0.95*0.0000000567*(CE17+273)^3))</f>
        <v>26.167659195594705</v>
      </c>
      <c r="T17">
        <f t="shared" ref="T17:T29" si="12">($C$7*CF17+$D$7*CG17+$E$7*S17)</f>
        <v>26.957000000000001</v>
      </c>
      <c r="U17">
        <f t="shared" ref="U17:U29" si="13">0.61365*EXP(17.502*T17/(240.97+T17))</f>
        <v>3.5701304952495843</v>
      </c>
      <c r="V17">
        <f t="shared" ref="V17:V29" si="14">(W17/X17*100)</f>
        <v>54.738052288066022</v>
      </c>
      <c r="W17">
        <f t="shared" ref="W17:W29" si="15">BZ17*(CC17+CD17)/1000</f>
        <v>1.8662715269770001</v>
      </c>
      <c r="X17">
        <f t="shared" ref="X17:X29" si="16">0.61365*EXP(17.502*CE17/(240.97+CE17))</f>
        <v>3.4094591403353318</v>
      </c>
      <c r="Y17">
        <f t="shared" ref="Y17:Y29" si="17">(U17-BZ17*(CC17+CD17)/1000)</f>
        <v>1.7038589682725842</v>
      </c>
      <c r="Z17">
        <f t="shared" ref="Z17:Z29" si="18">(-H17*44100)</f>
        <v>-282.57658559072161</v>
      </c>
      <c r="AA17">
        <f t="shared" ref="AA17:AA29" si="19">2*29.3*O17*0.92*(CE17-T17)</f>
        <v>-94.599588867840083</v>
      </c>
      <c r="AB17">
        <f t="shared" ref="AB17:AB29" si="20">2*0.95*0.0000000567*(((CE17+$B$7)+273)^4-(T17+273)^4)</f>
        <v>-9.0532605869201248</v>
      </c>
      <c r="AC17">
        <f t="shared" ref="AC17:AC29" si="21">R17+AB17+Z17+AA17</f>
        <v>-104.69244534163315</v>
      </c>
      <c r="AD17">
        <v>-4.1057397895144801E-2</v>
      </c>
      <c r="AE17">
        <v>4.6090525962903299E-2</v>
      </c>
      <c r="AF17">
        <v>3.4468254787799202</v>
      </c>
      <c r="AG17">
        <v>157</v>
      </c>
      <c r="AH17">
        <v>31</v>
      </c>
      <c r="AI17">
        <f t="shared" ref="AI17:AI29" si="22">IF(AG17*$H$13&gt;=AK17,1,(AK17/(AK17-AG17*$H$13)))</f>
        <v>1.0060175389776174</v>
      </c>
      <c r="AJ17">
        <f t="shared" ref="AJ17:AJ29" si="23">(AI17-1)*100</f>
        <v>0.60175389776173649</v>
      </c>
      <c r="AK17">
        <f t="shared" ref="AK17:AK29" si="24">MAX(0,($B$13+$C$13*CH17)/(1+$D$13*CH17)*CC17/(CE17+273)*$E$13)</f>
        <v>52494.800351761463</v>
      </c>
      <c r="AL17" t="s">
        <v>278</v>
      </c>
      <c r="AM17">
        <v>520.33192307692298</v>
      </c>
      <c r="AN17">
        <v>3330.63</v>
      </c>
      <c r="AO17">
        <f t="shared" ref="AO17:AO29" si="25">AN17-AM17</f>
        <v>2810.2980769230771</v>
      </c>
      <c r="AP17">
        <f t="shared" ref="AP17:AP29" si="26">AO17/AN17</f>
        <v>0.84377372356673574</v>
      </c>
      <c r="AQ17">
        <v>-1.3252759154356599</v>
      </c>
      <c r="AR17" t="s">
        <v>279</v>
      </c>
      <c r="AS17">
        <v>831.43680769230798</v>
      </c>
      <c r="AT17">
        <v>1300.6199999999999</v>
      </c>
      <c r="AU17">
        <f t="shared" ref="AU17:AU29" si="27">1-AS17/AT17</f>
        <v>0.36073810360266023</v>
      </c>
      <c r="AV17">
        <v>0.5</v>
      </c>
      <c r="AW17">
        <f t="shared" ref="AW17:AW29" si="28">BS17</f>
        <v>1471.1199000963175</v>
      </c>
      <c r="AX17">
        <f t="shared" ref="AX17:AX29" si="29">I17</f>
        <v>28.390812518087806</v>
      </c>
      <c r="AY17">
        <f t="shared" ref="AY17:AY29" si="30">AU17*AV17*AW17</f>
        <v>265.34450146644025</v>
      </c>
      <c r="AZ17">
        <f t="shared" ref="AZ17:AZ29" si="31">BE17/AT17</f>
        <v>0.58425981454998377</v>
      </c>
      <c r="BA17">
        <f t="shared" ref="BA17:BA29" si="32">(AX17-AQ17)/AW17</f>
        <v>2.0199637318194043E-2</v>
      </c>
      <c r="BB17">
        <f t="shared" ref="BB17:BB29" si="33">(AN17-AT17)/AT17</f>
        <v>1.560801771462841</v>
      </c>
      <c r="BC17" t="s">
        <v>280</v>
      </c>
      <c r="BD17">
        <v>540.72</v>
      </c>
      <c r="BE17">
        <f t="shared" ref="BE17:BE29" si="34">AT17-BD17</f>
        <v>759.89999999999986</v>
      </c>
      <c r="BF17">
        <f t="shared" ref="BF17:BF29" si="35">(AT17-AS17)/(AT17-BD17)</f>
        <v>0.61742754613461248</v>
      </c>
      <c r="BG17">
        <f t="shared" ref="BG17:BG29" si="36">(AN17-AT17)/(AN17-BD17)</f>
        <v>0.72762562233190331</v>
      </c>
      <c r="BH17">
        <f t="shared" ref="BH17:BH29" si="37">(AT17-AS17)/(AT17-AM17)</f>
        <v>0.60129483736036293</v>
      </c>
      <c r="BI17">
        <f t="shared" ref="BI17:BI29" si="38">(AN17-AT17)/(AN17-AM17)</f>
        <v>0.72234686301412043</v>
      </c>
      <c r="BJ17">
        <v>1393</v>
      </c>
      <c r="BK17">
        <v>300</v>
      </c>
      <c r="BL17">
        <v>300</v>
      </c>
      <c r="BM17">
        <v>300</v>
      </c>
      <c r="BN17">
        <v>10269.9</v>
      </c>
      <c r="BO17">
        <v>1187.3499999999999</v>
      </c>
      <c r="BP17">
        <v>-7.0513800000000003E-3</v>
      </c>
      <c r="BQ17">
        <v>4.6086400000000003</v>
      </c>
      <c r="BR17">
        <f t="shared" ref="BR17:BR29" si="39">$B$11*CI17+$C$11*CJ17+$F$11*CK17</f>
        <v>1749.9</v>
      </c>
      <c r="BS17">
        <f t="shared" ref="BS17:BS29" si="40">BR17*BT17</f>
        <v>1471.1199000963175</v>
      </c>
      <c r="BT17">
        <f t="shared" ref="BT17:BT29" si="41">($B$11*$D$9+$C$11*$D$9+$F$11*((CX17+CP17)/MAX(CX17+CP17+CY17, 0.1)*$I$9+CY17/MAX(CX17+CP17+CY17, 0.1)*$J$9))/($B$11+$C$11+$F$11)</f>
        <v>0.84068798222545138</v>
      </c>
      <c r="BU17">
        <f t="shared" ref="BU17:BU29" si="42">($B$11*$K$9+$C$11*$K$9+$F$11*((CX17+CP17)/MAX(CX17+CP17+CY17, 0.1)*$P$9+CY17/MAX(CX17+CP17+CY17, 0.1)*$Q$9))/($B$11+$C$11+$F$11)</f>
        <v>0.19137596445090291</v>
      </c>
      <c r="BV17" t="s">
        <v>281</v>
      </c>
      <c r="BW17">
        <v>1566146997</v>
      </c>
      <c r="BX17">
        <v>363.26</v>
      </c>
      <c r="BY17">
        <v>399.92399999999998</v>
      </c>
      <c r="BZ17">
        <v>18.8474</v>
      </c>
      <c r="CA17">
        <v>11.348000000000001</v>
      </c>
      <c r="CB17">
        <v>499.923</v>
      </c>
      <c r="CC17">
        <v>98.8202</v>
      </c>
      <c r="CD17">
        <v>0.199905</v>
      </c>
      <c r="CE17">
        <v>26.1755</v>
      </c>
      <c r="CF17">
        <v>26.957000000000001</v>
      </c>
      <c r="CG17">
        <v>999.9</v>
      </c>
      <c r="CH17">
        <v>10019.4</v>
      </c>
      <c r="CI17">
        <v>0</v>
      </c>
      <c r="CJ17">
        <v>1822.47</v>
      </c>
      <c r="CK17">
        <v>1749.9</v>
      </c>
      <c r="CL17">
        <v>0.97699999999999998</v>
      </c>
      <c r="CM17">
        <v>2.2999800000000001E-2</v>
      </c>
      <c r="CN17">
        <v>0</v>
      </c>
      <c r="CO17">
        <v>828.89800000000002</v>
      </c>
      <c r="CP17">
        <v>4.99986</v>
      </c>
      <c r="CQ17">
        <v>19693.099999999999</v>
      </c>
      <c r="CR17">
        <v>14219.9</v>
      </c>
      <c r="CS17">
        <v>48.811999999999998</v>
      </c>
      <c r="CT17">
        <v>51.625</v>
      </c>
      <c r="CU17">
        <v>49.936999999999998</v>
      </c>
      <c r="CV17">
        <v>50.25</v>
      </c>
      <c r="CW17">
        <v>50.25</v>
      </c>
      <c r="CX17">
        <v>1704.77</v>
      </c>
      <c r="CY17">
        <v>40.130000000000003</v>
      </c>
      <c r="CZ17">
        <v>0</v>
      </c>
      <c r="DA17">
        <v>858.09999990463302</v>
      </c>
      <c r="DB17">
        <v>831.43680769230798</v>
      </c>
      <c r="DC17">
        <v>-19.7472478721558</v>
      </c>
      <c r="DD17">
        <v>7693.4564206635396</v>
      </c>
      <c r="DE17">
        <v>18754.676923076899</v>
      </c>
      <c r="DF17">
        <v>15</v>
      </c>
      <c r="DG17">
        <v>1566147030.5</v>
      </c>
      <c r="DH17" t="s">
        <v>282</v>
      </c>
      <c r="DI17">
        <v>60</v>
      </c>
      <c r="DJ17">
        <v>1.9E-2</v>
      </c>
      <c r="DK17">
        <v>4.9000000000000002E-2</v>
      </c>
      <c r="DL17">
        <v>400</v>
      </c>
      <c r="DM17">
        <v>11</v>
      </c>
      <c r="DN17">
        <v>0.05</v>
      </c>
      <c r="DO17">
        <v>0.01</v>
      </c>
      <c r="DP17">
        <v>28.150998195912599</v>
      </c>
      <c r="DQ17">
        <v>-0.222164744375101</v>
      </c>
      <c r="DR17">
        <v>5.14367337257313E-2</v>
      </c>
      <c r="DS17">
        <v>1</v>
      </c>
      <c r="DT17">
        <v>0.41459147188844098</v>
      </c>
      <c r="DU17">
        <v>-4.1552040749849403E-2</v>
      </c>
      <c r="DV17">
        <v>8.2312945205405604E-3</v>
      </c>
      <c r="DW17">
        <v>1</v>
      </c>
      <c r="DX17">
        <v>2</v>
      </c>
      <c r="DY17">
        <v>2</v>
      </c>
      <c r="DZ17" t="s">
        <v>283</v>
      </c>
      <c r="EA17">
        <v>1.8672500000000001</v>
      </c>
      <c r="EB17">
        <v>1.86375</v>
      </c>
      <c r="EC17">
        <v>1.8693500000000001</v>
      </c>
      <c r="ED17">
        <v>1.8673599999999999</v>
      </c>
      <c r="EE17">
        <v>1.8720600000000001</v>
      </c>
      <c r="EF17">
        <v>1.8644700000000001</v>
      </c>
      <c r="EG17">
        <v>1.86599</v>
      </c>
      <c r="EH17">
        <v>1.8658999999999999</v>
      </c>
      <c r="EI17" t="s">
        <v>284</v>
      </c>
      <c r="EJ17" t="s">
        <v>19</v>
      </c>
      <c r="EK17" t="s">
        <v>19</v>
      </c>
      <c r="EL17" t="s">
        <v>19</v>
      </c>
      <c r="EM17" t="s">
        <v>285</v>
      </c>
      <c r="EN17" t="s">
        <v>286</v>
      </c>
      <c r="EO17" t="s">
        <v>287</v>
      </c>
      <c r="EP17" t="s">
        <v>287</v>
      </c>
      <c r="EQ17" t="s">
        <v>287</v>
      </c>
      <c r="ER17" t="s">
        <v>287</v>
      </c>
      <c r="ES17">
        <v>0</v>
      </c>
      <c r="ET17">
        <v>100</v>
      </c>
      <c r="EU17">
        <v>100</v>
      </c>
      <c r="EV17">
        <v>1.9E-2</v>
      </c>
      <c r="EW17">
        <v>4.9000000000000002E-2</v>
      </c>
      <c r="EX17">
        <v>2</v>
      </c>
      <c r="EY17">
        <v>323.553</v>
      </c>
      <c r="EZ17">
        <v>469.01100000000002</v>
      </c>
      <c r="FA17">
        <v>20.222100000000001</v>
      </c>
      <c r="FB17">
        <v>36.118400000000001</v>
      </c>
      <c r="FC17">
        <v>30.000599999999999</v>
      </c>
      <c r="FD17">
        <v>35.920900000000003</v>
      </c>
      <c r="FE17">
        <v>35.900300000000001</v>
      </c>
      <c r="FF17">
        <v>21.898800000000001</v>
      </c>
      <c r="FG17">
        <v>76.377700000000004</v>
      </c>
      <c r="FH17">
        <v>0</v>
      </c>
      <c r="FI17">
        <v>20.201499999999999</v>
      </c>
      <c r="FJ17">
        <v>400</v>
      </c>
      <c r="FK17">
        <v>11.4953</v>
      </c>
      <c r="FL17">
        <v>100.28100000000001</v>
      </c>
      <c r="FM17">
        <v>100.7</v>
      </c>
    </row>
    <row r="18" spans="1:169" x14ac:dyDescent="0.35">
      <c r="A18">
        <v>2</v>
      </c>
      <c r="B18">
        <v>1566147113</v>
      </c>
      <c r="C18">
        <v>116</v>
      </c>
      <c r="D18" t="s">
        <v>288</v>
      </c>
      <c r="E18" t="s">
        <v>289</v>
      </c>
      <c r="G18">
        <v>1566147113</v>
      </c>
      <c r="H18">
        <f t="shared" si="0"/>
        <v>5.8774054304875636E-3</v>
      </c>
      <c r="I18">
        <f t="shared" si="1"/>
        <v>20.622061635721145</v>
      </c>
      <c r="J18">
        <f t="shared" si="2"/>
        <v>273.46397641521474</v>
      </c>
      <c r="K18">
        <f t="shared" si="3"/>
        <v>168.99718070526274</v>
      </c>
      <c r="L18">
        <f t="shared" si="4"/>
        <v>16.73248403740731</v>
      </c>
      <c r="M18">
        <f t="shared" si="5"/>
        <v>27.075786714772203</v>
      </c>
      <c r="N18">
        <f t="shared" si="6"/>
        <v>0.36134167639095582</v>
      </c>
      <c r="O18">
        <f t="shared" si="7"/>
        <v>2.2429554435799024</v>
      </c>
      <c r="P18">
        <f t="shared" si="8"/>
        <v>0.33184028614932581</v>
      </c>
      <c r="Q18">
        <f t="shared" si="9"/>
        <v>0.20984967798196347</v>
      </c>
      <c r="R18">
        <f t="shared" si="10"/>
        <v>281.52102979852828</v>
      </c>
      <c r="S18">
        <f t="shared" si="11"/>
        <v>26.234174356165795</v>
      </c>
      <c r="T18">
        <f t="shared" si="12"/>
        <v>27</v>
      </c>
      <c r="U18">
        <f t="shared" si="13"/>
        <v>3.5791596927768086</v>
      </c>
      <c r="V18">
        <f t="shared" si="14"/>
        <v>55.317757093410044</v>
      </c>
      <c r="W18">
        <f t="shared" si="15"/>
        <v>1.8738219497415001</v>
      </c>
      <c r="X18">
        <f t="shared" si="16"/>
        <v>3.3873787517764828</v>
      </c>
      <c r="Y18">
        <f t="shared" si="17"/>
        <v>1.7053377430353085</v>
      </c>
      <c r="Z18">
        <f t="shared" si="18"/>
        <v>-259.19357948450158</v>
      </c>
      <c r="AA18">
        <f t="shared" si="19"/>
        <v>-112.98971664412697</v>
      </c>
      <c r="AB18">
        <f t="shared" si="20"/>
        <v>-10.820907791343013</v>
      </c>
      <c r="AC18">
        <f t="shared" si="21"/>
        <v>-101.4831741214433</v>
      </c>
      <c r="AD18">
        <v>-4.0994365395276802E-2</v>
      </c>
      <c r="AE18">
        <v>4.6019766459851202E-2</v>
      </c>
      <c r="AF18">
        <v>3.4426339990507602</v>
      </c>
      <c r="AG18">
        <v>155</v>
      </c>
      <c r="AH18">
        <v>31</v>
      </c>
      <c r="AI18">
        <f t="shared" si="22"/>
        <v>1.005947062578074</v>
      </c>
      <c r="AJ18">
        <f t="shared" si="23"/>
        <v>0.59470625780739805</v>
      </c>
      <c r="AK18">
        <f t="shared" si="24"/>
        <v>52436.574410521163</v>
      </c>
      <c r="AL18" t="s">
        <v>278</v>
      </c>
      <c r="AM18">
        <v>520.33192307692298</v>
      </c>
      <c r="AN18">
        <v>3330.63</v>
      </c>
      <c r="AO18">
        <f t="shared" si="25"/>
        <v>2810.2980769230771</v>
      </c>
      <c r="AP18">
        <f t="shared" si="26"/>
        <v>0.84377372356673574</v>
      </c>
      <c r="AQ18">
        <v>-1.3252759154356599</v>
      </c>
      <c r="AR18" t="s">
        <v>290</v>
      </c>
      <c r="AS18">
        <v>790.25546153846199</v>
      </c>
      <c r="AT18">
        <v>1192.04</v>
      </c>
      <c r="AU18">
        <f t="shared" si="27"/>
        <v>0.33705625521084692</v>
      </c>
      <c r="AV18">
        <v>0.5</v>
      </c>
      <c r="AW18">
        <f t="shared" si="28"/>
        <v>1471.0359000963228</v>
      </c>
      <c r="AX18">
        <f t="shared" si="29"/>
        <v>20.622061635721145</v>
      </c>
      <c r="AY18">
        <f t="shared" si="30"/>
        <v>247.91092588359206</v>
      </c>
      <c r="AZ18">
        <f t="shared" si="31"/>
        <v>0.5432703600550316</v>
      </c>
      <c r="BA18">
        <f t="shared" si="32"/>
        <v>1.491964781397905E-2</v>
      </c>
      <c r="BB18">
        <f t="shared" si="33"/>
        <v>1.7940589241971747</v>
      </c>
      <c r="BC18" t="s">
        <v>291</v>
      </c>
      <c r="BD18">
        <v>544.44000000000005</v>
      </c>
      <c r="BE18">
        <f t="shared" si="34"/>
        <v>647.59999999999991</v>
      </c>
      <c r="BF18">
        <f t="shared" si="35"/>
        <v>0.62042084382572271</v>
      </c>
      <c r="BG18">
        <f t="shared" si="36"/>
        <v>0.76756789737957576</v>
      </c>
      <c r="BH18">
        <f t="shared" si="37"/>
        <v>0.59815350189327821</v>
      </c>
      <c r="BI18">
        <f t="shared" si="38"/>
        <v>0.76098333396060502</v>
      </c>
      <c r="BJ18">
        <v>1395</v>
      </c>
      <c r="BK18">
        <v>300</v>
      </c>
      <c r="BL18">
        <v>300</v>
      </c>
      <c r="BM18">
        <v>300</v>
      </c>
      <c r="BN18">
        <v>10268.799999999999</v>
      </c>
      <c r="BO18">
        <v>1097.3699999999999</v>
      </c>
      <c r="BP18">
        <v>-7.0503400000000004E-3</v>
      </c>
      <c r="BQ18">
        <v>5.5921599999999998</v>
      </c>
      <c r="BR18">
        <f t="shared" si="39"/>
        <v>1749.8</v>
      </c>
      <c r="BS18">
        <f t="shared" si="40"/>
        <v>1471.0359000963228</v>
      </c>
      <c r="BT18">
        <f t="shared" si="41"/>
        <v>0.84068802154321798</v>
      </c>
      <c r="BU18">
        <f t="shared" si="42"/>
        <v>0.19137604308643616</v>
      </c>
      <c r="BV18" t="s">
        <v>281</v>
      </c>
      <c r="BW18">
        <v>1566147113</v>
      </c>
      <c r="BX18">
        <v>273.464</v>
      </c>
      <c r="BY18">
        <v>299.99400000000003</v>
      </c>
      <c r="BZ18">
        <v>18.9255</v>
      </c>
      <c r="CA18">
        <v>12.047499999999999</v>
      </c>
      <c r="CB18">
        <v>499.97899999999998</v>
      </c>
      <c r="CC18">
        <v>98.810500000000005</v>
      </c>
      <c r="CD18">
        <v>0.199933</v>
      </c>
      <c r="CE18">
        <v>26.0656</v>
      </c>
      <c r="CF18">
        <v>27</v>
      </c>
      <c r="CG18">
        <v>999.9</v>
      </c>
      <c r="CH18">
        <v>10005</v>
      </c>
      <c r="CI18">
        <v>0</v>
      </c>
      <c r="CJ18">
        <v>1895.12</v>
      </c>
      <c r="CK18">
        <v>1749.8</v>
      </c>
      <c r="CL18">
        <v>0.97699999999999998</v>
      </c>
      <c r="CM18">
        <v>2.2999800000000001E-2</v>
      </c>
      <c r="CN18">
        <v>0</v>
      </c>
      <c r="CO18">
        <v>788.62300000000005</v>
      </c>
      <c r="CP18">
        <v>4.99986</v>
      </c>
      <c r="CQ18">
        <v>18829.599999999999</v>
      </c>
      <c r="CR18">
        <v>14219.1</v>
      </c>
      <c r="CS18">
        <v>48.75</v>
      </c>
      <c r="CT18">
        <v>51.561999999999998</v>
      </c>
      <c r="CU18">
        <v>50</v>
      </c>
      <c r="CV18">
        <v>50.25</v>
      </c>
      <c r="CW18">
        <v>50.25</v>
      </c>
      <c r="CX18">
        <v>1704.67</v>
      </c>
      <c r="CY18">
        <v>40.130000000000003</v>
      </c>
      <c r="CZ18">
        <v>0</v>
      </c>
      <c r="DA18">
        <v>115.40000009536701</v>
      </c>
      <c r="DB18">
        <v>790.25546153846199</v>
      </c>
      <c r="DC18">
        <v>-10.770735053205</v>
      </c>
      <c r="DD18">
        <v>-632.61880470970198</v>
      </c>
      <c r="DE18">
        <v>18929.080769230801</v>
      </c>
      <c r="DF18">
        <v>15</v>
      </c>
      <c r="DG18">
        <v>1566147149.5</v>
      </c>
      <c r="DH18" t="s">
        <v>292</v>
      </c>
      <c r="DI18">
        <v>61</v>
      </c>
      <c r="DJ18">
        <v>-2.4E-2</v>
      </c>
      <c r="DK18">
        <v>6.0999999999999999E-2</v>
      </c>
      <c r="DL18">
        <v>300</v>
      </c>
      <c r="DM18">
        <v>12</v>
      </c>
      <c r="DN18">
        <v>0.04</v>
      </c>
      <c r="DO18">
        <v>0.01</v>
      </c>
      <c r="DP18">
        <v>20.5781490170707</v>
      </c>
      <c r="DQ18">
        <v>0.23453243910299501</v>
      </c>
      <c r="DR18">
        <v>9.2312559551649701E-2</v>
      </c>
      <c r="DS18">
        <v>1</v>
      </c>
      <c r="DT18">
        <v>0.35676994650687999</v>
      </c>
      <c r="DU18">
        <v>2.7170324190920899E-3</v>
      </c>
      <c r="DV18">
        <v>3.4408442116529302E-3</v>
      </c>
      <c r="DW18">
        <v>1</v>
      </c>
      <c r="DX18">
        <v>2</v>
      </c>
      <c r="DY18">
        <v>2</v>
      </c>
      <c r="DZ18" t="s">
        <v>283</v>
      </c>
      <c r="EA18">
        <v>1.86731</v>
      </c>
      <c r="EB18">
        <v>1.8637699999999999</v>
      </c>
      <c r="EC18">
        <v>1.86938</v>
      </c>
      <c r="ED18">
        <v>1.86737</v>
      </c>
      <c r="EE18">
        <v>1.87202</v>
      </c>
      <c r="EF18">
        <v>1.86449</v>
      </c>
      <c r="EG18">
        <v>1.86599</v>
      </c>
      <c r="EH18">
        <v>1.86589</v>
      </c>
      <c r="EI18" t="s">
        <v>284</v>
      </c>
      <c r="EJ18" t="s">
        <v>19</v>
      </c>
      <c r="EK18" t="s">
        <v>19</v>
      </c>
      <c r="EL18" t="s">
        <v>19</v>
      </c>
      <c r="EM18" t="s">
        <v>285</v>
      </c>
      <c r="EN18" t="s">
        <v>286</v>
      </c>
      <c r="EO18" t="s">
        <v>287</v>
      </c>
      <c r="EP18" t="s">
        <v>287</v>
      </c>
      <c r="EQ18" t="s">
        <v>287</v>
      </c>
      <c r="ER18" t="s">
        <v>287</v>
      </c>
      <c r="ES18">
        <v>0</v>
      </c>
      <c r="ET18">
        <v>100</v>
      </c>
      <c r="EU18">
        <v>100</v>
      </c>
      <c r="EV18">
        <v>-2.4E-2</v>
      </c>
      <c r="EW18">
        <v>6.0999999999999999E-2</v>
      </c>
      <c r="EX18">
        <v>2</v>
      </c>
      <c r="EY18">
        <v>325.70600000000002</v>
      </c>
      <c r="EZ18">
        <v>468.43799999999999</v>
      </c>
      <c r="FA18">
        <v>20.085699999999999</v>
      </c>
      <c r="FB18">
        <v>36.151200000000003</v>
      </c>
      <c r="FC18">
        <v>29.9998</v>
      </c>
      <c r="FD18">
        <v>36.000300000000003</v>
      </c>
      <c r="FE18">
        <v>35.971200000000003</v>
      </c>
      <c r="FF18">
        <v>17.4374</v>
      </c>
      <c r="FG18">
        <v>75.484999999999999</v>
      </c>
      <c r="FH18">
        <v>0</v>
      </c>
      <c r="FI18">
        <v>19.845700000000001</v>
      </c>
      <c r="FJ18">
        <v>300</v>
      </c>
      <c r="FK18">
        <v>12.009</v>
      </c>
      <c r="FL18">
        <v>100.271</v>
      </c>
      <c r="FM18">
        <v>100.696</v>
      </c>
    </row>
    <row r="19" spans="1:169" x14ac:dyDescent="0.35">
      <c r="A19">
        <v>3</v>
      </c>
      <c r="B19">
        <v>1566147234.5</v>
      </c>
      <c r="C19">
        <v>237.5</v>
      </c>
      <c r="D19" t="s">
        <v>293</v>
      </c>
      <c r="E19" t="s">
        <v>294</v>
      </c>
      <c r="G19">
        <v>1566147234.5</v>
      </c>
      <c r="H19">
        <f t="shared" si="0"/>
        <v>5.8881399371875972E-3</v>
      </c>
      <c r="I19">
        <f t="shared" si="1"/>
        <v>12.973901534240326</v>
      </c>
      <c r="J19">
        <f t="shared" si="2"/>
        <v>183.29698519444113</v>
      </c>
      <c r="K19">
        <f t="shared" si="3"/>
        <v>117.62965590354806</v>
      </c>
      <c r="L19">
        <f t="shared" si="4"/>
        <v>11.647211892203606</v>
      </c>
      <c r="M19">
        <f t="shared" si="5"/>
        <v>18.149324754569552</v>
      </c>
      <c r="N19">
        <f t="shared" si="6"/>
        <v>0.36356651147568325</v>
      </c>
      <c r="O19">
        <f t="shared" si="7"/>
        <v>2.2446562655739877</v>
      </c>
      <c r="P19">
        <f t="shared" si="8"/>
        <v>0.33373740933356966</v>
      </c>
      <c r="Q19">
        <f t="shared" si="9"/>
        <v>0.2110615852770617</v>
      </c>
      <c r="R19">
        <f t="shared" si="10"/>
        <v>281.54177767544689</v>
      </c>
      <c r="S19">
        <f t="shared" si="11"/>
        <v>26.216144680269821</v>
      </c>
      <c r="T19">
        <f t="shared" si="12"/>
        <v>26.979500000000002</v>
      </c>
      <c r="U19">
        <f t="shared" si="13"/>
        <v>3.5748525920892162</v>
      </c>
      <c r="V19">
        <f t="shared" si="14"/>
        <v>55.429448839035963</v>
      </c>
      <c r="W19">
        <f t="shared" si="15"/>
        <v>1.8759957571871999</v>
      </c>
      <c r="X19">
        <f t="shared" si="16"/>
        <v>3.3844748531326498</v>
      </c>
      <c r="Y19">
        <f t="shared" si="17"/>
        <v>1.6988568349020163</v>
      </c>
      <c r="Z19">
        <f t="shared" si="18"/>
        <v>-259.66697122997306</v>
      </c>
      <c r="AA19">
        <f t="shared" si="19"/>
        <v>-112.34931273460766</v>
      </c>
      <c r="AB19">
        <f t="shared" si="20"/>
        <v>-10.749539566880099</v>
      </c>
      <c r="AC19">
        <f t="shared" si="21"/>
        <v>-101.22404585601394</v>
      </c>
      <c r="AD19">
        <v>-4.1040040424649399E-2</v>
      </c>
      <c r="AE19">
        <v>4.6071040681674301E-2</v>
      </c>
      <c r="AF19">
        <v>3.4456714767713201</v>
      </c>
      <c r="AG19">
        <v>155</v>
      </c>
      <c r="AH19">
        <v>31</v>
      </c>
      <c r="AI19">
        <f t="shared" si="22"/>
        <v>1.0059403750116058</v>
      </c>
      <c r="AJ19">
        <f t="shared" si="23"/>
        <v>0.59403750116058252</v>
      </c>
      <c r="AK19">
        <f t="shared" si="24"/>
        <v>52495.257562754188</v>
      </c>
      <c r="AL19" t="s">
        <v>278</v>
      </c>
      <c r="AM19">
        <v>520.33192307692298</v>
      </c>
      <c r="AN19">
        <v>3330.63</v>
      </c>
      <c r="AO19">
        <f t="shared" si="25"/>
        <v>2810.2980769230771</v>
      </c>
      <c r="AP19">
        <f t="shared" si="26"/>
        <v>0.84377372356673574</v>
      </c>
      <c r="AQ19">
        <v>-1.3252759154356599</v>
      </c>
      <c r="AR19" t="s">
        <v>295</v>
      </c>
      <c r="AS19">
        <v>777.99549999999999</v>
      </c>
      <c r="AT19">
        <v>1113.8900000000001</v>
      </c>
      <c r="AU19">
        <f t="shared" si="27"/>
        <v>0.30155087127095137</v>
      </c>
      <c r="AV19">
        <v>0.5</v>
      </c>
      <c r="AW19">
        <f t="shared" si="28"/>
        <v>1471.1451000963157</v>
      </c>
      <c r="AX19">
        <f t="shared" si="29"/>
        <v>12.973901534240326</v>
      </c>
      <c r="AY19">
        <f t="shared" si="30"/>
        <v>221.81254335001748</v>
      </c>
      <c r="AZ19">
        <f t="shared" si="31"/>
        <v>0.49844239556868281</v>
      </c>
      <c r="BA19">
        <f t="shared" si="32"/>
        <v>9.7197601030243851E-3</v>
      </c>
      <c r="BB19">
        <f t="shared" si="33"/>
        <v>1.9900887879413582</v>
      </c>
      <c r="BC19" t="s">
        <v>296</v>
      </c>
      <c r="BD19">
        <v>558.67999999999995</v>
      </c>
      <c r="BE19">
        <f t="shared" si="34"/>
        <v>555.21000000000015</v>
      </c>
      <c r="BF19">
        <f t="shared" si="35"/>
        <v>0.60498640154175898</v>
      </c>
      <c r="BG19">
        <f t="shared" si="36"/>
        <v>0.79970417936831462</v>
      </c>
      <c r="BH19">
        <f t="shared" si="37"/>
        <v>0.5658999734975062</v>
      </c>
      <c r="BI19">
        <f t="shared" si="38"/>
        <v>0.78879177201980344</v>
      </c>
      <c r="BJ19">
        <v>1397</v>
      </c>
      <c r="BK19">
        <v>300</v>
      </c>
      <c r="BL19">
        <v>300</v>
      </c>
      <c r="BM19">
        <v>300</v>
      </c>
      <c r="BN19">
        <v>10269.299999999999</v>
      </c>
      <c r="BO19">
        <v>1037.8800000000001</v>
      </c>
      <c r="BP19">
        <v>-7.05056E-3</v>
      </c>
      <c r="BQ19">
        <v>6.1573500000000001</v>
      </c>
      <c r="BR19">
        <f t="shared" si="39"/>
        <v>1749.93</v>
      </c>
      <c r="BS19">
        <f t="shared" si="40"/>
        <v>1471.1451000963157</v>
      </c>
      <c r="BT19">
        <f t="shared" si="41"/>
        <v>0.84068797043099763</v>
      </c>
      <c r="BU19">
        <f t="shared" si="42"/>
        <v>0.19137594086199544</v>
      </c>
      <c r="BV19" t="s">
        <v>281</v>
      </c>
      <c r="BW19">
        <v>1566147234.5</v>
      </c>
      <c r="BX19">
        <v>183.297</v>
      </c>
      <c r="BY19">
        <v>200.06700000000001</v>
      </c>
      <c r="BZ19">
        <v>18.946400000000001</v>
      </c>
      <c r="CA19">
        <v>12.057</v>
      </c>
      <c r="CB19">
        <v>500.05599999999998</v>
      </c>
      <c r="CC19">
        <v>98.815899999999999</v>
      </c>
      <c r="CD19">
        <v>0.200048</v>
      </c>
      <c r="CE19">
        <v>26.051100000000002</v>
      </c>
      <c r="CF19">
        <v>26.979500000000002</v>
      </c>
      <c r="CG19">
        <v>999.9</v>
      </c>
      <c r="CH19">
        <v>10015.6</v>
      </c>
      <c r="CI19">
        <v>0</v>
      </c>
      <c r="CJ19">
        <v>1861.74</v>
      </c>
      <c r="CK19">
        <v>1749.93</v>
      </c>
      <c r="CL19">
        <v>0.97699999999999998</v>
      </c>
      <c r="CM19">
        <v>2.2999800000000001E-2</v>
      </c>
      <c r="CN19">
        <v>0</v>
      </c>
      <c r="CO19">
        <v>777.40200000000004</v>
      </c>
      <c r="CP19">
        <v>4.99986</v>
      </c>
      <c r="CQ19">
        <v>18417.900000000001</v>
      </c>
      <c r="CR19">
        <v>14220.2</v>
      </c>
      <c r="CS19">
        <v>48.686999999999998</v>
      </c>
      <c r="CT19">
        <v>51.375</v>
      </c>
      <c r="CU19">
        <v>49.936999999999998</v>
      </c>
      <c r="CV19">
        <v>49.936999999999998</v>
      </c>
      <c r="CW19">
        <v>50.125</v>
      </c>
      <c r="CX19">
        <v>1704.8</v>
      </c>
      <c r="CY19">
        <v>40.130000000000003</v>
      </c>
      <c r="CZ19">
        <v>0</v>
      </c>
      <c r="DA19">
        <v>120.89999985694899</v>
      </c>
      <c r="DB19">
        <v>777.99549999999999</v>
      </c>
      <c r="DC19">
        <v>-4.0928205144237699</v>
      </c>
      <c r="DD19">
        <v>730.30769229733903</v>
      </c>
      <c r="DE19">
        <v>18374.288461538501</v>
      </c>
      <c r="DF19">
        <v>15</v>
      </c>
      <c r="DG19">
        <v>1566147274.5</v>
      </c>
      <c r="DH19" t="s">
        <v>297</v>
      </c>
      <c r="DI19">
        <v>62</v>
      </c>
      <c r="DJ19">
        <v>-3.7999999999999999E-2</v>
      </c>
      <c r="DK19">
        <v>6.3E-2</v>
      </c>
      <c r="DL19">
        <v>200</v>
      </c>
      <c r="DM19">
        <v>12</v>
      </c>
      <c r="DN19">
        <v>0.13</v>
      </c>
      <c r="DO19">
        <v>0.01</v>
      </c>
      <c r="DP19">
        <v>12.874492064320799</v>
      </c>
      <c r="DQ19">
        <v>0.26498463944193701</v>
      </c>
      <c r="DR19">
        <v>6.6281436048864606E-2</v>
      </c>
      <c r="DS19">
        <v>1</v>
      </c>
      <c r="DT19">
        <v>0.354719186129477</v>
      </c>
      <c r="DU19">
        <v>1.01774112401108E-2</v>
      </c>
      <c r="DV19">
        <v>2.87961140125206E-3</v>
      </c>
      <c r="DW19">
        <v>1</v>
      </c>
      <c r="DX19">
        <v>2</v>
      </c>
      <c r="DY19">
        <v>2</v>
      </c>
      <c r="DZ19" t="s">
        <v>283</v>
      </c>
      <c r="EA19">
        <v>1.86724</v>
      </c>
      <c r="EB19">
        <v>1.86378</v>
      </c>
      <c r="EC19">
        <v>1.86937</v>
      </c>
      <c r="ED19">
        <v>1.8673599999999999</v>
      </c>
      <c r="EE19">
        <v>1.8720600000000001</v>
      </c>
      <c r="EF19">
        <v>1.8644700000000001</v>
      </c>
      <c r="EG19">
        <v>1.86598</v>
      </c>
      <c r="EH19">
        <v>1.86589</v>
      </c>
      <c r="EI19" t="s">
        <v>284</v>
      </c>
      <c r="EJ19" t="s">
        <v>19</v>
      </c>
      <c r="EK19" t="s">
        <v>19</v>
      </c>
      <c r="EL19" t="s">
        <v>19</v>
      </c>
      <c r="EM19" t="s">
        <v>285</v>
      </c>
      <c r="EN19" t="s">
        <v>286</v>
      </c>
      <c r="EO19" t="s">
        <v>287</v>
      </c>
      <c r="EP19" t="s">
        <v>287</v>
      </c>
      <c r="EQ19" t="s">
        <v>287</v>
      </c>
      <c r="ER19" t="s">
        <v>287</v>
      </c>
      <c r="ES19">
        <v>0</v>
      </c>
      <c r="ET19">
        <v>100</v>
      </c>
      <c r="EU19">
        <v>100</v>
      </c>
      <c r="EV19">
        <v>-3.7999999999999999E-2</v>
      </c>
      <c r="EW19">
        <v>6.3E-2</v>
      </c>
      <c r="EX19">
        <v>2</v>
      </c>
      <c r="EY19">
        <v>325.62799999999999</v>
      </c>
      <c r="EZ19">
        <v>468.10199999999998</v>
      </c>
      <c r="FA19">
        <v>20.479800000000001</v>
      </c>
      <c r="FB19">
        <v>36.027700000000003</v>
      </c>
      <c r="FC19">
        <v>29.998699999999999</v>
      </c>
      <c r="FD19">
        <v>35.953600000000002</v>
      </c>
      <c r="FE19">
        <v>35.934899999999999</v>
      </c>
      <c r="FF19">
        <v>12.7881</v>
      </c>
      <c r="FG19">
        <v>76.262699999999995</v>
      </c>
      <c r="FH19">
        <v>0</v>
      </c>
      <c r="FI19">
        <v>20.513500000000001</v>
      </c>
      <c r="FJ19">
        <v>200</v>
      </c>
      <c r="FK19">
        <v>11.9152</v>
      </c>
      <c r="FL19">
        <v>100.291</v>
      </c>
      <c r="FM19">
        <v>100.721</v>
      </c>
    </row>
    <row r="20" spans="1:169" x14ac:dyDescent="0.35">
      <c r="A20">
        <v>4</v>
      </c>
      <c r="B20">
        <v>1566147358</v>
      </c>
      <c r="C20">
        <v>361</v>
      </c>
      <c r="D20" t="s">
        <v>298</v>
      </c>
      <c r="E20" t="s">
        <v>299</v>
      </c>
      <c r="G20">
        <v>1566147358</v>
      </c>
      <c r="H20">
        <f t="shared" si="0"/>
        <v>6.2400435645355544E-3</v>
      </c>
      <c r="I20">
        <f t="shared" si="1"/>
        <v>5.0169661711810543</v>
      </c>
      <c r="J20">
        <f t="shared" si="2"/>
        <v>93.336994258198558</v>
      </c>
      <c r="K20">
        <f t="shared" si="3"/>
        <v>69.171806415405854</v>
      </c>
      <c r="L20">
        <f t="shared" si="4"/>
        <v>6.8493935855178085</v>
      </c>
      <c r="M20">
        <f t="shared" si="5"/>
        <v>9.2422309448497106</v>
      </c>
      <c r="N20">
        <f t="shared" si="6"/>
        <v>0.39630220065289112</v>
      </c>
      <c r="O20">
        <f t="shared" si="7"/>
        <v>2.2425237239460043</v>
      </c>
      <c r="P20">
        <f t="shared" si="8"/>
        <v>0.36110735792187054</v>
      </c>
      <c r="Q20">
        <f t="shared" si="9"/>
        <v>0.22859318144056756</v>
      </c>
      <c r="R20">
        <f t="shared" si="10"/>
        <v>281.56092956184955</v>
      </c>
      <c r="S20">
        <f t="shared" si="11"/>
        <v>26.131739617518658</v>
      </c>
      <c r="T20">
        <f t="shared" si="12"/>
        <v>26.8188</v>
      </c>
      <c r="U20">
        <f t="shared" si="13"/>
        <v>3.5412455816928374</v>
      </c>
      <c r="V20">
        <f t="shared" si="14"/>
        <v>55.351562222295357</v>
      </c>
      <c r="W20">
        <f t="shared" si="15"/>
        <v>1.8769640681526001</v>
      </c>
      <c r="X20">
        <f t="shared" si="16"/>
        <v>3.3909866186153774</v>
      </c>
      <c r="Y20">
        <f t="shared" si="17"/>
        <v>1.6642815135402373</v>
      </c>
      <c r="Z20">
        <f t="shared" si="18"/>
        <v>-275.18592119601794</v>
      </c>
      <c r="AA20">
        <f t="shared" si="19"/>
        <v>-88.884899956753031</v>
      </c>
      <c r="AB20">
        <f t="shared" si="20"/>
        <v>-8.5070890197722555</v>
      </c>
      <c r="AC20">
        <f t="shared" si="21"/>
        <v>-91.016980610693679</v>
      </c>
      <c r="AD20">
        <v>-4.0982776643641597E-2</v>
      </c>
      <c r="AE20">
        <v>4.6006757070910301E-2</v>
      </c>
      <c r="AF20">
        <v>3.4418631406916398</v>
      </c>
      <c r="AG20">
        <v>155</v>
      </c>
      <c r="AH20">
        <v>31</v>
      </c>
      <c r="AI20">
        <f t="shared" si="22"/>
        <v>1.0059490213214473</v>
      </c>
      <c r="AJ20">
        <f t="shared" si="23"/>
        <v>0.59490213214472565</v>
      </c>
      <c r="AK20">
        <f t="shared" si="24"/>
        <v>52419.411489651269</v>
      </c>
      <c r="AL20" t="s">
        <v>278</v>
      </c>
      <c r="AM20">
        <v>520.33192307692298</v>
      </c>
      <c r="AN20">
        <v>3330.63</v>
      </c>
      <c r="AO20">
        <f t="shared" si="25"/>
        <v>2810.2980769230771</v>
      </c>
      <c r="AP20">
        <f t="shared" si="26"/>
        <v>0.84377372356673574</v>
      </c>
      <c r="AQ20">
        <v>-1.3252759154356599</v>
      </c>
      <c r="AR20" t="s">
        <v>300</v>
      </c>
      <c r="AS20">
        <v>781.56465384615399</v>
      </c>
      <c r="AT20">
        <v>1049.07</v>
      </c>
      <c r="AU20">
        <f t="shared" si="27"/>
        <v>0.25499284714446702</v>
      </c>
      <c r="AV20">
        <v>0.5</v>
      </c>
      <c r="AW20">
        <f t="shared" si="28"/>
        <v>1471.245900096309</v>
      </c>
      <c r="AX20">
        <f t="shared" si="29"/>
        <v>5.0169661711810543</v>
      </c>
      <c r="AY20">
        <f t="shared" si="30"/>
        <v>187.57859045759096</v>
      </c>
      <c r="AZ20">
        <f t="shared" si="31"/>
        <v>0.44970307033849027</v>
      </c>
      <c r="BA20">
        <f t="shared" si="32"/>
        <v>4.310796778568114E-3</v>
      </c>
      <c r="BB20">
        <f t="shared" si="33"/>
        <v>2.1748405730790132</v>
      </c>
      <c r="BC20" t="s">
        <v>301</v>
      </c>
      <c r="BD20">
        <v>577.29999999999995</v>
      </c>
      <c r="BE20">
        <f t="shared" si="34"/>
        <v>471.77</v>
      </c>
      <c r="BF20">
        <f t="shared" si="35"/>
        <v>0.56702491924845999</v>
      </c>
      <c r="BG20">
        <f t="shared" si="36"/>
        <v>0.82865475624062512</v>
      </c>
      <c r="BH20">
        <f t="shared" si="37"/>
        <v>0.50593168494797802</v>
      </c>
      <c r="BI20">
        <f t="shared" si="38"/>
        <v>0.81185694098969796</v>
      </c>
      <c r="BJ20">
        <v>1399</v>
      </c>
      <c r="BK20">
        <v>300</v>
      </c>
      <c r="BL20">
        <v>300</v>
      </c>
      <c r="BM20">
        <v>300</v>
      </c>
      <c r="BN20">
        <v>10268.9</v>
      </c>
      <c r="BO20">
        <v>991.91399999999999</v>
      </c>
      <c r="BP20">
        <v>-7.0502200000000003E-3</v>
      </c>
      <c r="BQ20">
        <v>4.3910499999999999</v>
      </c>
      <c r="BR20">
        <f t="shared" si="39"/>
        <v>1750.05</v>
      </c>
      <c r="BS20">
        <f t="shared" si="40"/>
        <v>1471.245900096309</v>
      </c>
      <c r="BT20">
        <f t="shared" si="41"/>
        <v>0.84068792325722641</v>
      </c>
      <c r="BU20">
        <f t="shared" si="42"/>
        <v>0.19137584651445302</v>
      </c>
      <c r="BV20" t="s">
        <v>281</v>
      </c>
      <c r="BW20">
        <v>1566147358</v>
      </c>
      <c r="BX20">
        <v>93.337000000000003</v>
      </c>
      <c r="BY20">
        <v>100.02</v>
      </c>
      <c r="BZ20">
        <v>18.955400000000001</v>
      </c>
      <c r="CA20">
        <v>11.654299999999999</v>
      </c>
      <c r="CB20">
        <v>500.05</v>
      </c>
      <c r="CC20">
        <v>98.820099999999996</v>
      </c>
      <c r="CD20">
        <v>0.19991900000000001</v>
      </c>
      <c r="CE20">
        <v>26.083600000000001</v>
      </c>
      <c r="CF20">
        <v>26.8188</v>
      </c>
      <c r="CG20">
        <v>999.9</v>
      </c>
      <c r="CH20">
        <v>10001.200000000001</v>
      </c>
      <c r="CI20">
        <v>0</v>
      </c>
      <c r="CJ20">
        <v>909.35199999999998</v>
      </c>
      <c r="CK20">
        <v>1750.05</v>
      </c>
      <c r="CL20">
        <v>0.97700399999999998</v>
      </c>
      <c r="CM20">
        <v>2.29958E-2</v>
      </c>
      <c r="CN20">
        <v>0</v>
      </c>
      <c r="CO20">
        <v>781.56700000000001</v>
      </c>
      <c r="CP20">
        <v>4.99986</v>
      </c>
      <c r="CQ20">
        <v>16783.5</v>
      </c>
      <c r="CR20">
        <v>14221.1</v>
      </c>
      <c r="CS20">
        <v>48.5</v>
      </c>
      <c r="CT20">
        <v>51</v>
      </c>
      <c r="CU20">
        <v>49.686999999999998</v>
      </c>
      <c r="CV20">
        <v>49.686999999999998</v>
      </c>
      <c r="CW20">
        <v>49.936999999999998</v>
      </c>
      <c r="CX20">
        <v>1704.92</v>
      </c>
      <c r="CY20">
        <v>40.130000000000003</v>
      </c>
      <c r="CZ20">
        <v>0</v>
      </c>
      <c r="DA20">
        <v>123.200000047684</v>
      </c>
      <c r="DB20">
        <v>781.56465384615399</v>
      </c>
      <c r="DC20">
        <v>0.15839315511006599</v>
      </c>
      <c r="DD20">
        <v>3656.12308200798</v>
      </c>
      <c r="DE20">
        <v>15746.0461538462</v>
      </c>
      <c r="DF20">
        <v>15</v>
      </c>
      <c r="DG20">
        <v>1566147398.5</v>
      </c>
      <c r="DH20" t="s">
        <v>302</v>
      </c>
      <c r="DI20">
        <v>63</v>
      </c>
      <c r="DJ20">
        <v>-0.104</v>
      </c>
      <c r="DK20">
        <v>6.3E-2</v>
      </c>
      <c r="DL20">
        <v>100</v>
      </c>
      <c r="DM20">
        <v>12</v>
      </c>
      <c r="DN20">
        <v>0.17</v>
      </c>
      <c r="DO20">
        <v>0.01</v>
      </c>
      <c r="DP20">
        <v>4.9012142878190801</v>
      </c>
      <c r="DQ20">
        <v>0.282006383856587</v>
      </c>
      <c r="DR20">
        <v>8.1513363874234607E-2</v>
      </c>
      <c r="DS20">
        <v>1</v>
      </c>
      <c r="DT20">
        <v>0.38459659654403</v>
      </c>
      <c r="DU20">
        <v>2.8358217322892901E-2</v>
      </c>
      <c r="DV20">
        <v>5.7850439495247602E-3</v>
      </c>
      <c r="DW20">
        <v>1</v>
      </c>
      <c r="DX20">
        <v>2</v>
      </c>
      <c r="DY20">
        <v>2</v>
      </c>
      <c r="DZ20" t="s">
        <v>283</v>
      </c>
      <c r="EA20">
        <v>1.8672899999999999</v>
      </c>
      <c r="EB20">
        <v>1.86381</v>
      </c>
      <c r="EC20">
        <v>1.86937</v>
      </c>
      <c r="ED20">
        <v>1.86737</v>
      </c>
      <c r="EE20">
        <v>1.87208</v>
      </c>
      <c r="EF20">
        <v>1.8644700000000001</v>
      </c>
      <c r="EG20">
        <v>1.8660000000000001</v>
      </c>
      <c r="EH20">
        <v>1.8658699999999999</v>
      </c>
      <c r="EI20" t="s">
        <v>284</v>
      </c>
      <c r="EJ20" t="s">
        <v>19</v>
      </c>
      <c r="EK20" t="s">
        <v>19</v>
      </c>
      <c r="EL20" t="s">
        <v>19</v>
      </c>
      <c r="EM20" t="s">
        <v>285</v>
      </c>
      <c r="EN20" t="s">
        <v>286</v>
      </c>
      <c r="EO20" t="s">
        <v>287</v>
      </c>
      <c r="EP20" t="s">
        <v>287</v>
      </c>
      <c r="EQ20" t="s">
        <v>287</v>
      </c>
      <c r="ER20" t="s">
        <v>287</v>
      </c>
      <c r="ES20">
        <v>0</v>
      </c>
      <c r="ET20">
        <v>100</v>
      </c>
      <c r="EU20">
        <v>100</v>
      </c>
      <c r="EV20">
        <v>-0.104</v>
      </c>
      <c r="EW20">
        <v>6.3E-2</v>
      </c>
      <c r="EX20">
        <v>2</v>
      </c>
      <c r="EY20">
        <v>325.14400000000001</v>
      </c>
      <c r="EZ20">
        <v>467.71600000000001</v>
      </c>
      <c r="FA20">
        <v>21.547999999999998</v>
      </c>
      <c r="FB20">
        <v>35.877600000000001</v>
      </c>
      <c r="FC20">
        <v>29.998200000000001</v>
      </c>
      <c r="FD20">
        <v>35.875300000000003</v>
      </c>
      <c r="FE20">
        <v>35.860799999999998</v>
      </c>
      <c r="FF20">
        <v>7.9585499999999998</v>
      </c>
      <c r="FG20">
        <v>78.010499999999993</v>
      </c>
      <c r="FH20">
        <v>0</v>
      </c>
      <c r="FI20">
        <v>21.6175</v>
      </c>
      <c r="FJ20">
        <v>100</v>
      </c>
      <c r="FK20">
        <v>11.571400000000001</v>
      </c>
      <c r="FL20">
        <v>100.309</v>
      </c>
      <c r="FM20">
        <v>100.75</v>
      </c>
    </row>
    <row r="21" spans="1:169" x14ac:dyDescent="0.35">
      <c r="A21">
        <v>5</v>
      </c>
      <c r="B21">
        <v>1566147479</v>
      </c>
      <c r="C21">
        <v>482</v>
      </c>
      <c r="D21" t="s">
        <v>303</v>
      </c>
      <c r="E21" t="s">
        <v>304</v>
      </c>
      <c r="G21">
        <v>1566147479</v>
      </c>
      <c r="H21">
        <f t="shared" si="0"/>
        <v>6.5446084569137477E-3</v>
      </c>
      <c r="I21">
        <f t="shared" si="1"/>
        <v>0.76759903036911481</v>
      </c>
      <c r="J21">
        <f t="shared" si="2"/>
        <v>48.695499122581417</v>
      </c>
      <c r="K21">
        <f t="shared" si="3"/>
        <v>44.226512860945661</v>
      </c>
      <c r="L21">
        <f t="shared" si="4"/>
        <v>4.3793158490147421</v>
      </c>
      <c r="M21">
        <f t="shared" si="5"/>
        <v>4.8218355300518816</v>
      </c>
      <c r="N21">
        <f t="shared" si="6"/>
        <v>0.41740313898687298</v>
      </c>
      <c r="O21">
        <f t="shared" si="7"/>
        <v>2.2442482931928627</v>
      </c>
      <c r="P21">
        <f t="shared" si="8"/>
        <v>0.37858399246532282</v>
      </c>
      <c r="Q21">
        <f t="shared" si="9"/>
        <v>0.23980116750398606</v>
      </c>
      <c r="R21">
        <f t="shared" si="10"/>
        <v>281.57106733068406</v>
      </c>
      <c r="S21">
        <f t="shared" si="11"/>
        <v>26.324043232976905</v>
      </c>
      <c r="T21">
        <f t="shared" si="12"/>
        <v>27.0396</v>
      </c>
      <c r="U21">
        <f t="shared" si="13"/>
        <v>3.5874925791101218</v>
      </c>
      <c r="V21">
        <f t="shared" si="14"/>
        <v>55.744472946037746</v>
      </c>
      <c r="W21">
        <f t="shared" si="15"/>
        <v>1.9233574527371997</v>
      </c>
      <c r="X21">
        <f t="shared" si="16"/>
        <v>3.4503105888166976</v>
      </c>
      <c r="Y21">
        <f t="shared" si="17"/>
        <v>1.664135126372922</v>
      </c>
      <c r="Z21">
        <f t="shared" si="18"/>
        <v>-288.61723294989628</v>
      </c>
      <c r="AA21">
        <f t="shared" si="19"/>
        <v>-80.14504382208348</v>
      </c>
      <c r="AB21">
        <f t="shared" si="20"/>
        <v>-7.6844758642909907</v>
      </c>
      <c r="AC21">
        <f t="shared" si="21"/>
        <v>-94.875685305586714</v>
      </c>
      <c r="AD21">
        <v>-4.1029081624651201E-2</v>
      </c>
      <c r="AE21">
        <v>4.6058738468632697E-2</v>
      </c>
      <c r="AF21">
        <v>3.4449428008685099</v>
      </c>
      <c r="AG21">
        <v>152</v>
      </c>
      <c r="AH21">
        <v>30</v>
      </c>
      <c r="AI21">
        <f t="shared" si="22"/>
        <v>1.0058326106447759</v>
      </c>
      <c r="AJ21">
        <f t="shared" si="23"/>
        <v>0.58326106447759152</v>
      </c>
      <c r="AK21">
        <f t="shared" si="24"/>
        <v>52424.742925345301</v>
      </c>
      <c r="AL21" t="s">
        <v>278</v>
      </c>
      <c r="AM21">
        <v>520.33192307692298</v>
      </c>
      <c r="AN21">
        <v>3330.63</v>
      </c>
      <c r="AO21">
        <f t="shared" si="25"/>
        <v>2810.2980769230771</v>
      </c>
      <c r="AP21">
        <f t="shared" si="26"/>
        <v>0.84377372356673574</v>
      </c>
      <c r="AQ21">
        <v>-1.3252759154356599</v>
      </c>
      <c r="AR21" t="s">
        <v>305</v>
      </c>
      <c r="AS21">
        <v>784.52615384615399</v>
      </c>
      <c r="AT21">
        <v>1009.34</v>
      </c>
      <c r="AU21">
        <f t="shared" si="27"/>
        <v>0.22273351512260098</v>
      </c>
      <c r="AV21">
        <v>0.5</v>
      </c>
      <c r="AW21">
        <f t="shared" si="28"/>
        <v>1471.2966000963297</v>
      </c>
      <c r="AX21">
        <f t="shared" si="29"/>
        <v>0.76759903036911481</v>
      </c>
      <c r="AY21">
        <f t="shared" si="30"/>
        <v>163.85353176369364</v>
      </c>
      <c r="AZ21">
        <f t="shared" si="31"/>
        <v>0.41490478926823476</v>
      </c>
      <c r="BA21">
        <f t="shared" si="32"/>
        <v>1.4224697764323988E-3</v>
      </c>
      <c r="BB21">
        <f t="shared" si="33"/>
        <v>2.299809776685755</v>
      </c>
      <c r="BC21" t="s">
        <v>306</v>
      </c>
      <c r="BD21">
        <v>590.55999999999995</v>
      </c>
      <c r="BE21">
        <f t="shared" si="34"/>
        <v>418.78000000000009</v>
      </c>
      <c r="BF21">
        <f t="shared" si="35"/>
        <v>0.53683042684427618</v>
      </c>
      <c r="BG21">
        <f t="shared" si="36"/>
        <v>0.84716448849846893</v>
      </c>
      <c r="BH21">
        <f t="shared" si="37"/>
        <v>0.45973442313757562</v>
      </c>
      <c r="BI21">
        <f t="shared" si="38"/>
        <v>0.82599423138114958</v>
      </c>
      <c r="BJ21">
        <v>1401</v>
      </c>
      <c r="BK21">
        <v>300</v>
      </c>
      <c r="BL21">
        <v>300</v>
      </c>
      <c r="BM21">
        <v>300</v>
      </c>
      <c r="BN21">
        <v>10270.200000000001</v>
      </c>
      <c r="BO21">
        <v>962.18499999999995</v>
      </c>
      <c r="BP21">
        <v>-7.0511000000000002E-3</v>
      </c>
      <c r="BQ21">
        <v>4.0424800000000003</v>
      </c>
      <c r="BR21">
        <f t="shared" si="39"/>
        <v>1750.11</v>
      </c>
      <c r="BS21">
        <f t="shared" si="40"/>
        <v>1471.2966000963297</v>
      </c>
      <c r="BT21">
        <f t="shared" si="41"/>
        <v>0.84068807109057708</v>
      </c>
      <c r="BU21">
        <f t="shared" si="42"/>
        <v>0.19137614218115426</v>
      </c>
      <c r="BV21" t="s">
        <v>281</v>
      </c>
      <c r="BW21">
        <v>1566147479</v>
      </c>
      <c r="BX21">
        <v>48.695500000000003</v>
      </c>
      <c r="BY21">
        <v>49.993600000000001</v>
      </c>
      <c r="BZ21">
        <v>19.4239</v>
      </c>
      <c r="CA21">
        <v>11.7691</v>
      </c>
      <c r="CB21">
        <v>500.04199999999997</v>
      </c>
      <c r="CC21">
        <v>98.820099999999996</v>
      </c>
      <c r="CD21">
        <v>0.200048</v>
      </c>
      <c r="CE21">
        <v>26.377199999999998</v>
      </c>
      <c r="CF21">
        <v>27.0396</v>
      </c>
      <c r="CG21">
        <v>999.9</v>
      </c>
      <c r="CH21">
        <v>10012.5</v>
      </c>
      <c r="CI21">
        <v>0</v>
      </c>
      <c r="CJ21">
        <v>1856.06</v>
      </c>
      <c r="CK21">
        <v>1750.11</v>
      </c>
      <c r="CL21">
        <v>0.97699999999999998</v>
      </c>
      <c r="CM21">
        <v>2.2999800000000001E-2</v>
      </c>
      <c r="CN21">
        <v>0</v>
      </c>
      <c r="CO21">
        <v>784.82299999999998</v>
      </c>
      <c r="CP21">
        <v>4.99986</v>
      </c>
      <c r="CQ21">
        <v>18344.2</v>
      </c>
      <c r="CR21">
        <v>14221.7</v>
      </c>
      <c r="CS21">
        <v>48.311999999999998</v>
      </c>
      <c r="CT21">
        <v>50.686999999999998</v>
      </c>
      <c r="CU21">
        <v>49.5</v>
      </c>
      <c r="CV21">
        <v>49.375</v>
      </c>
      <c r="CW21">
        <v>49.75</v>
      </c>
      <c r="CX21">
        <v>1704.97</v>
      </c>
      <c r="CY21">
        <v>40.14</v>
      </c>
      <c r="CZ21">
        <v>0</v>
      </c>
      <c r="DA21">
        <v>120.799999952316</v>
      </c>
      <c r="DB21">
        <v>784.52615384615399</v>
      </c>
      <c r="DC21">
        <v>2.8674871880878401</v>
      </c>
      <c r="DD21">
        <v>-378.86495665246798</v>
      </c>
      <c r="DE21">
        <v>18414.446153846198</v>
      </c>
      <c r="DF21">
        <v>15</v>
      </c>
      <c r="DG21">
        <v>1566147518.5</v>
      </c>
      <c r="DH21" t="s">
        <v>307</v>
      </c>
      <c r="DI21">
        <v>64</v>
      </c>
      <c r="DJ21">
        <v>-7.1999999999999995E-2</v>
      </c>
      <c r="DK21">
        <v>5.8000000000000003E-2</v>
      </c>
      <c r="DL21">
        <v>50</v>
      </c>
      <c r="DM21">
        <v>12</v>
      </c>
      <c r="DN21">
        <v>0.19</v>
      </c>
      <c r="DO21">
        <v>0.01</v>
      </c>
      <c r="DP21">
        <v>0.74320102683829403</v>
      </c>
      <c r="DQ21">
        <v>0.26647951717413998</v>
      </c>
      <c r="DR21">
        <v>6.7560596652474103E-2</v>
      </c>
      <c r="DS21">
        <v>1</v>
      </c>
      <c r="DT21">
        <v>0.408643012458414</v>
      </c>
      <c r="DU21">
        <v>2.5209285413217201E-2</v>
      </c>
      <c r="DV21">
        <v>5.1866074438184197E-3</v>
      </c>
      <c r="DW21">
        <v>1</v>
      </c>
      <c r="DX21">
        <v>2</v>
      </c>
      <c r="DY21">
        <v>2</v>
      </c>
      <c r="DZ21" t="s">
        <v>283</v>
      </c>
      <c r="EA21">
        <v>1.8672299999999999</v>
      </c>
      <c r="EB21">
        <v>1.8637600000000001</v>
      </c>
      <c r="EC21">
        <v>1.8693500000000001</v>
      </c>
      <c r="ED21">
        <v>1.86734</v>
      </c>
      <c r="EE21">
        <v>1.8720000000000001</v>
      </c>
      <c r="EF21">
        <v>1.8644700000000001</v>
      </c>
      <c r="EG21">
        <v>1.86598</v>
      </c>
      <c r="EH21">
        <v>1.8658699999999999</v>
      </c>
      <c r="EI21" t="s">
        <v>284</v>
      </c>
      <c r="EJ21" t="s">
        <v>19</v>
      </c>
      <c r="EK21" t="s">
        <v>19</v>
      </c>
      <c r="EL21" t="s">
        <v>19</v>
      </c>
      <c r="EM21" t="s">
        <v>285</v>
      </c>
      <c r="EN21" t="s">
        <v>286</v>
      </c>
      <c r="EO21" t="s">
        <v>287</v>
      </c>
      <c r="EP21" t="s">
        <v>287</v>
      </c>
      <c r="EQ21" t="s">
        <v>287</v>
      </c>
      <c r="ER21" t="s">
        <v>287</v>
      </c>
      <c r="ES21">
        <v>0</v>
      </c>
      <c r="ET21">
        <v>100</v>
      </c>
      <c r="EU21">
        <v>100</v>
      </c>
      <c r="EV21">
        <v>-7.1999999999999995E-2</v>
      </c>
      <c r="EW21">
        <v>5.8000000000000003E-2</v>
      </c>
      <c r="EX21">
        <v>2</v>
      </c>
      <c r="EY21">
        <v>328.71600000000001</v>
      </c>
      <c r="EZ21">
        <v>468.67</v>
      </c>
      <c r="FA21">
        <v>20.305099999999999</v>
      </c>
      <c r="FB21">
        <v>35.588700000000003</v>
      </c>
      <c r="FC21">
        <v>29.999199999999998</v>
      </c>
      <c r="FD21">
        <v>35.679699999999997</v>
      </c>
      <c r="FE21">
        <v>35.680599999999998</v>
      </c>
      <c r="FF21">
        <v>5.5180499999999997</v>
      </c>
      <c r="FG21">
        <v>78.782799999999995</v>
      </c>
      <c r="FH21">
        <v>0</v>
      </c>
      <c r="FI21">
        <v>20.2775</v>
      </c>
      <c r="FJ21">
        <v>50</v>
      </c>
      <c r="FK21">
        <v>11.5848</v>
      </c>
      <c r="FL21">
        <v>100.351</v>
      </c>
      <c r="FM21">
        <v>100.803</v>
      </c>
    </row>
    <row r="22" spans="1:169" x14ac:dyDescent="0.35">
      <c r="A22">
        <v>6</v>
      </c>
      <c r="B22">
        <v>1566147598.5999999</v>
      </c>
      <c r="C22">
        <v>601.59999990463302</v>
      </c>
      <c r="D22" t="s">
        <v>308</v>
      </c>
      <c r="E22" t="s">
        <v>309</v>
      </c>
      <c r="G22">
        <v>1566147598.5999999</v>
      </c>
      <c r="H22">
        <f t="shared" si="0"/>
        <v>7.0484262245758189E-3</v>
      </c>
      <c r="I22">
        <f t="shared" si="1"/>
        <v>-2.6149263548464536</v>
      </c>
      <c r="J22">
        <f t="shared" si="2"/>
        <v>15.481702999987872</v>
      </c>
      <c r="K22">
        <f t="shared" si="3"/>
        <v>25.077651604242202</v>
      </c>
      <c r="L22">
        <f t="shared" si="4"/>
        <v>2.4831845729524256</v>
      </c>
      <c r="M22">
        <f t="shared" si="5"/>
        <v>1.5329954598339623</v>
      </c>
      <c r="N22">
        <f t="shared" si="6"/>
        <v>0.45136440261271799</v>
      </c>
      <c r="O22">
        <f t="shared" si="7"/>
        <v>2.2419541489507884</v>
      </c>
      <c r="P22">
        <f t="shared" si="8"/>
        <v>0.40629442263650267</v>
      </c>
      <c r="Q22">
        <f t="shared" si="9"/>
        <v>0.25760731403129289</v>
      </c>
      <c r="R22">
        <f t="shared" si="10"/>
        <v>281.58064327386683</v>
      </c>
      <c r="S22">
        <f t="shared" si="11"/>
        <v>26.370633903250067</v>
      </c>
      <c r="T22">
        <f t="shared" si="12"/>
        <v>27.022500000000001</v>
      </c>
      <c r="U22">
        <f t="shared" si="13"/>
        <v>3.5838922121254022</v>
      </c>
      <c r="V22">
        <f t="shared" si="14"/>
        <v>54.770360209039367</v>
      </c>
      <c r="W22">
        <f t="shared" si="15"/>
        <v>1.9137758844312003</v>
      </c>
      <c r="X22">
        <f t="shared" si="16"/>
        <v>3.4941816652784188</v>
      </c>
      <c r="Y22">
        <f t="shared" si="17"/>
        <v>1.6701163276942019</v>
      </c>
      <c r="Z22">
        <f t="shared" si="18"/>
        <v>-310.83559650379362</v>
      </c>
      <c r="AA22">
        <f t="shared" si="19"/>
        <v>-52.094208025719361</v>
      </c>
      <c r="AB22">
        <f t="shared" si="20"/>
        <v>-5.0049466419128841</v>
      </c>
      <c r="AC22">
        <f t="shared" si="21"/>
        <v>-86.354107897559061</v>
      </c>
      <c r="AD22">
        <v>-4.09674904654109E-2</v>
      </c>
      <c r="AE22">
        <v>4.5989596996703498E-2</v>
      </c>
      <c r="AF22">
        <v>3.4408462237253601</v>
      </c>
      <c r="AG22">
        <v>152</v>
      </c>
      <c r="AH22">
        <v>30</v>
      </c>
      <c r="AI22">
        <f t="shared" si="22"/>
        <v>1.0058452752021232</v>
      </c>
      <c r="AJ22">
        <f t="shared" si="23"/>
        <v>0.58452752021231902</v>
      </c>
      <c r="AK22">
        <f t="shared" si="24"/>
        <v>52311.816482204704</v>
      </c>
      <c r="AL22" t="s">
        <v>278</v>
      </c>
      <c r="AM22">
        <v>520.33192307692298</v>
      </c>
      <c r="AN22">
        <v>3330.63</v>
      </c>
      <c r="AO22">
        <f t="shared" si="25"/>
        <v>2810.2980769230771</v>
      </c>
      <c r="AP22">
        <f t="shared" si="26"/>
        <v>0.84377372356673574</v>
      </c>
      <c r="AQ22">
        <v>-1.3252759154356599</v>
      </c>
      <c r="AR22" t="s">
        <v>310</v>
      </c>
      <c r="AS22">
        <v>790.73123076923105</v>
      </c>
      <c r="AT22">
        <v>977.00300000000004</v>
      </c>
      <c r="AU22">
        <f t="shared" si="27"/>
        <v>0.19065629197737266</v>
      </c>
      <c r="AV22">
        <v>0.5</v>
      </c>
      <c r="AW22">
        <f t="shared" si="28"/>
        <v>1471.3470000963264</v>
      </c>
      <c r="AX22">
        <f t="shared" si="29"/>
        <v>-2.6149263548464536</v>
      </c>
      <c r="AY22">
        <f t="shared" si="30"/>
        <v>140.26078162519829</v>
      </c>
      <c r="AZ22">
        <f t="shared" si="31"/>
        <v>0.39414720323274349</v>
      </c>
      <c r="BA22">
        <f t="shared" si="32"/>
        <v>-8.7651005461414789E-4</v>
      </c>
      <c r="BB22">
        <f t="shared" si="33"/>
        <v>2.4090274031911876</v>
      </c>
      <c r="BC22" t="s">
        <v>311</v>
      </c>
      <c r="BD22">
        <v>591.91999999999996</v>
      </c>
      <c r="BE22">
        <f t="shared" si="34"/>
        <v>385.08300000000008</v>
      </c>
      <c r="BF22">
        <f t="shared" si="35"/>
        <v>0.483718495053713</v>
      </c>
      <c r="BG22">
        <f t="shared" si="36"/>
        <v>0.85939256073114711</v>
      </c>
      <c r="BH22">
        <f t="shared" si="37"/>
        <v>0.40789044597660196</v>
      </c>
      <c r="BI22">
        <f t="shared" si="38"/>
        <v>0.83750083997385982</v>
      </c>
      <c r="BJ22">
        <v>1403</v>
      </c>
      <c r="BK22">
        <v>300</v>
      </c>
      <c r="BL22">
        <v>300</v>
      </c>
      <c r="BM22">
        <v>300</v>
      </c>
      <c r="BN22">
        <v>10270.5</v>
      </c>
      <c r="BO22">
        <v>938.78700000000003</v>
      </c>
      <c r="BP22">
        <v>-7.0509099999999996E-3</v>
      </c>
      <c r="BQ22">
        <v>3.54291</v>
      </c>
      <c r="BR22">
        <f t="shared" si="39"/>
        <v>1750.17</v>
      </c>
      <c r="BS22">
        <f t="shared" si="40"/>
        <v>1471.3470000963264</v>
      </c>
      <c r="BT22">
        <f t="shared" si="41"/>
        <v>0.84068804750185777</v>
      </c>
      <c r="BU22">
        <f t="shared" si="42"/>
        <v>0.1913760950037158</v>
      </c>
      <c r="BV22" t="s">
        <v>281</v>
      </c>
      <c r="BW22">
        <v>1566147598.5999999</v>
      </c>
      <c r="BX22">
        <v>15.4817</v>
      </c>
      <c r="BY22">
        <v>12.493399999999999</v>
      </c>
      <c r="BZ22">
        <v>19.327200000000001</v>
      </c>
      <c r="CA22">
        <v>11.0829</v>
      </c>
      <c r="CB22">
        <v>500.072</v>
      </c>
      <c r="CC22">
        <v>98.819800000000001</v>
      </c>
      <c r="CD22">
        <v>0.200021</v>
      </c>
      <c r="CE22">
        <v>26.5915</v>
      </c>
      <c r="CF22">
        <v>27.022500000000001</v>
      </c>
      <c r="CG22">
        <v>999.9</v>
      </c>
      <c r="CH22">
        <v>9997.5</v>
      </c>
      <c r="CI22">
        <v>0</v>
      </c>
      <c r="CJ22">
        <v>1907.45</v>
      </c>
      <c r="CK22">
        <v>1750.17</v>
      </c>
      <c r="CL22">
        <v>0.97699999999999998</v>
      </c>
      <c r="CM22">
        <v>2.2999800000000001E-2</v>
      </c>
      <c r="CN22">
        <v>0</v>
      </c>
      <c r="CO22">
        <v>791.24199999999996</v>
      </c>
      <c r="CP22">
        <v>4.99986</v>
      </c>
      <c r="CQ22">
        <v>18632</v>
      </c>
      <c r="CR22">
        <v>14222.1</v>
      </c>
      <c r="CS22">
        <v>48.186999999999998</v>
      </c>
      <c r="CT22">
        <v>50.686999999999998</v>
      </c>
      <c r="CU22">
        <v>49.436999999999998</v>
      </c>
      <c r="CV22">
        <v>49.25</v>
      </c>
      <c r="CW22">
        <v>49.625</v>
      </c>
      <c r="CX22">
        <v>1705.03</v>
      </c>
      <c r="CY22">
        <v>40.14</v>
      </c>
      <c r="CZ22">
        <v>0</v>
      </c>
      <c r="DA22">
        <v>119</v>
      </c>
      <c r="DB22">
        <v>790.73123076923105</v>
      </c>
      <c r="DC22">
        <v>2.7005811977182899</v>
      </c>
      <c r="DD22">
        <v>580.35897503160402</v>
      </c>
      <c r="DE22">
        <v>18533.280769230802</v>
      </c>
      <c r="DF22">
        <v>15</v>
      </c>
      <c r="DG22">
        <v>1566147633</v>
      </c>
      <c r="DH22" t="s">
        <v>312</v>
      </c>
      <c r="DI22">
        <v>65</v>
      </c>
      <c r="DJ22">
        <v>-9.7000000000000003E-2</v>
      </c>
      <c r="DK22">
        <v>5.1999999999999998E-2</v>
      </c>
      <c r="DL22">
        <v>13</v>
      </c>
      <c r="DM22">
        <v>11</v>
      </c>
      <c r="DN22">
        <v>0.11</v>
      </c>
      <c r="DO22">
        <v>0.01</v>
      </c>
      <c r="DP22">
        <v>-2.6619948845099501</v>
      </c>
      <c r="DQ22">
        <v>0.26826346940682799</v>
      </c>
      <c r="DR22">
        <v>6.4310423808902895E-2</v>
      </c>
      <c r="DS22">
        <v>1</v>
      </c>
      <c r="DT22">
        <v>0.454024802448738</v>
      </c>
      <c r="DU22">
        <v>-1.2988469824933399E-3</v>
      </c>
      <c r="DV22">
        <v>1.9805049205935199E-3</v>
      </c>
      <c r="DW22">
        <v>1</v>
      </c>
      <c r="DX22">
        <v>2</v>
      </c>
      <c r="DY22">
        <v>2</v>
      </c>
      <c r="DZ22" t="s">
        <v>283</v>
      </c>
      <c r="EA22">
        <v>1.86724</v>
      </c>
      <c r="EB22">
        <v>1.86372</v>
      </c>
      <c r="EC22">
        <v>1.8693500000000001</v>
      </c>
      <c r="ED22">
        <v>1.8673500000000001</v>
      </c>
      <c r="EE22">
        <v>1.87199</v>
      </c>
      <c r="EF22">
        <v>1.8644700000000001</v>
      </c>
      <c r="EG22">
        <v>1.86598</v>
      </c>
      <c r="EH22">
        <v>1.86588</v>
      </c>
      <c r="EI22" t="s">
        <v>284</v>
      </c>
      <c r="EJ22" t="s">
        <v>19</v>
      </c>
      <c r="EK22" t="s">
        <v>19</v>
      </c>
      <c r="EL22" t="s">
        <v>19</v>
      </c>
      <c r="EM22" t="s">
        <v>285</v>
      </c>
      <c r="EN22" t="s">
        <v>286</v>
      </c>
      <c r="EO22" t="s">
        <v>287</v>
      </c>
      <c r="EP22" t="s">
        <v>287</v>
      </c>
      <c r="EQ22" t="s">
        <v>287</v>
      </c>
      <c r="ER22" t="s">
        <v>287</v>
      </c>
      <c r="ES22">
        <v>0</v>
      </c>
      <c r="ET22">
        <v>100</v>
      </c>
      <c r="EU22">
        <v>100</v>
      </c>
      <c r="EV22">
        <v>-9.7000000000000003E-2</v>
      </c>
      <c r="EW22">
        <v>5.1999999999999998E-2</v>
      </c>
      <c r="EX22">
        <v>2</v>
      </c>
      <c r="EY22">
        <v>328.62599999999998</v>
      </c>
      <c r="EZ22">
        <v>467.66199999999998</v>
      </c>
      <c r="FA22">
        <v>21.2288</v>
      </c>
      <c r="FB22">
        <v>35.461100000000002</v>
      </c>
      <c r="FC22">
        <v>30.004899999999999</v>
      </c>
      <c r="FD22">
        <v>35.555399999999999</v>
      </c>
      <c r="FE22">
        <v>35.561900000000001</v>
      </c>
      <c r="FF22">
        <v>3.7172800000000001</v>
      </c>
      <c r="FG22">
        <v>80.823899999999995</v>
      </c>
      <c r="FH22">
        <v>0</v>
      </c>
      <c r="FI22">
        <v>21.117100000000001</v>
      </c>
      <c r="FJ22">
        <v>12.5</v>
      </c>
      <c r="FK22">
        <v>11.0349</v>
      </c>
      <c r="FL22">
        <v>100.371</v>
      </c>
      <c r="FM22">
        <v>100.825</v>
      </c>
    </row>
    <row r="23" spans="1:169" x14ac:dyDescent="0.35">
      <c r="A23">
        <v>8</v>
      </c>
      <c r="B23">
        <v>1566147818.5999999</v>
      </c>
      <c r="C23">
        <v>821.59999990463302</v>
      </c>
      <c r="D23" t="s">
        <v>313</v>
      </c>
      <c r="E23" t="s">
        <v>314</v>
      </c>
      <c r="G23">
        <v>1566147818.5999999</v>
      </c>
      <c r="H23">
        <f t="shared" si="0"/>
        <v>6.7137414483777157E-3</v>
      </c>
      <c r="I23">
        <f t="shared" si="1"/>
        <v>29.745987030621947</v>
      </c>
      <c r="J23">
        <f t="shared" si="2"/>
        <v>361.61396587547767</v>
      </c>
      <c r="K23">
        <f t="shared" si="3"/>
        <v>233.69025933976383</v>
      </c>
      <c r="L23">
        <f t="shared" si="4"/>
        <v>23.138137153465586</v>
      </c>
      <c r="M23">
        <f t="shared" si="5"/>
        <v>35.804117649895204</v>
      </c>
      <c r="N23">
        <f t="shared" si="6"/>
        <v>0.43327508621334804</v>
      </c>
      <c r="O23">
        <f t="shared" si="7"/>
        <v>2.2429801703047381</v>
      </c>
      <c r="P23">
        <f t="shared" si="8"/>
        <v>0.3915839907183471</v>
      </c>
      <c r="Q23">
        <f t="shared" si="9"/>
        <v>0.24815061426765733</v>
      </c>
      <c r="R23">
        <f t="shared" si="10"/>
        <v>281.55614159024736</v>
      </c>
      <c r="S23">
        <f t="shared" si="11"/>
        <v>26.883963821605189</v>
      </c>
      <c r="T23">
        <f t="shared" si="12"/>
        <v>27.151299999999999</v>
      </c>
      <c r="U23">
        <f t="shared" si="13"/>
        <v>3.6110885316884782</v>
      </c>
      <c r="V23">
        <f t="shared" si="14"/>
        <v>54.818391432447001</v>
      </c>
      <c r="W23">
        <f t="shared" si="15"/>
        <v>1.9612888654967999</v>
      </c>
      <c r="X23">
        <f t="shared" si="16"/>
        <v>3.5777935365245201</v>
      </c>
      <c r="Y23">
        <f t="shared" si="17"/>
        <v>1.6497996661916783</v>
      </c>
      <c r="Z23">
        <f t="shared" si="18"/>
        <v>-296.07599787345725</v>
      </c>
      <c r="AA23">
        <f t="shared" si="19"/>
        <v>-19.081735707363592</v>
      </c>
      <c r="AB23">
        <f t="shared" si="20"/>
        <v>-1.8373074477334499</v>
      </c>
      <c r="AC23">
        <f t="shared" si="21"/>
        <v>-35.438899438306933</v>
      </c>
      <c r="AD23">
        <v>-4.0995029201093297E-2</v>
      </c>
      <c r="AE23">
        <v>4.6020511640032798E-2</v>
      </c>
      <c r="AF23">
        <v>3.4426781517039</v>
      </c>
      <c r="AG23">
        <v>151</v>
      </c>
      <c r="AH23">
        <v>30</v>
      </c>
      <c r="AI23">
        <f t="shared" si="22"/>
        <v>1.0058106835771392</v>
      </c>
      <c r="AJ23">
        <f t="shared" si="23"/>
        <v>0.58106835771392085</v>
      </c>
      <c r="AK23">
        <f t="shared" si="24"/>
        <v>52275.231030536597</v>
      </c>
      <c r="AL23" t="s">
        <v>278</v>
      </c>
      <c r="AM23">
        <v>520.33192307692298</v>
      </c>
      <c r="AN23">
        <v>3330.63</v>
      </c>
      <c r="AO23">
        <f t="shared" si="25"/>
        <v>2810.2980769230771</v>
      </c>
      <c r="AP23">
        <f t="shared" si="26"/>
        <v>0.84377372356673574</v>
      </c>
      <c r="AQ23">
        <v>-1.3252759154356599</v>
      </c>
      <c r="AR23" t="s">
        <v>315</v>
      </c>
      <c r="AS23">
        <v>736.77426923076905</v>
      </c>
      <c r="AT23">
        <v>1151.92</v>
      </c>
      <c r="AU23">
        <f t="shared" si="27"/>
        <v>0.36039458536116309</v>
      </c>
      <c r="AV23">
        <v>0.5</v>
      </c>
      <c r="AW23">
        <f t="shared" si="28"/>
        <v>1471.2207000963108</v>
      </c>
      <c r="AX23">
        <f t="shared" si="29"/>
        <v>29.745987030621947</v>
      </c>
      <c r="AY23">
        <f t="shared" si="30"/>
        <v>265.10998709298502</v>
      </c>
      <c r="AZ23">
        <f t="shared" si="31"/>
        <v>0.56231335509410374</v>
      </c>
      <c r="BA23">
        <f t="shared" si="32"/>
        <v>2.1119375865241419E-2</v>
      </c>
      <c r="BB23">
        <f t="shared" si="33"/>
        <v>1.8913726647683866</v>
      </c>
      <c r="BC23" t="s">
        <v>316</v>
      </c>
      <c r="BD23">
        <v>504.18</v>
      </c>
      <c r="BE23">
        <f t="shared" si="34"/>
        <v>647.74</v>
      </c>
      <c r="BF23">
        <f t="shared" si="35"/>
        <v>0.64091414883939701</v>
      </c>
      <c r="BG23">
        <f t="shared" si="36"/>
        <v>0.77082913194997249</v>
      </c>
      <c r="BH23">
        <f t="shared" si="37"/>
        <v>0.65730457229608663</v>
      </c>
      <c r="BI23">
        <f t="shared" si="38"/>
        <v>0.77525939966674762</v>
      </c>
      <c r="BJ23">
        <v>1407</v>
      </c>
      <c r="BK23">
        <v>300</v>
      </c>
      <c r="BL23">
        <v>300</v>
      </c>
      <c r="BM23">
        <v>300</v>
      </c>
      <c r="BN23">
        <v>10270.1</v>
      </c>
      <c r="BO23">
        <v>1049.97</v>
      </c>
      <c r="BP23">
        <v>-7.0518000000000004E-3</v>
      </c>
      <c r="BQ23">
        <v>4.0444300000000002</v>
      </c>
      <c r="BR23">
        <f t="shared" si="39"/>
        <v>1750.02</v>
      </c>
      <c r="BS23">
        <f t="shared" si="40"/>
        <v>1471.2207000963108</v>
      </c>
      <c r="BT23">
        <f t="shared" si="41"/>
        <v>0.84068793505006278</v>
      </c>
      <c r="BU23">
        <f t="shared" si="42"/>
        <v>0.19137587010012558</v>
      </c>
      <c r="BV23" t="s">
        <v>281</v>
      </c>
      <c r="BW23">
        <v>1566147818.5999999</v>
      </c>
      <c r="BX23">
        <v>361.61399999999998</v>
      </c>
      <c r="BY23">
        <v>400.017</v>
      </c>
      <c r="BZ23">
        <v>19.808599999999998</v>
      </c>
      <c r="CA23">
        <v>11.9581</v>
      </c>
      <c r="CB23">
        <v>499.99099999999999</v>
      </c>
      <c r="CC23">
        <v>98.812100000000001</v>
      </c>
      <c r="CD23">
        <v>0.19988800000000001</v>
      </c>
      <c r="CE23">
        <v>26.993500000000001</v>
      </c>
      <c r="CF23">
        <v>27.151299999999999</v>
      </c>
      <c r="CG23">
        <v>999.9</v>
      </c>
      <c r="CH23">
        <v>10005</v>
      </c>
      <c r="CI23">
        <v>0</v>
      </c>
      <c r="CJ23">
        <v>915.66399999999999</v>
      </c>
      <c r="CK23">
        <v>1750.02</v>
      </c>
      <c r="CL23">
        <v>0.97700399999999998</v>
      </c>
      <c r="CM23">
        <v>2.29958E-2</v>
      </c>
      <c r="CN23">
        <v>0</v>
      </c>
      <c r="CO23">
        <v>737.57899999999995</v>
      </c>
      <c r="CP23">
        <v>4.99986</v>
      </c>
      <c r="CQ23">
        <v>15282.5</v>
      </c>
      <c r="CR23">
        <v>14220.9</v>
      </c>
      <c r="CS23">
        <v>48</v>
      </c>
      <c r="CT23">
        <v>50.436999999999998</v>
      </c>
      <c r="CU23">
        <v>49.186999999999998</v>
      </c>
      <c r="CV23">
        <v>49.125</v>
      </c>
      <c r="CW23">
        <v>49.561999999999998</v>
      </c>
      <c r="CX23">
        <v>1704.89</v>
      </c>
      <c r="CY23">
        <v>40.130000000000003</v>
      </c>
      <c r="CZ23">
        <v>0</v>
      </c>
      <c r="DA23">
        <v>99.799999952316298</v>
      </c>
      <c r="DB23">
        <v>736.77426923076905</v>
      </c>
      <c r="DC23">
        <v>4.6100170998425396</v>
      </c>
      <c r="DD23">
        <v>-1606.32136519543</v>
      </c>
      <c r="DE23">
        <v>15420.95</v>
      </c>
      <c r="DF23">
        <v>15</v>
      </c>
      <c r="DG23">
        <v>1566147855.5999999</v>
      </c>
      <c r="DH23" t="s">
        <v>317</v>
      </c>
      <c r="DI23">
        <v>67</v>
      </c>
      <c r="DJ23">
        <v>0.11899999999999999</v>
      </c>
      <c r="DK23">
        <v>6.5000000000000002E-2</v>
      </c>
      <c r="DL23">
        <v>400</v>
      </c>
      <c r="DM23">
        <v>12</v>
      </c>
      <c r="DN23">
        <v>0.09</v>
      </c>
      <c r="DO23">
        <v>0.01</v>
      </c>
      <c r="DP23">
        <v>29.8702125511678</v>
      </c>
      <c r="DQ23">
        <v>-0.17186408555143001</v>
      </c>
      <c r="DR23">
        <v>5.5697174050229899E-2</v>
      </c>
      <c r="DS23">
        <v>1</v>
      </c>
      <c r="DT23">
        <v>0.44131151628833098</v>
      </c>
      <c r="DU23">
        <v>-3.2864486546088201E-2</v>
      </c>
      <c r="DV23">
        <v>6.8251779511585902E-3</v>
      </c>
      <c r="DW23">
        <v>1</v>
      </c>
      <c r="DX23">
        <v>2</v>
      </c>
      <c r="DY23">
        <v>2</v>
      </c>
      <c r="DZ23" t="s">
        <v>283</v>
      </c>
      <c r="EA23">
        <v>1.8672500000000001</v>
      </c>
      <c r="EB23">
        <v>1.86375</v>
      </c>
      <c r="EC23">
        <v>1.8693599999999999</v>
      </c>
      <c r="ED23">
        <v>1.8673500000000001</v>
      </c>
      <c r="EE23">
        <v>1.87202</v>
      </c>
      <c r="EF23">
        <v>1.8644700000000001</v>
      </c>
      <c r="EG23">
        <v>1.86598</v>
      </c>
      <c r="EH23">
        <v>1.86588</v>
      </c>
      <c r="EI23" t="s">
        <v>284</v>
      </c>
      <c r="EJ23" t="s">
        <v>19</v>
      </c>
      <c r="EK23" t="s">
        <v>19</v>
      </c>
      <c r="EL23" t="s">
        <v>19</v>
      </c>
      <c r="EM23" t="s">
        <v>285</v>
      </c>
      <c r="EN23" t="s">
        <v>286</v>
      </c>
      <c r="EO23" t="s">
        <v>287</v>
      </c>
      <c r="EP23" t="s">
        <v>287</v>
      </c>
      <c r="EQ23" t="s">
        <v>287</v>
      </c>
      <c r="ER23" t="s">
        <v>287</v>
      </c>
      <c r="ES23">
        <v>0</v>
      </c>
      <c r="ET23">
        <v>100</v>
      </c>
      <c r="EU23">
        <v>100</v>
      </c>
      <c r="EV23">
        <v>0.11899999999999999</v>
      </c>
      <c r="EW23">
        <v>6.5000000000000002E-2</v>
      </c>
      <c r="EX23">
        <v>2</v>
      </c>
      <c r="EY23">
        <v>329.005</v>
      </c>
      <c r="EZ23">
        <v>468.40699999999998</v>
      </c>
      <c r="FA23">
        <v>21.8687</v>
      </c>
      <c r="FB23">
        <v>35.255299999999998</v>
      </c>
      <c r="FC23">
        <v>30.000499999999999</v>
      </c>
      <c r="FD23">
        <v>35.367699999999999</v>
      </c>
      <c r="FE23">
        <v>35.371899999999997</v>
      </c>
      <c r="FF23">
        <v>21.898199999999999</v>
      </c>
      <c r="FG23">
        <v>80.5685</v>
      </c>
      <c r="FH23">
        <v>0</v>
      </c>
      <c r="FI23">
        <v>21.713799999999999</v>
      </c>
      <c r="FJ23">
        <v>400</v>
      </c>
      <c r="FK23">
        <v>12.0365</v>
      </c>
      <c r="FL23">
        <v>100.4</v>
      </c>
      <c r="FM23">
        <v>100.86499999999999</v>
      </c>
    </row>
    <row r="24" spans="1:169" x14ac:dyDescent="0.35">
      <c r="A24">
        <v>9</v>
      </c>
      <c r="B24">
        <v>1566147947.0999999</v>
      </c>
      <c r="C24">
        <v>950.09999990463302</v>
      </c>
      <c r="D24" t="s">
        <v>318</v>
      </c>
      <c r="E24" t="s">
        <v>319</v>
      </c>
      <c r="G24">
        <v>1566147947.0999999</v>
      </c>
      <c r="H24">
        <f t="shared" si="0"/>
        <v>6.0721410688867744E-3</v>
      </c>
      <c r="I24">
        <f t="shared" si="1"/>
        <v>35.707725319537971</v>
      </c>
      <c r="J24">
        <f t="shared" si="2"/>
        <v>454.08995931267805</v>
      </c>
      <c r="K24">
        <f t="shared" si="3"/>
        <v>281.84268096988558</v>
      </c>
      <c r="L24">
        <f t="shared" si="4"/>
        <v>27.904841371479947</v>
      </c>
      <c r="M24">
        <f t="shared" si="5"/>
        <v>44.95879843108635</v>
      </c>
      <c r="N24">
        <f t="shared" si="6"/>
        <v>0.3806749750334068</v>
      </c>
      <c r="O24">
        <f t="shared" si="7"/>
        <v>2.2469217140877564</v>
      </c>
      <c r="P24">
        <f t="shared" si="8"/>
        <v>0.34813688459109715</v>
      </c>
      <c r="Q24">
        <f t="shared" si="9"/>
        <v>0.22027673870425848</v>
      </c>
      <c r="R24">
        <f t="shared" si="10"/>
        <v>281.56468336856443</v>
      </c>
      <c r="S24">
        <f t="shared" si="11"/>
        <v>26.592158877936843</v>
      </c>
      <c r="T24">
        <f t="shared" si="12"/>
        <v>27.047799999999999</v>
      </c>
      <c r="U24">
        <f t="shared" si="13"/>
        <v>3.5892201905927261</v>
      </c>
      <c r="V24">
        <f t="shared" si="14"/>
        <v>55.004154972767935</v>
      </c>
      <c r="W24">
        <f t="shared" si="15"/>
        <v>1.9102911898824</v>
      </c>
      <c r="X24">
        <f t="shared" si="16"/>
        <v>3.4729943416604945</v>
      </c>
      <c r="Y24">
        <f t="shared" si="17"/>
        <v>1.6789290007103261</v>
      </c>
      <c r="Z24">
        <f t="shared" si="18"/>
        <v>-267.78142113790676</v>
      </c>
      <c r="AA24">
        <f t="shared" si="19"/>
        <v>-67.775616310218552</v>
      </c>
      <c r="AB24">
        <f t="shared" si="20"/>
        <v>-6.4946110745157588</v>
      </c>
      <c r="AC24">
        <f t="shared" si="21"/>
        <v>-60.486965154076657</v>
      </c>
      <c r="AD24">
        <v>-4.11009266231908E-2</v>
      </c>
      <c r="AE24">
        <v>4.6139390773460902E-2</v>
      </c>
      <c r="AF24">
        <v>3.44971872788186</v>
      </c>
      <c r="AG24">
        <v>151</v>
      </c>
      <c r="AH24">
        <v>30</v>
      </c>
      <c r="AI24">
        <f t="shared" si="22"/>
        <v>1.0057864376406866</v>
      </c>
      <c r="AJ24">
        <f t="shared" si="23"/>
        <v>0.5786437640686648</v>
      </c>
      <c r="AK24">
        <f t="shared" si="24"/>
        <v>52493.00571939526</v>
      </c>
      <c r="AL24" t="s">
        <v>278</v>
      </c>
      <c r="AM24">
        <v>520.33192307692298</v>
      </c>
      <c r="AN24">
        <v>3330.63</v>
      </c>
      <c r="AO24">
        <f t="shared" si="25"/>
        <v>2810.2980769230771</v>
      </c>
      <c r="AP24">
        <f t="shared" si="26"/>
        <v>0.84377372356673574</v>
      </c>
      <c r="AQ24">
        <v>-1.3252759154356599</v>
      </c>
      <c r="AR24" t="s">
        <v>320</v>
      </c>
      <c r="AS24">
        <v>758.11638461538496</v>
      </c>
      <c r="AT24">
        <v>1251.8399999999999</v>
      </c>
      <c r="AU24">
        <f t="shared" si="27"/>
        <v>0.39439833795422341</v>
      </c>
      <c r="AV24">
        <v>0.5</v>
      </c>
      <c r="AW24">
        <f t="shared" si="28"/>
        <v>1471.263000096332</v>
      </c>
      <c r="AX24">
        <f t="shared" si="29"/>
        <v>35.707725319537971</v>
      </c>
      <c r="AY24">
        <f t="shared" si="30"/>
        <v>290.1318409657689</v>
      </c>
      <c r="AZ24">
        <f t="shared" si="31"/>
        <v>0.59430917689161555</v>
      </c>
      <c r="BA24">
        <f t="shared" si="32"/>
        <v>2.5170891426311182E-2</v>
      </c>
      <c r="BB24">
        <f t="shared" si="33"/>
        <v>1.6605876150306749</v>
      </c>
      <c r="BC24" t="s">
        <v>321</v>
      </c>
      <c r="BD24">
        <v>507.86</v>
      </c>
      <c r="BE24">
        <f t="shared" si="34"/>
        <v>743.9799999999999</v>
      </c>
      <c r="BF24">
        <f t="shared" si="35"/>
        <v>0.66362484930322729</v>
      </c>
      <c r="BG24">
        <f t="shared" si="36"/>
        <v>0.73643619565178886</v>
      </c>
      <c r="BH24">
        <f t="shared" si="37"/>
        <v>0.6749393902270383</v>
      </c>
      <c r="BI24">
        <f t="shared" si="38"/>
        <v>0.73970445237467963</v>
      </c>
      <c r="BJ24">
        <v>1409</v>
      </c>
      <c r="BK24">
        <v>300</v>
      </c>
      <c r="BL24">
        <v>300</v>
      </c>
      <c r="BM24">
        <v>300</v>
      </c>
      <c r="BN24">
        <v>10271.200000000001</v>
      </c>
      <c r="BO24">
        <v>1125.75</v>
      </c>
      <c r="BP24">
        <v>-7.0526900000000003E-3</v>
      </c>
      <c r="BQ24">
        <v>2.5810499999999998</v>
      </c>
      <c r="BR24">
        <f t="shared" si="39"/>
        <v>1750.07</v>
      </c>
      <c r="BS24">
        <f t="shared" si="40"/>
        <v>1471.263000096332</v>
      </c>
      <c r="BT24">
        <f t="shared" si="41"/>
        <v>0.84068808681728846</v>
      </c>
      <c r="BU24">
        <f t="shared" si="42"/>
        <v>0.19137617363457707</v>
      </c>
      <c r="BV24" t="s">
        <v>281</v>
      </c>
      <c r="BW24">
        <v>1566147947.0999999</v>
      </c>
      <c r="BX24">
        <v>454.09</v>
      </c>
      <c r="BY24">
        <v>500.005</v>
      </c>
      <c r="BZ24">
        <v>19.2942</v>
      </c>
      <c r="CA24">
        <v>12.1896</v>
      </c>
      <c r="CB24">
        <v>499.96199999999999</v>
      </c>
      <c r="CC24">
        <v>98.808599999999998</v>
      </c>
      <c r="CD24">
        <v>0.19997200000000001</v>
      </c>
      <c r="CE24">
        <v>26.488299999999999</v>
      </c>
      <c r="CF24">
        <v>27.047799999999999</v>
      </c>
      <c r="CG24">
        <v>999.9</v>
      </c>
      <c r="CH24">
        <v>10031.200000000001</v>
      </c>
      <c r="CI24">
        <v>0</v>
      </c>
      <c r="CJ24">
        <v>2064.3200000000002</v>
      </c>
      <c r="CK24">
        <v>1750.07</v>
      </c>
      <c r="CL24">
        <v>0.97699999999999998</v>
      </c>
      <c r="CM24">
        <v>2.2999800000000001E-2</v>
      </c>
      <c r="CN24">
        <v>0</v>
      </c>
      <c r="CO24">
        <v>757.87099999999998</v>
      </c>
      <c r="CP24">
        <v>4.99986</v>
      </c>
      <c r="CQ24">
        <v>18477.7</v>
      </c>
      <c r="CR24">
        <v>14221.3</v>
      </c>
      <c r="CS24">
        <v>48</v>
      </c>
      <c r="CT24">
        <v>50.436999999999998</v>
      </c>
      <c r="CU24">
        <v>49.186999999999998</v>
      </c>
      <c r="CV24">
        <v>49.061999999999998</v>
      </c>
      <c r="CW24">
        <v>49.5</v>
      </c>
      <c r="CX24">
        <v>1704.93</v>
      </c>
      <c r="CY24">
        <v>40.14</v>
      </c>
      <c r="CZ24">
        <v>0</v>
      </c>
      <c r="DA24">
        <v>127.799999952316</v>
      </c>
      <c r="DB24">
        <v>758.11638461538496</v>
      </c>
      <c r="DC24">
        <v>-0.15364101542085601</v>
      </c>
      <c r="DD24">
        <v>509.40170818065599</v>
      </c>
      <c r="DE24">
        <v>18414.7</v>
      </c>
      <c r="DF24">
        <v>15</v>
      </c>
      <c r="DG24">
        <v>1566147984.0999999</v>
      </c>
      <c r="DH24" t="s">
        <v>322</v>
      </c>
      <c r="DI24">
        <v>68</v>
      </c>
      <c r="DJ24">
        <v>0.13400000000000001</v>
      </c>
      <c r="DK24">
        <v>6.7000000000000004E-2</v>
      </c>
      <c r="DL24">
        <v>500</v>
      </c>
      <c r="DM24">
        <v>12</v>
      </c>
      <c r="DN24">
        <v>0.03</v>
      </c>
      <c r="DO24">
        <v>0.01</v>
      </c>
      <c r="DP24">
        <v>35.810162781835302</v>
      </c>
      <c r="DQ24">
        <v>-0.33414079491667897</v>
      </c>
      <c r="DR24">
        <v>7.1889269051139001E-2</v>
      </c>
      <c r="DS24">
        <v>0</v>
      </c>
      <c r="DT24">
        <v>0.38884332018672702</v>
      </c>
      <c r="DU24">
        <v>-1.9109675616095799E-2</v>
      </c>
      <c r="DV24">
        <v>4.0994552318972602E-3</v>
      </c>
      <c r="DW24">
        <v>1</v>
      </c>
      <c r="DX24">
        <v>1</v>
      </c>
      <c r="DY24">
        <v>2</v>
      </c>
      <c r="DZ24" t="s">
        <v>323</v>
      </c>
      <c r="EA24">
        <v>1.86724</v>
      </c>
      <c r="EB24">
        <v>1.8637999999999999</v>
      </c>
      <c r="EC24">
        <v>1.8693599999999999</v>
      </c>
      <c r="ED24">
        <v>1.86737</v>
      </c>
      <c r="EE24">
        <v>1.8720399999999999</v>
      </c>
      <c r="EF24">
        <v>1.8644700000000001</v>
      </c>
      <c r="EG24">
        <v>1.8659699999999999</v>
      </c>
      <c r="EH24">
        <v>1.86588</v>
      </c>
      <c r="EI24" t="s">
        <v>284</v>
      </c>
      <c r="EJ24" t="s">
        <v>19</v>
      </c>
      <c r="EK24" t="s">
        <v>19</v>
      </c>
      <c r="EL24" t="s">
        <v>19</v>
      </c>
      <c r="EM24" t="s">
        <v>285</v>
      </c>
      <c r="EN24" t="s">
        <v>286</v>
      </c>
      <c r="EO24" t="s">
        <v>287</v>
      </c>
      <c r="EP24" t="s">
        <v>287</v>
      </c>
      <c r="EQ24" t="s">
        <v>287</v>
      </c>
      <c r="ER24" t="s">
        <v>287</v>
      </c>
      <c r="ES24">
        <v>0</v>
      </c>
      <c r="ET24">
        <v>100</v>
      </c>
      <c r="EU24">
        <v>100</v>
      </c>
      <c r="EV24">
        <v>0.13400000000000001</v>
      </c>
      <c r="EW24">
        <v>6.7000000000000004E-2</v>
      </c>
      <c r="EX24">
        <v>2</v>
      </c>
      <c r="EY24">
        <v>329.56900000000002</v>
      </c>
      <c r="EZ24">
        <v>468.46499999999997</v>
      </c>
      <c r="FA24">
        <v>21.074100000000001</v>
      </c>
      <c r="FB24">
        <v>35.112000000000002</v>
      </c>
      <c r="FC24">
        <v>30.000499999999999</v>
      </c>
      <c r="FD24">
        <v>35.216299999999997</v>
      </c>
      <c r="FE24">
        <v>35.229500000000002</v>
      </c>
      <c r="FF24">
        <v>26.2043</v>
      </c>
      <c r="FG24">
        <v>81.501199999999997</v>
      </c>
      <c r="FH24">
        <v>0</v>
      </c>
      <c r="FI24">
        <v>21.0611</v>
      </c>
      <c r="FJ24">
        <v>500</v>
      </c>
      <c r="FK24">
        <v>12.196099999999999</v>
      </c>
      <c r="FL24">
        <v>100.428</v>
      </c>
      <c r="FM24">
        <v>100.892</v>
      </c>
    </row>
    <row r="25" spans="1:169" x14ac:dyDescent="0.35">
      <c r="A25">
        <v>10</v>
      </c>
      <c r="B25">
        <v>1566148075.5999999</v>
      </c>
      <c r="C25">
        <v>1078.5999999046301</v>
      </c>
      <c r="D25" t="s">
        <v>324</v>
      </c>
      <c r="E25" t="s">
        <v>325</v>
      </c>
      <c r="G25">
        <v>1566148075.5999999</v>
      </c>
      <c r="H25">
        <f t="shared" si="0"/>
        <v>5.8111767975284239E-3</v>
      </c>
      <c r="I25">
        <f t="shared" si="1"/>
        <v>41.070022289656784</v>
      </c>
      <c r="J25">
        <f t="shared" si="2"/>
        <v>547.16295279764199</v>
      </c>
      <c r="K25">
        <f t="shared" si="3"/>
        <v>339.02980724557386</v>
      </c>
      <c r="L25">
        <f t="shared" si="4"/>
        <v>33.568385427190584</v>
      </c>
      <c r="M25">
        <f t="shared" si="5"/>
        <v>54.176289218389151</v>
      </c>
      <c r="N25">
        <f t="shared" si="6"/>
        <v>0.36110066123316409</v>
      </c>
      <c r="O25">
        <f t="shared" si="7"/>
        <v>2.2395590983789191</v>
      </c>
      <c r="P25">
        <f t="shared" si="8"/>
        <v>0.33159612112314801</v>
      </c>
      <c r="Q25">
        <f t="shared" si="9"/>
        <v>0.20969718002646837</v>
      </c>
      <c r="R25">
        <f t="shared" si="10"/>
        <v>281.56627935909421</v>
      </c>
      <c r="S25">
        <f t="shared" si="11"/>
        <v>26.418404767342341</v>
      </c>
      <c r="T25">
        <f t="shared" si="12"/>
        <v>26.994599999999998</v>
      </c>
      <c r="U25">
        <f t="shared" si="13"/>
        <v>3.5780247001946117</v>
      </c>
      <c r="V25">
        <f t="shared" si="14"/>
        <v>55.286980121769759</v>
      </c>
      <c r="W25">
        <f t="shared" si="15"/>
        <v>1.8907537756799999</v>
      </c>
      <c r="X25">
        <f t="shared" si="16"/>
        <v>3.4198897670221964</v>
      </c>
      <c r="Y25">
        <f t="shared" si="17"/>
        <v>1.6872709245146118</v>
      </c>
      <c r="Z25">
        <f t="shared" si="18"/>
        <v>-256.2728967710035</v>
      </c>
      <c r="AA25">
        <f t="shared" si="19"/>
        <v>-92.655193099798439</v>
      </c>
      <c r="AB25">
        <f t="shared" si="20"/>
        <v>-8.8938947524442398</v>
      </c>
      <c r="AC25">
        <f t="shared" si="21"/>
        <v>-76.255705264151956</v>
      </c>
      <c r="AD25">
        <v>-4.0903250427375401E-2</v>
      </c>
      <c r="AE25">
        <v>4.5917481926272298E-2</v>
      </c>
      <c r="AF25">
        <v>3.4365712222067999</v>
      </c>
      <c r="AG25">
        <v>150</v>
      </c>
      <c r="AH25">
        <v>30</v>
      </c>
      <c r="AI25">
        <f t="shared" si="22"/>
        <v>1.0057696117494552</v>
      </c>
      <c r="AJ25">
        <f t="shared" si="23"/>
        <v>0.57696117494552279</v>
      </c>
      <c r="AK25">
        <f t="shared" si="24"/>
        <v>52296.566324991065</v>
      </c>
      <c r="AL25" t="s">
        <v>278</v>
      </c>
      <c r="AM25">
        <v>520.33192307692298</v>
      </c>
      <c r="AN25">
        <v>3330.63</v>
      </c>
      <c r="AO25">
        <f t="shared" si="25"/>
        <v>2810.2980769230771</v>
      </c>
      <c r="AP25">
        <f t="shared" si="26"/>
        <v>0.84377372356673574</v>
      </c>
      <c r="AQ25">
        <v>-1.3252759154356599</v>
      </c>
      <c r="AR25" t="s">
        <v>326</v>
      </c>
      <c r="AS25">
        <v>777.72203846153798</v>
      </c>
      <c r="AT25">
        <v>1331.43</v>
      </c>
      <c r="AU25">
        <f t="shared" si="27"/>
        <v>0.41587463219129961</v>
      </c>
      <c r="AV25">
        <v>0.5</v>
      </c>
      <c r="AW25">
        <f t="shared" si="28"/>
        <v>1471.2714000963315</v>
      </c>
      <c r="AX25">
        <f t="shared" si="29"/>
        <v>41.070022289656784</v>
      </c>
      <c r="AY25">
        <f t="shared" si="30"/>
        <v>305.93222618432014</v>
      </c>
      <c r="AZ25">
        <f t="shared" si="31"/>
        <v>0.61635234296958918</v>
      </c>
      <c r="BA25">
        <f t="shared" si="32"/>
        <v>2.8815416518200933E-2</v>
      </c>
      <c r="BB25">
        <f t="shared" si="33"/>
        <v>1.5015434532795566</v>
      </c>
      <c r="BC25" t="s">
        <v>327</v>
      </c>
      <c r="BD25">
        <v>510.8</v>
      </c>
      <c r="BE25">
        <f t="shared" si="34"/>
        <v>820.63000000000011</v>
      </c>
      <c r="BF25">
        <f t="shared" si="35"/>
        <v>0.67473521750175114</v>
      </c>
      <c r="BG25">
        <f t="shared" si="36"/>
        <v>0.70897891007613933</v>
      </c>
      <c r="BH25">
        <f t="shared" si="37"/>
        <v>0.68266462132294592</v>
      </c>
      <c r="BI25">
        <f t="shared" si="38"/>
        <v>0.71138361315354581</v>
      </c>
      <c r="BJ25">
        <v>1411</v>
      </c>
      <c r="BK25">
        <v>300</v>
      </c>
      <c r="BL25">
        <v>300</v>
      </c>
      <c r="BM25">
        <v>300</v>
      </c>
      <c r="BN25">
        <v>10271.4</v>
      </c>
      <c r="BO25">
        <v>1192.1600000000001</v>
      </c>
      <c r="BP25">
        <v>-7.0530000000000002E-3</v>
      </c>
      <c r="BQ25">
        <v>3.3544900000000002</v>
      </c>
      <c r="BR25">
        <f t="shared" si="39"/>
        <v>1750.08</v>
      </c>
      <c r="BS25">
        <f t="shared" si="40"/>
        <v>1471.2714000963315</v>
      </c>
      <c r="BT25">
        <f t="shared" si="41"/>
        <v>0.8406880828855432</v>
      </c>
      <c r="BU25">
        <f t="shared" si="42"/>
        <v>0.1913761657710866</v>
      </c>
      <c r="BV25" t="s">
        <v>281</v>
      </c>
      <c r="BW25">
        <v>1566148075.5999999</v>
      </c>
      <c r="BX25">
        <v>547.16300000000001</v>
      </c>
      <c r="BY25">
        <v>599.97799999999995</v>
      </c>
      <c r="BZ25">
        <v>19.096</v>
      </c>
      <c r="CA25">
        <v>12.295999999999999</v>
      </c>
      <c r="CB25">
        <v>500.01799999999997</v>
      </c>
      <c r="CC25">
        <v>98.813100000000006</v>
      </c>
      <c r="CD25">
        <v>0.19997999999999999</v>
      </c>
      <c r="CE25">
        <v>26.2272</v>
      </c>
      <c r="CF25">
        <v>26.994599999999998</v>
      </c>
      <c r="CG25">
        <v>999.9</v>
      </c>
      <c r="CH25">
        <v>9982.5</v>
      </c>
      <c r="CI25">
        <v>0</v>
      </c>
      <c r="CJ25">
        <v>2073.75</v>
      </c>
      <c r="CK25">
        <v>1750.08</v>
      </c>
      <c r="CL25">
        <v>0.97699999999999998</v>
      </c>
      <c r="CM25">
        <v>2.2999800000000001E-2</v>
      </c>
      <c r="CN25">
        <v>0</v>
      </c>
      <c r="CO25">
        <v>777.28300000000002</v>
      </c>
      <c r="CP25">
        <v>4.99986</v>
      </c>
      <c r="CQ25">
        <v>18824.900000000001</v>
      </c>
      <c r="CR25">
        <v>14221.4</v>
      </c>
      <c r="CS25">
        <v>48.186999999999998</v>
      </c>
      <c r="CT25">
        <v>50.875</v>
      </c>
      <c r="CU25">
        <v>49.436999999999998</v>
      </c>
      <c r="CV25">
        <v>49.5</v>
      </c>
      <c r="CW25">
        <v>49.625</v>
      </c>
      <c r="CX25">
        <v>1704.94</v>
      </c>
      <c r="CY25">
        <v>40.14</v>
      </c>
      <c r="CZ25">
        <v>0</v>
      </c>
      <c r="DA25">
        <v>128.39999985694899</v>
      </c>
      <c r="DB25">
        <v>777.72203846153798</v>
      </c>
      <c r="DC25">
        <v>-4.3674188070056399</v>
      </c>
      <c r="DD25">
        <v>122.013675060251</v>
      </c>
      <c r="DE25">
        <v>18806.3269230769</v>
      </c>
      <c r="DF25">
        <v>15</v>
      </c>
      <c r="DG25">
        <v>1566148111.5999999</v>
      </c>
      <c r="DH25" t="s">
        <v>328</v>
      </c>
      <c r="DI25">
        <v>69</v>
      </c>
      <c r="DJ25">
        <v>0.249</v>
      </c>
      <c r="DK25">
        <v>6.8000000000000005E-2</v>
      </c>
      <c r="DL25">
        <v>600</v>
      </c>
      <c r="DM25">
        <v>12</v>
      </c>
      <c r="DN25">
        <v>0.02</v>
      </c>
      <c r="DO25">
        <v>0.01</v>
      </c>
      <c r="DP25">
        <v>41.291274236424499</v>
      </c>
      <c r="DQ25">
        <v>-0.46995958956510098</v>
      </c>
      <c r="DR25">
        <v>0.10357311909259601</v>
      </c>
      <c r="DS25">
        <v>0</v>
      </c>
      <c r="DT25">
        <v>0.36418826791416598</v>
      </c>
      <c r="DU25">
        <v>-8.8971319893223504E-4</v>
      </c>
      <c r="DV25">
        <v>1.17992739231238E-3</v>
      </c>
      <c r="DW25">
        <v>1</v>
      </c>
      <c r="DX25">
        <v>1</v>
      </c>
      <c r="DY25">
        <v>2</v>
      </c>
      <c r="DZ25" t="s">
        <v>323</v>
      </c>
      <c r="EA25">
        <v>1.8672299999999999</v>
      </c>
      <c r="EB25">
        <v>1.8637699999999999</v>
      </c>
      <c r="EC25">
        <v>1.8693599999999999</v>
      </c>
      <c r="ED25">
        <v>1.8673500000000001</v>
      </c>
      <c r="EE25">
        <v>1.8720399999999999</v>
      </c>
      <c r="EF25">
        <v>1.8644700000000001</v>
      </c>
      <c r="EG25">
        <v>1.8659399999999999</v>
      </c>
      <c r="EH25">
        <v>1.8658699999999999</v>
      </c>
      <c r="EI25" t="s">
        <v>284</v>
      </c>
      <c r="EJ25" t="s">
        <v>19</v>
      </c>
      <c r="EK25" t="s">
        <v>19</v>
      </c>
      <c r="EL25" t="s">
        <v>19</v>
      </c>
      <c r="EM25" t="s">
        <v>285</v>
      </c>
      <c r="EN25" t="s">
        <v>286</v>
      </c>
      <c r="EO25" t="s">
        <v>287</v>
      </c>
      <c r="EP25" t="s">
        <v>287</v>
      </c>
      <c r="EQ25" t="s">
        <v>287</v>
      </c>
      <c r="ER25" t="s">
        <v>287</v>
      </c>
      <c r="ES25">
        <v>0</v>
      </c>
      <c r="ET25">
        <v>100</v>
      </c>
      <c r="EU25">
        <v>100</v>
      </c>
      <c r="EV25">
        <v>0.249</v>
      </c>
      <c r="EW25">
        <v>6.8000000000000005E-2</v>
      </c>
      <c r="EX25">
        <v>2</v>
      </c>
      <c r="EY25">
        <v>330.00599999999997</v>
      </c>
      <c r="EZ25">
        <v>467.29199999999997</v>
      </c>
      <c r="FA25">
        <v>20.923500000000001</v>
      </c>
      <c r="FB25">
        <v>35.252800000000001</v>
      </c>
      <c r="FC25">
        <v>30.001300000000001</v>
      </c>
      <c r="FD25">
        <v>35.2667</v>
      </c>
      <c r="FE25">
        <v>35.276899999999998</v>
      </c>
      <c r="FF25">
        <v>30.370799999999999</v>
      </c>
      <c r="FG25">
        <v>83.088800000000006</v>
      </c>
      <c r="FH25">
        <v>0</v>
      </c>
      <c r="FI25">
        <v>20.884799999999998</v>
      </c>
      <c r="FJ25">
        <v>600</v>
      </c>
      <c r="FK25">
        <v>12.2059</v>
      </c>
      <c r="FL25">
        <v>100.41</v>
      </c>
      <c r="FM25">
        <v>100.86799999999999</v>
      </c>
    </row>
    <row r="26" spans="1:169" x14ac:dyDescent="0.35">
      <c r="A26">
        <v>11</v>
      </c>
      <c r="B26">
        <v>1566148203.0999999</v>
      </c>
      <c r="C26">
        <v>1206.0999999046301</v>
      </c>
      <c r="D26" t="s">
        <v>329</v>
      </c>
      <c r="E26" t="s">
        <v>330</v>
      </c>
      <c r="G26">
        <v>1566148203.0999999</v>
      </c>
      <c r="H26">
        <f t="shared" si="0"/>
        <v>5.4870978724006533E-3</v>
      </c>
      <c r="I26">
        <f t="shared" si="1"/>
        <v>48.133044507225023</v>
      </c>
      <c r="J26">
        <f t="shared" si="2"/>
        <v>737.72294482187647</v>
      </c>
      <c r="K26">
        <f t="shared" si="3"/>
        <v>474.65070270296144</v>
      </c>
      <c r="L26">
        <f t="shared" si="4"/>
        <v>46.993884992373616</v>
      </c>
      <c r="M26">
        <f t="shared" si="5"/>
        <v>73.039957652585912</v>
      </c>
      <c r="N26">
        <f t="shared" si="6"/>
        <v>0.33511569605790542</v>
      </c>
      <c r="O26">
        <f t="shared" si="7"/>
        <v>2.2411868100799204</v>
      </c>
      <c r="P26">
        <f t="shared" si="8"/>
        <v>0.30956073025068853</v>
      </c>
      <c r="Q26">
        <f t="shared" si="9"/>
        <v>0.19560882031373061</v>
      </c>
      <c r="R26">
        <f t="shared" si="10"/>
        <v>281.58806140094657</v>
      </c>
      <c r="S26">
        <f t="shared" si="11"/>
        <v>26.400643001391551</v>
      </c>
      <c r="T26">
        <f t="shared" si="12"/>
        <v>27.0213</v>
      </c>
      <c r="U26">
        <f t="shared" si="13"/>
        <v>3.5836396732713376</v>
      </c>
      <c r="V26">
        <f t="shared" si="14"/>
        <v>55.297022099176104</v>
      </c>
      <c r="W26">
        <f t="shared" si="15"/>
        <v>1.8770893203890999</v>
      </c>
      <c r="X26">
        <f t="shared" si="16"/>
        <v>3.3945576979217971</v>
      </c>
      <c r="Y26">
        <f t="shared" si="17"/>
        <v>1.7065503528822377</v>
      </c>
      <c r="Z26">
        <f t="shared" si="18"/>
        <v>-241.98101617286881</v>
      </c>
      <c r="AA26">
        <f t="shared" si="19"/>
        <v>-111.14863155429568</v>
      </c>
      <c r="AB26">
        <f t="shared" si="20"/>
        <v>-10.656034826112197</v>
      </c>
      <c r="AC26">
        <f t="shared" si="21"/>
        <v>-82.197621152330115</v>
      </c>
      <c r="AD26">
        <v>-4.0946902221984403E-2</v>
      </c>
      <c r="AE26">
        <v>4.5966484889828102E-2</v>
      </c>
      <c r="AF26">
        <v>3.43947638073239</v>
      </c>
      <c r="AG26">
        <v>150</v>
      </c>
      <c r="AH26">
        <v>30</v>
      </c>
      <c r="AI26">
        <f t="shared" si="22"/>
        <v>1.0057612534410103</v>
      </c>
      <c r="AJ26">
        <f t="shared" si="23"/>
        <v>0.57612534410103056</v>
      </c>
      <c r="AK26">
        <f t="shared" si="24"/>
        <v>52372.001878014125</v>
      </c>
      <c r="AL26" t="s">
        <v>278</v>
      </c>
      <c r="AM26">
        <v>520.33192307692298</v>
      </c>
      <c r="AN26">
        <v>3330.63</v>
      </c>
      <c r="AO26">
        <f t="shared" si="25"/>
        <v>2810.2980769230771</v>
      </c>
      <c r="AP26">
        <f t="shared" si="26"/>
        <v>0.84377372356673574</v>
      </c>
      <c r="AQ26">
        <v>-1.3252759154356599</v>
      </c>
      <c r="AR26" t="s">
        <v>331</v>
      </c>
      <c r="AS26">
        <v>799.88738461538401</v>
      </c>
      <c r="AT26">
        <v>1398.63</v>
      </c>
      <c r="AU26">
        <f t="shared" si="27"/>
        <v>0.42809221551419319</v>
      </c>
      <c r="AV26">
        <v>0.5</v>
      </c>
      <c r="AW26">
        <f t="shared" si="28"/>
        <v>1471.3887000962998</v>
      </c>
      <c r="AX26">
        <f t="shared" si="29"/>
        <v>48.133044507225023</v>
      </c>
      <c r="AY26">
        <f t="shared" si="30"/>
        <v>314.94502425338686</v>
      </c>
      <c r="AZ26">
        <f t="shared" si="31"/>
        <v>0.63334119817249734</v>
      </c>
      <c r="BA26">
        <f t="shared" si="32"/>
        <v>3.3613361594678363E-2</v>
      </c>
      <c r="BB26">
        <f t="shared" si="33"/>
        <v>1.3813517513566846</v>
      </c>
      <c r="BC26" t="s">
        <v>332</v>
      </c>
      <c r="BD26">
        <v>512.82000000000005</v>
      </c>
      <c r="BE26">
        <f t="shared" si="34"/>
        <v>885.81000000000006</v>
      </c>
      <c r="BF26">
        <f t="shared" si="35"/>
        <v>0.67592668335717143</v>
      </c>
      <c r="BG26">
        <f t="shared" si="36"/>
        <v>0.68563884718983892</v>
      </c>
      <c r="BH26">
        <f t="shared" si="37"/>
        <v>0.68170776085742812</v>
      </c>
      <c r="BI26">
        <f t="shared" si="38"/>
        <v>0.6874715589298972</v>
      </c>
      <c r="BJ26">
        <v>1413</v>
      </c>
      <c r="BK26">
        <v>300</v>
      </c>
      <c r="BL26">
        <v>300</v>
      </c>
      <c r="BM26">
        <v>300</v>
      </c>
      <c r="BN26">
        <v>10270.9</v>
      </c>
      <c r="BO26">
        <v>1254.3599999999999</v>
      </c>
      <c r="BP26">
        <v>-7.0528099999999996E-3</v>
      </c>
      <c r="BQ26">
        <v>6.0220900000000004</v>
      </c>
      <c r="BR26">
        <f t="shared" si="39"/>
        <v>1750.22</v>
      </c>
      <c r="BS26">
        <f t="shared" si="40"/>
        <v>1471.3887000962998</v>
      </c>
      <c r="BT26">
        <f t="shared" si="41"/>
        <v>0.8406878564387904</v>
      </c>
      <c r="BU26">
        <f t="shared" si="42"/>
        <v>0.19137571287758098</v>
      </c>
      <c r="BV26" t="s">
        <v>281</v>
      </c>
      <c r="BW26">
        <v>1566148203.0999999</v>
      </c>
      <c r="BX26">
        <v>737.72299999999996</v>
      </c>
      <c r="BY26">
        <v>800</v>
      </c>
      <c r="BZ26">
        <v>18.959099999999999</v>
      </c>
      <c r="CA26">
        <v>12.5381</v>
      </c>
      <c r="CB26">
        <v>500.07499999999999</v>
      </c>
      <c r="CC26">
        <v>98.807199999999995</v>
      </c>
      <c r="CD26">
        <v>0.200101</v>
      </c>
      <c r="CE26">
        <v>26.101400000000002</v>
      </c>
      <c r="CF26">
        <v>27.0213</v>
      </c>
      <c r="CG26">
        <v>999.9</v>
      </c>
      <c r="CH26">
        <v>9993.75</v>
      </c>
      <c r="CI26">
        <v>0</v>
      </c>
      <c r="CJ26">
        <v>2055.41</v>
      </c>
      <c r="CK26">
        <v>1750.22</v>
      </c>
      <c r="CL26">
        <v>0.97700399999999998</v>
      </c>
      <c r="CM26">
        <v>2.29958E-2</v>
      </c>
      <c r="CN26">
        <v>0</v>
      </c>
      <c r="CO26">
        <v>797.70100000000002</v>
      </c>
      <c r="CP26">
        <v>4.99986</v>
      </c>
      <c r="CQ26">
        <v>19254.7</v>
      </c>
      <c r="CR26">
        <v>14222.6</v>
      </c>
      <c r="CS26">
        <v>48.5</v>
      </c>
      <c r="CT26">
        <v>51.436999999999998</v>
      </c>
      <c r="CU26">
        <v>49.75</v>
      </c>
      <c r="CV26">
        <v>49.936999999999998</v>
      </c>
      <c r="CW26">
        <v>49.936999999999998</v>
      </c>
      <c r="CX26">
        <v>1705.09</v>
      </c>
      <c r="CY26">
        <v>40.130000000000003</v>
      </c>
      <c r="CZ26">
        <v>0</v>
      </c>
      <c r="DA26">
        <v>126.700000047684</v>
      </c>
      <c r="DB26">
        <v>799.88738461538401</v>
      </c>
      <c r="DC26">
        <v>-17.057025614154998</v>
      </c>
      <c r="DD26">
        <v>-43.610256318422998</v>
      </c>
      <c r="DE26">
        <v>19266.1307692308</v>
      </c>
      <c r="DF26">
        <v>15</v>
      </c>
      <c r="DG26">
        <v>1566148240.5999999</v>
      </c>
      <c r="DH26" t="s">
        <v>333</v>
      </c>
      <c r="DI26">
        <v>70</v>
      </c>
      <c r="DJ26">
        <v>0.26600000000000001</v>
      </c>
      <c r="DK26">
        <v>7.0999999999999994E-2</v>
      </c>
      <c r="DL26">
        <v>800</v>
      </c>
      <c r="DM26">
        <v>13</v>
      </c>
      <c r="DN26">
        <v>0.02</v>
      </c>
      <c r="DO26">
        <v>0.02</v>
      </c>
      <c r="DP26">
        <v>48.644529243153997</v>
      </c>
      <c r="DQ26">
        <v>-1.93596696982125</v>
      </c>
      <c r="DR26">
        <v>0.39478484348336801</v>
      </c>
      <c r="DS26">
        <v>0</v>
      </c>
      <c r="DT26">
        <v>0.33592958012109198</v>
      </c>
      <c r="DU26">
        <v>-2.84765795906986E-3</v>
      </c>
      <c r="DV26">
        <v>1.1287279617732599E-3</v>
      </c>
      <c r="DW26">
        <v>1</v>
      </c>
      <c r="DX26">
        <v>1</v>
      </c>
      <c r="DY26">
        <v>2</v>
      </c>
      <c r="DZ26" t="s">
        <v>323</v>
      </c>
      <c r="EA26">
        <v>1.8672299999999999</v>
      </c>
      <c r="EB26">
        <v>1.8637300000000001</v>
      </c>
      <c r="EC26">
        <v>1.8693500000000001</v>
      </c>
      <c r="ED26">
        <v>1.86734</v>
      </c>
      <c r="EE26">
        <v>1.8720000000000001</v>
      </c>
      <c r="EF26">
        <v>1.8644700000000001</v>
      </c>
      <c r="EG26">
        <v>1.86598</v>
      </c>
      <c r="EH26">
        <v>1.8658399999999999</v>
      </c>
      <c r="EI26" t="s">
        <v>284</v>
      </c>
      <c r="EJ26" t="s">
        <v>19</v>
      </c>
      <c r="EK26" t="s">
        <v>19</v>
      </c>
      <c r="EL26" t="s">
        <v>19</v>
      </c>
      <c r="EM26" t="s">
        <v>285</v>
      </c>
      <c r="EN26" t="s">
        <v>286</v>
      </c>
      <c r="EO26" t="s">
        <v>287</v>
      </c>
      <c r="EP26" t="s">
        <v>287</v>
      </c>
      <c r="EQ26" t="s">
        <v>287</v>
      </c>
      <c r="ER26" t="s">
        <v>287</v>
      </c>
      <c r="ES26">
        <v>0</v>
      </c>
      <c r="ET26">
        <v>100</v>
      </c>
      <c r="EU26">
        <v>100</v>
      </c>
      <c r="EV26">
        <v>0.26600000000000001</v>
      </c>
      <c r="EW26">
        <v>7.0999999999999994E-2</v>
      </c>
      <c r="EX26">
        <v>2</v>
      </c>
      <c r="EY26">
        <v>331.04199999999997</v>
      </c>
      <c r="EZ26">
        <v>465.99200000000002</v>
      </c>
      <c r="FA26">
        <v>20.059899999999999</v>
      </c>
      <c r="FB26">
        <v>35.535400000000003</v>
      </c>
      <c r="FC26">
        <v>30.001200000000001</v>
      </c>
      <c r="FD26">
        <v>35.448700000000002</v>
      </c>
      <c r="FE26">
        <v>35.447800000000001</v>
      </c>
      <c r="FF26">
        <v>38.361499999999999</v>
      </c>
      <c r="FG26">
        <v>84.924099999999996</v>
      </c>
      <c r="FH26">
        <v>0</v>
      </c>
      <c r="FI26">
        <v>19.8782</v>
      </c>
      <c r="FJ26">
        <v>800</v>
      </c>
      <c r="FK26">
        <v>12.4474</v>
      </c>
      <c r="FL26">
        <v>100.363</v>
      </c>
      <c r="FM26">
        <v>100.806</v>
      </c>
    </row>
    <row r="27" spans="1:169" x14ac:dyDescent="0.35">
      <c r="A27">
        <v>12</v>
      </c>
      <c r="B27">
        <v>1566148332.0999999</v>
      </c>
      <c r="C27">
        <v>1335.0999999046301</v>
      </c>
      <c r="D27" t="s">
        <v>334</v>
      </c>
      <c r="E27" t="s">
        <v>335</v>
      </c>
      <c r="G27">
        <v>1566148332.0999999</v>
      </c>
      <c r="H27">
        <f t="shared" si="0"/>
        <v>5.1729189121431391E-3</v>
      </c>
      <c r="I27">
        <f t="shared" si="1"/>
        <v>50.991016046459016</v>
      </c>
      <c r="J27">
        <f t="shared" si="2"/>
        <v>933.40294133266707</v>
      </c>
      <c r="K27">
        <f t="shared" si="3"/>
        <v>629.12193521944596</v>
      </c>
      <c r="L27">
        <f t="shared" si="4"/>
        <v>62.287895064602473</v>
      </c>
      <c r="M27">
        <f t="shared" si="5"/>
        <v>92.414047592285229</v>
      </c>
      <c r="N27">
        <f t="shared" si="6"/>
        <v>0.30823882052567553</v>
      </c>
      <c r="O27">
        <f t="shared" si="7"/>
        <v>2.2383291872410904</v>
      </c>
      <c r="P27">
        <f t="shared" si="8"/>
        <v>0.28645028139047718</v>
      </c>
      <c r="Q27">
        <f t="shared" si="9"/>
        <v>0.18086052754895615</v>
      </c>
      <c r="R27">
        <f t="shared" si="10"/>
        <v>281.55773758078135</v>
      </c>
      <c r="S27">
        <f t="shared" si="11"/>
        <v>26.493969284633042</v>
      </c>
      <c r="T27">
        <f t="shared" si="12"/>
        <v>27.032599999999999</v>
      </c>
      <c r="U27">
        <f t="shared" si="13"/>
        <v>3.5860183631704228</v>
      </c>
      <c r="V27">
        <f t="shared" si="14"/>
        <v>54.451690521247883</v>
      </c>
      <c r="W27">
        <f t="shared" si="15"/>
        <v>1.8471266386188001</v>
      </c>
      <c r="X27">
        <f t="shared" si="16"/>
        <v>3.3922301051388346</v>
      </c>
      <c r="Y27">
        <f t="shared" si="17"/>
        <v>1.7388917245516227</v>
      </c>
      <c r="Z27">
        <f t="shared" si="18"/>
        <v>-228.12572402551243</v>
      </c>
      <c r="AA27">
        <f t="shared" si="19"/>
        <v>-113.7703188027881</v>
      </c>
      <c r="AB27">
        <f t="shared" si="20"/>
        <v>-10.921291157885733</v>
      </c>
      <c r="AC27">
        <f t="shared" si="21"/>
        <v>-71.259596405404892</v>
      </c>
      <c r="AD27">
        <v>-4.0870285582968603E-2</v>
      </c>
      <c r="AE27">
        <v>4.5880476000546698E-2</v>
      </c>
      <c r="AF27">
        <v>3.4343766122246802</v>
      </c>
      <c r="AG27">
        <v>150</v>
      </c>
      <c r="AH27">
        <v>30</v>
      </c>
      <c r="AI27">
        <f t="shared" si="22"/>
        <v>1.0057714493825485</v>
      </c>
      <c r="AJ27">
        <f t="shared" si="23"/>
        <v>0.57714493825484769</v>
      </c>
      <c r="AK27">
        <f t="shared" si="24"/>
        <v>52280.010585752498</v>
      </c>
      <c r="AL27" t="s">
        <v>278</v>
      </c>
      <c r="AM27">
        <v>520.33192307692298</v>
      </c>
      <c r="AN27">
        <v>3330.63</v>
      </c>
      <c r="AO27">
        <f t="shared" si="25"/>
        <v>2810.2980769230771</v>
      </c>
      <c r="AP27">
        <f t="shared" si="26"/>
        <v>0.84377372356673574</v>
      </c>
      <c r="AQ27">
        <v>-1.3252759154356599</v>
      </c>
      <c r="AR27" t="s">
        <v>336</v>
      </c>
      <c r="AS27">
        <v>788.43388461538495</v>
      </c>
      <c r="AT27">
        <v>1373.98</v>
      </c>
      <c r="AU27">
        <f t="shared" si="27"/>
        <v>0.42616785934628965</v>
      </c>
      <c r="AV27">
        <v>0.5</v>
      </c>
      <c r="AW27">
        <f t="shared" si="28"/>
        <v>1471.2291000963103</v>
      </c>
      <c r="AX27">
        <f t="shared" si="29"/>
        <v>50.991016046459016</v>
      </c>
      <c r="AY27">
        <f t="shared" si="30"/>
        <v>313.49527809800634</v>
      </c>
      <c r="AZ27">
        <f t="shared" si="31"/>
        <v>0.63331343978806098</v>
      </c>
      <c r="BA27">
        <f t="shared" si="32"/>
        <v>3.5559582092598581E-2</v>
      </c>
      <c r="BB27">
        <f t="shared" si="33"/>
        <v>1.4240745862385189</v>
      </c>
      <c r="BC27" t="s">
        <v>337</v>
      </c>
      <c r="BD27">
        <v>503.82</v>
      </c>
      <c r="BE27">
        <f t="shared" si="34"/>
        <v>870.16000000000008</v>
      </c>
      <c r="BF27">
        <f t="shared" si="35"/>
        <v>0.67291775694655587</v>
      </c>
      <c r="BG27">
        <f t="shared" si="36"/>
        <v>0.69217598635918232</v>
      </c>
      <c r="BH27">
        <f t="shared" si="37"/>
        <v>0.68593385402469442</v>
      </c>
      <c r="BI27">
        <f t="shared" si="38"/>
        <v>0.69624287048663736</v>
      </c>
      <c r="BJ27">
        <v>1415</v>
      </c>
      <c r="BK27">
        <v>300</v>
      </c>
      <c r="BL27">
        <v>300</v>
      </c>
      <c r="BM27">
        <v>300</v>
      </c>
      <c r="BN27">
        <v>10269.5</v>
      </c>
      <c r="BO27">
        <v>1231.2</v>
      </c>
      <c r="BP27">
        <v>-7.0516499999999996E-3</v>
      </c>
      <c r="BQ27">
        <v>5.9132100000000003</v>
      </c>
      <c r="BR27">
        <f t="shared" si="39"/>
        <v>1750.03</v>
      </c>
      <c r="BS27">
        <f t="shared" si="40"/>
        <v>1471.2291000963103</v>
      </c>
      <c r="BT27">
        <f t="shared" si="41"/>
        <v>0.84068793111907236</v>
      </c>
      <c r="BU27">
        <f t="shared" si="42"/>
        <v>0.1913758622381449</v>
      </c>
      <c r="BV27" t="s">
        <v>281</v>
      </c>
      <c r="BW27">
        <v>1566148332.0999999</v>
      </c>
      <c r="BX27">
        <v>933.40300000000002</v>
      </c>
      <c r="BY27">
        <v>1000.03</v>
      </c>
      <c r="BZ27">
        <v>18.656400000000001</v>
      </c>
      <c r="CA27">
        <v>12.6008</v>
      </c>
      <c r="CB27">
        <v>500.03899999999999</v>
      </c>
      <c r="CC27">
        <v>98.807699999999997</v>
      </c>
      <c r="CD27">
        <v>0.19996700000000001</v>
      </c>
      <c r="CE27">
        <v>26.0898</v>
      </c>
      <c r="CF27">
        <v>27.032599999999999</v>
      </c>
      <c r="CG27">
        <v>999.9</v>
      </c>
      <c r="CH27">
        <v>9975</v>
      </c>
      <c r="CI27">
        <v>0</v>
      </c>
      <c r="CJ27">
        <v>2037.52</v>
      </c>
      <c r="CK27">
        <v>1750.03</v>
      </c>
      <c r="CL27">
        <v>0.97700399999999998</v>
      </c>
      <c r="CM27">
        <v>2.29958E-2</v>
      </c>
      <c r="CN27">
        <v>0</v>
      </c>
      <c r="CO27">
        <v>786.55700000000002</v>
      </c>
      <c r="CP27">
        <v>4.99986</v>
      </c>
      <c r="CQ27">
        <v>19049</v>
      </c>
      <c r="CR27">
        <v>14221</v>
      </c>
      <c r="CS27">
        <v>48.811999999999998</v>
      </c>
      <c r="CT27">
        <v>51.936999999999998</v>
      </c>
      <c r="CU27">
        <v>50.061999999999998</v>
      </c>
      <c r="CV27">
        <v>50.436999999999998</v>
      </c>
      <c r="CW27">
        <v>50.186999999999998</v>
      </c>
      <c r="CX27">
        <v>1704.9</v>
      </c>
      <c r="CY27">
        <v>40.130000000000003</v>
      </c>
      <c r="CZ27">
        <v>0</v>
      </c>
      <c r="DA27">
        <v>128.60000014305101</v>
      </c>
      <c r="DB27">
        <v>788.43388461538495</v>
      </c>
      <c r="DC27">
        <v>-15.477025635552801</v>
      </c>
      <c r="DD27">
        <v>-147.85299123559801</v>
      </c>
      <c r="DE27">
        <v>19065.5961538462</v>
      </c>
      <c r="DF27">
        <v>15</v>
      </c>
      <c r="DG27">
        <v>1566148370.5999999</v>
      </c>
      <c r="DH27" t="s">
        <v>338</v>
      </c>
      <c r="DI27">
        <v>71</v>
      </c>
      <c r="DJ27">
        <v>0.49099999999999999</v>
      </c>
      <c r="DK27">
        <v>7.3999999999999996E-2</v>
      </c>
      <c r="DL27">
        <v>1000</v>
      </c>
      <c r="DM27">
        <v>13</v>
      </c>
      <c r="DN27">
        <v>0.04</v>
      </c>
      <c r="DO27">
        <v>0.02</v>
      </c>
      <c r="DP27">
        <v>51.313760822647602</v>
      </c>
      <c r="DQ27">
        <v>-0.79083099246566801</v>
      </c>
      <c r="DR27">
        <v>0.18951886910104701</v>
      </c>
      <c r="DS27">
        <v>0</v>
      </c>
      <c r="DT27">
        <v>0.316245965815666</v>
      </c>
      <c r="DU27">
        <v>-1.9346824450663502E-2</v>
      </c>
      <c r="DV27">
        <v>4.0057302822369203E-3</v>
      </c>
      <c r="DW27">
        <v>1</v>
      </c>
      <c r="DX27">
        <v>1</v>
      </c>
      <c r="DY27">
        <v>2</v>
      </c>
      <c r="DZ27" t="s">
        <v>323</v>
      </c>
      <c r="EA27">
        <v>1.8672299999999999</v>
      </c>
      <c r="EB27">
        <v>1.86375</v>
      </c>
      <c r="EC27">
        <v>1.8693500000000001</v>
      </c>
      <c r="ED27">
        <v>1.8673500000000001</v>
      </c>
      <c r="EE27">
        <v>1.8720300000000001</v>
      </c>
      <c r="EF27">
        <v>1.8644700000000001</v>
      </c>
      <c r="EG27">
        <v>1.8659699999999999</v>
      </c>
      <c r="EH27">
        <v>1.8658600000000001</v>
      </c>
      <c r="EI27" t="s">
        <v>284</v>
      </c>
      <c r="EJ27" t="s">
        <v>19</v>
      </c>
      <c r="EK27" t="s">
        <v>19</v>
      </c>
      <c r="EL27" t="s">
        <v>19</v>
      </c>
      <c r="EM27" t="s">
        <v>285</v>
      </c>
      <c r="EN27" t="s">
        <v>286</v>
      </c>
      <c r="EO27" t="s">
        <v>287</v>
      </c>
      <c r="EP27" t="s">
        <v>287</v>
      </c>
      <c r="EQ27" t="s">
        <v>287</v>
      </c>
      <c r="ER27" t="s">
        <v>287</v>
      </c>
      <c r="ES27">
        <v>0</v>
      </c>
      <c r="ET27">
        <v>100</v>
      </c>
      <c r="EU27">
        <v>100</v>
      </c>
      <c r="EV27">
        <v>0.49099999999999999</v>
      </c>
      <c r="EW27">
        <v>7.3999999999999996E-2</v>
      </c>
      <c r="EX27">
        <v>2</v>
      </c>
      <c r="EY27">
        <v>330.87</v>
      </c>
      <c r="EZ27">
        <v>464.767</v>
      </c>
      <c r="FA27">
        <v>20.386600000000001</v>
      </c>
      <c r="FB27">
        <v>35.875500000000002</v>
      </c>
      <c r="FC27">
        <v>30.002199999999998</v>
      </c>
      <c r="FD27">
        <v>35.710099999999997</v>
      </c>
      <c r="FE27">
        <v>35.695599999999999</v>
      </c>
      <c r="FF27">
        <v>45.975099999999998</v>
      </c>
      <c r="FG27">
        <v>87.080100000000002</v>
      </c>
      <c r="FH27">
        <v>0</v>
      </c>
      <c r="FI27">
        <v>20.377700000000001</v>
      </c>
      <c r="FJ27">
        <v>1000</v>
      </c>
      <c r="FK27">
        <v>12.703099999999999</v>
      </c>
      <c r="FL27">
        <v>100.30500000000001</v>
      </c>
      <c r="FM27">
        <v>100.739</v>
      </c>
    </row>
    <row r="28" spans="1:169" x14ac:dyDescent="0.35">
      <c r="A28">
        <v>13</v>
      </c>
      <c r="B28">
        <v>1566148462.0999999</v>
      </c>
      <c r="C28">
        <v>1465.0999999046301</v>
      </c>
      <c r="D28" t="s">
        <v>339</v>
      </c>
      <c r="E28" t="s">
        <v>340</v>
      </c>
      <c r="G28">
        <v>1566148462.0999999</v>
      </c>
      <c r="H28">
        <f t="shared" si="0"/>
        <v>4.9986818978245851E-3</v>
      </c>
      <c r="I28">
        <f t="shared" si="1"/>
        <v>51.792377598560243</v>
      </c>
      <c r="J28">
        <f t="shared" si="2"/>
        <v>1131.5009403989764</v>
      </c>
      <c r="K28">
        <f t="shared" si="3"/>
        <v>807.92255361797459</v>
      </c>
      <c r="L28">
        <f t="shared" si="4"/>
        <v>79.989587536468221</v>
      </c>
      <c r="M28">
        <f t="shared" si="5"/>
        <v>112.02595238161501</v>
      </c>
      <c r="N28">
        <f t="shared" si="6"/>
        <v>0.29770444272202712</v>
      </c>
      <c r="O28">
        <f t="shared" si="7"/>
        <v>2.2378335545009218</v>
      </c>
      <c r="P28">
        <f t="shared" si="8"/>
        <v>0.27732279185857778</v>
      </c>
      <c r="Q28">
        <f t="shared" si="9"/>
        <v>0.17504153697624175</v>
      </c>
      <c r="R28">
        <f t="shared" si="10"/>
        <v>281.57322514704259</v>
      </c>
      <c r="S28">
        <f t="shared" si="11"/>
        <v>26.424053846598479</v>
      </c>
      <c r="T28">
        <f t="shared" si="12"/>
        <v>27.061800000000002</v>
      </c>
      <c r="U28">
        <f t="shared" si="13"/>
        <v>3.5921714495866679</v>
      </c>
      <c r="V28">
        <f t="shared" si="14"/>
        <v>55.151196633486357</v>
      </c>
      <c r="W28">
        <f t="shared" si="15"/>
        <v>1.8567085721136001</v>
      </c>
      <c r="X28">
        <f t="shared" si="16"/>
        <v>3.3665789419812073</v>
      </c>
      <c r="Y28">
        <f t="shared" si="17"/>
        <v>1.7354628774730678</v>
      </c>
      <c r="Z28">
        <f t="shared" si="18"/>
        <v>-220.44187169406419</v>
      </c>
      <c r="AA28">
        <f t="shared" si="19"/>
        <v>-132.74688467405625</v>
      </c>
      <c r="AB28">
        <f t="shared" si="20"/>
        <v>-12.739441485947937</v>
      </c>
      <c r="AC28">
        <f t="shared" si="21"/>
        <v>-84.354972707025809</v>
      </c>
      <c r="AD28">
        <v>-4.0857005888854402E-2</v>
      </c>
      <c r="AE28">
        <v>4.5865568380538402E-2</v>
      </c>
      <c r="AF28">
        <v>3.4334923562164499</v>
      </c>
      <c r="AG28">
        <v>150</v>
      </c>
      <c r="AH28">
        <v>30</v>
      </c>
      <c r="AI28">
        <f t="shared" si="22"/>
        <v>1.0057707721795521</v>
      </c>
      <c r="AJ28">
        <f t="shared" si="23"/>
        <v>0.57707721795521305</v>
      </c>
      <c r="AK28">
        <f t="shared" si="24"/>
        <v>52286.110465944505</v>
      </c>
      <c r="AL28" t="s">
        <v>278</v>
      </c>
      <c r="AM28">
        <v>520.33192307692298</v>
      </c>
      <c r="AN28">
        <v>3330.63</v>
      </c>
      <c r="AO28">
        <f t="shared" si="25"/>
        <v>2810.2980769230771</v>
      </c>
      <c r="AP28">
        <f t="shared" si="26"/>
        <v>0.84377372356673574</v>
      </c>
      <c r="AQ28">
        <v>-1.3252759154356599</v>
      </c>
      <c r="AR28" t="s">
        <v>341</v>
      </c>
      <c r="AS28">
        <v>779.53049999999996</v>
      </c>
      <c r="AT28">
        <v>1340.82</v>
      </c>
      <c r="AU28">
        <f t="shared" si="27"/>
        <v>0.41861659283125252</v>
      </c>
      <c r="AV28">
        <v>0.5</v>
      </c>
      <c r="AW28">
        <f t="shared" si="28"/>
        <v>1471.305300096353</v>
      </c>
      <c r="AX28">
        <f t="shared" si="29"/>
        <v>51.792377598560243</v>
      </c>
      <c r="AY28">
        <f t="shared" si="30"/>
        <v>307.95640587044937</v>
      </c>
      <c r="AZ28">
        <f t="shared" si="31"/>
        <v>0.62672096179949577</v>
      </c>
      <c r="BA28">
        <f t="shared" si="32"/>
        <v>3.6102400712154932E-2</v>
      </c>
      <c r="BB28">
        <f t="shared" si="33"/>
        <v>1.4840247013021883</v>
      </c>
      <c r="BC28" t="s">
        <v>342</v>
      </c>
      <c r="BD28">
        <v>500.5</v>
      </c>
      <c r="BE28">
        <f t="shared" si="34"/>
        <v>840.31999999999994</v>
      </c>
      <c r="BF28">
        <f t="shared" si="35"/>
        <v>0.66794732958872816</v>
      </c>
      <c r="BG28">
        <f t="shared" si="36"/>
        <v>0.70308077720811413</v>
      </c>
      <c r="BH28">
        <f t="shared" si="37"/>
        <v>0.68409220778064084</v>
      </c>
      <c r="BI28">
        <f t="shared" si="38"/>
        <v>0.70804233057675925</v>
      </c>
      <c r="BJ28">
        <v>1417</v>
      </c>
      <c r="BK28">
        <v>300</v>
      </c>
      <c r="BL28">
        <v>300</v>
      </c>
      <c r="BM28">
        <v>300</v>
      </c>
      <c r="BN28">
        <v>10272.4</v>
      </c>
      <c r="BO28">
        <v>1202.3</v>
      </c>
      <c r="BP28">
        <v>-7.0534200000000003E-3</v>
      </c>
      <c r="BQ28">
        <v>4.2546400000000002</v>
      </c>
      <c r="BR28">
        <f t="shared" si="39"/>
        <v>1750.12</v>
      </c>
      <c r="BS28">
        <f t="shared" si="40"/>
        <v>1471.305300096353</v>
      </c>
      <c r="BT28">
        <f t="shared" si="41"/>
        <v>0.84068823857584229</v>
      </c>
      <c r="BU28">
        <f t="shared" si="42"/>
        <v>0.1913764771516849</v>
      </c>
      <c r="BV28" t="s">
        <v>281</v>
      </c>
      <c r="BW28">
        <v>1566148462.0999999</v>
      </c>
      <c r="BX28">
        <v>1131.501</v>
      </c>
      <c r="BY28">
        <v>1200.08</v>
      </c>
      <c r="BZ28">
        <v>18.753399999999999</v>
      </c>
      <c r="CA28">
        <v>12.902100000000001</v>
      </c>
      <c r="CB28">
        <v>500.01799999999997</v>
      </c>
      <c r="CC28">
        <v>98.8065</v>
      </c>
      <c r="CD28">
        <v>0.20000399999999999</v>
      </c>
      <c r="CE28">
        <v>25.961500000000001</v>
      </c>
      <c r="CF28">
        <v>27.061800000000002</v>
      </c>
      <c r="CG28">
        <v>999.9</v>
      </c>
      <c r="CH28">
        <v>9971.8799999999992</v>
      </c>
      <c r="CI28">
        <v>0</v>
      </c>
      <c r="CJ28">
        <v>2041.53</v>
      </c>
      <c r="CK28">
        <v>1750.12</v>
      </c>
      <c r="CL28">
        <v>0.97699199999999997</v>
      </c>
      <c r="CM28">
        <v>2.3007900000000001E-2</v>
      </c>
      <c r="CN28">
        <v>0</v>
      </c>
      <c r="CO28">
        <v>778.649</v>
      </c>
      <c r="CP28">
        <v>4.99986</v>
      </c>
      <c r="CQ28">
        <v>18909.5</v>
      </c>
      <c r="CR28">
        <v>14221.7</v>
      </c>
      <c r="CS28">
        <v>48.125</v>
      </c>
      <c r="CT28">
        <v>51.25</v>
      </c>
      <c r="CU28">
        <v>49.436999999999998</v>
      </c>
      <c r="CV28">
        <v>49.625</v>
      </c>
      <c r="CW28">
        <v>49.5</v>
      </c>
      <c r="CX28">
        <v>1704.97</v>
      </c>
      <c r="CY28">
        <v>40.15</v>
      </c>
      <c r="CZ28">
        <v>0</v>
      </c>
      <c r="DA28">
        <v>129.299999952316</v>
      </c>
      <c r="DB28">
        <v>779.53049999999996</v>
      </c>
      <c r="DC28">
        <v>-7.5877948566819802</v>
      </c>
      <c r="DD28">
        <v>839.99657875212097</v>
      </c>
      <c r="DE28">
        <v>18822.480769230799</v>
      </c>
      <c r="DF28">
        <v>15</v>
      </c>
      <c r="DG28">
        <v>1566148496.0999999</v>
      </c>
      <c r="DH28" t="s">
        <v>343</v>
      </c>
      <c r="DI28">
        <v>72</v>
      </c>
      <c r="DJ28">
        <v>0.57199999999999995</v>
      </c>
      <c r="DK28">
        <v>7.3999999999999996E-2</v>
      </c>
      <c r="DL28">
        <v>1200</v>
      </c>
      <c r="DM28">
        <v>13</v>
      </c>
      <c r="DN28">
        <v>0.04</v>
      </c>
      <c r="DO28">
        <v>0.02</v>
      </c>
      <c r="DP28">
        <v>51.922624768166997</v>
      </c>
      <c r="DQ28">
        <v>-0.59556178002066795</v>
      </c>
      <c r="DR28">
        <v>0.18148799074535801</v>
      </c>
      <c r="DS28">
        <v>0</v>
      </c>
      <c r="DT28">
        <v>0.30013326304240201</v>
      </c>
      <c r="DU28">
        <v>-2.6198604996431701E-3</v>
      </c>
      <c r="DV28">
        <v>1.30718842006964E-3</v>
      </c>
      <c r="DW28">
        <v>1</v>
      </c>
      <c r="DX28">
        <v>1</v>
      </c>
      <c r="DY28">
        <v>2</v>
      </c>
      <c r="DZ28" t="s">
        <v>323</v>
      </c>
      <c r="EA28">
        <v>1.86724</v>
      </c>
      <c r="EB28">
        <v>1.8637699999999999</v>
      </c>
      <c r="EC28">
        <v>1.8693599999999999</v>
      </c>
      <c r="ED28">
        <v>1.86737</v>
      </c>
      <c r="EE28">
        <v>1.8720699999999999</v>
      </c>
      <c r="EF28">
        <v>1.8644700000000001</v>
      </c>
      <c r="EG28">
        <v>1.8659600000000001</v>
      </c>
      <c r="EH28">
        <v>1.86588</v>
      </c>
      <c r="EI28" t="s">
        <v>284</v>
      </c>
      <c r="EJ28" t="s">
        <v>19</v>
      </c>
      <c r="EK28" t="s">
        <v>19</v>
      </c>
      <c r="EL28" t="s">
        <v>19</v>
      </c>
      <c r="EM28" t="s">
        <v>285</v>
      </c>
      <c r="EN28" t="s">
        <v>286</v>
      </c>
      <c r="EO28" t="s">
        <v>287</v>
      </c>
      <c r="EP28" t="s">
        <v>287</v>
      </c>
      <c r="EQ28" t="s">
        <v>287</v>
      </c>
      <c r="ER28" t="s">
        <v>287</v>
      </c>
      <c r="ES28">
        <v>0</v>
      </c>
      <c r="ET28">
        <v>100</v>
      </c>
      <c r="EU28">
        <v>100</v>
      </c>
      <c r="EV28">
        <v>0.57199999999999995</v>
      </c>
      <c r="EW28">
        <v>7.3999999999999996E-2</v>
      </c>
      <c r="EX28">
        <v>2</v>
      </c>
      <c r="EY28">
        <v>330.34699999999998</v>
      </c>
      <c r="EZ28">
        <v>463.56200000000001</v>
      </c>
      <c r="FA28">
        <v>20.0639</v>
      </c>
      <c r="FB28">
        <v>36.183199999999999</v>
      </c>
      <c r="FC28">
        <v>30.001000000000001</v>
      </c>
      <c r="FD28">
        <v>35.978700000000003</v>
      </c>
      <c r="FE28">
        <v>35.957999999999998</v>
      </c>
      <c r="FF28">
        <v>53.259</v>
      </c>
      <c r="FG28">
        <v>89.780699999999996</v>
      </c>
      <c r="FH28">
        <v>0</v>
      </c>
      <c r="FI28">
        <v>18.802399999999999</v>
      </c>
      <c r="FJ28">
        <v>1200</v>
      </c>
      <c r="FK28">
        <v>12.7866</v>
      </c>
      <c r="FL28">
        <v>100.25700000000001</v>
      </c>
      <c r="FM28">
        <v>100.682</v>
      </c>
    </row>
    <row r="29" spans="1:169" x14ac:dyDescent="0.35">
      <c r="A29">
        <v>14</v>
      </c>
      <c r="B29">
        <v>1566148587.5999999</v>
      </c>
      <c r="C29">
        <v>1590.5999999046301</v>
      </c>
      <c r="D29" t="s">
        <v>344</v>
      </c>
      <c r="E29" t="s">
        <v>345</v>
      </c>
      <c r="G29">
        <v>1566148587.5999999</v>
      </c>
      <c r="H29">
        <f t="shared" si="0"/>
        <v>4.8923920670622695E-3</v>
      </c>
      <c r="I29">
        <f t="shared" si="1"/>
        <v>51.312708740618994</v>
      </c>
      <c r="J29">
        <f t="shared" si="2"/>
        <v>1529.7819414444514</v>
      </c>
      <c r="K29">
        <f t="shared" si="3"/>
        <v>1191.019809917251</v>
      </c>
      <c r="L29">
        <f t="shared" si="4"/>
        <v>117.92093716373573</v>
      </c>
      <c r="M29">
        <f t="shared" si="5"/>
        <v>151.46122565654227</v>
      </c>
      <c r="N29">
        <f t="shared" si="6"/>
        <v>0.29057387493167175</v>
      </c>
      <c r="O29">
        <f t="shared" si="7"/>
        <v>2.2440674295465337</v>
      </c>
      <c r="P29">
        <f t="shared" si="8"/>
        <v>0.27117285338910324</v>
      </c>
      <c r="Q29">
        <f t="shared" si="9"/>
        <v>0.17111807311960456</v>
      </c>
      <c r="R29">
        <f t="shared" si="10"/>
        <v>281.57322514704259</v>
      </c>
      <c r="S29">
        <f t="shared" si="11"/>
        <v>26.336310776571633</v>
      </c>
      <c r="T29">
        <f t="shared" si="12"/>
        <v>26.999500000000001</v>
      </c>
      <c r="U29">
        <f t="shared" si="13"/>
        <v>3.5790545876698645</v>
      </c>
      <c r="V29">
        <f t="shared" si="14"/>
        <v>55.101573812706796</v>
      </c>
      <c r="W29">
        <f t="shared" si="15"/>
        <v>1.8416845044887999</v>
      </c>
      <c r="X29">
        <f t="shared" si="16"/>
        <v>3.342344650170582</v>
      </c>
      <c r="Y29">
        <f t="shared" si="17"/>
        <v>1.7373700831810646</v>
      </c>
      <c r="Z29">
        <f t="shared" si="18"/>
        <v>-215.7544901574461</v>
      </c>
      <c r="AA29">
        <f t="shared" si="19"/>
        <v>-140.33930938358679</v>
      </c>
      <c r="AB29">
        <f t="shared" si="20"/>
        <v>-13.418269566445977</v>
      </c>
      <c r="AC29">
        <f t="shared" si="21"/>
        <v>-87.938843960436287</v>
      </c>
      <c r="AD29">
        <v>-4.1024223905877302E-2</v>
      </c>
      <c r="AE29">
        <v>4.60532852537495E-2</v>
      </c>
      <c r="AF29">
        <v>3.4446197786356199</v>
      </c>
      <c r="AG29">
        <v>150</v>
      </c>
      <c r="AH29">
        <v>30</v>
      </c>
      <c r="AI29">
        <f t="shared" si="22"/>
        <v>1.0057457117664608</v>
      </c>
      <c r="AJ29">
        <f t="shared" si="23"/>
        <v>0.57457117664607704</v>
      </c>
      <c r="AK29">
        <f t="shared" si="24"/>
        <v>52512.85233122611</v>
      </c>
      <c r="AL29" t="s">
        <v>278</v>
      </c>
      <c r="AM29">
        <v>520.33192307692298</v>
      </c>
      <c r="AN29">
        <v>3330.63</v>
      </c>
      <c r="AO29">
        <f t="shared" si="25"/>
        <v>2810.2980769230771</v>
      </c>
      <c r="AP29">
        <f t="shared" si="26"/>
        <v>0.84377372356673574</v>
      </c>
      <c r="AQ29">
        <v>-1.3252759154356599</v>
      </c>
      <c r="AR29" t="s">
        <v>346</v>
      </c>
      <c r="AS29">
        <v>779.00938461538499</v>
      </c>
      <c r="AT29">
        <v>1293.67</v>
      </c>
      <c r="AU29">
        <f t="shared" si="27"/>
        <v>0.39782990668765228</v>
      </c>
      <c r="AV29">
        <v>0.5</v>
      </c>
      <c r="AW29">
        <f t="shared" si="28"/>
        <v>1471.305300096353</v>
      </c>
      <c r="AX29">
        <f t="shared" si="29"/>
        <v>51.312708740618994</v>
      </c>
      <c r="AY29">
        <f t="shared" si="30"/>
        <v>292.66462512319015</v>
      </c>
      <c r="AZ29">
        <f t="shared" si="31"/>
        <v>0.6153578578772021</v>
      </c>
      <c r="BA29">
        <f t="shared" si="32"/>
        <v>3.5776384855412055E-2</v>
      </c>
      <c r="BB29">
        <f t="shared" si="33"/>
        <v>1.5745591997959294</v>
      </c>
      <c r="BC29" t="s">
        <v>347</v>
      </c>
      <c r="BD29">
        <v>497.6</v>
      </c>
      <c r="BE29">
        <f t="shared" si="34"/>
        <v>796.07</v>
      </c>
      <c r="BF29">
        <f t="shared" si="35"/>
        <v>0.64650170887562031</v>
      </c>
      <c r="BG29">
        <f t="shared" si="36"/>
        <v>0.71900403454958117</v>
      </c>
      <c r="BH29">
        <f t="shared" si="37"/>
        <v>0.66550533426767722</v>
      </c>
      <c r="BI29">
        <f t="shared" si="38"/>
        <v>0.72481991028873882</v>
      </c>
      <c r="BJ29">
        <v>1419</v>
      </c>
      <c r="BK29">
        <v>300</v>
      </c>
      <c r="BL29">
        <v>300</v>
      </c>
      <c r="BM29">
        <v>300</v>
      </c>
      <c r="BN29">
        <v>10274.1</v>
      </c>
      <c r="BO29">
        <v>1165.8699999999999</v>
      </c>
      <c r="BP29">
        <v>-7.05508E-3</v>
      </c>
      <c r="BQ29">
        <v>3.1632099999999999</v>
      </c>
      <c r="BR29">
        <f t="shared" si="39"/>
        <v>1750.12</v>
      </c>
      <c r="BS29">
        <f t="shared" si="40"/>
        <v>1471.305300096353</v>
      </c>
      <c r="BT29">
        <f t="shared" si="41"/>
        <v>0.84068823857584229</v>
      </c>
      <c r="BU29">
        <f t="shared" si="42"/>
        <v>0.1913764771516849</v>
      </c>
      <c r="BV29" t="s">
        <v>281</v>
      </c>
      <c r="BW29">
        <v>1566148587.5999999</v>
      </c>
      <c r="BX29">
        <v>1529.7819999999999</v>
      </c>
      <c r="BY29">
        <v>1599.99</v>
      </c>
      <c r="BZ29">
        <v>18.601299999999998</v>
      </c>
      <c r="CA29">
        <v>12.8729</v>
      </c>
      <c r="CB29">
        <v>499.976</v>
      </c>
      <c r="CC29">
        <v>98.808400000000006</v>
      </c>
      <c r="CD29">
        <v>0.19997599999999999</v>
      </c>
      <c r="CE29">
        <v>25.839500000000001</v>
      </c>
      <c r="CF29">
        <v>26.999500000000001</v>
      </c>
      <c r="CG29">
        <v>999.9</v>
      </c>
      <c r="CH29">
        <v>10012.5</v>
      </c>
      <c r="CI29">
        <v>0</v>
      </c>
      <c r="CJ29">
        <v>983.19</v>
      </c>
      <c r="CK29">
        <v>1750.12</v>
      </c>
      <c r="CL29">
        <v>0.97699199999999997</v>
      </c>
      <c r="CM29">
        <v>2.3007900000000001E-2</v>
      </c>
      <c r="CN29">
        <v>0</v>
      </c>
      <c r="CO29">
        <v>778.79</v>
      </c>
      <c r="CP29">
        <v>4.99986</v>
      </c>
      <c r="CQ29">
        <v>16453.8</v>
      </c>
      <c r="CR29">
        <v>14221.7</v>
      </c>
      <c r="CS29">
        <v>47.561999999999998</v>
      </c>
      <c r="CT29">
        <v>50.561999999999998</v>
      </c>
      <c r="CU29">
        <v>48.75</v>
      </c>
      <c r="CV29">
        <v>49.125</v>
      </c>
      <c r="CW29">
        <v>48.936999999999998</v>
      </c>
      <c r="CX29">
        <v>1704.97</v>
      </c>
      <c r="CY29">
        <v>40.15</v>
      </c>
      <c r="CZ29">
        <v>0</v>
      </c>
      <c r="DA29">
        <v>125.09999990463299</v>
      </c>
      <c r="DB29">
        <v>779.00938461538499</v>
      </c>
      <c r="DC29">
        <v>-4.4361025644140302</v>
      </c>
      <c r="DD29">
        <v>-520.60512887558696</v>
      </c>
      <c r="DE29">
        <v>16513.257692307699</v>
      </c>
      <c r="DF29">
        <v>15</v>
      </c>
      <c r="DG29">
        <v>1566148624.5999999</v>
      </c>
      <c r="DH29" t="s">
        <v>348</v>
      </c>
      <c r="DI29">
        <v>73</v>
      </c>
      <c r="DJ29">
        <v>0.35399999999999998</v>
      </c>
      <c r="DK29">
        <v>7.6999999999999999E-2</v>
      </c>
      <c r="DL29">
        <v>1600</v>
      </c>
      <c r="DM29">
        <v>13</v>
      </c>
      <c r="DN29">
        <v>0.03</v>
      </c>
      <c r="DO29">
        <v>0.02</v>
      </c>
      <c r="DP29">
        <v>51.230673938980601</v>
      </c>
      <c r="DQ29">
        <v>-0.53450807332480199</v>
      </c>
      <c r="DR29">
        <v>0.22116344681132599</v>
      </c>
      <c r="DS29">
        <v>0</v>
      </c>
      <c r="DT29">
        <v>0.29277473732192599</v>
      </c>
      <c r="DU29">
        <v>-3.9044902682688599E-3</v>
      </c>
      <c r="DV29">
        <v>1.04246270179448E-3</v>
      </c>
      <c r="DW29">
        <v>1</v>
      </c>
      <c r="DX29">
        <v>1</v>
      </c>
      <c r="DY29">
        <v>2</v>
      </c>
      <c r="DZ29" t="s">
        <v>323</v>
      </c>
      <c r="EA29">
        <v>1.8672200000000001</v>
      </c>
      <c r="EB29">
        <v>1.86374</v>
      </c>
      <c r="EC29">
        <v>1.8693500000000001</v>
      </c>
      <c r="ED29">
        <v>1.86734</v>
      </c>
      <c r="EE29">
        <v>1.87198</v>
      </c>
      <c r="EF29">
        <v>1.8644700000000001</v>
      </c>
      <c r="EG29">
        <v>1.8659399999999999</v>
      </c>
      <c r="EH29">
        <v>1.86588</v>
      </c>
      <c r="EI29" t="s">
        <v>284</v>
      </c>
      <c r="EJ29" t="s">
        <v>19</v>
      </c>
      <c r="EK29" t="s">
        <v>19</v>
      </c>
      <c r="EL29" t="s">
        <v>19</v>
      </c>
      <c r="EM29" t="s">
        <v>285</v>
      </c>
      <c r="EN29" t="s">
        <v>286</v>
      </c>
      <c r="EO29" t="s">
        <v>287</v>
      </c>
      <c r="EP29" t="s">
        <v>287</v>
      </c>
      <c r="EQ29" t="s">
        <v>287</v>
      </c>
      <c r="ER29" t="s">
        <v>287</v>
      </c>
      <c r="ES29">
        <v>0</v>
      </c>
      <c r="ET29">
        <v>100</v>
      </c>
      <c r="EU29">
        <v>100</v>
      </c>
      <c r="EV29">
        <v>0.35399999999999998</v>
      </c>
      <c r="EW29">
        <v>7.6999999999999999E-2</v>
      </c>
      <c r="EX29">
        <v>2</v>
      </c>
      <c r="EY29">
        <v>330.55599999999998</v>
      </c>
      <c r="EZ29">
        <v>463.16300000000001</v>
      </c>
      <c r="FA29">
        <v>20.0916</v>
      </c>
      <c r="FB29">
        <v>36.450299999999999</v>
      </c>
      <c r="FC29">
        <v>30.000900000000001</v>
      </c>
      <c r="FD29">
        <v>36.228499999999997</v>
      </c>
      <c r="FE29">
        <v>36.201900000000002</v>
      </c>
      <c r="FF29">
        <v>67.009</v>
      </c>
      <c r="FG29">
        <v>94.015199999999993</v>
      </c>
      <c r="FH29">
        <v>0</v>
      </c>
      <c r="FI29">
        <v>19.275500000000001</v>
      </c>
      <c r="FJ29">
        <v>1600</v>
      </c>
      <c r="FK29">
        <v>12.770899999999999</v>
      </c>
      <c r="FL29">
        <v>100.211</v>
      </c>
      <c r="FM29">
        <v>100.626</v>
      </c>
    </row>
  </sheetData>
  <sortState xmlns:xlrd2="http://schemas.microsoft.com/office/spreadsheetml/2017/richdata2" ref="J33:L46">
    <sortCondition ref="J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2019-08-18T12:24:22Z</dcterms:created>
  <dcterms:modified xsi:type="dcterms:W3CDTF">2019-08-28T03:12:43Z</dcterms:modified>
</cp:coreProperties>
</file>