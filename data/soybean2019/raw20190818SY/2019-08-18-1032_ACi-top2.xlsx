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13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20190803_De Kauwe\A-Ci\raw\"/>
    </mc:Choice>
  </mc:AlternateContent>
  <xr:revisionPtr revIDLastSave="0" documentId="13_ncr:1_{264955C6-607E-4F41-A92F-9C83AF39D44C}" xr6:coauthVersionLast="41" xr6:coauthVersionMax="41" xr10:uidLastSave="{00000000-0000-0000-0000-000000000000}"/>
  <bookViews>
    <workbookView xWindow="-110" yWindow="-110" windowWidth="19420" windowHeight="10420" xr2:uid="{00000000-000D-0000-FFFF-FFFF00000000}"/>
  </bookViews>
  <sheets>
    <sheet name="Measurements" sheetId="1" r:id="rId1"/>
    <sheet name="Remark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BU29" i="1" l="1"/>
  <c r="BT29" i="1"/>
  <c r="BR29" i="1"/>
  <c r="BI29" i="1"/>
  <c r="BH29" i="1"/>
  <c r="BG29" i="1"/>
  <c r="BF29" i="1"/>
  <c r="BE29" i="1"/>
  <c r="AZ29" i="1" s="1"/>
  <c r="BB29" i="1"/>
  <c r="AU29" i="1"/>
  <c r="AO29" i="1"/>
  <c r="AP29" i="1" s="1"/>
  <c r="AK29" i="1"/>
  <c r="AI29" i="1" s="1"/>
  <c r="AJ29" i="1" s="1"/>
  <c r="X29" i="1"/>
  <c r="W29" i="1"/>
  <c r="O29" i="1"/>
  <c r="H29" i="1"/>
  <c r="Z29" i="1" s="1"/>
  <c r="BU28" i="1"/>
  <c r="BT28" i="1"/>
  <c r="BR28" i="1"/>
  <c r="BI28" i="1"/>
  <c r="BH28" i="1"/>
  <c r="BG28" i="1"/>
  <c r="BF28" i="1"/>
  <c r="BE28" i="1"/>
  <c r="AZ28" i="1" s="1"/>
  <c r="BB28" i="1"/>
  <c r="AU28" i="1"/>
  <c r="AO28" i="1"/>
  <c r="AP28" i="1" s="1"/>
  <c r="AK28" i="1"/>
  <c r="AI28" i="1" s="1"/>
  <c r="X28" i="1"/>
  <c r="W28" i="1"/>
  <c r="V28" i="1" s="1"/>
  <c r="O28" i="1"/>
  <c r="BU27" i="1"/>
  <c r="BT27" i="1"/>
  <c r="BR27" i="1"/>
  <c r="BI27" i="1"/>
  <c r="BH27" i="1"/>
  <c r="BG27" i="1"/>
  <c r="BF27" i="1"/>
  <c r="BE27" i="1"/>
  <c r="AZ27" i="1" s="1"/>
  <c r="BB27" i="1"/>
  <c r="AU27" i="1"/>
  <c r="AO27" i="1"/>
  <c r="AP27" i="1" s="1"/>
  <c r="AK27" i="1"/>
  <c r="AI27" i="1" s="1"/>
  <c r="I27" i="1" s="1"/>
  <c r="X27" i="1"/>
  <c r="V27" i="1" s="1"/>
  <c r="W27" i="1"/>
  <c r="O27" i="1"/>
  <c r="BU26" i="1"/>
  <c r="BT26" i="1"/>
  <c r="BS26" i="1" s="1"/>
  <c r="BR26" i="1"/>
  <c r="BI26" i="1"/>
  <c r="BH26" i="1"/>
  <c r="BG26" i="1"/>
  <c r="BF26" i="1"/>
  <c r="BE26" i="1"/>
  <c r="AZ26" i="1" s="1"/>
  <c r="BB26" i="1"/>
  <c r="AU26" i="1"/>
  <c r="AO26" i="1"/>
  <c r="AP26" i="1" s="1"/>
  <c r="AK26" i="1"/>
  <c r="AI26" i="1" s="1"/>
  <c r="X26" i="1"/>
  <c r="W26" i="1"/>
  <c r="O26" i="1"/>
  <c r="BU25" i="1"/>
  <c r="BT25" i="1"/>
  <c r="BR25" i="1"/>
  <c r="BI25" i="1"/>
  <c r="BH25" i="1"/>
  <c r="BG25" i="1"/>
  <c r="BF25" i="1"/>
  <c r="BE25" i="1"/>
  <c r="AZ25" i="1" s="1"/>
  <c r="BB25" i="1"/>
  <c r="AU25" i="1"/>
  <c r="AP25" i="1"/>
  <c r="AO25" i="1"/>
  <c r="AK25" i="1"/>
  <c r="AI25" i="1" s="1"/>
  <c r="AJ25" i="1" s="1"/>
  <c r="X25" i="1"/>
  <c r="W25" i="1"/>
  <c r="O25" i="1"/>
  <c r="BU24" i="1"/>
  <c r="BT24" i="1"/>
  <c r="BR24" i="1"/>
  <c r="BI24" i="1"/>
  <c r="BH24" i="1"/>
  <c r="BG24" i="1"/>
  <c r="BF24" i="1"/>
  <c r="BE24" i="1"/>
  <c r="AZ24" i="1" s="1"/>
  <c r="BB24" i="1"/>
  <c r="AU24" i="1"/>
  <c r="AO24" i="1"/>
  <c r="AP24" i="1" s="1"/>
  <c r="AK24" i="1"/>
  <c r="AI24" i="1"/>
  <c r="X24" i="1"/>
  <c r="W24" i="1"/>
  <c r="O24" i="1"/>
  <c r="BU23" i="1"/>
  <c r="BT23" i="1"/>
  <c r="BR23" i="1"/>
  <c r="BI23" i="1"/>
  <c r="BH23" i="1"/>
  <c r="BG23" i="1"/>
  <c r="BF23" i="1"/>
  <c r="BE23" i="1"/>
  <c r="AZ23" i="1" s="1"/>
  <c r="BB23" i="1"/>
  <c r="AU23" i="1"/>
  <c r="AO23" i="1"/>
  <c r="AP23" i="1" s="1"/>
  <c r="AK23" i="1"/>
  <c r="AI23" i="1"/>
  <c r="X23" i="1"/>
  <c r="W23" i="1"/>
  <c r="O23" i="1"/>
  <c r="BU22" i="1"/>
  <c r="BT22" i="1"/>
  <c r="BR22" i="1"/>
  <c r="BI22" i="1"/>
  <c r="BH22" i="1"/>
  <c r="BG22" i="1"/>
  <c r="BF22" i="1"/>
  <c r="BE22" i="1"/>
  <c r="AZ22" i="1" s="1"/>
  <c r="BB22" i="1"/>
  <c r="AU22" i="1"/>
  <c r="AO22" i="1"/>
  <c r="AP22" i="1" s="1"/>
  <c r="AK22" i="1"/>
  <c r="AI22" i="1" s="1"/>
  <c r="AJ22" i="1" s="1"/>
  <c r="X22" i="1"/>
  <c r="W22" i="1"/>
  <c r="O22" i="1"/>
  <c r="H22" i="1"/>
  <c r="Z22" i="1" s="1"/>
  <c r="BU21" i="1"/>
  <c r="BT21" i="1"/>
  <c r="BR21" i="1"/>
  <c r="BI21" i="1"/>
  <c r="BH21" i="1"/>
  <c r="BG21" i="1"/>
  <c r="BF21" i="1"/>
  <c r="BE21" i="1"/>
  <c r="AZ21" i="1" s="1"/>
  <c r="BB21" i="1"/>
  <c r="AU21" i="1"/>
  <c r="AO21" i="1"/>
  <c r="AP21" i="1" s="1"/>
  <c r="AK21" i="1"/>
  <c r="AI21" i="1"/>
  <c r="AJ21" i="1" s="1"/>
  <c r="X21" i="1"/>
  <c r="V21" i="1" s="1"/>
  <c r="W21" i="1"/>
  <c r="O21" i="1"/>
  <c r="BU20" i="1"/>
  <c r="BT20" i="1"/>
  <c r="BR20" i="1"/>
  <c r="BI20" i="1"/>
  <c r="BH20" i="1"/>
  <c r="BG20" i="1"/>
  <c r="BF20" i="1"/>
  <c r="BE20" i="1"/>
  <c r="AZ20" i="1" s="1"/>
  <c r="BB20" i="1"/>
  <c r="AU20" i="1"/>
  <c r="AO20" i="1"/>
  <c r="AP20" i="1" s="1"/>
  <c r="AK20" i="1"/>
  <c r="AI20" i="1" s="1"/>
  <c r="X20" i="1"/>
  <c r="W20" i="1"/>
  <c r="V20" i="1" s="1"/>
  <c r="O20" i="1"/>
  <c r="BU19" i="1"/>
  <c r="BT19" i="1"/>
  <c r="BR19" i="1"/>
  <c r="BI19" i="1"/>
  <c r="BH19" i="1"/>
  <c r="BG19" i="1"/>
  <c r="BF19" i="1"/>
  <c r="BE19" i="1"/>
  <c r="AZ19" i="1" s="1"/>
  <c r="BB19" i="1"/>
  <c r="AU19" i="1"/>
  <c r="AO19" i="1"/>
  <c r="AP19" i="1" s="1"/>
  <c r="AK19" i="1"/>
  <c r="AI19" i="1" s="1"/>
  <c r="X19" i="1"/>
  <c r="W19" i="1"/>
  <c r="O19" i="1"/>
  <c r="BU18" i="1"/>
  <c r="BT18" i="1"/>
  <c r="BR18" i="1"/>
  <c r="BS18" i="1" s="1"/>
  <c r="AW18" i="1" s="1"/>
  <c r="AY18" i="1" s="1"/>
  <c r="BI18" i="1"/>
  <c r="BH18" i="1"/>
  <c r="BG18" i="1"/>
  <c r="BF18" i="1"/>
  <c r="BE18" i="1"/>
  <c r="AZ18" i="1" s="1"/>
  <c r="BB18" i="1"/>
  <c r="AU18" i="1"/>
  <c r="AO18" i="1"/>
  <c r="AP18" i="1" s="1"/>
  <c r="AK18" i="1"/>
  <c r="AI18" i="1" s="1"/>
  <c r="X18" i="1"/>
  <c r="W18" i="1"/>
  <c r="V18" i="1" s="1"/>
  <c r="O18" i="1"/>
  <c r="BU17" i="1"/>
  <c r="BT17" i="1"/>
  <c r="BR17" i="1"/>
  <c r="BS17" i="1" s="1"/>
  <c r="BI17" i="1"/>
  <c r="BH17" i="1"/>
  <c r="BG17" i="1"/>
  <c r="BF17" i="1"/>
  <c r="BE17" i="1"/>
  <c r="AZ17" i="1" s="1"/>
  <c r="BB17" i="1"/>
  <c r="AU17" i="1"/>
  <c r="AO17" i="1"/>
  <c r="AP17" i="1" s="1"/>
  <c r="AK17" i="1"/>
  <c r="AI17" i="1" s="1"/>
  <c r="AJ17" i="1" s="1"/>
  <c r="X17" i="1"/>
  <c r="W17" i="1"/>
  <c r="O17" i="1"/>
  <c r="V17" i="1" l="1"/>
  <c r="BS21" i="1"/>
  <c r="BS22" i="1"/>
  <c r="R22" i="1" s="1"/>
  <c r="V23" i="1"/>
  <c r="V24" i="1"/>
  <c r="M27" i="1"/>
  <c r="AX27" i="1"/>
  <c r="AJ20" i="1"/>
  <c r="H20" i="1"/>
  <c r="Z20" i="1" s="1"/>
  <c r="I20" i="1"/>
  <c r="M20" i="1" s="1"/>
  <c r="V19" i="1"/>
  <c r="BS19" i="1"/>
  <c r="AW19" i="1" s="1"/>
  <c r="AY19" i="1" s="1"/>
  <c r="BS25" i="1"/>
  <c r="BS27" i="1"/>
  <c r="AW27" i="1" s="1"/>
  <c r="AY27" i="1" s="1"/>
  <c r="BS29" i="1"/>
  <c r="R29" i="1" s="1"/>
  <c r="R18" i="1"/>
  <c r="S18" i="1" s="1"/>
  <c r="T18" i="1" s="1"/>
  <c r="AA18" i="1" s="1"/>
  <c r="BS20" i="1"/>
  <c r="AW20" i="1" s="1"/>
  <c r="AY20" i="1" s="1"/>
  <c r="BS23" i="1"/>
  <c r="AW23" i="1" s="1"/>
  <c r="AY23" i="1" s="1"/>
  <c r="BS24" i="1"/>
  <c r="AW24" i="1" s="1"/>
  <c r="AY24" i="1" s="1"/>
  <c r="V25" i="1"/>
  <c r="BS28" i="1"/>
  <c r="AW28" i="1" s="1"/>
  <c r="AY28" i="1" s="1"/>
  <c r="AJ18" i="1"/>
  <c r="I18" i="1"/>
  <c r="AX18" i="1" s="1"/>
  <c r="BA18" i="1" s="1"/>
  <c r="I24" i="1"/>
  <c r="AX24" i="1" s="1"/>
  <c r="H24" i="1"/>
  <c r="AJ24" i="1"/>
  <c r="AJ19" i="1"/>
  <c r="I19" i="1"/>
  <c r="AX19" i="1" s="1"/>
  <c r="H19" i="1"/>
  <c r="AJ26" i="1"/>
  <c r="I26" i="1"/>
  <c r="AX26" i="1" s="1"/>
  <c r="H26" i="1"/>
  <c r="H18" i="1"/>
  <c r="R19" i="1"/>
  <c r="R17" i="1"/>
  <c r="AW17" i="1"/>
  <c r="AY17" i="1" s="1"/>
  <c r="AW21" i="1"/>
  <c r="AY21" i="1" s="1"/>
  <c r="R21" i="1"/>
  <c r="R25" i="1"/>
  <c r="AW25" i="1"/>
  <c r="AY25" i="1" s="1"/>
  <c r="R26" i="1"/>
  <c r="AW26" i="1"/>
  <c r="AW29" i="1"/>
  <c r="AY29" i="1" s="1"/>
  <c r="I17" i="1"/>
  <c r="AX17" i="1" s="1"/>
  <c r="H17" i="1"/>
  <c r="I25" i="1"/>
  <c r="AX25" i="1" s="1"/>
  <c r="I21" i="1"/>
  <c r="M21" i="1" s="1"/>
  <c r="H21" i="1"/>
  <c r="V22" i="1"/>
  <c r="AY26" i="1"/>
  <c r="J27" i="1"/>
  <c r="I28" i="1"/>
  <c r="H28" i="1"/>
  <c r="V29" i="1"/>
  <c r="H23" i="1"/>
  <c r="AJ23" i="1"/>
  <c r="H25" i="1"/>
  <c r="I22" i="1"/>
  <c r="AX22" i="1" s="1"/>
  <c r="I23" i="1"/>
  <c r="M23" i="1" s="1"/>
  <c r="V26" i="1"/>
  <c r="R27" i="1"/>
  <c r="H27" i="1"/>
  <c r="AJ27" i="1"/>
  <c r="AJ28" i="1"/>
  <c r="I29" i="1"/>
  <c r="AX29" i="1" s="1"/>
  <c r="BA25" i="1" l="1"/>
  <c r="AW22" i="1"/>
  <c r="AY22" i="1" s="1"/>
  <c r="BA29" i="1"/>
  <c r="BA17" i="1"/>
  <c r="R28" i="1"/>
  <c r="S28" i="1" s="1"/>
  <c r="T28" i="1" s="1"/>
  <c r="P28" i="1" s="1"/>
  <c r="N28" i="1" s="1"/>
  <c r="Q28" i="1" s="1"/>
  <c r="R20" i="1"/>
  <c r="J17" i="1"/>
  <c r="M26" i="1"/>
  <c r="BA24" i="1"/>
  <c r="R23" i="1"/>
  <c r="J19" i="1"/>
  <c r="R24" i="1"/>
  <c r="S24" i="1" s="1"/>
  <c r="T24" i="1" s="1"/>
  <c r="U24" i="1" s="1"/>
  <c r="Y24" i="1" s="1"/>
  <c r="J20" i="1"/>
  <c r="AX20" i="1"/>
  <c r="BA20" i="1" s="1"/>
  <c r="BA27" i="1"/>
  <c r="J26" i="1"/>
  <c r="M19" i="1"/>
  <c r="Z27" i="1"/>
  <c r="Z23" i="1"/>
  <c r="S27" i="1"/>
  <c r="T27" i="1" s="1"/>
  <c r="U18" i="1"/>
  <c r="Y18" i="1" s="1"/>
  <c r="AB18" i="1"/>
  <c r="M29" i="1"/>
  <c r="M22" i="1"/>
  <c r="Z21" i="1"/>
  <c r="S29" i="1"/>
  <c r="T29" i="1" s="1"/>
  <c r="S25" i="1"/>
  <c r="T25" i="1" s="1"/>
  <c r="P25" i="1" s="1"/>
  <c r="N25" i="1" s="1"/>
  <c r="Q25" i="1" s="1"/>
  <c r="K25" i="1" s="1"/>
  <c r="L25" i="1" s="1"/>
  <c r="S21" i="1"/>
  <c r="T21" i="1" s="1"/>
  <c r="P21" i="1" s="1"/>
  <c r="N21" i="1" s="1"/>
  <c r="Q21" i="1" s="1"/>
  <c r="S19" i="1"/>
  <c r="T19" i="1" s="1"/>
  <c r="AA24" i="1"/>
  <c r="M18" i="1"/>
  <c r="AX23" i="1"/>
  <c r="BA23" i="1" s="1"/>
  <c r="J23" i="1"/>
  <c r="AX28" i="1"/>
  <c r="BA28" i="1" s="1"/>
  <c r="J28" i="1"/>
  <c r="S26" i="1"/>
  <c r="T26" i="1" s="1"/>
  <c r="S23" i="1"/>
  <c r="T23" i="1" s="1"/>
  <c r="P23" i="1" s="1"/>
  <c r="N23" i="1" s="1"/>
  <c r="Q23" i="1" s="1"/>
  <c r="S22" i="1"/>
  <c r="T22" i="1" s="1"/>
  <c r="M28" i="1"/>
  <c r="S20" i="1"/>
  <c r="T20" i="1" s="1"/>
  <c r="M25" i="1"/>
  <c r="Z17" i="1"/>
  <c r="Z26" i="1"/>
  <c r="P26" i="1"/>
  <c r="N26" i="1" s="1"/>
  <c r="Q26" i="1" s="1"/>
  <c r="Z19" i="1"/>
  <c r="P24" i="1"/>
  <c r="N24" i="1" s="1"/>
  <c r="Q24" i="1" s="1"/>
  <c r="Z24" i="1"/>
  <c r="Z25" i="1"/>
  <c r="J25" i="1"/>
  <c r="J29" i="1"/>
  <c r="J22" i="1"/>
  <c r="Z28" i="1"/>
  <c r="AX21" i="1"/>
  <c r="BA21" i="1" s="1"/>
  <c r="J21" i="1"/>
  <c r="M17" i="1"/>
  <c r="S17" i="1"/>
  <c r="T17" i="1" s="1"/>
  <c r="P17" i="1" s="1"/>
  <c r="N17" i="1" s="1"/>
  <c r="Q17" i="1" s="1"/>
  <c r="Z18" i="1"/>
  <c r="P18" i="1"/>
  <c r="N18" i="1" s="1"/>
  <c r="Q18" i="1" s="1"/>
  <c r="BA26" i="1"/>
  <c r="BA19" i="1"/>
  <c r="J24" i="1"/>
  <c r="M24" i="1"/>
  <c r="J18" i="1"/>
  <c r="K28" i="1" l="1"/>
  <c r="L28" i="1" s="1"/>
  <c r="BA22" i="1"/>
  <c r="K18" i="1"/>
  <c r="L18" i="1" s="1"/>
  <c r="K26" i="1"/>
  <c r="L26" i="1" s="1"/>
  <c r="K17" i="1"/>
  <c r="L17" i="1" s="1"/>
  <c r="AB24" i="1"/>
  <c r="AC24" i="1" s="1"/>
  <c r="K24" i="1"/>
  <c r="L24" i="1" s="1"/>
  <c r="AB19" i="1"/>
  <c r="U19" i="1"/>
  <c r="Y19" i="1" s="1"/>
  <c r="AA19" i="1"/>
  <c r="U22" i="1"/>
  <c r="Y22" i="1" s="1"/>
  <c r="AB22" i="1"/>
  <c r="AA22" i="1"/>
  <c r="P22" i="1"/>
  <c r="N22" i="1" s="1"/>
  <c r="Q22" i="1" s="1"/>
  <c r="K22" i="1" s="1"/>
  <c r="L22" i="1" s="1"/>
  <c r="AB26" i="1"/>
  <c r="U26" i="1"/>
  <c r="Y26" i="1" s="1"/>
  <c r="AA26" i="1"/>
  <c r="K23" i="1"/>
  <c r="L23" i="1" s="1"/>
  <c r="U28" i="1"/>
  <c r="Y28" i="1" s="1"/>
  <c r="AB28" i="1"/>
  <c r="AA28" i="1"/>
  <c r="P19" i="1"/>
  <c r="N19" i="1" s="1"/>
  <c r="Q19" i="1" s="1"/>
  <c r="K19" i="1" s="1"/>
  <c r="L19" i="1" s="1"/>
  <c r="U21" i="1"/>
  <c r="Y21" i="1" s="1"/>
  <c r="AB21" i="1"/>
  <c r="AA21" i="1"/>
  <c r="U29" i="1"/>
  <c r="Y29" i="1" s="1"/>
  <c r="AA29" i="1"/>
  <c r="AB29" i="1"/>
  <c r="P29" i="1"/>
  <c r="N29" i="1" s="1"/>
  <c r="Q29" i="1" s="1"/>
  <c r="K29" i="1" s="1"/>
  <c r="L29" i="1" s="1"/>
  <c r="AC18" i="1"/>
  <c r="U25" i="1"/>
  <c r="Y25" i="1" s="1"/>
  <c r="AB25" i="1"/>
  <c r="AA25" i="1"/>
  <c r="K21" i="1"/>
  <c r="L21" i="1" s="1"/>
  <c r="AB27" i="1"/>
  <c r="U27" i="1"/>
  <c r="Y27" i="1" s="1"/>
  <c r="AA27" i="1"/>
  <c r="AB17" i="1"/>
  <c r="U17" i="1"/>
  <c r="Y17" i="1" s="1"/>
  <c r="AA17" i="1"/>
  <c r="AB20" i="1"/>
  <c r="U20" i="1"/>
  <c r="Y20" i="1" s="1"/>
  <c r="P20" i="1"/>
  <c r="N20" i="1" s="1"/>
  <c r="Q20" i="1" s="1"/>
  <c r="K20" i="1" s="1"/>
  <c r="L20" i="1" s="1"/>
  <c r="AA20" i="1"/>
  <c r="AB23" i="1"/>
  <c r="U23" i="1"/>
  <c r="Y23" i="1" s="1"/>
  <c r="AA23" i="1"/>
  <c r="P27" i="1"/>
  <c r="N27" i="1" s="1"/>
  <c r="Q27" i="1" s="1"/>
  <c r="K27" i="1" s="1"/>
  <c r="L27" i="1" s="1"/>
  <c r="AC23" i="1" l="1"/>
  <c r="AC20" i="1"/>
  <c r="AC21" i="1"/>
  <c r="AC28" i="1"/>
  <c r="AC17" i="1"/>
  <c r="AC26" i="1"/>
  <c r="AC25" i="1"/>
  <c r="AC27" i="1"/>
  <c r="AC29" i="1"/>
  <c r="AC22" i="1"/>
  <c r="AC19" i="1"/>
</calcChain>
</file>

<file path=xl/sharedStrings.xml><?xml version="1.0" encoding="utf-8"?>
<sst xmlns="http://schemas.openxmlformats.org/spreadsheetml/2006/main" count="766" uniqueCount="349">
  <si>
    <t>File opened</t>
  </si>
  <si>
    <t>2019-08-18 10:32:34</t>
  </si>
  <si>
    <t>Console s/n</t>
  </si>
  <si>
    <t>68C-571038</t>
  </si>
  <si>
    <t>Console ver</t>
  </si>
  <si>
    <t>Bluestem v.1.3.4</t>
  </si>
  <si>
    <t>Scripts ver</t>
  </si>
  <si>
    <t>2018.05  1.3.4, Mar 2018</t>
  </si>
  <si>
    <t>Head s/n</t>
  </si>
  <si>
    <t>68H-581038</t>
  </si>
  <si>
    <t>Head ver</t>
  </si>
  <si>
    <t>1.3.0</t>
  </si>
  <si>
    <t>Head cal</t>
  </si>
  <si>
    <t>{"tbzero": "0.197721", "h2obspan1": "0.998578", "co2aspan1": "0.992625", "co2aspan2a": "0.164928", "h2oaspanconc1": "12.19", "h2obspan2a": "0.0975941", "co2aspan2": "0", "co2bspan1": "0.992131", "co2aspan2b": "0.163711", "co2aspanconc1": "1002", "h2oaspan2": "0", "co2bspan2b": "0.162103", "ssa_ref": "36614.9", "h2obspanconc2": "0", "h2obzero": "1.01783", "flowbzero": "0.20796", "h2oaspan2b": "0.0662632", "oxygen": "21", "h2obspan2": "0", "co2bzero": "0.880288", "co2bspan2": "0", "chamberpressurezero": "2.57337", "ssb_ref": "36526.8", "co2bspanconc1": "1002", "h2oaspanconc2": "0", "flowmeterzero": "0.991801", "co2aspanconc2": "0", "h2oaspan1": "1.00223", "h2oaspan2a": "0.0661155", "co2bspanconc2": "0", "tazero": "0.00774765", "h2obspanconc1": "20", "h2obspan2b": "0.0963575", "flowazero": "0.4286", "co2azero": "0.869071", "co2bspan2a": "0.163389", "h2oazero": "1.00263"}</t>
  </si>
  <si>
    <t>Chamber type</t>
  </si>
  <si>
    <t>6800-01</t>
  </si>
  <si>
    <t>Chamber s/n</t>
  </si>
  <si>
    <t>MPF-551037</t>
  </si>
  <si>
    <t>Chamber rev</t>
  </si>
  <si>
    <t>0</t>
  </si>
  <si>
    <t>Chamber cal</t>
  </si>
  <si>
    <t>Fluorometer</t>
  </si>
  <si>
    <t>Flr. Version</t>
  </si>
  <si>
    <t>10:32:34</t>
  </si>
  <si>
    <t>Stability Definition:	A (GasEx): Slp&lt;0.3 Std&lt;0.5	gsw (GasEx): Slp&lt;1 Std&lt;0.5</t>
  </si>
  <si>
    <t>SysConst</t>
  </si>
  <si>
    <t>AvgTime</t>
  </si>
  <si>
    <t>4</t>
  </si>
  <si>
    <t>Oxygen</t>
  </si>
  <si>
    <t>21</t>
  </si>
  <si>
    <t>Chamber</t>
  </si>
  <si>
    <t>Const</t>
  </si>
  <si>
    <t>S</t>
  </si>
  <si>
    <t>K</t>
  </si>
  <si>
    <t>CustomBLC</t>
  </si>
  <si>
    <t>LTConst</t>
  </si>
  <si>
    <t>deltaTw</t>
  </si>
  <si>
    <t>fT1</t>
  </si>
  <si>
    <t>fT2</t>
  </si>
  <si>
    <t>fTeb</t>
  </si>
  <si>
    <t>LQConst</t>
  </si>
  <si>
    <t>Leaf</t>
  </si>
  <si>
    <t>standard</t>
  </si>
  <si>
    <t>Ambient</t>
  </si>
  <si>
    <t>Sun+Sky</t>
  </si>
  <si>
    <t>abs_ambient</t>
  </si>
  <si>
    <t>abs_redLED</t>
  </si>
  <si>
    <t>abs_greenLED</t>
  </si>
  <si>
    <t>abs_blueLED</t>
  </si>
  <si>
    <t>abs_whiteLED</t>
  </si>
  <si>
    <t>abs_redFlr</t>
  </si>
  <si>
    <t>abs_blueFlr</t>
  </si>
  <si>
    <t>k_ambient</t>
  </si>
  <si>
    <t>k_redLED</t>
  </si>
  <si>
    <t>k_greenLED</t>
  </si>
  <si>
    <t>k_blueLED</t>
  </si>
  <si>
    <t>k_whiteLED</t>
  </si>
  <si>
    <t>k_redFlr</t>
  </si>
  <si>
    <t>k_blueFlr</t>
  </si>
  <si>
    <t>QConst</t>
  </si>
  <si>
    <t>fQ_Amb_in</t>
  </si>
  <si>
    <t>fQ_Amb_out</t>
  </si>
  <si>
    <t>fQ_HeadLS</t>
  </si>
  <si>
    <t>fQ_ConsoleLS</t>
  </si>
  <si>
    <t>fQ_Flr</t>
  </si>
  <si>
    <t>LeakConst</t>
  </si>
  <si>
    <t>fan_a</t>
  </si>
  <si>
    <t>fan_b</t>
  </si>
  <si>
    <t>fan_c</t>
  </si>
  <si>
    <t>fan_d</t>
  </si>
  <si>
    <t>Fs_meas</t>
  </si>
  <si>
    <t>0.570593 73.8588 386.38 619.433 848.611 1051.49 1232.95 1389.7</t>
  </si>
  <si>
    <t>Fs_true</t>
  </si>
  <si>
    <t>0.0938281 100.298 404.41 600.711 801.999 1000.17 1200.83 1401.26</t>
  </si>
  <si>
    <t>leak_wt</t>
  </si>
  <si>
    <t>Sys</t>
  </si>
  <si>
    <t>UserDefVar</t>
  </si>
  <si>
    <t>GasEx</t>
  </si>
  <si>
    <t>Leak</t>
  </si>
  <si>
    <t>FLR</t>
  </si>
  <si>
    <t>MPF</t>
  </si>
  <si>
    <t>LeafQ</t>
  </si>
  <si>
    <t>Meas</t>
  </si>
  <si>
    <t>FlrLS</t>
  </si>
  <si>
    <t>FlrStats</t>
  </si>
  <si>
    <t>Match</t>
  </si>
  <si>
    <t>Stability</t>
  </si>
  <si>
    <t>Auxiliary</t>
  </si>
  <si>
    <t>Status</t>
  </si>
  <si>
    <t>obs</t>
  </si>
  <si>
    <t>time</t>
  </si>
  <si>
    <t>elapsed</t>
  </si>
  <si>
    <t>date</t>
  </si>
  <si>
    <t>hhmmss</t>
  </si>
  <si>
    <t>plant</t>
  </si>
  <si>
    <t>TIME</t>
  </si>
  <si>
    <t>E</t>
  </si>
  <si>
    <t>A</t>
  </si>
  <si>
    <t>Ca</t>
  </si>
  <si>
    <t>Ci</t>
  </si>
  <si>
    <t>Pci</t>
  </si>
  <si>
    <t>Pca</t>
  </si>
  <si>
    <t>gsw</t>
  </si>
  <si>
    <t>gbw</t>
  </si>
  <si>
    <t>gtw</t>
  </si>
  <si>
    <t>gtc</t>
  </si>
  <si>
    <t>Rabs</t>
  </si>
  <si>
    <t>TleafEB</t>
  </si>
  <si>
    <t>TleafCnd</t>
  </si>
  <si>
    <t>SVPleaf</t>
  </si>
  <si>
    <t>RHcham</t>
  </si>
  <si>
    <t>VPcham</t>
  </si>
  <si>
    <t>SVPcham</t>
  </si>
  <si>
    <t>VPDleaf</t>
  </si>
  <si>
    <t>LatHFlux</t>
  </si>
  <si>
    <t>SenHFlux</t>
  </si>
  <si>
    <t>NetTherm</t>
  </si>
  <si>
    <t>EBSum</t>
  </si>
  <si>
    <t>blfa_1</t>
  </si>
  <si>
    <t>blfa_2</t>
  </si>
  <si>
    <t>blfa_3</t>
  </si>
  <si>
    <t>LeakPct</t>
  </si>
  <si>
    <t>CorrFact</t>
  </si>
  <si>
    <t>CorrFactPct</t>
  </si>
  <si>
    <t>Fan</t>
  </si>
  <si>
    <t>DarkAdaptedID</t>
  </si>
  <si>
    <t>Fo</t>
  </si>
  <si>
    <t>Fm</t>
  </si>
  <si>
    <t>Fv</t>
  </si>
  <si>
    <t>Fv/Fm</t>
  </si>
  <si>
    <t>Adark</t>
  </si>
  <si>
    <t>LightAdaptedID</t>
  </si>
  <si>
    <t>Fs</t>
  </si>
  <si>
    <t>Fm'</t>
  </si>
  <si>
    <t>PhiPS2</t>
  </si>
  <si>
    <t>PS2/1</t>
  </si>
  <si>
    <t>Qabs_fs</t>
  </si>
  <si>
    <t>Afs</t>
  </si>
  <si>
    <t>ETR</t>
  </si>
  <si>
    <t>Fv'/Fm'</t>
  </si>
  <si>
    <t>PhiCO2</t>
  </si>
  <si>
    <t>NPQ</t>
  </si>
  <si>
    <t>DarkPulseID</t>
  </si>
  <si>
    <t>Fo'</t>
  </si>
  <si>
    <t>Fv'</t>
  </si>
  <si>
    <t>qP</t>
  </si>
  <si>
    <t>qN</t>
  </si>
  <si>
    <t>qP_Fo</t>
  </si>
  <si>
    <t>qN_Fo</t>
  </si>
  <si>
    <t>ID</t>
  </si>
  <si>
    <t>P1_dur</t>
  </si>
  <si>
    <t>P2_dur</t>
  </si>
  <si>
    <t>P3_dur</t>
  </si>
  <si>
    <t>P1_Qmax</t>
  </si>
  <si>
    <t>P1_Fmax</t>
  </si>
  <si>
    <t>P2_dQdt</t>
  </si>
  <si>
    <t>P3_ΔF</t>
  </si>
  <si>
    <t>Qin</t>
  </si>
  <si>
    <t>Qabs</t>
  </si>
  <si>
    <t>alpha</t>
  </si>
  <si>
    <t>convert</t>
  </si>
  <si>
    <t>Geometry</t>
  </si>
  <si>
    <t>CO2_s</t>
  </si>
  <si>
    <t>CO2_r</t>
  </si>
  <si>
    <t>H2O_s</t>
  </si>
  <si>
    <t>H2O_r</t>
  </si>
  <si>
    <t>Flow</t>
  </si>
  <si>
    <t>Pa</t>
  </si>
  <si>
    <t>ΔPcham</t>
  </si>
  <si>
    <t>Tair</t>
  </si>
  <si>
    <t>Tleaf</t>
  </si>
  <si>
    <t>Tleaf2</t>
  </si>
  <si>
    <t>Fan_speed</t>
  </si>
  <si>
    <t>Qamb_in</t>
  </si>
  <si>
    <t>Qamb_out</t>
  </si>
  <si>
    <t>Q</t>
  </si>
  <si>
    <t>f_red</t>
  </si>
  <si>
    <t>f_blue</t>
  </si>
  <si>
    <t>f_farred</t>
  </si>
  <si>
    <t>F</t>
  </si>
  <si>
    <t>Q_modavg</t>
  </si>
  <si>
    <t>F_dc</t>
  </si>
  <si>
    <t>Pc</t>
  </si>
  <si>
    <t>Tled</t>
  </si>
  <si>
    <t>TDigital</t>
  </si>
  <si>
    <t>TPreamp</t>
  </si>
  <si>
    <t>TPwrSpy</t>
  </si>
  <si>
    <t>TDrive</t>
  </si>
  <si>
    <t>Q_red</t>
  </si>
  <si>
    <t>Q_blue</t>
  </si>
  <si>
    <t>Q_farred</t>
  </si>
  <si>
    <t>TSPF</t>
  </si>
  <si>
    <t>F_avg</t>
  </si>
  <si>
    <t>dF/dt</t>
  </si>
  <si>
    <t>dF_dc/dt</t>
  </si>
  <si>
    <t>F_dc_avg</t>
  </si>
  <si>
    <t>period</t>
  </si>
  <si>
    <t>count</t>
  </si>
  <si>
    <t>co2_adj</t>
  </si>
  <si>
    <t>h2o_adj</t>
  </si>
  <si>
    <t>co2_at</t>
  </si>
  <si>
    <t>h2o_at</t>
  </si>
  <si>
    <t>co2_cv</t>
  </si>
  <si>
    <t>h2o_cv</t>
  </si>
  <si>
    <t>A:MN</t>
  </si>
  <si>
    <t>A:SLP</t>
  </si>
  <si>
    <t>A:SD</t>
  </si>
  <si>
    <t>A:OK</t>
  </si>
  <si>
    <t>gsw:MN</t>
  </si>
  <si>
    <t>gsw:SLP</t>
  </si>
  <si>
    <t>gsw:SD</t>
  </si>
  <si>
    <t>gsw:OK</t>
  </si>
  <si>
    <t>Stable</t>
  </si>
  <si>
    <t>Total</t>
  </si>
  <si>
    <t>State</t>
  </si>
  <si>
    <t>ADC_CH1</t>
  </si>
  <si>
    <t>ADC_CH2</t>
  </si>
  <si>
    <t>ADC_CH3</t>
  </si>
  <si>
    <t>ADC_CH4</t>
  </si>
  <si>
    <t>ADC_CH5</t>
  </si>
  <si>
    <t>ADC_CH6</t>
  </si>
  <si>
    <t>ADC_CH7</t>
  </si>
  <si>
    <t>ADC_CH8</t>
  </si>
  <si>
    <t>DAC_1</t>
  </si>
  <si>
    <t>DAC_2</t>
  </si>
  <si>
    <t>DAC_3</t>
  </si>
  <si>
    <t>DAC_4</t>
  </si>
  <si>
    <t>GPIO</t>
  </si>
  <si>
    <t>GPIO_dir</t>
  </si>
  <si>
    <t>excit_5v</t>
  </si>
  <si>
    <t>power_12v</t>
  </si>
  <si>
    <t>power_5v</t>
  </si>
  <si>
    <t>ch1_pullup</t>
  </si>
  <si>
    <t>AuxPower</t>
  </si>
  <si>
    <t>MatchValveR</t>
  </si>
  <si>
    <t>MatchValveS</t>
  </si>
  <si>
    <t>MatchCO2</t>
  </si>
  <si>
    <t>MatchH2O</t>
  </si>
  <si>
    <t>DIAG</t>
  </si>
  <si>
    <t>Flow_s</t>
  </si>
  <si>
    <t>Flow_r</t>
  </si>
  <si>
    <t>Txchg</t>
  </si>
  <si>
    <t>Tirga</t>
  </si>
  <si>
    <t>Tchopper</t>
  </si>
  <si>
    <t>Ts</t>
  </si>
  <si>
    <t>Tr</t>
  </si>
  <si>
    <t>CO2_%</t>
  </si>
  <si>
    <t>Desiccant_%</t>
  </si>
  <si>
    <t>Humidifier_%</t>
  </si>
  <si>
    <t>Txchg_sp</t>
  </si>
  <si>
    <t>CO2_r_sp</t>
  </si>
  <si>
    <t>H2O_r_sp</t>
  </si>
  <si>
    <t>SS_s</t>
  </si>
  <si>
    <t>SS_r</t>
  </si>
  <si>
    <t>s</t>
  </si>
  <si>
    <t>mol m⁻² s⁻¹</t>
  </si>
  <si>
    <t>µmol m⁻² s⁻¹</t>
  </si>
  <si>
    <t>µmol mol⁻¹</t>
  </si>
  <si>
    <t>W m⁻²</t>
  </si>
  <si>
    <t>°C</t>
  </si>
  <si>
    <t>kPa</t>
  </si>
  <si>
    <t>%</t>
  </si>
  <si>
    <t>µmol s⁻¹</t>
  </si>
  <si>
    <t>µmol µmol⁻¹</t>
  </si>
  <si>
    <t>ms</t>
  </si>
  <si>
    <t>mol m⁻² s⁻²</t>
  </si>
  <si>
    <t>J/µmol</t>
  </si>
  <si>
    <t>mmol mol⁻¹</t>
  </si>
  <si>
    <t>rpm</t>
  </si>
  <si>
    <t>min⁻¹</t>
  </si>
  <si>
    <t>secs</t>
  </si>
  <si>
    <t>µmol/mol</t>
  </si>
  <si>
    <t>mmol/mol</t>
  </si>
  <si>
    <t>µmol m⁻² s⁻¹ min⁻¹</t>
  </si>
  <si>
    <t>mol m⁻² s⁻¹ min⁻¹</t>
  </si>
  <si>
    <t>V</t>
  </si>
  <si>
    <t>20190818 10:37:41</t>
  </si>
  <si>
    <t>10:37:41</t>
  </si>
  <si>
    <t>RECT-1274-20190818-05_20_45</t>
  </si>
  <si>
    <t>MPF-1337-20190818-10_37_42</t>
  </si>
  <si>
    <t>DARK-1338-20190818-10_37_50</t>
  </si>
  <si>
    <t>0: Broadleaf</t>
  </si>
  <si>
    <t>10:38:18</t>
  </si>
  <si>
    <t>2/2</t>
  </si>
  <si>
    <t>5</t>
  </si>
  <si>
    <t>11111111</t>
  </si>
  <si>
    <t>oooooooo</t>
  </si>
  <si>
    <t>off</t>
  </si>
  <si>
    <t>20190818 10:39:40</t>
  </si>
  <si>
    <t>10:39:40</t>
  </si>
  <si>
    <t>MPF-1339-20190818-10_39_42</t>
  </si>
  <si>
    <t>DARK-1340-20190818-10_39_49</t>
  </si>
  <si>
    <t>10:40:19</t>
  </si>
  <si>
    <t>20190818 10:41:44</t>
  </si>
  <si>
    <t>10:41:44</t>
  </si>
  <si>
    <t>MPF-1341-20190818-10_41_46</t>
  </si>
  <si>
    <t>DARK-1342-20190818-10_41_53</t>
  </si>
  <si>
    <t>10:42:22</t>
  </si>
  <si>
    <t>20190818 10:43:44</t>
  </si>
  <si>
    <t>10:43:44</t>
  </si>
  <si>
    <t>MPF-1343-20190818-10_43_46</t>
  </si>
  <si>
    <t>DARK-1344-20190818-10_43_53</t>
  </si>
  <si>
    <t>10:44:23</t>
  </si>
  <si>
    <t>20190818 10:45:43</t>
  </si>
  <si>
    <t>10:45:43</t>
  </si>
  <si>
    <t>MPF-1345-20190818-10_45_44</t>
  </si>
  <si>
    <t>DARK-1346-20190818-10_45_52</t>
  </si>
  <si>
    <t>10:46:16</t>
  </si>
  <si>
    <t>20190818 10:47:37</t>
  </si>
  <si>
    <t>10:47:37</t>
  </si>
  <si>
    <t>MPF-1347-20190818-10_47_38</t>
  </si>
  <si>
    <t>DARK-1348-20190818-10_47_46</t>
  </si>
  <si>
    <t>10:48:11</t>
  </si>
  <si>
    <t>20190818 10:51:08</t>
  </si>
  <si>
    <t>10:51:08</t>
  </si>
  <si>
    <t>MPF-1351-20190818-10_51_10</t>
  </si>
  <si>
    <t>DARK-1352-20190818-10_51_17</t>
  </si>
  <si>
    <t>10:51:42</t>
  </si>
  <si>
    <t>20190818 10:53:14</t>
  </si>
  <si>
    <t>10:53:14</t>
  </si>
  <si>
    <t>MPF-1353-20190818-10_53_15</t>
  </si>
  <si>
    <t>DARK-1354-20190818-10_53_23</t>
  </si>
  <si>
    <t>10:53:47</t>
  </si>
  <si>
    <t>1/2</t>
  </si>
  <si>
    <t>20190818 10:55:19</t>
  </si>
  <si>
    <t>10:55:19</t>
  </si>
  <si>
    <t>MPF-1355-20190818-10_55_20</t>
  </si>
  <si>
    <t>DARK-1356-20190818-10_55_28</t>
  </si>
  <si>
    <t>10:55:55</t>
  </si>
  <si>
    <t>20190818 10:57:27</t>
  </si>
  <si>
    <t>10:57:27</t>
  </si>
  <si>
    <t>MPF-1357-20190818-10_57_28</t>
  </si>
  <si>
    <t>DARK-1358-20190818-10_57_36</t>
  </si>
  <si>
    <t>10:58:02</t>
  </si>
  <si>
    <t>20190818 10:59:34</t>
  </si>
  <si>
    <t>10:59:34</t>
  </si>
  <si>
    <t>MPF-1359-20190818-10_59_35</t>
  </si>
  <si>
    <t>DARK-1360-20190818-10_59_43</t>
  </si>
  <si>
    <t>11:00:08</t>
  </si>
  <si>
    <t>20190818 11:01:39</t>
  </si>
  <si>
    <t>11:01:39</t>
  </si>
  <si>
    <t>MPF-1361-20190818-11_01_41</t>
  </si>
  <si>
    <t>DARK-1362-20190818-11_01_48</t>
  </si>
  <si>
    <t>11:02:12</t>
  </si>
  <si>
    <t>20190818 11:03:39</t>
  </si>
  <si>
    <t>11:03:39</t>
  </si>
  <si>
    <t>MPF-1363-20190818-11_03_41</t>
  </si>
  <si>
    <t>DARK-1364-20190818-11_03_48</t>
  </si>
  <si>
    <t>11:04:09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</si>
</sst>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FM29"/>
  <sheetViews>
    <sheetView tabSelected="1" topLeftCell="A15" workbookViewId="0">
      <selection activeCell="A23" sqref="A23:XFD23"/>
    </sheetView>
  </sheetViews>
  <sheetFormatPr defaultRowHeight="14.5" x14ac:dyDescent="0.35"/>
  <sheetData>
    <row r="2" spans="1:169" x14ac:dyDescent="0.35">
      <c r="A2" t="s">
        <v>25</v>
      </c>
      <c r="B2" t="s">
        <v>26</v>
      </c>
      <c r="C2" t="s">
        <v>28</v>
      </c>
      <c r="D2" t="s">
        <v>30</v>
      </c>
    </row>
    <row r="3" spans="1:169" x14ac:dyDescent="0.35">
      <c r="B3" t="s">
        <v>27</v>
      </c>
      <c r="C3" t="s">
        <v>29</v>
      </c>
      <c r="D3" t="s">
        <v>15</v>
      </c>
    </row>
    <row r="4" spans="1:169" x14ac:dyDescent="0.35">
      <c r="A4" t="s">
        <v>31</v>
      </c>
      <c r="B4" t="s">
        <v>32</v>
      </c>
      <c r="C4" t="s">
        <v>33</v>
      </c>
      <c r="D4" t="s">
        <v>34</v>
      </c>
    </row>
    <row r="5" spans="1:169" x14ac:dyDescent="0.35">
      <c r="B5">
        <v>6</v>
      </c>
      <c r="C5">
        <v>0.5</v>
      </c>
      <c r="D5">
        <v>2</v>
      </c>
    </row>
    <row r="6" spans="1:169" x14ac:dyDescent="0.35">
      <c r="A6" t="s">
        <v>35</v>
      </c>
      <c r="B6" t="s">
        <v>36</v>
      </c>
      <c r="C6" t="s">
        <v>37</v>
      </c>
      <c r="D6" t="s">
        <v>38</v>
      </c>
      <c r="E6" t="s">
        <v>39</v>
      </c>
    </row>
    <row r="7" spans="1:169" x14ac:dyDescent="0.35">
      <c r="B7">
        <v>0</v>
      </c>
      <c r="C7">
        <v>1</v>
      </c>
      <c r="D7">
        <v>0</v>
      </c>
      <c r="E7">
        <v>0</v>
      </c>
    </row>
    <row r="8" spans="1:169" x14ac:dyDescent="0.35">
      <c r="A8" t="s">
        <v>40</v>
      </c>
      <c r="B8" t="s">
        <v>41</v>
      </c>
      <c r="C8" t="s">
        <v>43</v>
      </c>
      <c r="D8" t="s">
        <v>45</v>
      </c>
      <c r="E8" t="s">
        <v>46</v>
      </c>
      <c r="F8" t="s">
        <v>47</v>
      </c>
      <c r="G8" t="s">
        <v>48</v>
      </c>
      <c r="H8" t="s">
        <v>49</v>
      </c>
      <c r="I8" t="s">
        <v>50</v>
      </c>
      <c r="J8" t="s">
        <v>51</v>
      </c>
      <c r="K8" t="s">
        <v>52</v>
      </c>
      <c r="L8" t="s">
        <v>53</v>
      </c>
      <c r="M8" t="s">
        <v>54</v>
      </c>
      <c r="N8" t="s">
        <v>55</v>
      </c>
      <c r="O8" t="s">
        <v>56</v>
      </c>
      <c r="P8" t="s">
        <v>57</v>
      </c>
      <c r="Q8" t="s">
        <v>58</v>
      </c>
    </row>
    <row r="9" spans="1:169" x14ac:dyDescent="0.35">
      <c r="B9" t="s">
        <v>42</v>
      </c>
      <c r="C9" t="s">
        <v>44</v>
      </c>
      <c r="D9">
        <v>0.49</v>
      </c>
      <c r="E9">
        <v>0.84</v>
      </c>
      <c r="F9">
        <v>0.7</v>
      </c>
      <c r="G9">
        <v>0.87</v>
      </c>
      <c r="H9">
        <v>0.75</v>
      </c>
      <c r="I9">
        <v>0.84</v>
      </c>
      <c r="J9">
        <v>0.87</v>
      </c>
      <c r="K9">
        <v>0.39</v>
      </c>
      <c r="L9">
        <v>0.18</v>
      </c>
      <c r="M9">
        <v>0.23</v>
      </c>
      <c r="N9">
        <v>0.26</v>
      </c>
      <c r="O9">
        <v>0.21</v>
      </c>
      <c r="P9">
        <v>0.19</v>
      </c>
      <c r="Q9">
        <v>0.25</v>
      </c>
    </row>
    <row r="10" spans="1:169" x14ac:dyDescent="0.35">
      <c r="A10" t="s">
        <v>59</v>
      </c>
      <c r="B10" t="s">
        <v>60</v>
      </c>
      <c r="C10" t="s">
        <v>61</v>
      </c>
      <c r="D10" t="s">
        <v>62</v>
      </c>
      <c r="E10" t="s">
        <v>63</v>
      </c>
      <c r="F10" t="s">
        <v>64</v>
      </c>
    </row>
    <row r="11" spans="1:169" x14ac:dyDescent="0.35">
      <c r="B11">
        <v>0</v>
      </c>
      <c r="C11">
        <v>0</v>
      </c>
      <c r="D11">
        <v>0</v>
      </c>
      <c r="E11">
        <v>0</v>
      </c>
      <c r="F11">
        <v>1</v>
      </c>
    </row>
    <row r="12" spans="1:169" x14ac:dyDescent="0.35">
      <c r="A12" t="s">
        <v>65</v>
      </c>
      <c r="B12" t="s">
        <v>66</v>
      </c>
      <c r="C12" t="s">
        <v>67</v>
      </c>
      <c r="D12" t="s">
        <v>68</v>
      </c>
      <c r="E12" t="s">
        <v>69</v>
      </c>
      <c r="F12" t="s">
        <v>70</v>
      </c>
      <c r="G12" t="s">
        <v>72</v>
      </c>
      <c r="H12" t="s">
        <v>74</v>
      </c>
    </row>
    <row r="13" spans="1:169" x14ac:dyDescent="0.35">
      <c r="B13">
        <v>-6276</v>
      </c>
      <c r="C13">
        <v>6.6</v>
      </c>
      <c r="D13">
        <v>1.7090000000000001E-5</v>
      </c>
      <c r="E13">
        <v>3.11</v>
      </c>
      <c r="F13" t="s">
        <v>71</v>
      </c>
      <c r="G13" t="s">
        <v>73</v>
      </c>
      <c r="H13">
        <v>2</v>
      </c>
    </row>
    <row r="14" spans="1:169" x14ac:dyDescent="0.35">
      <c r="A14" t="s">
        <v>75</v>
      </c>
      <c r="B14" t="s">
        <v>75</v>
      </c>
      <c r="C14" t="s">
        <v>75</v>
      </c>
      <c r="D14" t="s">
        <v>75</v>
      </c>
      <c r="E14" t="s">
        <v>75</v>
      </c>
      <c r="F14" t="s">
        <v>76</v>
      </c>
      <c r="G14" t="s">
        <v>77</v>
      </c>
      <c r="H14" t="s">
        <v>77</v>
      </c>
      <c r="I14" t="s">
        <v>77</v>
      </c>
      <c r="J14" t="s">
        <v>77</v>
      </c>
      <c r="K14" t="s">
        <v>77</v>
      </c>
      <c r="L14" t="s">
        <v>77</v>
      </c>
      <c r="M14" t="s">
        <v>77</v>
      </c>
      <c r="N14" t="s">
        <v>77</v>
      </c>
      <c r="O14" t="s">
        <v>77</v>
      </c>
      <c r="P14" t="s">
        <v>77</v>
      </c>
      <c r="Q14" t="s">
        <v>77</v>
      </c>
      <c r="R14" t="s">
        <v>77</v>
      </c>
      <c r="S14" t="s">
        <v>77</v>
      </c>
      <c r="T14" t="s">
        <v>77</v>
      </c>
      <c r="U14" t="s">
        <v>77</v>
      </c>
      <c r="V14" t="s">
        <v>77</v>
      </c>
      <c r="W14" t="s">
        <v>77</v>
      </c>
      <c r="X14" t="s">
        <v>77</v>
      </c>
      <c r="Y14" t="s">
        <v>77</v>
      </c>
      <c r="Z14" t="s">
        <v>77</v>
      </c>
      <c r="AA14" t="s">
        <v>77</v>
      </c>
      <c r="AB14" t="s">
        <v>77</v>
      </c>
      <c r="AC14" t="s">
        <v>77</v>
      </c>
      <c r="AD14" t="s">
        <v>77</v>
      </c>
      <c r="AE14" t="s">
        <v>77</v>
      </c>
      <c r="AF14" t="s">
        <v>77</v>
      </c>
      <c r="AG14" t="s">
        <v>78</v>
      </c>
      <c r="AH14" t="s">
        <v>78</v>
      </c>
      <c r="AI14" t="s">
        <v>78</v>
      </c>
      <c r="AJ14" t="s">
        <v>78</v>
      </c>
      <c r="AK14" t="s">
        <v>78</v>
      </c>
      <c r="AL14" t="s">
        <v>79</v>
      </c>
      <c r="AM14" t="s">
        <v>79</v>
      </c>
      <c r="AN14" t="s">
        <v>79</v>
      </c>
      <c r="AO14" t="s">
        <v>79</v>
      </c>
      <c r="AP14" t="s">
        <v>79</v>
      </c>
      <c r="AQ14" t="s">
        <v>79</v>
      </c>
      <c r="AR14" t="s">
        <v>79</v>
      </c>
      <c r="AS14" t="s">
        <v>79</v>
      </c>
      <c r="AT14" t="s">
        <v>79</v>
      </c>
      <c r="AU14" t="s">
        <v>79</v>
      </c>
      <c r="AV14" t="s">
        <v>79</v>
      </c>
      <c r="AW14" t="s">
        <v>79</v>
      </c>
      <c r="AX14" t="s">
        <v>79</v>
      </c>
      <c r="AY14" t="s">
        <v>79</v>
      </c>
      <c r="AZ14" t="s">
        <v>79</v>
      </c>
      <c r="BA14" t="s">
        <v>79</v>
      </c>
      <c r="BB14" t="s">
        <v>79</v>
      </c>
      <c r="BC14" t="s">
        <v>79</v>
      </c>
      <c r="BD14" t="s">
        <v>79</v>
      </c>
      <c r="BE14" t="s">
        <v>79</v>
      </c>
      <c r="BF14" t="s">
        <v>79</v>
      </c>
      <c r="BG14" t="s">
        <v>79</v>
      </c>
      <c r="BH14" t="s">
        <v>79</v>
      </c>
      <c r="BI14" t="s">
        <v>79</v>
      </c>
      <c r="BJ14" t="s">
        <v>80</v>
      </c>
      <c r="BK14" t="s">
        <v>80</v>
      </c>
      <c r="BL14" t="s">
        <v>80</v>
      </c>
      <c r="BM14" t="s">
        <v>80</v>
      </c>
      <c r="BN14" t="s">
        <v>80</v>
      </c>
      <c r="BO14" t="s">
        <v>80</v>
      </c>
      <c r="BP14" t="s">
        <v>80</v>
      </c>
      <c r="BQ14" t="s">
        <v>80</v>
      </c>
      <c r="BR14" t="s">
        <v>81</v>
      </c>
      <c r="BS14" t="s">
        <v>81</v>
      </c>
      <c r="BT14" t="s">
        <v>81</v>
      </c>
      <c r="BU14" t="s">
        <v>81</v>
      </c>
      <c r="BV14" t="s">
        <v>31</v>
      </c>
      <c r="BW14" t="s">
        <v>82</v>
      </c>
      <c r="BX14" t="s">
        <v>82</v>
      </c>
      <c r="BY14" t="s">
        <v>82</v>
      </c>
      <c r="BZ14" t="s">
        <v>82</v>
      </c>
      <c r="CA14" t="s">
        <v>82</v>
      </c>
      <c r="CB14" t="s">
        <v>82</v>
      </c>
      <c r="CC14" t="s">
        <v>82</v>
      </c>
      <c r="CD14" t="s">
        <v>82</v>
      </c>
      <c r="CE14" t="s">
        <v>82</v>
      </c>
      <c r="CF14" t="s">
        <v>82</v>
      </c>
      <c r="CG14" t="s">
        <v>82</v>
      </c>
      <c r="CH14" t="s">
        <v>82</v>
      </c>
      <c r="CI14" t="s">
        <v>82</v>
      </c>
      <c r="CJ14" t="s">
        <v>82</v>
      </c>
      <c r="CK14" t="s">
        <v>83</v>
      </c>
      <c r="CL14" t="s">
        <v>83</v>
      </c>
      <c r="CM14" t="s">
        <v>83</v>
      </c>
      <c r="CN14" t="s">
        <v>83</v>
      </c>
      <c r="CO14" t="s">
        <v>83</v>
      </c>
      <c r="CP14" t="s">
        <v>83</v>
      </c>
      <c r="CQ14" t="s">
        <v>83</v>
      </c>
      <c r="CR14" t="s">
        <v>83</v>
      </c>
      <c r="CS14" t="s">
        <v>83</v>
      </c>
      <c r="CT14" t="s">
        <v>83</v>
      </c>
      <c r="CU14" t="s">
        <v>83</v>
      </c>
      <c r="CV14" t="s">
        <v>83</v>
      </c>
      <c r="CW14" t="s">
        <v>83</v>
      </c>
      <c r="CX14" t="s">
        <v>83</v>
      </c>
      <c r="CY14" t="s">
        <v>83</v>
      </c>
      <c r="CZ14" t="s">
        <v>83</v>
      </c>
      <c r="DA14" t="s">
        <v>83</v>
      </c>
      <c r="DB14" t="s">
        <v>84</v>
      </c>
      <c r="DC14" t="s">
        <v>84</v>
      </c>
      <c r="DD14" t="s">
        <v>84</v>
      </c>
      <c r="DE14" t="s">
        <v>84</v>
      </c>
      <c r="DF14" t="s">
        <v>84</v>
      </c>
      <c r="DG14" t="s">
        <v>85</v>
      </c>
      <c r="DH14" t="s">
        <v>85</v>
      </c>
      <c r="DI14" t="s">
        <v>85</v>
      </c>
      <c r="DJ14" t="s">
        <v>85</v>
      </c>
      <c r="DK14" t="s">
        <v>85</v>
      </c>
      <c r="DL14" t="s">
        <v>85</v>
      </c>
      <c r="DM14" t="s">
        <v>85</v>
      </c>
      <c r="DN14" t="s">
        <v>85</v>
      </c>
      <c r="DO14" t="s">
        <v>85</v>
      </c>
      <c r="DP14" t="s">
        <v>86</v>
      </c>
      <c r="DQ14" t="s">
        <v>86</v>
      </c>
      <c r="DR14" t="s">
        <v>86</v>
      </c>
      <c r="DS14" t="s">
        <v>86</v>
      </c>
      <c r="DT14" t="s">
        <v>86</v>
      </c>
      <c r="DU14" t="s">
        <v>86</v>
      </c>
      <c r="DV14" t="s">
        <v>86</v>
      </c>
      <c r="DW14" t="s">
        <v>86</v>
      </c>
      <c r="DX14" t="s">
        <v>86</v>
      </c>
      <c r="DY14" t="s">
        <v>86</v>
      </c>
      <c r="DZ14" t="s">
        <v>86</v>
      </c>
      <c r="EA14" t="s">
        <v>87</v>
      </c>
      <c r="EB14" t="s">
        <v>87</v>
      </c>
      <c r="EC14" t="s">
        <v>87</v>
      </c>
      <c r="ED14" t="s">
        <v>87</v>
      </c>
      <c r="EE14" t="s">
        <v>87</v>
      </c>
      <c r="EF14" t="s">
        <v>87</v>
      </c>
      <c r="EG14" t="s">
        <v>87</v>
      </c>
      <c r="EH14" t="s">
        <v>87</v>
      </c>
      <c r="EI14" t="s">
        <v>87</v>
      </c>
      <c r="EJ14" t="s">
        <v>87</v>
      </c>
      <c r="EK14" t="s">
        <v>87</v>
      </c>
      <c r="EL14" t="s">
        <v>87</v>
      </c>
      <c r="EM14" t="s">
        <v>87</v>
      </c>
      <c r="EN14" t="s">
        <v>87</v>
      </c>
      <c r="EO14" t="s">
        <v>87</v>
      </c>
      <c r="EP14" t="s">
        <v>87</v>
      </c>
      <c r="EQ14" t="s">
        <v>87</v>
      </c>
      <c r="ER14" t="s">
        <v>87</v>
      </c>
      <c r="ES14" t="s">
        <v>87</v>
      </c>
      <c r="ET14" t="s">
        <v>88</v>
      </c>
      <c r="EU14" t="s">
        <v>88</v>
      </c>
      <c r="EV14" t="s">
        <v>88</v>
      </c>
      <c r="EW14" t="s">
        <v>88</v>
      </c>
      <c r="EX14" t="s">
        <v>88</v>
      </c>
      <c r="EY14" t="s">
        <v>88</v>
      </c>
      <c r="EZ14" t="s">
        <v>88</v>
      </c>
      <c r="FA14" t="s">
        <v>88</v>
      </c>
      <c r="FB14" t="s">
        <v>88</v>
      </c>
      <c r="FC14" t="s">
        <v>88</v>
      </c>
      <c r="FD14" t="s">
        <v>88</v>
      </c>
      <c r="FE14" t="s">
        <v>88</v>
      </c>
      <c r="FF14" t="s">
        <v>88</v>
      </c>
      <c r="FG14" t="s">
        <v>88</v>
      </c>
      <c r="FH14" t="s">
        <v>88</v>
      </c>
      <c r="FI14" t="s">
        <v>88</v>
      </c>
      <c r="FJ14" t="s">
        <v>88</v>
      </c>
      <c r="FK14" t="s">
        <v>88</v>
      </c>
      <c r="FL14" t="s">
        <v>88</v>
      </c>
      <c r="FM14" t="s">
        <v>88</v>
      </c>
    </row>
    <row r="15" spans="1:169" x14ac:dyDescent="0.35">
      <c r="A15" t="s">
        <v>89</v>
      </c>
      <c r="B15" t="s">
        <v>90</v>
      </c>
      <c r="C15" t="s">
        <v>91</v>
      </c>
      <c r="D15" t="s">
        <v>92</v>
      </c>
      <c r="E15" t="s">
        <v>93</v>
      </c>
      <c r="F15" t="s">
        <v>94</v>
      </c>
      <c r="G15" t="s">
        <v>95</v>
      </c>
      <c r="H15" t="s">
        <v>96</v>
      </c>
      <c r="I15" t="s">
        <v>97</v>
      </c>
      <c r="J15" t="s">
        <v>98</v>
      </c>
      <c r="K15" t="s">
        <v>99</v>
      </c>
      <c r="L15" t="s">
        <v>100</v>
      </c>
      <c r="M15" t="s">
        <v>101</v>
      </c>
      <c r="N15" t="s">
        <v>102</v>
      </c>
      <c r="O15" t="s">
        <v>103</v>
      </c>
      <c r="P15" t="s">
        <v>104</v>
      </c>
      <c r="Q15" t="s">
        <v>105</v>
      </c>
      <c r="R15" t="s">
        <v>106</v>
      </c>
      <c r="S15" t="s">
        <v>107</v>
      </c>
      <c r="T15" t="s">
        <v>108</v>
      </c>
      <c r="U15" t="s">
        <v>109</v>
      </c>
      <c r="V15" t="s">
        <v>110</v>
      </c>
      <c r="W15" t="s">
        <v>111</v>
      </c>
      <c r="X15" t="s">
        <v>112</v>
      </c>
      <c r="Y15" t="s">
        <v>113</v>
      </c>
      <c r="Z15" t="s">
        <v>114</v>
      </c>
      <c r="AA15" t="s">
        <v>115</v>
      </c>
      <c r="AB15" t="s">
        <v>116</v>
      </c>
      <c r="AC15" t="s">
        <v>117</v>
      </c>
      <c r="AD15" t="s">
        <v>118</v>
      </c>
      <c r="AE15" t="s">
        <v>119</v>
      </c>
      <c r="AF15" t="s">
        <v>120</v>
      </c>
      <c r="AG15" t="s">
        <v>78</v>
      </c>
      <c r="AH15" t="s">
        <v>121</v>
      </c>
      <c r="AI15" t="s">
        <v>122</v>
      </c>
      <c r="AJ15" t="s">
        <v>123</v>
      </c>
      <c r="AK15" t="s">
        <v>124</v>
      </c>
      <c r="AL15" t="s">
        <v>125</v>
      </c>
      <c r="AM15" t="s">
        <v>126</v>
      </c>
      <c r="AN15" t="s">
        <v>127</v>
      </c>
      <c r="AO15" t="s">
        <v>128</v>
      </c>
      <c r="AP15" t="s">
        <v>129</v>
      </c>
      <c r="AQ15" t="s">
        <v>130</v>
      </c>
      <c r="AR15" t="s">
        <v>131</v>
      </c>
      <c r="AS15" t="s">
        <v>132</v>
      </c>
      <c r="AT15" t="s">
        <v>133</v>
      </c>
      <c r="AU15" t="s">
        <v>134</v>
      </c>
      <c r="AV15" t="s">
        <v>135</v>
      </c>
      <c r="AW15" t="s">
        <v>136</v>
      </c>
      <c r="AX15" t="s">
        <v>137</v>
      </c>
      <c r="AY15" t="s">
        <v>138</v>
      </c>
      <c r="AZ15" t="s">
        <v>139</v>
      </c>
      <c r="BA15" t="s">
        <v>140</v>
      </c>
      <c r="BB15" t="s">
        <v>141</v>
      </c>
      <c r="BC15" t="s">
        <v>142</v>
      </c>
      <c r="BD15" t="s">
        <v>143</v>
      </c>
      <c r="BE15" t="s">
        <v>144</v>
      </c>
      <c r="BF15" t="s">
        <v>145</v>
      </c>
      <c r="BG15" t="s">
        <v>146</v>
      </c>
      <c r="BH15" t="s">
        <v>147</v>
      </c>
      <c r="BI15" t="s">
        <v>148</v>
      </c>
      <c r="BJ15" t="s">
        <v>149</v>
      </c>
      <c r="BK15" t="s">
        <v>150</v>
      </c>
      <c r="BL15" t="s">
        <v>151</v>
      </c>
      <c r="BM15" t="s">
        <v>152</v>
      </c>
      <c r="BN15" t="s">
        <v>153</v>
      </c>
      <c r="BO15" t="s">
        <v>154</v>
      </c>
      <c r="BP15" t="s">
        <v>155</v>
      </c>
      <c r="BQ15" t="s">
        <v>156</v>
      </c>
      <c r="BR15" t="s">
        <v>157</v>
      </c>
      <c r="BS15" t="s">
        <v>158</v>
      </c>
      <c r="BT15" t="s">
        <v>159</v>
      </c>
      <c r="BU15" t="s">
        <v>160</v>
      </c>
      <c r="BV15" t="s">
        <v>161</v>
      </c>
      <c r="BW15" t="s">
        <v>95</v>
      </c>
      <c r="BX15" t="s">
        <v>162</v>
      </c>
      <c r="BY15" t="s">
        <v>163</v>
      </c>
      <c r="BZ15" t="s">
        <v>164</v>
      </c>
      <c r="CA15" t="s">
        <v>165</v>
      </c>
      <c r="CB15" t="s">
        <v>166</v>
      </c>
      <c r="CC15" t="s">
        <v>167</v>
      </c>
      <c r="CD15" t="s">
        <v>168</v>
      </c>
      <c r="CE15" t="s">
        <v>169</v>
      </c>
      <c r="CF15" t="s">
        <v>170</v>
      </c>
      <c r="CG15" t="s">
        <v>171</v>
      </c>
      <c r="CH15" t="s">
        <v>172</v>
      </c>
      <c r="CI15" t="s">
        <v>173</v>
      </c>
      <c r="CJ15" t="s">
        <v>174</v>
      </c>
      <c r="CK15" t="s">
        <v>175</v>
      </c>
      <c r="CL15" t="s">
        <v>176</v>
      </c>
      <c r="CM15" t="s">
        <v>177</v>
      </c>
      <c r="CN15" t="s">
        <v>178</v>
      </c>
      <c r="CO15" t="s">
        <v>179</v>
      </c>
      <c r="CP15" t="s">
        <v>180</v>
      </c>
      <c r="CQ15" t="s">
        <v>181</v>
      </c>
      <c r="CR15" t="s">
        <v>182</v>
      </c>
      <c r="CS15" t="s">
        <v>183</v>
      </c>
      <c r="CT15" t="s">
        <v>184</v>
      </c>
      <c r="CU15" t="s">
        <v>185</v>
      </c>
      <c r="CV15" t="s">
        <v>186</v>
      </c>
      <c r="CW15" t="s">
        <v>187</v>
      </c>
      <c r="CX15" t="s">
        <v>188</v>
      </c>
      <c r="CY15" t="s">
        <v>189</v>
      </c>
      <c r="CZ15" t="s">
        <v>190</v>
      </c>
      <c r="DA15" t="s">
        <v>191</v>
      </c>
      <c r="DB15" t="s">
        <v>192</v>
      </c>
      <c r="DC15" t="s">
        <v>193</v>
      </c>
      <c r="DD15" t="s">
        <v>194</v>
      </c>
      <c r="DE15" t="s">
        <v>195</v>
      </c>
      <c r="DF15" t="s">
        <v>196</v>
      </c>
      <c r="DG15" t="s">
        <v>90</v>
      </c>
      <c r="DH15" t="s">
        <v>93</v>
      </c>
      <c r="DI15" t="s">
        <v>197</v>
      </c>
      <c r="DJ15" t="s">
        <v>198</v>
      </c>
      <c r="DK15" t="s">
        <v>199</v>
      </c>
      <c r="DL15" t="s">
        <v>200</v>
      </c>
      <c r="DM15" t="s">
        <v>201</v>
      </c>
      <c r="DN15" t="s">
        <v>202</v>
      </c>
      <c r="DO15" t="s">
        <v>203</v>
      </c>
      <c r="DP15" t="s">
        <v>204</v>
      </c>
      <c r="DQ15" t="s">
        <v>205</v>
      </c>
      <c r="DR15" t="s">
        <v>206</v>
      </c>
      <c r="DS15" t="s">
        <v>207</v>
      </c>
      <c r="DT15" t="s">
        <v>208</v>
      </c>
      <c r="DU15" t="s">
        <v>209</v>
      </c>
      <c r="DV15" t="s">
        <v>210</v>
      </c>
      <c r="DW15" t="s">
        <v>211</v>
      </c>
      <c r="DX15" t="s">
        <v>212</v>
      </c>
      <c r="DY15" t="s">
        <v>213</v>
      </c>
      <c r="DZ15" t="s">
        <v>214</v>
      </c>
      <c r="EA15" t="s">
        <v>215</v>
      </c>
      <c r="EB15" t="s">
        <v>216</v>
      </c>
      <c r="EC15" t="s">
        <v>217</v>
      </c>
      <c r="ED15" t="s">
        <v>218</v>
      </c>
      <c r="EE15" t="s">
        <v>219</v>
      </c>
      <c r="EF15" t="s">
        <v>220</v>
      </c>
      <c r="EG15" t="s">
        <v>221</v>
      </c>
      <c r="EH15" t="s">
        <v>222</v>
      </c>
      <c r="EI15" t="s">
        <v>223</v>
      </c>
      <c r="EJ15" t="s">
        <v>224</v>
      </c>
      <c r="EK15" t="s">
        <v>225</v>
      </c>
      <c r="EL15" t="s">
        <v>226</v>
      </c>
      <c r="EM15" t="s">
        <v>227</v>
      </c>
      <c r="EN15" t="s">
        <v>228</v>
      </c>
      <c r="EO15" t="s">
        <v>229</v>
      </c>
      <c r="EP15" t="s">
        <v>230</v>
      </c>
      <c r="EQ15" t="s">
        <v>231</v>
      </c>
      <c r="ER15" t="s">
        <v>232</v>
      </c>
      <c r="ES15" t="s">
        <v>233</v>
      </c>
      <c r="ET15" t="s">
        <v>234</v>
      </c>
      <c r="EU15" t="s">
        <v>235</v>
      </c>
      <c r="EV15" t="s">
        <v>236</v>
      </c>
      <c r="EW15" t="s">
        <v>237</v>
      </c>
      <c r="EX15" t="s">
        <v>238</v>
      </c>
      <c r="EY15" t="s">
        <v>239</v>
      </c>
      <c r="EZ15" t="s">
        <v>240</v>
      </c>
      <c r="FA15" t="s">
        <v>241</v>
      </c>
      <c r="FB15" t="s">
        <v>242</v>
      </c>
      <c r="FC15" t="s">
        <v>243</v>
      </c>
      <c r="FD15" t="s">
        <v>244</v>
      </c>
      <c r="FE15" t="s">
        <v>245</v>
      </c>
      <c r="FF15" t="s">
        <v>246</v>
      </c>
      <c r="FG15" t="s">
        <v>247</v>
      </c>
      <c r="FH15" t="s">
        <v>248</v>
      </c>
      <c r="FI15" t="s">
        <v>249</v>
      </c>
      <c r="FJ15" t="s">
        <v>250</v>
      </c>
      <c r="FK15" t="s">
        <v>251</v>
      </c>
      <c r="FL15" t="s">
        <v>252</v>
      </c>
      <c r="FM15" t="s">
        <v>253</v>
      </c>
    </row>
    <row r="16" spans="1:169" x14ac:dyDescent="0.35">
      <c r="B16" t="s">
        <v>254</v>
      </c>
      <c r="C16" t="s">
        <v>254</v>
      </c>
      <c r="G16" t="s">
        <v>254</v>
      </c>
      <c r="H16" t="s">
        <v>255</v>
      </c>
      <c r="I16" t="s">
        <v>256</v>
      </c>
      <c r="J16" t="s">
        <v>257</v>
      </c>
      <c r="K16" t="s">
        <v>257</v>
      </c>
      <c r="L16" t="s">
        <v>167</v>
      </c>
      <c r="M16" t="s">
        <v>167</v>
      </c>
      <c r="N16" t="s">
        <v>255</v>
      </c>
      <c r="O16" t="s">
        <v>255</v>
      </c>
      <c r="P16" t="s">
        <v>255</v>
      </c>
      <c r="Q16" t="s">
        <v>255</v>
      </c>
      <c r="R16" t="s">
        <v>258</v>
      </c>
      <c r="S16" t="s">
        <v>259</v>
      </c>
      <c r="T16" t="s">
        <v>259</v>
      </c>
      <c r="U16" t="s">
        <v>260</v>
      </c>
      <c r="V16" t="s">
        <v>261</v>
      </c>
      <c r="W16" t="s">
        <v>260</v>
      </c>
      <c r="X16" t="s">
        <v>260</v>
      </c>
      <c r="Y16" t="s">
        <v>260</v>
      </c>
      <c r="Z16" t="s">
        <v>258</v>
      </c>
      <c r="AA16" t="s">
        <v>258</v>
      </c>
      <c r="AB16" t="s">
        <v>258</v>
      </c>
      <c r="AC16" t="s">
        <v>258</v>
      </c>
      <c r="AG16" t="s">
        <v>262</v>
      </c>
      <c r="AH16" t="s">
        <v>261</v>
      </c>
      <c r="AJ16" t="s">
        <v>261</v>
      </c>
      <c r="AK16" t="s">
        <v>262</v>
      </c>
      <c r="AQ16" t="s">
        <v>256</v>
      </c>
      <c r="AW16" t="s">
        <v>256</v>
      </c>
      <c r="AX16" t="s">
        <v>256</v>
      </c>
      <c r="AY16" t="s">
        <v>256</v>
      </c>
      <c r="BA16" t="s">
        <v>263</v>
      </c>
      <c r="BK16" t="s">
        <v>264</v>
      </c>
      <c r="BL16" t="s">
        <v>264</v>
      </c>
      <c r="BM16" t="s">
        <v>264</v>
      </c>
      <c r="BN16" t="s">
        <v>256</v>
      </c>
      <c r="BP16" t="s">
        <v>265</v>
      </c>
      <c r="BR16" t="s">
        <v>256</v>
      </c>
      <c r="BS16" t="s">
        <v>256</v>
      </c>
      <c r="BU16" t="s">
        <v>266</v>
      </c>
      <c r="BW16" t="s">
        <v>254</v>
      </c>
      <c r="BX16" t="s">
        <v>257</v>
      </c>
      <c r="BY16" t="s">
        <v>257</v>
      </c>
      <c r="BZ16" t="s">
        <v>267</v>
      </c>
      <c r="CA16" t="s">
        <v>267</v>
      </c>
      <c r="CB16" t="s">
        <v>262</v>
      </c>
      <c r="CC16" t="s">
        <v>260</v>
      </c>
      <c r="CD16" t="s">
        <v>260</v>
      </c>
      <c r="CE16" t="s">
        <v>259</v>
      </c>
      <c r="CF16" t="s">
        <v>259</v>
      </c>
      <c r="CG16" t="s">
        <v>259</v>
      </c>
      <c r="CH16" t="s">
        <v>268</v>
      </c>
      <c r="CI16" t="s">
        <v>256</v>
      </c>
      <c r="CJ16" t="s">
        <v>256</v>
      </c>
      <c r="CK16" t="s">
        <v>256</v>
      </c>
      <c r="CP16" t="s">
        <v>256</v>
      </c>
      <c r="CS16" t="s">
        <v>259</v>
      </c>
      <c r="CT16" t="s">
        <v>259</v>
      </c>
      <c r="CU16" t="s">
        <v>259</v>
      </c>
      <c r="CV16" t="s">
        <v>259</v>
      </c>
      <c r="CW16" t="s">
        <v>259</v>
      </c>
      <c r="CX16" t="s">
        <v>256</v>
      </c>
      <c r="CY16" t="s">
        <v>256</v>
      </c>
      <c r="CZ16" t="s">
        <v>256</v>
      </c>
      <c r="DA16" t="s">
        <v>254</v>
      </c>
      <c r="DC16" t="s">
        <v>269</v>
      </c>
      <c r="DD16" t="s">
        <v>269</v>
      </c>
      <c r="DF16" t="s">
        <v>254</v>
      </c>
      <c r="DG16" t="s">
        <v>270</v>
      </c>
      <c r="DJ16" t="s">
        <v>271</v>
      </c>
      <c r="DK16" t="s">
        <v>272</v>
      </c>
      <c r="DL16" t="s">
        <v>271</v>
      </c>
      <c r="DM16" t="s">
        <v>272</v>
      </c>
      <c r="DN16" t="s">
        <v>261</v>
      </c>
      <c r="DO16" t="s">
        <v>261</v>
      </c>
      <c r="DP16" t="s">
        <v>256</v>
      </c>
      <c r="DQ16" t="s">
        <v>273</v>
      </c>
      <c r="DR16" t="s">
        <v>256</v>
      </c>
      <c r="DT16" t="s">
        <v>255</v>
      </c>
      <c r="DU16" t="s">
        <v>274</v>
      </c>
      <c r="DV16" t="s">
        <v>255</v>
      </c>
      <c r="EA16" t="s">
        <v>275</v>
      </c>
      <c r="EB16" t="s">
        <v>275</v>
      </c>
      <c r="EC16" t="s">
        <v>275</v>
      </c>
      <c r="ED16" t="s">
        <v>275</v>
      </c>
      <c r="EE16" t="s">
        <v>275</v>
      </c>
      <c r="EF16" t="s">
        <v>275</v>
      </c>
      <c r="EG16" t="s">
        <v>275</v>
      </c>
      <c r="EH16" t="s">
        <v>275</v>
      </c>
      <c r="EI16" t="s">
        <v>275</v>
      </c>
      <c r="EJ16" t="s">
        <v>275</v>
      </c>
      <c r="EK16" t="s">
        <v>275</v>
      </c>
      <c r="EL16" t="s">
        <v>275</v>
      </c>
      <c r="ES16" t="s">
        <v>275</v>
      </c>
      <c r="ET16" t="s">
        <v>261</v>
      </c>
      <c r="EU16" t="s">
        <v>261</v>
      </c>
      <c r="EV16" t="s">
        <v>271</v>
      </c>
      <c r="EW16" t="s">
        <v>272</v>
      </c>
      <c r="EY16" t="s">
        <v>262</v>
      </c>
      <c r="EZ16" t="s">
        <v>262</v>
      </c>
      <c r="FA16" t="s">
        <v>259</v>
      </c>
      <c r="FB16" t="s">
        <v>259</v>
      </c>
      <c r="FC16" t="s">
        <v>259</v>
      </c>
      <c r="FD16" t="s">
        <v>259</v>
      </c>
      <c r="FE16" t="s">
        <v>259</v>
      </c>
      <c r="FF16" t="s">
        <v>261</v>
      </c>
      <c r="FG16" t="s">
        <v>261</v>
      </c>
      <c r="FH16" t="s">
        <v>261</v>
      </c>
      <c r="FI16" t="s">
        <v>259</v>
      </c>
      <c r="FJ16" t="s">
        <v>257</v>
      </c>
      <c r="FK16" t="s">
        <v>267</v>
      </c>
      <c r="FL16" t="s">
        <v>261</v>
      </c>
      <c r="FM16" t="s">
        <v>261</v>
      </c>
    </row>
    <row r="17" spans="1:169" x14ac:dyDescent="0.35">
      <c r="A17">
        <v>1</v>
      </c>
      <c r="B17">
        <v>1566142661.0999999</v>
      </c>
      <c r="C17">
        <v>0</v>
      </c>
      <c r="D17" t="s">
        <v>276</v>
      </c>
      <c r="E17" t="s">
        <v>277</v>
      </c>
      <c r="G17">
        <v>1566142661.0999999</v>
      </c>
      <c r="H17">
        <f t="shared" ref="H17:H29" si="0">CB17*AI17*(BZ17-CA17)/(100*$B$5*(1000-AI17*BZ17))</f>
        <v>6.8302332164360876E-3</v>
      </c>
      <c r="I17">
        <f t="shared" ref="I17:I29" si="1">CB17*AI17*(BY17-BX17*(1000-AI17*CA17)/(1000-AI17*BZ17))/(100*$B$5)</f>
        <v>29.416890798478345</v>
      </c>
      <c r="J17">
        <f t="shared" ref="J17:J29" si="2">BX17 - IF(AI17&gt;1, I17*$B$5*100/(AK17*CH17), 0)</f>
        <v>361.90396653171047</v>
      </c>
      <c r="K17">
        <f t="shared" ref="K17:K29" si="3">((Q17-H17/2)*J17-I17)/(Q17+H17/2)</f>
        <v>236.03395702684819</v>
      </c>
      <c r="L17">
        <f t="shared" ref="L17:L29" si="4">K17*(CC17+CD17)/1000</f>
        <v>23.371874478882368</v>
      </c>
      <c r="M17">
        <f t="shared" ref="M17:M29" si="5">(BX17 - IF(AI17&gt;1, I17*$B$5*100/(AK17*CH17), 0))*(CC17+CD17)/1000</f>
        <v>35.835411928575454</v>
      </c>
      <c r="N17">
        <f t="shared" ref="N17:N29" si="6">2/((1/P17-1/O17)+SIGN(P17)*SQRT((1/P17-1/O17)*(1/P17-1/O17) + 4*$C$5/(($C$5+1)*($C$5+1))*(2*1/P17*1/O17-1/O17*1/O17)))</f>
        <v>0.43657416790430009</v>
      </c>
      <c r="O17">
        <f t="shared" ref="O17:O29" si="7">AF17+AE17*$B$5+AD17*$B$5*$B$5</f>
        <v>2.2483334259484202</v>
      </c>
      <c r="P17">
        <f t="shared" ref="P17:P29" si="8">H17*(1000-(1000*0.61365*EXP(17.502*T17/(240.97+T17))/(CC17+CD17)+BZ17)/2)/(1000*0.61365*EXP(17.502*T17/(240.97+T17))/(CC17+CD17)-BZ17)</f>
        <v>0.39436918139685007</v>
      </c>
      <c r="Q17">
        <f t="shared" ref="Q17:Q29" si="9">1/(($C$5+1)/(N17/1.6)+1/(O17/1.37)) + $C$5/(($C$5+1)/(N17/1.6) + $C$5/(O17/1.37))</f>
        <v>0.24993180389560032</v>
      </c>
      <c r="R17">
        <f t="shared" ref="R17:R29" si="10">(BS17*BU17)</f>
        <v>281.57904728333614</v>
      </c>
      <c r="S17">
        <f t="shared" ref="S17:S29" si="11">(CE17+(R17+2*0.95*0.0000000567*(((CE17+$B$7)+273)^4-(CE17+273)^4)-44100*H17)/(1.84*29.3*O17+8*0.95*0.0000000567*(CE17+273)^3))</f>
        <v>26.396245177681369</v>
      </c>
      <c r="T17">
        <f t="shared" ref="T17:T29" si="12">($C$7*CF17+$D$7*CG17+$E$7*S17)</f>
        <v>26.9558</v>
      </c>
      <c r="U17">
        <f t="shared" ref="U17:U29" si="13">0.61365*EXP(17.502*T17/(240.97+T17))</f>
        <v>3.5698788031015023</v>
      </c>
      <c r="V17">
        <f t="shared" ref="V17:V29" si="14">(W17/X17*100)</f>
        <v>54.594647151268752</v>
      </c>
      <c r="W17">
        <f t="shared" ref="W17:W29" si="15">BZ17*(CC17+CD17)/1000</f>
        <v>1.9023157065803999</v>
      </c>
      <c r="X17">
        <f t="shared" ref="X17:X29" si="16">0.61365*EXP(17.502*CE17/(240.97+CE17))</f>
        <v>3.4844363061996475</v>
      </c>
      <c r="Y17">
        <f t="shared" ref="Y17:Y29" si="17">(U17-BZ17*(CC17+CD17)/1000)</f>
        <v>1.6675630965211024</v>
      </c>
      <c r="Z17">
        <f t="shared" ref="Z17:Z29" si="18">(-H17*44100)</f>
        <v>-301.21328484483143</v>
      </c>
      <c r="AA17">
        <f t="shared" ref="AA17:AA29" si="19">2*29.3*O17*0.92*(CE17-T17)</f>
        <v>-49.903042838311322</v>
      </c>
      <c r="AB17">
        <f t="shared" ref="AB17:AB29" si="20">2*0.95*0.0000000567*(((CE17+$B$7)+273)^4-(T17+273)^4)</f>
        <v>-4.7780983078160624</v>
      </c>
      <c r="AC17">
        <f t="shared" ref="AC17:AC29" si="21">R17+AB17+Z17+AA17</f>
        <v>-74.315378707622656</v>
      </c>
      <c r="AD17">
        <v>-4.1138895761065102E-2</v>
      </c>
      <c r="AE17">
        <v>4.6182014457003998E-2</v>
      </c>
      <c r="AF17">
        <v>3.4522415866047398</v>
      </c>
      <c r="AG17">
        <v>145</v>
      </c>
      <c r="AH17">
        <v>29</v>
      </c>
      <c r="AI17">
        <f t="shared" ref="AI17:AI29" si="22">IF(AG17*$H$13&gt;=AK17,1,(AK17/(AK17-AG17*$H$13)))</f>
        <v>1.0055513101346454</v>
      </c>
      <c r="AJ17">
        <f t="shared" ref="AJ17:AJ29" si="23">(AI17-1)*100</f>
        <v>0.55513101346453819</v>
      </c>
      <c r="AK17">
        <f t="shared" ref="AK17:AK29" si="24">MAX(0,($B$13+$C$13*CH17)/(1+$D$13*CH17)*CC17/(CE17+273)*$E$13)</f>
        <v>52529.92048113513</v>
      </c>
      <c r="AL17" t="s">
        <v>278</v>
      </c>
      <c r="AM17">
        <v>520.33192307692298</v>
      </c>
      <c r="AN17">
        <v>3330.63</v>
      </c>
      <c r="AO17">
        <f t="shared" ref="AO17:AO29" si="25">AN17-AM17</f>
        <v>2810.2980769230771</v>
      </c>
      <c r="AP17">
        <f t="shared" ref="AP17:AP29" si="26">AO17/AN17</f>
        <v>0.84377372356673574</v>
      </c>
      <c r="AQ17">
        <v>-1.3252759154356599</v>
      </c>
      <c r="AR17" t="s">
        <v>279</v>
      </c>
      <c r="AS17">
        <v>894.288461538462</v>
      </c>
      <c r="AT17">
        <v>1395.18</v>
      </c>
      <c r="AU17">
        <f t="shared" ref="AU17:AU29" si="27">1-AS17/AT17</f>
        <v>0.35901571013169487</v>
      </c>
      <c r="AV17">
        <v>0.5</v>
      </c>
      <c r="AW17">
        <f t="shared" ref="AW17:AW29" si="28">BS17</f>
        <v>1471.3386000963274</v>
      </c>
      <c r="AX17">
        <f t="shared" ref="AX17:AX29" si="29">I17</f>
        <v>29.416890798478345</v>
      </c>
      <c r="AY17">
        <f t="shared" ref="AY17:AY29" si="30">AU17*AV17*AW17</f>
        <v>264.11683617887837</v>
      </c>
      <c r="AZ17">
        <f t="shared" ref="AZ17:AZ29" si="31">BE17/AT17</f>
        <v>0.58875557275763701</v>
      </c>
      <c r="BA17">
        <f t="shared" ref="BA17:BA29" si="32">(AX17-AQ17)/AW17</f>
        <v>2.0894012236137446E-2</v>
      </c>
      <c r="BB17">
        <f t="shared" ref="BB17:BB29" si="33">(AN17-AT17)/AT17</f>
        <v>1.3872403560830859</v>
      </c>
      <c r="BC17" t="s">
        <v>280</v>
      </c>
      <c r="BD17">
        <v>573.76</v>
      </c>
      <c r="BE17">
        <f t="shared" ref="BE17:BE29" si="34">AT17-BD17</f>
        <v>821.42000000000007</v>
      </c>
      <c r="BF17">
        <f t="shared" ref="BF17:BF29" si="35">(AT17-AS17)/(AT17-BD17)</f>
        <v>0.60978736634308639</v>
      </c>
      <c r="BG17">
        <f t="shared" ref="BG17:BG29" si="36">(AN17-AT17)/(AN17-BD17)</f>
        <v>0.70204616104495321</v>
      </c>
      <c r="BH17">
        <f t="shared" ref="BH17:BH29" si="37">(AT17-AS17)/(AT17-AM17)</f>
        <v>0.5725468817662841</v>
      </c>
      <c r="BI17">
        <f t="shared" ref="BI17:BI29" si="38">(AN17-AT17)/(AN17-AM17)</f>
        <v>0.68869918671370056</v>
      </c>
      <c r="BJ17">
        <v>1337</v>
      </c>
      <c r="BK17">
        <v>300</v>
      </c>
      <c r="BL17">
        <v>300</v>
      </c>
      <c r="BM17">
        <v>300</v>
      </c>
      <c r="BN17">
        <v>10275.1</v>
      </c>
      <c r="BO17">
        <v>1267.77</v>
      </c>
      <c r="BP17">
        <v>-7.0567E-3</v>
      </c>
      <c r="BQ17">
        <v>4.5511499999999998</v>
      </c>
      <c r="BR17">
        <f t="shared" ref="BR17:BR29" si="39">$B$11*CI17+$C$11*CJ17+$F$11*CK17</f>
        <v>1750.16</v>
      </c>
      <c r="BS17">
        <f t="shared" ref="BS17:BS29" si="40">BR17*BT17</f>
        <v>1471.3386000963274</v>
      </c>
      <c r="BT17">
        <f t="shared" ref="BT17:BT29" si="41">($B$11*$D$9+$C$11*$D$9+$F$11*((CX17+CP17)/MAX(CX17+CP17+CY17, 0.1)*$I$9+CY17/MAX(CX17+CP17+CY17, 0.1)*$J$9))/($B$11+$C$11+$F$11)</f>
        <v>0.8406880514331988</v>
      </c>
      <c r="BU17">
        <f t="shared" ref="BU17:BU29" si="42">($B$11*$K$9+$C$11*$K$9+$F$11*((CX17+CP17)/MAX(CX17+CP17+CY17, 0.1)*$P$9+CY17/MAX(CX17+CP17+CY17, 0.1)*$Q$9))/($B$11+$C$11+$F$11)</f>
        <v>0.19137610286639758</v>
      </c>
      <c r="BV17" t="s">
        <v>281</v>
      </c>
      <c r="BW17">
        <v>1566142661.0999999</v>
      </c>
      <c r="BX17">
        <v>361.904</v>
      </c>
      <c r="BY17">
        <v>399.97199999999998</v>
      </c>
      <c r="BZ17">
        <v>19.211600000000001</v>
      </c>
      <c r="CA17">
        <v>11.2188</v>
      </c>
      <c r="CB17">
        <v>500.048</v>
      </c>
      <c r="CC17">
        <v>98.819100000000006</v>
      </c>
      <c r="CD17">
        <v>0.200019</v>
      </c>
      <c r="CE17">
        <v>26.5441</v>
      </c>
      <c r="CF17">
        <v>26.9558</v>
      </c>
      <c r="CG17">
        <v>999.9</v>
      </c>
      <c r="CH17">
        <v>10039.4</v>
      </c>
      <c r="CI17">
        <v>0</v>
      </c>
      <c r="CJ17">
        <v>357.14100000000002</v>
      </c>
      <c r="CK17">
        <v>1750.16</v>
      </c>
      <c r="CL17">
        <v>0.97699999999999998</v>
      </c>
      <c r="CM17">
        <v>2.2999800000000001E-2</v>
      </c>
      <c r="CN17">
        <v>0</v>
      </c>
      <c r="CO17">
        <v>891.76900000000001</v>
      </c>
      <c r="CP17">
        <v>4.99986</v>
      </c>
      <c r="CQ17">
        <v>17899.5</v>
      </c>
      <c r="CR17">
        <v>14222</v>
      </c>
      <c r="CS17">
        <v>45.311999999999998</v>
      </c>
      <c r="CT17">
        <v>47.186999999999998</v>
      </c>
      <c r="CU17">
        <v>46.186999999999998</v>
      </c>
      <c r="CV17">
        <v>46.311999999999998</v>
      </c>
      <c r="CW17">
        <v>46.936999999999998</v>
      </c>
      <c r="CX17">
        <v>1705.02</v>
      </c>
      <c r="CY17">
        <v>40.14</v>
      </c>
      <c r="CZ17">
        <v>0</v>
      </c>
      <c r="DA17">
        <v>391.80000019073498</v>
      </c>
      <c r="DB17">
        <v>894.288461538462</v>
      </c>
      <c r="DC17">
        <v>-18.395008557738102</v>
      </c>
      <c r="DD17">
        <v>-514.88547011568699</v>
      </c>
      <c r="DE17">
        <v>17950.269230769201</v>
      </c>
      <c r="DF17">
        <v>15</v>
      </c>
      <c r="DG17">
        <v>1566142698.5999999</v>
      </c>
      <c r="DH17" t="s">
        <v>282</v>
      </c>
      <c r="DI17">
        <v>32</v>
      </c>
      <c r="DJ17">
        <v>6.2E-2</v>
      </c>
      <c r="DK17">
        <v>4.7E-2</v>
      </c>
      <c r="DL17">
        <v>400</v>
      </c>
      <c r="DM17">
        <v>11</v>
      </c>
      <c r="DN17">
        <v>0.04</v>
      </c>
      <c r="DO17">
        <v>0.01</v>
      </c>
      <c r="DP17">
        <v>28.853201069073499</v>
      </c>
      <c r="DQ17">
        <v>-0.14423746417118699</v>
      </c>
      <c r="DR17">
        <v>5.0433851423217997E-2</v>
      </c>
      <c r="DS17">
        <v>1</v>
      </c>
      <c r="DT17">
        <v>0.46050329506779403</v>
      </c>
      <c r="DU17">
        <v>-5.1510402331237798E-2</v>
      </c>
      <c r="DV17">
        <v>1.0234080301049501E-2</v>
      </c>
      <c r="DW17">
        <v>1</v>
      </c>
      <c r="DX17">
        <v>2</v>
      </c>
      <c r="DY17">
        <v>2</v>
      </c>
      <c r="DZ17" t="s">
        <v>283</v>
      </c>
      <c r="EA17">
        <v>1.8673500000000001</v>
      </c>
      <c r="EB17">
        <v>1.86385</v>
      </c>
      <c r="EC17">
        <v>1.8694900000000001</v>
      </c>
      <c r="ED17">
        <v>1.8673900000000001</v>
      </c>
      <c r="EE17">
        <v>1.8721000000000001</v>
      </c>
      <c r="EF17">
        <v>1.86459</v>
      </c>
      <c r="EG17">
        <v>1.86612</v>
      </c>
      <c r="EH17">
        <v>1.86602</v>
      </c>
      <c r="EI17" t="s">
        <v>284</v>
      </c>
      <c r="EJ17" t="s">
        <v>19</v>
      </c>
      <c r="EK17" t="s">
        <v>19</v>
      </c>
      <c r="EL17" t="s">
        <v>19</v>
      </c>
      <c r="EM17" t="s">
        <v>285</v>
      </c>
      <c r="EN17" t="s">
        <v>286</v>
      </c>
      <c r="EO17" t="s">
        <v>287</v>
      </c>
      <c r="EP17" t="s">
        <v>287</v>
      </c>
      <c r="EQ17" t="s">
        <v>287</v>
      </c>
      <c r="ER17" t="s">
        <v>287</v>
      </c>
      <c r="ES17">
        <v>0</v>
      </c>
      <c r="ET17">
        <v>100</v>
      </c>
      <c r="EU17">
        <v>100</v>
      </c>
      <c r="EV17">
        <v>6.2E-2</v>
      </c>
      <c r="EW17">
        <v>4.7E-2</v>
      </c>
      <c r="EX17">
        <v>2</v>
      </c>
      <c r="EY17">
        <v>335.58300000000003</v>
      </c>
      <c r="EZ17">
        <v>490.54899999999998</v>
      </c>
      <c r="FA17">
        <v>22.726199999999999</v>
      </c>
      <c r="FB17">
        <v>32.909500000000001</v>
      </c>
      <c r="FC17">
        <v>29.999500000000001</v>
      </c>
      <c r="FD17">
        <v>32.803400000000003</v>
      </c>
      <c r="FE17">
        <v>32.775700000000001</v>
      </c>
      <c r="FF17">
        <v>21.9513</v>
      </c>
      <c r="FG17">
        <v>66.828000000000003</v>
      </c>
      <c r="FH17">
        <v>0</v>
      </c>
      <c r="FI17">
        <v>22.7471</v>
      </c>
      <c r="FJ17">
        <v>400</v>
      </c>
      <c r="FK17">
        <v>11.348800000000001</v>
      </c>
      <c r="FL17">
        <v>100.837</v>
      </c>
      <c r="FM17">
        <v>101.312</v>
      </c>
    </row>
    <row r="18" spans="1:169" x14ac:dyDescent="0.35">
      <c r="A18">
        <v>2</v>
      </c>
      <c r="B18">
        <v>1566142780.5999999</v>
      </c>
      <c r="C18">
        <v>119.5</v>
      </c>
      <c r="D18" t="s">
        <v>288</v>
      </c>
      <c r="E18" t="s">
        <v>289</v>
      </c>
      <c r="G18">
        <v>1566142780.5999999</v>
      </c>
      <c r="H18">
        <f t="shared" si="0"/>
        <v>6.1762329427154129E-3</v>
      </c>
      <c r="I18">
        <f t="shared" si="1"/>
        <v>21.505607117496812</v>
      </c>
      <c r="J18">
        <f t="shared" si="2"/>
        <v>272.30697529474634</v>
      </c>
      <c r="K18">
        <f t="shared" si="3"/>
        <v>171.08276654957601</v>
      </c>
      <c r="L18">
        <f t="shared" si="4"/>
        <v>16.941513215015103</v>
      </c>
      <c r="M18">
        <f t="shared" si="5"/>
        <v>26.965265488385157</v>
      </c>
      <c r="N18">
        <f t="shared" si="6"/>
        <v>0.39143568332142448</v>
      </c>
      <c r="O18">
        <f t="shared" si="7"/>
        <v>2.2403221181352335</v>
      </c>
      <c r="P18">
        <f t="shared" si="8"/>
        <v>0.35702919397894384</v>
      </c>
      <c r="Q18">
        <f t="shared" si="9"/>
        <v>0.22598197176432583</v>
      </c>
      <c r="R18">
        <f t="shared" si="10"/>
        <v>281.55829940644651</v>
      </c>
      <c r="S18">
        <f t="shared" si="11"/>
        <v>26.415515778616143</v>
      </c>
      <c r="T18">
        <f t="shared" si="12"/>
        <v>26.984100000000002</v>
      </c>
      <c r="U18">
        <f t="shared" si="13"/>
        <v>3.5758186695404897</v>
      </c>
      <c r="V18">
        <f t="shared" si="14"/>
        <v>55.465897285067399</v>
      </c>
      <c r="W18">
        <f t="shared" si="15"/>
        <v>1.9102366247288003</v>
      </c>
      <c r="X18">
        <f t="shared" si="16"/>
        <v>3.4439839941849755</v>
      </c>
      <c r="Y18">
        <f t="shared" si="17"/>
        <v>1.6655820448116894</v>
      </c>
      <c r="Z18">
        <f t="shared" si="18"/>
        <v>-272.37187277374971</v>
      </c>
      <c r="AA18">
        <f t="shared" si="19"/>
        <v>-77.057796968994694</v>
      </c>
      <c r="AB18">
        <f t="shared" si="20"/>
        <v>-7.3982043245875326</v>
      </c>
      <c r="AC18">
        <f t="shared" si="21"/>
        <v>-75.269574660885439</v>
      </c>
      <c r="AD18">
        <v>-4.0923709479958499E-2</v>
      </c>
      <c r="AE18">
        <v>4.5940449005108297E-2</v>
      </c>
      <c r="AF18">
        <v>3.4379329653830899</v>
      </c>
      <c r="AG18">
        <v>144</v>
      </c>
      <c r="AH18">
        <v>29</v>
      </c>
      <c r="AI18">
        <f t="shared" si="22"/>
        <v>1.005537061719344</v>
      </c>
      <c r="AJ18">
        <f t="shared" si="23"/>
        <v>0.55370617193439831</v>
      </c>
      <c r="AK18">
        <f t="shared" si="24"/>
        <v>52301.146068764101</v>
      </c>
      <c r="AL18" t="s">
        <v>278</v>
      </c>
      <c r="AM18">
        <v>520.33192307692298</v>
      </c>
      <c r="AN18">
        <v>3330.63</v>
      </c>
      <c r="AO18">
        <f t="shared" si="25"/>
        <v>2810.2980769230771</v>
      </c>
      <c r="AP18">
        <f t="shared" si="26"/>
        <v>0.84377372356673574</v>
      </c>
      <c r="AQ18">
        <v>-1.3252759154356599</v>
      </c>
      <c r="AR18" t="s">
        <v>290</v>
      </c>
      <c r="AS18">
        <v>842.49434615384598</v>
      </c>
      <c r="AT18">
        <v>1270.6400000000001</v>
      </c>
      <c r="AU18">
        <f t="shared" si="27"/>
        <v>0.33695275911836087</v>
      </c>
      <c r="AV18">
        <v>0.5</v>
      </c>
      <c r="AW18">
        <f t="shared" si="28"/>
        <v>1471.2294000963343</v>
      </c>
      <c r="AX18">
        <f t="shared" si="29"/>
        <v>21.505607117496812</v>
      </c>
      <c r="AY18">
        <f t="shared" si="30"/>
        <v>247.86740282925535</v>
      </c>
      <c r="AZ18">
        <f t="shared" si="31"/>
        <v>0.54934521186173901</v>
      </c>
      <c r="BA18">
        <f t="shared" si="32"/>
        <v>1.5518234635222443E-2</v>
      </c>
      <c r="BB18">
        <f t="shared" si="33"/>
        <v>1.6212223761254168</v>
      </c>
      <c r="BC18" t="s">
        <v>291</v>
      </c>
      <c r="BD18">
        <v>572.62</v>
      </c>
      <c r="BE18">
        <f t="shared" si="34"/>
        <v>698.0200000000001</v>
      </c>
      <c r="BF18">
        <f t="shared" si="35"/>
        <v>0.61337161377346505</v>
      </c>
      <c r="BG18">
        <f t="shared" si="36"/>
        <v>0.74691172258258653</v>
      </c>
      <c r="BH18">
        <f t="shared" si="37"/>
        <v>0.57062647599627048</v>
      </c>
      <c r="BI18">
        <f t="shared" si="38"/>
        <v>0.73301477053830166</v>
      </c>
      <c r="BJ18">
        <v>1339</v>
      </c>
      <c r="BK18">
        <v>300</v>
      </c>
      <c r="BL18">
        <v>300</v>
      </c>
      <c r="BM18">
        <v>300</v>
      </c>
      <c r="BN18">
        <v>10273.799999999999</v>
      </c>
      <c r="BO18">
        <v>1164.54</v>
      </c>
      <c r="BP18">
        <v>-7.0559500000000001E-3</v>
      </c>
      <c r="BQ18">
        <v>4.3344699999999996</v>
      </c>
      <c r="BR18">
        <f t="shared" si="39"/>
        <v>1750.03</v>
      </c>
      <c r="BS18">
        <f t="shared" si="40"/>
        <v>1471.2294000963343</v>
      </c>
      <c r="BT18">
        <f t="shared" si="41"/>
        <v>0.84068810254471882</v>
      </c>
      <c r="BU18">
        <f t="shared" si="42"/>
        <v>0.19137620508943773</v>
      </c>
      <c r="BV18" t="s">
        <v>281</v>
      </c>
      <c r="BW18">
        <v>1566142780.5999999</v>
      </c>
      <c r="BX18">
        <v>272.30700000000002</v>
      </c>
      <c r="BY18">
        <v>299.98599999999999</v>
      </c>
      <c r="BZ18">
        <v>19.290400000000002</v>
      </c>
      <c r="CA18">
        <v>12.063700000000001</v>
      </c>
      <c r="CB18">
        <v>500.06900000000002</v>
      </c>
      <c r="CC18">
        <v>98.825400000000002</v>
      </c>
      <c r="CD18">
        <v>0.199847</v>
      </c>
      <c r="CE18">
        <v>26.3461</v>
      </c>
      <c r="CF18">
        <v>26.984100000000002</v>
      </c>
      <c r="CG18">
        <v>999.9</v>
      </c>
      <c r="CH18">
        <v>9986.25</v>
      </c>
      <c r="CI18">
        <v>0</v>
      </c>
      <c r="CJ18">
        <v>476.44900000000001</v>
      </c>
      <c r="CK18">
        <v>1750.03</v>
      </c>
      <c r="CL18">
        <v>0.97699999999999998</v>
      </c>
      <c r="CM18">
        <v>2.2999800000000001E-2</v>
      </c>
      <c r="CN18">
        <v>0</v>
      </c>
      <c r="CO18">
        <v>840.96299999999997</v>
      </c>
      <c r="CP18">
        <v>4.99986</v>
      </c>
      <c r="CQ18">
        <v>16924.3</v>
      </c>
      <c r="CR18">
        <v>14221</v>
      </c>
      <c r="CS18">
        <v>45.25</v>
      </c>
      <c r="CT18">
        <v>46.875</v>
      </c>
      <c r="CU18">
        <v>46.125</v>
      </c>
      <c r="CV18">
        <v>46</v>
      </c>
      <c r="CW18">
        <v>46.875</v>
      </c>
      <c r="CX18">
        <v>1704.89</v>
      </c>
      <c r="CY18">
        <v>40.14</v>
      </c>
      <c r="CZ18">
        <v>0</v>
      </c>
      <c r="DA18">
        <v>119</v>
      </c>
      <c r="DB18">
        <v>842.49434615384598</v>
      </c>
      <c r="DC18">
        <v>-12.0820171009888</v>
      </c>
      <c r="DD18">
        <v>-583.98632534484295</v>
      </c>
      <c r="DE18">
        <v>16985.2846153846</v>
      </c>
      <c r="DF18">
        <v>15</v>
      </c>
      <c r="DG18">
        <v>1566142819.5999999</v>
      </c>
      <c r="DH18" t="s">
        <v>292</v>
      </c>
      <c r="DI18">
        <v>33</v>
      </c>
      <c r="DJ18">
        <v>-5.1999999999999998E-2</v>
      </c>
      <c r="DK18">
        <v>5.7000000000000002E-2</v>
      </c>
      <c r="DL18">
        <v>300</v>
      </c>
      <c r="DM18">
        <v>12</v>
      </c>
      <c r="DN18">
        <v>0.09</v>
      </c>
      <c r="DO18">
        <v>0.01</v>
      </c>
      <c r="DP18">
        <v>21.389919423779201</v>
      </c>
      <c r="DQ18">
        <v>0.29274160646240399</v>
      </c>
      <c r="DR18">
        <v>0.10210072233475399</v>
      </c>
      <c r="DS18">
        <v>1</v>
      </c>
      <c r="DT18">
        <v>0.39136857269498199</v>
      </c>
      <c r="DU18">
        <v>-3.2225261399548202E-3</v>
      </c>
      <c r="DV18">
        <v>1.79009417637799E-3</v>
      </c>
      <c r="DW18">
        <v>1</v>
      </c>
      <c r="DX18">
        <v>2</v>
      </c>
      <c r="DY18">
        <v>2</v>
      </c>
      <c r="DZ18" t="s">
        <v>283</v>
      </c>
      <c r="EA18">
        <v>1.8673299999999999</v>
      </c>
      <c r="EB18">
        <v>1.86382</v>
      </c>
      <c r="EC18">
        <v>1.86948</v>
      </c>
      <c r="ED18">
        <v>1.86737</v>
      </c>
      <c r="EE18">
        <v>1.8721000000000001</v>
      </c>
      <c r="EF18">
        <v>1.86459</v>
      </c>
      <c r="EG18">
        <v>1.8661399999999999</v>
      </c>
      <c r="EH18">
        <v>1.8660099999999999</v>
      </c>
      <c r="EI18" t="s">
        <v>284</v>
      </c>
      <c r="EJ18" t="s">
        <v>19</v>
      </c>
      <c r="EK18" t="s">
        <v>19</v>
      </c>
      <c r="EL18" t="s">
        <v>19</v>
      </c>
      <c r="EM18" t="s">
        <v>285</v>
      </c>
      <c r="EN18" t="s">
        <v>286</v>
      </c>
      <c r="EO18" t="s">
        <v>287</v>
      </c>
      <c r="EP18" t="s">
        <v>287</v>
      </c>
      <c r="EQ18" t="s">
        <v>287</v>
      </c>
      <c r="ER18" t="s">
        <v>287</v>
      </c>
      <c r="ES18">
        <v>0</v>
      </c>
      <c r="ET18">
        <v>100</v>
      </c>
      <c r="EU18">
        <v>100</v>
      </c>
      <c r="EV18">
        <v>-5.1999999999999998E-2</v>
      </c>
      <c r="EW18">
        <v>5.7000000000000002E-2</v>
      </c>
      <c r="EX18">
        <v>2</v>
      </c>
      <c r="EY18">
        <v>336.83499999999998</v>
      </c>
      <c r="EZ18">
        <v>492.17200000000003</v>
      </c>
      <c r="FA18">
        <v>21.649699999999999</v>
      </c>
      <c r="FB18">
        <v>32.734400000000001</v>
      </c>
      <c r="FC18">
        <v>29.998899999999999</v>
      </c>
      <c r="FD18">
        <v>32.731699999999996</v>
      </c>
      <c r="FE18">
        <v>32.714100000000002</v>
      </c>
      <c r="FF18">
        <v>17.5092</v>
      </c>
      <c r="FG18">
        <v>65.047399999999996</v>
      </c>
      <c r="FH18">
        <v>0</v>
      </c>
      <c r="FI18">
        <v>21.672699999999999</v>
      </c>
      <c r="FJ18">
        <v>300</v>
      </c>
      <c r="FK18">
        <v>11.9876</v>
      </c>
      <c r="FL18">
        <v>100.86</v>
      </c>
      <c r="FM18">
        <v>101.345</v>
      </c>
    </row>
    <row r="19" spans="1:169" x14ac:dyDescent="0.35">
      <c r="A19">
        <v>3</v>
      </c>
      <c r="B19">
        <v>1566142904.5999999</v>
      </c>
      <c r="C19">
        <v>243.5</v>
      </c>
      <c r="D19" t="s">
        <v>293</v>
      </c>
      <c r="E19" t="s">
        <v>294</v>
      </c>
      <c r="G19">
        <v>1566142904.5999999</v>
      </c>
      <c r="H19">
        <f t="shared" si="0"/>
        <v>6.1832394826844246E-3</v>
      </c>
      <c r="I19">
        <f t="shared" si="1"/>
        <v>13.495967641789193</v>
      </c>
      <c r="J19">
        <f t="shared" si="2"/>
        <v>182.53498466592629</v>
      </c>
      <c r="K19">
        <f t="shared" si="3"/>
        <v>119.09727252931044</v>
      </c>
      <c r="L19">
        <f t="shared" si="4"/>
        <v>11.793313122854547</v>
      </c>
      <c r="M19">
        <f t="shared" si="5"/>
        <v>18.075075812596243</v>
      </c>
      <c r="N19">
        <f t="shared" si="6"/>
        <v>0.39405302095766992</v>
      </c>
      <c r="O19">
        <f t="shared" si="7"/>
        <v>2.2488581692844929</v>
      </c>
      <c r="P19">
        <f t="shared" si="8"/>
        <v>0.35932658226516434</v>
      </c>
      <c r="Q19">
        <f t="shared" si="9"/>
        <v>0.22744357255014486</v>
      </c>
      <c r="R19">
        <f t="shared" si="10"/>
        <v>281.54018168491405</v>
      </c>
      <c r="S19">
        <f t="shared" si="11"/>
        <v>26.40001281352443</v>
      </c>
      <c r="T19">
        <f t="shared" si="12"/>
        <v>26.910299999999999</v>
      </c>
      <c r="U19">
        <f t="shared" si="13"/>
        <v>3.5603468968156191</v>
      </c>
      <c r="V19">
        <f t="shared" si="14"/>
        <v>55.308903749784363</v>
      </c>
      <c r="W19">
        <f t="shared" si="15"/>
        <v>1.9033912479322002</v>
      </c>
      <c r="X19">
        <f t="shared" si="16"/>
        <v>3.4413830665367704</v>
      </c>
      <c r="Y19">
        <f t="shared" si="17"/>
        <v>1.656955648883419</v>
      </c>
      <c r="Z19">
        <f t="shared" si="18"/>
        <v>-272.68086118638314</v>
      </c>
      <c r="AA19">
        <f t="shared" si="19"/>
        <v>-69.955734816162419</v>
      </c>
      <c r="AB19">
        <f t="shared" si="20"/>
        <v>-6.6879511644298208</v>
      </c>
      <c r="AC19">
        <f t="shared" si="21"/>
        <v>-67.784365482061332</v>
      </c>
      <c r="AD19">
        <v>-4.1153014643319302E-2</v>
      </c>
      <c r="AE19">
        <v>4.6197864139216303E-2</v>
      </c>
      <c r="AF19">
        <v>3.4531795116086901</v>
      </c>
      <c r="AG19">
        <v>143</v>
      </c>
      <c r="AH19">
        <v>29</v>
      </c>
      <c r="AI19">
        <f t="shared" si="22"/>
        <v>1.0054686315955399</v>
      </c>
      <c r="AJ19">
        <f t="shared" si="23"/>
        <v>0.54686315955398968</v>
      </c>
      <c r="AK19">
        <f t="shared" si="24"/>
        <v>52584.275172395901</v>
      </c>
      <c r="AL19" t="s">
        <v>278</v>
      </c>
      <c r="AM19">
        <v>520.33192307692298</v>
      </c>
      <c r="AN19">
        <v>3330.63</v>
      </c>
      <c r="AO19">
        <f t="shared" si="25"/>
        <v>2810.2980769230771</v>
      </c>
      <c r="AP19">
        <f t="shared" si="26"/>
        <v>0.84377372356673574</v>
      </c>
      <c r="AQ19">
        <v>-1.3252759154356599</v>
      </c>
      <c r="AR19" t="s">
        <v>295</v>
      </c>
      <c r="AS19">
        <v>823.46334615384603</v>
      </c>
      <c r="AT19">
        <v>1185.6600000000001</v>
      </c>
      <c r="AU19">
        <f t="shared" si="27"/>
        <v>0.30548104333970449</v>
      </c>
      <c r="AV19">
        <v>0.5</v>
      </c>
      <c r="AW19">
        <f t="shared" si="28"/>
        <v>1471.1367000963162</v>
      </c>
      <c r="AX19">
        <f t="shared" si="29"/>
        <v>13.495967641789193</v>
      </c>
      <c r="AY19">
        <f t="shared" si="30"/>
        <v>224.7021870203763</v>
      </c>
      <c r="AZ19">
        <f t="shared" si="31"/>
        <v>0.50808832211595234</v>
      </c>
      <c r="BA19">
        <f t="shared" si="32"/>
        <v>1.0074688202839679E-2</v>
      </c>
      <c r="BB19">
        <f t="shared" si="33"/>
        <v>1.8090936693487172</v>
      </c>
      <c r="BC19" t="s">
        <v>296</v>
      </c>
      <c r="BD19">
        <v>583.24</v>
      </c>
      <c r="BE19">
        <f t="shared" si="34"/>
        <v>602.42000000000007</v>
      </c>
      <c r="BF19">
        <f t="shared" si="35"/>
        <v>0.60123610412362472</v>
      </c>
      <c r="BG19">
        <f t="shared" si="36"/>
        <v>0.78073007472546674</v>
      </c>
      <c r="BH19">
        <f t="shared" si="37"/>
        <v>0.54438804915793437</v>
      </c>
      <c r="BI19">
        <f t="shared" si="38"/>
        <v>0.76325355577529075</v>
      </c>
      <c r="BJ19">
        <v>1341</v>
      </c>
      <c r="BK19">
        <v>300</v>
      </c>
      <c r="BL19">
        <v>300</v>
      </c>
      <c r="BM19">
        <v>300</v>
      </c>
      <c r="BN19">
        <v>10273.4</v>
      </c>
      <c r="BO19">
        <v>1097.54</v>
      </c>
      <c r="BP19">
        <v>-7.0553200000000003E-3</v>
      </c>
      <c r="BQ19">
        <v>4.8883099999999997</v>
      </c>
      <c r="BR19">
        <f t="shared" si="39"/>
        <v>1749.92</v>
      </c>
      <c r="BS19">
        <f t="shared" si="40"/>
        <v>1471.1367000963162</v>
      </c>
      <c r="BT19">
        <f t="shared" si="41"/>
        <v>0.84068797436243725</v>
      </c>
      <c r="BU19">
        <f t="shared" si="42"/>
        <v>0.19137594872487473</v>
      </c>
      <c r="BV19" t="s">
        <v>281</v>
      </c>
      <c r="BW19">
        <v>1566142904.5999999</v>
      </c>
      <c r="BX19">
        <v>182.535</v>
      </c>
      <c r="BY19">
        <v>199.995</v>
      </c>
      <c r="BZ19">
        <v>19.221800000000002</v>
      </c>
      <c r="CA19">
        <v>11.9855</v>
      </c>
      <c r="CB19">
        <v>500.04199999999997</v>
      </c>
      <c r="CC19">
        <v>98.822500000000005</v>
      </c>
      <c r="CD19">
        <v>0.20002900000000001</v>
      </c>
      <c r="CE19">
        <v>26.333300000000001</v>
      </c>
      <c r="CF19">
        <v>26.910299999999999</v>
      </c>
      <c r="CG19">
        <v>999.9</v>
      </c>
      <c r="CH19">
        <v>10042.5</v>
      </c>
      <c r="CI19">
        <v>0</v>
      </c>
      <c r="CJ19">
        <v>237.71600000000001</v>
      </c>
      <c r="CK19">
        <v>1749.92</v>
      </c>
      <c r="CL19">
        <v>0.97699999999999998</v>
      </c>
      <c r="CM19">
        <v>2.2999800000000001E-2</v>
      </c>
      <c r="CN19">
        <v>0</v>
      </c>
      <c r="CO19">
        <v>822.67600000000004</v>
      </c>
      <c r="CP19">
        <v>4.99986</v>
      </c>
      <c r="CQ19">
        <v>15745</v>
      </c>
      <c r="CR19">
        <v>14220.1</v>
      </c>
      <c r="CS19">
        <v>45.186999999999998</v>
      </c>
      <c r="CT19">
        <v>46.625</v>
      </c>
      <c r="CU19">
        <v>46</v>
      </c>
      <c r="CV19">
        <v>45.75</v>
      </c>
      <c r="CW19">
        <v>46.75</v>
      </c>
      <c r="CX19">
        <v>1704.79</v>
      </c>
      <c r="CY19">
        <v>40.130000000000003</v>
      </c>
      <c r="CZ19">
        <v>0</v>
      </c>
      <c r="DA19">
        <v>123.700000047684</v>
      </c>
      <c r="DB19">
        <v>823.46334615384603</v>
      </c>
      <c r="DC19">
        <v>-6.0513162435904899</v>
      </c>
      <c r="DD19">
        <v>-283.76068379511003</v>
      </c>
      <c r="DE19">
        <v>15778.9230769231</v>
      </c>
      <c r="DF19">
        <v>15</v>
      </c>
      <c r="DG19">
        <v>1566142942.0999999</v>
      </c>
      <c r="DH19" t="s">
        <v>297</v>
      </c>
      <c r="DI19">
        <v>34</v>
      </c>
      <c r="DJ19">
        <v>1.7999999999999999E-2</v>
      </c>
      <c r="DK19">
        <v>5.7000000000000002E-2</v>
      </c>
      <c r="DL19">
        <v>200</v>
      </c>
      <c r="DM19">
        <v>12</v>
      </c>
      <c r="DN19">
        <v>0.04</v>
      </c>
      <c r="DO19">
        <v>0.01</v>
      </c>
      <c r="DP19">
        <v>13.471193779699099</v>
      </c>
      <c r="DQ19">
        <v>0.29528171296418998</v>
      </c>
      <c r="DR19">
        <v>7.3543683247302205E-2</v>
      </c>
      <c r="DS19">
        <v>1</v>
      </c>
      <c r="DT19">
        <v>0.38878761431222603</v>
      </c>
      <c r="DU19">
        <v>6.6310534090043699E-3</v>
      </c>
      <c r="DV19">
        <v>2.79267246311938E-3</v>
      </c>
      <c r="DW19">
        <v>1</v>
      </c>
      <c r="DX19">
        <v>2</v>
      </c>
      <c r="DY19">
        <v>2</v>
      </c>
      <c r="DZ19" t="s">
        <v>283</v>
      </c>
      <c r="EA19">
        <v>1.8673299999999999</v>
      </c>
      <c r="EB19">
        <v>1.8638300000000001</v>
      </c>
      <c r="EC19">
        <v>1.86951</v>
      </c>
      <c r="ED19">
        <v>1.86738</v>
      </c>
      <c r="EE19">
        <v>1.8721000000000001</v>
      </c>
      <c r="EF19">
        <v>1.8645700000000001</v>
      </c>
      <c r="EG19">
        <v>1.86608</v>
      </c>
      <c r="EH19">
        <v>1.8660000000000001</v>
      </c>
      <c r="EI19" t="s">
        <v>284</v>
      </c>
      <c r="EJ19" t="s">
        <v>19</v>
      </c>
      <c r="EK19" t="s">
        <v>19</v>
      </c>
      <c r="EL19" t="s">
        <v>19</v>
      </c>
      <c r="EM19" t="s">
        <v>285</v>
      </c>
      <c r="EN19" t="s">
        <v>286</v>
      </c>
      <c r="EO19" t="s">
        <v>287</v>
      </c>
      <c r="EP19" t="s">
        <v>287</v>
      </c>
      <c r="EQ19" t="s">
        <v>287</v>
      </c>
      <c r="ER19" t="s">
        <v>287</v>
      </c>
      <c r="ES19">
        <v>0</v>
      </c>
      <c r="ET19">
        <v>100</v>
      </c>
      <c r="EU19">
        <v>100</v>
      </c>
      <c r="EV19">
        <v>1.7999999999999999E-2</v>
      </c>
      <c r="EW19">
        <v>5.7000000000000002E-2</v>
      </c>
      <c r="EX19">
        <v>2</v>
      </c>
      <c r="EY19">
        <v>337.928</v>
      </c>
      <c r="EZ19">
        <v>492.90899999999999</v>
      </c>
      <c r="FA19">
        <v>22.500900000000001</v>
      </c>
      <c r="FB19">
        <v>32.472200000000001</v>
      </c>
      <c r="FC19">
        <v>29.9984</v>
      </c>
      <c r="FD19">
        <v>32.567100000000003</v>
      </c>
      <c r="FE19">
        <v>32.563800000000001</v>
      </c>
      <c r="FF19">
        <v>12.876799999999999</v>
      </c>
      <c r="FG19">
        <v>65.032399999999996</v>
      </c>
      <c r="FH19">
        <v>0</v>
      </c>
      <c r="FI19">
        <v>22.523299999999999</v>
      </c>
      <c r="FJ19">
        <v>200</v>
      </c>
      <c r="FK19">
        <v>11.945600000000001</v>
      </c>
      <c r="FL19">
        <v>100.9</v>
      </c>
      <c r="FM19">
        <v>101.399</v>
      </c>
    </row>
    <row r="20" spans="1:169" x14ac:dyDescent="0.35">
      <c r="A20">
        <v>4</v>
      </c>
      <c r="B20">
        <v>1566143024.7</v>
      </c>
      <c r="C20">
        <v>363.60000014305098</v>
      </c>
      <c r="D20" t="s">
        <v>298</v>
      </c>
      <c r="E20" t="s">
        <v>299</v>
      </c>
      <c r="G20">
        <v>1566143024.7</v>
      </c>
      <c r="H20">
        <f t="shared" si="0"/>
        <v>6.4581716282220017E-3</v>
      </c>
      <c r="I20">
        <f t="shared" si="1"/>
        <v>5.1466173181356227</v>
      </c>
      <c r="J20">
        <f t="shared" si="2"/>
        <v>93.119794040673511</v>
      </c>
      <c r="K20">
        <f t="shared" si="3"/>
        <v>69.486822231560211</v>
      </c>
      <c r="L20">
        <f t="shared" si="4"/>
        <v>6.881481517375879</v>
      </c>
      <c r="M20">
        <f t="shared" si="5"/>
        <v>9.2219232512506153</v>
      </c>
      <c r="N20">
        <f t="shared" si="6"/>
        <v>0.4179174265676463</v>
      </c>
      <c r="O20">
        <f t="shared" si="7"/>
        <v>2.2347007676248891</v>
      </c>
      <c r="P20">
        <f t="shared" si="8"/>
        <v>0.37885770379516975</v>
      </c>
      <c r="Q20">
        <f t="shared" si="9"/>
        <v>0.23999047101785875</v>
      </c>
      <c r="R20">
        <f t="shared" si="10"/>
        <v>281.55455848317769</v>
      </c>
      <c r="S20">
        <f t="shared" si="11"/>
        <v>26.506483382903522</v>
      </c>
      <c r="T20">
        <f t="shared" si="12"/>
        <v>26.9681</v>
      </c>
      <c r="U20">
        <f t="shared" si="13"/>
        <v>3.5724593820755444</v>
      </c>
      <c r="V20">
        <f t="shared" si="14"/>
        <v>55.46639095861363</v>
      </c>
      <c r="W20">
        <f t="shared" si="15"/>
        <v>1.9312108730299999</v>
      </c>
      <c r="X20">
        <f t="shared" si="16"/>
        <v>3.4817676788651655</v>
      </c>
      <c r="Y20">
        <f t="shared" si="17"/>
        <v>1.6412485090455444</v>
      </c>
      <c r="Z20">
        <f t="shared" si="18"/>
        <v>-284.80536880459027</v>
      </c>
      <c r="AA20">
        <f t="shared" si="19"/>
        <v>-52.648531061692488</v>
      </c>
      <c r="AB20">
        <f t="shared" si="20"/>
        <v>-5.0717069979995157</v>
      </c>
      <c r="AC20">
        <f t="shared" si="21"/>
        <v>-60.971048381104588</v>
      </c>
      <c r="AD20">
        <v>-4.0773128361808901E-2</v>
      </c>
      <c r="AE20">
        <v>4.5771408508354899E-2</v>
      </c>
      <c r="AF20">
        <v>3.4279049375998798</v>
      </c>
      <c r="AG20">
        <v>141</v>
      </c>
      <c r="AH20">
        <v>28</v>
      </c>
      <c r="AI20">
        <f t="shared" si="22"/>
        <v>1.0054437661817579</v>
      </c>
      <c r="AJ20">
        <f t="shared" si="23"/>
        <v>0.54437661817579031</v>
      </c>
      <c r="AK20">
        <f t="shared" si="24"/>
        <v>52084.37184781742</v>
      </c>
      <c r="AL20" t="s">
        <v>278</v>
      </c>
      <c r="AM20">
        <v>520.33192307692298</v>
      </c>
      <c r="AN20">
        <v>3330.63</v>
      </c>
      <c r="AO20">
        <f t="shared" si="25"/>
        <v>2810.2980769230771</v>
      </c>
      <c r="AP20">
        <f t="shared" si="26"/>
        <v>0.84377372356673574</v>
      </c>
      <c r="AQ20">
        <v>-1.3252759154356599</v>
      </c>
      <c r="AR20" t="s">
        <v>300</v>
      </c>
      <c r="AS20">
        <v>822.08919230769197</v>
      </c>
      <c r="AT20">
        <v>1117.6500000000001</v>
      </c>
      <c r="AU20">
        <f t="shared" si="27"/>
        <v>0.2644484478077288</v>
      </c>
      <c r="AV20">
        <v>0.5</v>
      </c>
      <c r="AW20">
        <f t="shared" si="28"/>
        <v>1471.2123069757411</v>
      </c>
      <c r="AX20">
        <f t="shared" si="29"/>
        <v>5.1466173181356227</v>
      </c>
      <c r="AY20">
        <f t="shared" si="30"/>
        <v>194.52990548768128</v>
      </c>
      <c r="AZ20">
        <f t="shared" si="31"/>
        <v>0.46065405091039241</v>
      </c>
      <c r="BA20">
        <f t="shared" si="32"/>
        <v>4.3990205919872032E-3</v>
      </c>
      <c r="BB20">
        <f t="shared" si="33"/>
        <v>1.9800295262380887</v>
      </c>
      <c r="BC20" t="s">
        <v>301</v>
      </c>
      <c r="BD20">
        <v>602.79999999999995</v>
      </c>
      <c r="BE20">
        <f t="shared" si="34"/>
        <v>514.85000000000014</v>
      </c>
      <c r="BF20">
        <f t="shared" si="35"/>
        <v>0.57407168630146266</v>
      </c>
      <c r="BG20">
        <f t="shared" si="36"/>
        <v>0.81126023249249402</v>
      </c>
      <c r="BH20">
        <f t="shared" si="37"/>
        <v>0.4948130972610269</v>
      </c>
      <c r="BI20">
        <f t="shared" si="38"/>
        <v>0.78745383565252791</v>
      </c>
      <c r="BJ20">
        <v>1343</v>
      </c>
      <c r="BK20">
        <v>300</v>
      </c>
      <c r="BL20">
        <v>300</v>
      </c>
      <c r="BM20">
        <v>300</v>
      </c>
      <c r="BN20">
        <v>10273.9</v>
      </c>
      <c r="BO20">
        <v>1048.04</v>
      </c>
      <c r="BP20">
        <v>-7.0553100000000004E-3</v>
      </c>
      <c r="BQ20">
        <v>3.8377699999999999</v>
      </c>
      <c r="BR20">
        <f t="shared" si="39"/>
        <v>1750.01</v>
      </c>
      <c r="BS20">
        <f t="shared" si="40"/>
        <v>1471.2123069757411</v>
      </c>
      <c r="BT20">
        <f t="shared" si="41"/>
        <v>0.8406879429121783</v>
      </c>
      <c r="BU20">
        <f t="shared" si="42"/>
        <v>0.19137588582435658</v>
      </c>
      <c r="BV20" t="s">
        <v>281</v>
      </c>
      <c r="BW20">
        <v>1566143024.7</v>
      </c>
      <c r="BX20">
        <v>93.119799999999998</v>
      </c>
      <c r="BY20">
        <v>99.983400000000003</v>
      </c>
      <c r="BZ20">
        <v>19.500699999999998</v>
      </c>
      <c r="CA20">
        <v>11.944599999999999</v>
      </c>
      <c r="CB20">
        <v>500.041</v>
      </c>
      <c r="CC20">
        <v>98.832899999999995</v>
      </c>
      <c r="CD20">
        <v>0.2</v>
      </c>
      <c r="CE20">
        <v>26.531099999999999</v>
      </c>
      <c r="CF20">
        <v>26.9681</v>
      </c>
      <c r="CG20">
        <v>999.9</v>
      </c>
      <c r="CH20">
        <v>9948.75</v>
      </c>
      <c r="CI20">
        <v>0</v>
      </c>
      <c r="CJ20">
        <v>165.43600000000001</v>
      </c>
      <c r="CK20">
        <v>1750.01</v>
      </c>
      <c r="CL20">
        <v>0.97699999999999998</v>
      </c>
      <c r="CM20">
        <v>2.2999800000000001E-2</v>
      </c>
      <c r="CN20">
        <v>0</v>
      </c>
      <c r="CO20">
        <v>822.505</v>
      </c>
      <c r="CP20">
        <v>4.99986</v>
      </c>
      <c r="CQ20">
        <v>15344.9</v>
      </c>
      <c r="CR20">
        <v>14220.8</v>
      </c>
      <c r="CS20">
        <v>45</v>
      </c>
      <c r="CT20">
        <v>46.375</v>
      </c>
      <c r="CU20">
        <v>45.75</v>
      </c>
      <c r="CV20">
        <v>45.436999999999998</v>
      </c>
      <c r="CW20">
        <v>46.561999999999998</v>
      </c>
      <c r="CX20">
        <v>1704.87</v>
      </c>
      <c r="CY20">
        <v>40.130000000000003</v>
      </c>
      <c r="CZ20">
        <v>0</v>
      </c>
      <c r="DA20">
        <v>119.60000014305101</v>
      </c>
      <c r="DB20">
        <v>822.08919230769197</v>
      </c>
      <c r="DC20">
        <v>0.62499146638648895</v>
      </c>
      <c r="DD20">
        <v>-188.32136775644699</v>
      </c>
      <c r="DE20">
        <v>15375.6769230769</v>
      </c>
      <c r="DF20">
        <v>15</v>
      </c>
      <c r="DG20">
        <v>1566143063.0999999</v>
      </c>
      <c r="DH20" t="s">
        <v>302</v>
      </c>
      <c r="DI20">
        <v>35</v>
      </c>
      <c r="DJ20">
        <v>-8.1000000000000003E-2</v>
      </c>
      <c r="DK20">
        <v>5.8000000000000003E-2</v>
      </c>
      <c r="DL20">
        <v>100</v>
      </c>
      <c r="DM20">
        <v>12</v>
      </c>
      <c r="DN20">
        <v>0.22</v>
      </c>
      <c r="DO20">
        <v>0.01</v>
      </c>
      <c r="DP20">
        <v>5.0528930746179901</v>
      </c>
      <c r="DQ20">
        <v>0.23712070393132401</v>
      </c>
      <c r="DR20">
        <v>8.5560250173332603E-2</v>
      </c>
      <c r="DS20">
        <v>1</v>
      </c>
      <c r="DT20">
        <v>0.40898714387176699</v>
      </c>
      <c r="DU20">
        <v>2.62072014877298E-2</v>
      </c>
      <c r="DV20">
        <v>5.4000901602145497E-3</v>
      </c>
      <c r="DW20">
        <v>1</v>
      </c>
      <c r="DX20">
        <v>2</v>
      </c>
      <c r="DY20">
        <v>2</v>
      </c>
      <c r="DZ20" t="s">
        <v>283</v>
      </c>
      <c r="EA20">
        <v>1.86731</v>
      </c>
      <c r="EB20">
        <v>1.8638399999999999</v>
      </c>
      <c r="EC20">
        <v>1.86947</v>
      </c>
      <c r="ED20">
        <v>1.86737</v>
      </c>
      <c r="EE20">
        <v>1.8721000000000001</v>
      </c>
      <c r="EF20">
        <v>1.8645499999999999</v>
      </c>
      <c r="EG20">
        <v>1.86609</v>
      </c>
      <c r="EH20">
        <v>1.86602</v>
      </c>
      <c r="EI20" t="s">
        <v>284</v>
      </c>
      <c r="EJ20" t="s">
        <v>19</v>
      </c>
      <c r="EK20" t="s">
        <v>19</v>
      </c>
      <c r="EL20" t="s">
        <v>19</v>
      </c>
      <c r="EM20" t="s">
        <v>285</v>
      </c>
      <c r="EN20" t="s">
        <v>286</v>
      </c>
      <c r="EO20" t="s">
        <v>287</v>
      </c>
      <c r="EP20" t="s">
        <v>287</v>
      </c>
      <c r="EQ20" t="s">
        <v>287</v>
      </c>
      <c r="ER20" t="s">
        <v>287</v>
      </c>
      <c r="ES20">
        <v>0</v>
      </c>
      <c r="ET20">
        <v>100</v>
      </c>
      <c r="EU20">
        <v>100</v>
      </c>
      <c r="EV20">
        <v>-8.1000000000000003E-2</v>
      </c>
      <c r="EW20">
        <v>5.8000000000000003E-2</v>
      </c>
      <c r="EX20">
        <v>2</v>
      </c>
      <c r="EY20">
        <v>339.274</v>
      </c>
      <c r="EZ20">
        <v>493.84</v>
      </c>
      <c r="FA20">
        <v>23.137</v>
      </c>
      <c r="FB20">
        <v>32.162500000000001</v>
      </c>
      <c r="FC20">
        <v>29.998999999999999</v>
      </c>
      <c r="FD20">
        <v>32.337299999999999</v>
      </c>
      <c r="FE20">
        <v>32.343299999999999</v>
      </c>
      <c r="FF20">
        <v>8.0674799999999998</v>
      </c>
      <c r="FG20">
        <v>65.048199999999994</v>
      </c>
      <c r="FH20">
        <v>0</v>
      </c>
      <c r="FI20">
        <v>23.1557</v>
      </c>
      <c r="FJ20">
        <v>100</v>
      </c>
      <c r="FK20">
        <v>11.866</v>
      </c>
      <c r="FL20">
        <v>100.946</v>
      </c>
      <c r="FM20">
        <v>101.459</v>
      </c>
    </row>
    <row r="21" spans="1:169" x14ac:dyDescent="0.35">
      <c r="A21">
        <v>5</v>
      </c>
      <c r="B21">
        <v>1566143143.0999999</v>
      </c>
      <c r="C21">
        <v>482</v>
      </c>
      <c r="D21" t="s">
        <v>303</v>
      </c>
      <c r="E21" t="s">
        <v>304</v>
      </c>
      <c r="G21">
        <v>1566143143.0999999</v>
      </c>
      <c r="H21">
        <f t="shared" si="0"/>
        <v>6.9015810782619589E-3</v>
      </c>
      <c r="I21">
        <f t="shared" si="1"/>
        <v>0.78465505585710604</v>
      </c>
      <c r="J21">
        <f t="shared" si="2"/>
        <v>48.637399101775941</v>
      </c>
      <c r="K21">
        <f t="shared" si="3"/>
        <v>44.369190489614624</v>
      </c>
      <c r="L21">
        <f t="shared" si="4"/>
        <v>4.3942729359845112</v>
      </c>
      <c r="M21">
        <f t="shared" si="5"/>
        <v>4.816991344469935</v>
      </c>
      <c r="N21">
        <f t="shared" si="6"/>
        <v>0.45405479059821646</v>
      </c>
      <c r="O21">
        <f t="shared" si="7"/>
        <v>2.2441574166212699</v>
      </c>
      <c r="P21">
        <f t="shared" si="8"/>
        <v>0.40851486415020077</v>
      </c>
      <c r="Q21">
        <f t="shared" si="9"/>
        <v>0.25903169590768138</v>
      </c>
      <c r="R21">
        <f t="shared" si="10"/>
        <v>281.569471340154</v>
      </c>
      <c r="S21">
        <f t="shared" si="11"/>
        <v>26.552714628400242</v>
      </c>
      <c r="T21">
        <f t="shared" si="12"/>
        <v>26.969100000000001</v>
      </c>
      <c r="U21">
        <f t="shared" si="13"/>
        <v>3.5726692568033291</v>
      </c>
      <c r="V21">
        <f t="shared" si="14"/>
        <v>55.260459081541256</v>
      </c>
      <c r="W21">
        <f t="shared" si="15"/>
        <v>1.9460932999829996</v>
      </c>
      <c r="X21">
        <f t="shared" si="16"/>
        <v>3.5216741451810636</v>
      </c>
      <c r="Y21">
        <f t="shared" si="17"/>
        <v>1.6265759568203295</v>
      </c>
      <c r="Z21">
        <f t="shared" si="18"/>
        <v>-304.35972555135237</v>
      </c>
      <c r="AA21">
        <f t="shared" si="19"/>
        <v>-29.581325080674869</v>
      </c>
      <c r="AB21">
        <f t="shared" si="20"/>
        <v>-2.8403643896530535</v>
      </c>
      <c r="AC21">
        <f t="shared" si="21"/>
        <v>-55.211943681526321</v>
      </c>
      <c r="AD21">
        <v>-4.10266407760803E-2</v>
      </c>
      <c r="AE21">
        <v>4.6055998402281799E-2</v>
      </c>
      <c r="AF21">
        <v>3.4447804941464701</v>
      </c>
      <c r="AG21">
        <v>141</v>
      </c>
      <c r="AH21">
        <v>28</v>
      </c>
      <c r="AI21">
        <f t="shared" si="22"/>
        <v>1.0054148087084283</v>
      </c>
      <c r="AJ21">
        <f t="shared" si="23"/>
        <v>0.54148087084282537</v>
      </c>
      <c r="AK21">
        <f t="shared" si="24"/>
        <v>52361.402096155929</v>
      </c>
      <c r="AL21" t="s">
        <v>278</v>
      </c>
      <c r="AM21">
        <v>520.33192307692298</v>
      </c>
      <c r="AN21">
        <v>3330.63</v>
      </c>
      <c r="AO21">
        <f t="shared" si="25"/>
        <v>2810.2980769230771</v>
      </c>
      <c r="AP21">
        <f t="shared" si="26"/>
        <v>0.84377372356673574</v>
      </c>
      <c r="AQ21">
        <v>-1.3252759154356599</v>
      </c>
      <c r="AR21" t="s">
        <v>305</v>
      </c>
      <c r="AS21">
        <v>824.66303846153801</v>
      </c>
      <c r="AT21">
        <v>1069.05</v>
      </c>
      <c r="AU21">
        <f t="shared" si="27"/>
        <v>0.22860199386227209</v>
      </c>
      <c r="AV21">
        <v>0.5</v>
      </c>
      <c r="AW21">
        <f t="shared" si="28"/>
        <v>1471.2882000963305</v>
      </c>
      <c r="AX21">
        <f t="shared" si="29"/>
        <v>0.78465505585710604</v>
      </c>
      <c r="AY21">
        <f t="shared" si="30"/>
        <v>168.16970804402735</v>
      </c>
      <c r="AZ21">
        <f t="shared" si="31"/>
        <v>0.42410551424161641</v>
      </c>
      <c r="BA21">
        <f t="shared" si="32"/>
        <v>1.4340704772556603E-3</v>
      </c>
      <c r="BB21">
        <f t="shared" si="33"/>
        <v>2.1155044198119826</v>
      </c>
      <c r="BC21" t="s">
        <v>306</v>
      </c>
      <c r="BD21">
        <v>615.66</v>
      </c>
      <c r="BE21">
        <f t="shared" si="34"/>
        <v>453.39</v>
      </c>
      <c r="BF21">
        <f t="shared" si="35"/>
        <v>0.53902150805810001</v>
      </c>
      <c r="BG21">
        <f t="shared" si="36"/>
        <v>0.8330036795986695</v>
      </c>
      <c r="BH21">
        <f t="shared" si="37"/>
        <v>0.44537800341635503</v>
      </c>
      <c r="BI21">
        <f t="shared" si="38"/>
        <v>0.8047473748678452</v>
      </c>
      <c r="BJ21">
        <v>1345</v>
      </c>
      <c r="BK21">
        <v>300</v>
      </c>
      <c r="BL21">
        <v>300</v>
      </c>
      <c r="BM21">
        <v>300</v>
      </c>
      <c r="BN21">
        <v>10274.299999999999</v>
      </c>
      <c r="BO21">
        <v>1012.05</v>
      </c>
      <c r="BP21">
        <v>-7.0556999999999998E-3</v>
      </c>
      <c r="BQ21">
        <v>2.5303300000000002</v>
      </c>
      <c r="BR21">
        <f t="shared" si="39"/>
        <v>1750.1</v>
      </c>
      <c r="BS21">
        <f t="shared" si="40"/>
        <v>1471.2882000963305</v>
      </c>
      <c r="BT21">
        <f t="shared" si="41"/>
        <v>0.84068807502218756</v>
      </c>
      <c r="BU21">
        <f t="shared" si="42"/>
        <v>0.19137615004437517</v>
      </c>
      <c r="BV21" t="s">
        <v>281</v>
      </c>
      <c r="BW21">
        <v>1566143143.0999999</v>
      </c>
      <c r="BX21">
        <v>48.6374</v>
      </c>
      <c r="BY21">
        <v>49.976500000000001</v>
      </c>
      <c r="BZ21">
        <v>19.649799999999999</v>
      </c>
      <c r="CA21">
        <v>11.576599999999999</v>
      </c>
      <c r="CB21">
        <v>500.084</v>
      </c>
      <c r="CC21">
        <v>98.838899999999995</v>
      </c>
      <c r="CD21">
        <v>0.199935</v>
      </c>
      <c r="CE21">
        <v>26.724599999999999</v>
      </c>
      <c r="CF21">
        <v>26.969100000000001</v>
      </c>
      <c r="CG21">
        <v>999.9</v>
      </c>
      <c r="CH21">
        <v>10010</v>
      </c>
      <c r="CI21">
        <v>0</v>
      </c>
      <c r="CJ21">
        <v>121.596</v>
      </c>
      <c r="CK21">
        <v>1750.1</v>
      </c>
      <c r="CL21">
        <v>0.97699999999999998</v>
      </c>
      <c r="CM21">
        <v>2.2999800000000001E-2</v>
      </c>
      <c r="CN21">
        <v>0</v>
      </c>
      <c r="CO21">
        <v>824.96699999999998</v>
      </c>
      <c r="CP21">
        <v>4.99986</v>
      </c>
      <c r="CQ21">
        <v>15204.6</v>
      </c>
      <c r="CR21">
        <v>14221.6</v>
      </c>
      <c r="CS21">
        <v>44.75</v>
      </c>
      <c r="CT21">
        <v>45.936999999999998</v>
      </c>
      <c r="CU21">
        <v>45.5</v>
      </c>
      <c r="CV21">
        <v>45.061999999999998</v>
      </c>
      <c r="CW21">
        <v>46.311999999999998</v>
      </c>
      <c r="CX21">
        <v>1704.96</v>
      </c>
      <c r="CY21">
        <v>40.14</v>
      </c>
      <c r="CZ21">
        <v>0</v>
      </c>
      <c r="DA21">
        <v>117.799999952316</v>
      </c>
      <c r="DB21">
        <v>824.66303846153801</v>
      </c>
      <c r="DC21">
        <v>-0.35223931578280498</v>
      </c>
      <c r="DD21">
        <v>-34.560683716244803</v>
      </c>
      <c r="DE21">
        <v>15208.3807692308</v>
      </c>
      <c r="DF21">
        <v>15</v>
      </c>
      <c r="DG21">
        <v>1566143176.7</v>
      </c>
      <c r="DH21" t="s">
        <v>307</v>
      </c>
      <c r="DI21">
        <v>36</v>
      </c>
      <c r="DJ21">
        <v>-7.0000000000000007E-2</v>
      </c>
      <c r="DK21">
        <v>0.05</v>
      </c>
      <c r="DL21">
        <v>50</v>
      </c>
      <c r="DM21">
        <v>12</v>
      </c>
      <c r="DN21">
        <v>0.38</v>
      </c>
      <c r="DO21">
        <v>0.01</v>
      </c>
      <c r="DP21">
        <v>0.76511160878093298</v>
      </c>
      <c r="DQ21">
        <v>0.27896714670280698</v>
      </c>
      <c r="DR21">
        <v>7.5854646667258496E-2</v>
      </c>
      <c r="DS21">
        <v>1</v>
      </c>
      <c r="DT21">
        <v>0.44592163813021102</v>
      </c>
      <c r="DU21">
        <v>2.85182814539819E-2</v>
      </c>
      <c r="DV21">
        <v>5.7490550670490099E-3</v>
      </c>
      <c r="DW21">
        <v>1</v>
      </c>
      <c r="DX21">
        <v>2</v>
      </c>
      <c r="DY21">
        <v>2</v>
      </c>
      <c r="DZ21" t="s">
        <v>283</v>
      </c>
      <c r="EA21">
        <v>1.8673</v>
      </c>
      <c r="EB21">
        <v>1.86381</v>
      </c>
      <c r="EC21">
        <v>1.8694299999999999</v>
      </c>
      <c r="ED21">
        <v>1.86737</v>
      </c>
      <c r="EE21">
        <v>1.8721000000000001</v>
      </c>
      <c r="EF21">
        <v>1.86456</v>
      </c>
      <c r="EG21">
        <v>1.86608</v>
      </c>
      <c r="EH21">
        <v>1.8660000000000001</v>
      </c>
      <c r="EI21" t="s">
        <v>284</v>
      </c>
      <c r="EJ21" t="s">
        <v>19</v>
      </c>
      <c r="EK21" t="s">
        <v>19</v>
      </c>
      <c r="EL21" t="s">
        <v>19</v>
      </c>
      <c r="EM21" t="s">
        <v>285</v>
      </c>
      <c r="EN21" t="s">
        <v>286</v>
      </c>
      <c r="EO21" t="s">
        <v>287</v>
      </c>
      <c r="EP21" t="s">
        <v>287</v>
      </c>
      <c r="EQ21" t="s">
        <v>287</v>
      </c>
      <c r="ER21" t="s">
        <v>287</v>
      </c>
      <c r="ES21">
        <v>0</v>
      </c>
      <c r="ET21">
        <v>100</v>
      </c>
      <c r="EU21">
        <v>100</v>
      </c>
      <c r="EV21">
        <v>-7.0000000000000007E-2</v>
      </c>
      <c r="EW21">
        <v>0.05</v>
      </c>
      <c r="EX21">
        <v>2</v>
      </c>
      <c r="EY21">
        <v>340.03899999999999</v>
      </c>
      <c r="EZ21">
        <v>494.339</v>
      </c>
      <c r="FA21">
        <v>23.6479</v>
      </c>
      <c r="FB21">
        <v>31.8368</v>
      </c>
      <c r="FC21">
        <v>29.998999999999999</v>
      </c>
      <c r="FD21">
        <v>32.066800000000001</v>
      </c>
      <c r="FE21">
        <v>32.080599999999997</v>
      </c>
      <c r="FF21">
        <v>5.6388699999999998</v>
      </c>
      <c r="FG21">
        <v>65.909800000000004</v>
      </c>
      <c r="FH21">
        <v>0</v>
      </c>
      <c r="FI21">
        <v>23.6587</v>
      </c>
      <c r="FJ21">
        <v>50</v>
      </c>
      <c r="FK21">
        <v>11.582000000000001</v>
      </c>
      <c r="FL21">
        <v>100.995</v>
      </c>
      <c r="FM21">
        <v>101.52200000000001</v>
      </c>
    </row>
    <row r="22" spans="1:169" x14ac:dyDescent="0.35">
      <c r="A22">
        <v>6</v>
      </c>
      <c r="B22">
        <v>1566143257.2</v>
      </c>
      <c r="C22">
        <v>596.10000014305103</v>
      </c>
      <c r="D22" t="s">
        <v>308</v>
      </c>
      <c r="E22" t="s">
        <v>309</v>
      </c>
      <c r="G22">
        <v>1566143257.2</v>
      </c>
      <c r="H22">
        <f t="shared" si="0"/>
        <v>7.1760035569920465E-3</v>
      </c>
      <c r="I22">
        <f t="shared" si="1"/>
        <v>-2.5840261021298678</v>
      </c>
      <c r="J22">
        <f t="shared" si="2"/>
        <v>15.460202982180864</v>
      </c>
      <c r="K22">
        <f t="shared" si="3"/>
        <v>24.379202885954438</v>
      </c>
      <c r="L22">
        <f t="shared" si="4"/>
        <v>2.4144486502953248</v>
      </c>
      <c r="M22">
        <f t="shared" si="5"/>
        <v>1.5311356322123231</v>
      </c>
      <c r="N22">
        <f t="shared" si="6"/>
        <v>0.48247528933067185</v>
      </c>
      <c r="O22">
        <f t="shared" si="7"/>
        <v>2.2382109904014102</v>
      </c>
      <c r="P22">
        <f t="shared" si="8"/>
        <v>0.43127819254361938</v>
      </c>
      <c r="Q22">
        <f t="shared" si="9"/>
        <v>0.27369461479509238</v>
      </c>
      <c r="R22">
        <f t="shared" si="10"/>
        <v>281.54130533655388</v>
      </c>
      <c r="S22">
        <f t="shared" si="11"/>
        <v>26.614725396665452</v>
      </c>
      <c r="T22">
        <f t="shared" si="12"/>
        <v>26.974499999999999</v>
      </c>
      <c r="U22">
        <f t="shared" si="13"/>
        <v>3.5738027663297407</v>
      </c>
      <c r="V22">
        <f t="shared" si="14"/>
        <v>55.492772965523898</v>
      </c>
      <c r="W22">
        <f t="shared" si="15"/>
        <v>1.9720688789148002</v>
      </c>
      <c r="X22">
        <f t="shared" si="16"/>
        <v>3.5537400160918096</v>
      </c>
      <c r="Y22">
        <f t="shared" si="17"/>
        <v>1.6017338874149405</v>
      </c>
      <c r="Z22">
        <f t="shared" si="18"/>
        <v>-316.46175686334925</v>
      </c>
      <c r="AA22">
        <f t="shared" si="19"/>
        <v>-11.559844081611164</v>
      </c>
      <c r="AB22">
        <f t="shared" si="20"/>
        <v>-1.1137997711897818</v>
      </c>
      <c r="AC22">
        <f t="shared" si="21"/>
        <v>-47.59409537959634</v>
      </c>
      <c r="AD22">
        <v>-4.08671184479832E-2</v>
      </c>
      <c r="AE22">
        <v>4.58769206140692E-2</v>
      </c>
      <c r="AF22">
        <v>3.43416573084439</v>
      </c>
      <c r="AG22">
        <v>140</v>
      </c>
      <c r="AH22">
        <v>28</v>
      </c>
      <c r="AI22">
        <f t="shared" si="22"/>
        <v>1.0053992323605343</v>
      </c>
      <c r="AJ22">
        <f t="shared" si="23"/>
        <v>0.53992323605343007</v>
      </c>
      <c r="AK22">
        <f t="shared" si="24"/>
        <v>52139.223923508471</v>
      </c>
      <c r="AL22" t="s">
        <v>278</v>
      </c>
      <c r="AM22">
        <v>520.33192307692298</v>
      </c>
      <c r="AN22">
        <v>3330.63</v>
      </c>
      <c r="AO22">
        <f t="shared" si="25"/>
        <v>2810.2980769230771</v>
      </c>
      <c r="AP22">
        <f t="shared" si="26"/>
        <v>0.84377372356673574</v>
      </c>
      <c r="AQ22">
        <v>-1.3252759154356599</v>
      </c>
      <c r="AR22" t="s">
        <v>310</v>
      </c>
      <c r="AS22">
        <v>830.47619230769203</v>
      </c>
      <c r="AT22">
        <v>1019.83</v>
      </c>
      <c r="AU22">
        <f t="shared" si="27"/>
        <v>0.18567193325584463</v>
      </c>
      <c r="AV22">
        <v>0.5</v>
      </c>
      <c r="AW22">
        <f t="shared" si="28"/>
        <v>1471.1373000963642</v>
      </c>
      <c r="AX22">
        <f t="shared" si="29"/>
        <v>-2.5840261021298678</v>
      </c>
      <c r="AY22">
        <f t="shared" si="30"/>
        <v>136.57445329683782</v>
      </c>
      <c r="AZ22">
        <f t="shared" si="31"/>
        <v>0.38491709402547486</v>
      </c>
      <c r="BA22">
        <f t="shared" si="32"/>
        <v>-8.5563066520830903E-4</v>
      </c>
      <c r="BB22">
        <f t="shared" si="33"/>
        <v>2.2658678407185513</v>
      </c>
      <c r="BC22" t="s">
        <v>311</v>
      </c>
      <c r="BD22">
        <v>627.28</v>
      </c>
      <c r="BE22">
        <f t="shared" si="34"/>
        <v>392.55000000000007</v>
      </c>
      <c r="BF22">
        <f t="shared" si="35"/>
        <v>0.48236863505873895</v>
      </c>
      <c r="BG22">
        <f t="shared" si="36"/>
        <v>0.85479127748904138</v>
      </c>
      <c r="BH22">
        <f t="shared" si="37"/>
        <v>0.37908816157758418</v>
      </c>
      <c r="BI22">
        <f t="shared" si="38"/>
        <v>0.82226153125010693</v>
      </c>
      <c r="BJ22">
        <v>1347</v>
      </c>
      <c r="BK22">
        <v>300</v>
      </c>
      <c r="BL22">
        <v>300</v>
      </c>
      <c r="BM22">
        <v>300</v>
      </c>
      <c r="BN22">
        <v>10276.9</v>
      </c>
      <c r="BO22">
        <v>980.75300000000004</v>
      </c>
      <c r="BP22">
        <v>-7.0573700000000003E-3</v>
      </c>
      <c r="BQ22">
        <v>3.6150500000000001</v>
      </c>
      <c r="BR22">
        <f t="shared" si="39"/>
        <v>1749.92</v>
      </c>
      <c r="BS22">
        <f t="shared" si="40"/>
        <v>1471.1373000963642</v>
      </c>
      <c r="BT22">
        <f t="shared" si="41"/>
        <v>0.8406883172352817</v>
      </c>
      <c r="BU22">
        <f t="shared" si="42"/>
        <v>0.19137663447056369</v>
      </c>
      <c r="BV22" t="s">
        <v>281</v>
      </c>
      <c r="BW22">
        <v>1566143257.2</v>
      </c>
      <c r="BX22">
        <v>15.4602</v>
      </c>
      <c r="BY22">
        <v>12.509499999999999</v>
      </c>
      <c r="BZ22">
        <v>19.912400000000002</v>
      </c>
      <c r="CA22">
        <v>11.5199</v>
      </c>
      <c r="CB22">
        <v>500.05900000000003</v>
      </c>
      <c r="CC22">
        <v>98.837199999999996</v>
      </c>
      <c r="CD22">
        <v>0.20002700000000001</v>
      </c>
      <c r="CE22">
        <v>26.878699999999998</v>
      </c>
      <c r="CF22">
        <v>26.974499999999999</v>
      </c>
      <c r="CG22">
        <v>999.9</v>
      </c>
      <c r="CH22">
        <v>9971.25</v>
      </c>
      <c r="CI22">
        <v>0</v>
      </c>
      <c r="CJ22">
        <v>119.988</v>
      </c>
      <c r="CK22">
        <v>1749.92</v>
      </c>
      <c r="CL22">
        <v>0.97699199999999997</v>
      </c>
      <c r="CM22">
        <v>2.3007900000000001E-2</v>
      </c>
      <c r="CN22">
        <v>0</v>
      </c>
      <c r="CO22">
        <v>830.88499999999999</v>
      </c>
      <c r="CP22">
        <v>4.99986</v>
      </c>
      <c r="CQ22">
        <v>15323.8</v>
      </c>
      <c r="CR22">
        <v>14220.1</v>
      </c>
      <c r="CS22">
        <v>44.5</v>
      </c>
      <c r="CT22">
        <v>45.75</v>
      </c>
      <c r="CU22">
        <v>45.25</v>
      </c>
      <c r="CV22">
        <v>44.875</v>
      </c>
      <c r="CW22">
        <v>46.125</v>
      </c>
      <c r="CX22">
        <v>1704.77</v>
      </c>
      <c r="CY22">
        <v>40.15</v>
      </c>
      <c r="CZ22">
        <v>0</v>
      </c>
      <c r="DA22">
        <v>113.40000009536701</v>
      </c>
      <c r="DB22">
        <v>830.47619230769203</v>
      </c>
      <c r="DC22">
        <v>4.3536068193225699</v>
      </c>
      <c r="DD22">
        <v>166.03760659242599</v>
      </c>
      <c r="DE22">
        <v>15303.692307692299</v>
      </c>
      <c r="DF22">
        <v>15</v>
      </c>
      <c r="DG22">
        <v>1566143291.7</v>
      </c>
      <c r="DH22" t="s">
        <v>312</v>
      </c>
      <c r="DI22">
        <v>37</v>
      </c>
      <c r="DJ22">
        <v>-0.104</v>
      </c>
      <c r="DK22">
        <v>5.0999999999999997E-2</v>
      </c>
      <c r="DL22">
        <v>13</v>
      </c>
      <c r="DM22">
        <v>12</v>
      </c>
      <c r="DN22">
        <v>0.22</v>
      </c>
      <c r="DO22">
        <v>0.01</v>
      </c>
      <c r="DP22">
        <v>-2.6732614880342398</v>
      </c>
      <c r="DQ22">
        <v>0.28317148623037502</v>
      </c>
      <c r="DR22">
        <v>6.8138749780382493E-2</v>
      </c>
      <c r="DS22">
        <v>1</v>
      </c>
      <c r="DT22">
        <v>0.47477059711124497</v>
      </c>
      <c r="DU22">
        <v>1.6123525516347301E-2</v>
      </c>
      <c r="DV22">
        <v>3.20127928577537E-3</v>
      </c>
      <c r="DW22">
        <v>1</v>
      </c>
      <c r="DX22">
        <v>2</v>
      </c>
      <c r="DY22">
        <v>2</v>
      </c>
      <c r="DZ22" t="s">
        <v>283</v>
      </c>
      <c r="EA22">
        <v>1.8673200000000001</v>
      </c>
      <c r="EB22">
        <v>1.86385</v>
      </c>
      <c r="EC22">
        <v>1.86948</v>
      </c>
      <c r="ED22">
        <v>1.86738</v>
      </c>
      <c r="EE22">
        <v>1.8721000000000001</v>
      </c>
      <c r="EF22">
        <v>1.86452</v>
      </c>
      <c r="EG22">
        <v>1.86612</v>
      </c>
      <c r="EH22">
        <v>1.8660399999999999</v>
      </c>
      <c r="EI22" t="s">
        <v>284</v>
      </c>
      <c r="EJ22" t="s">
        <v>19</v>
      </c>
      <c r="EK22" t="s">
        <v>19</v>
      </c>
      <c r="EL22" t="s">
        <v>19</v>
      </c>
      <c r="EM22" t="s">
        <v>285</v>
      </c>
      <c r="EN22" t="s">
        <v>286</v>
      </c>
      <c r="EO22" t="s">
        <v>287</v>
      </c>
      <c r="EP22" t="s">
        <v>287</v>
      </c>
      <c r="EQ22" t="s">
        <v>287</v>
      </c>
      <c r="ER22" t="s">
        <v>287</v>
      </c>
      <c r="ES22">
        <v>0</v>
      </c>
      <c r="ET22">
        <v>100</v>
      </c>
      <c r="EU22">
        <v>100</v>
      </c>
      <c r="EV22">
        <v>-0.104</v>
      </c>
      <c r="EW22">
        <v>5.0999999999999997E-2</v>
      </c>
      <c r="EX22">
        <v>2</v>
      </c>
      <c r="EY22">
        <v>340.84</v>
      </c>
      <c r="EZ22">
        <v>495.13900000000001</v>
      </c>
      <c r="FA22">
        <v>23.891100000000002</v>
      </c>
      <c r="FB22">
        <v>31.539100000000001</v>
      </c>
      <c r="FC22">
        <v>29.9983</v>
      </c>
      <c r="FD22">
        <v>31.798500000000001</v>
      </c>
      <c r="FE22">
        <v>31.819700000000001</v>
      </c>
      <c r="FF22">
        <v>3.84857</v>
      </c>
      <c r="FG22">
        <v>65.965400000000002</v>
      </c>
      <c r="FH22">
        <v>0</v>
      </c>
      <c r="FI22">
        <v>23.984300000000001</v>
      </c>
      <c r="FJ22">
        <v>12.5</v>
      </c>
      <c r="FK22">
        <v>11.4091</v>
      </c>
      <c r="FL22">
        <v>101.04300000000001</v>
      </c>
      <c r="FM22">
        <v>101.58199999999999</v>
      </c>
    </row>
    <row r="23" spans="1:169" x14ac:dyDescent="0.35">
      <c r="A23">
        <v>8</v>
      </c>
      <c r="B23">
        <v>1566143468.7</v>
      </c>
      <c r="C23">
        <v>807.60000014305103</v>
      </c>
      <c r="D23" t="s">
        <v>313</v>
      </c>
      <c r="E23" t="s">
        <v>314</v>
      </c>
      <c r="G23">
        <v>1566143468.7</v>
      </c>
      <c r="H23">
        <f t="shared" si="0"/>
        <v>7.4146043714100156E-3</v>
      </c>
      <c r="I23">
        <f t="shared" si="1"/>
        <v>30.839965215637935</v>
      </c>
      <c r="J23">
        <f t="shared" si="2"/>
        <v>360.00696429840627</v>
      </c>
      <c r="K23">
        <f t="shared" si="3"/>
        <v>243.12065306403957</v>
      </c>
      <c r="L23">
        <f t="shared" si="4"/>
        <v>24.076921928208257</v>
      </c>
      <c r="M23">
        <f t="shared" si="5"/>
        <v>35.652502014054782</v>
      </c>
      <c r="N23">
        <f t="shared" si="6"/>
        <v>0.50057964466596194</v>
      </c>
      <c r="O23">
        <f t="shared" si="7"/>
        <v>2.2368992521625151</v>
      </c>
      <c r="P23">
        <f t="shared" si="8"/>
        <v>0.44567310219532391</v>
      </c>
      <c r="Q23">
        <f t="shared" si="9"/>
        <v>0.28297532192135655</v>
      </c>
      <c r="R23">
        <f t="shared" si="10"/>
        <v>281.55726524179283</v>
      </c>
      <c r="S23">
        <f t="shared" si="11"/>
        <v>26.965751240220541</v>
      </c>
      <c r="T23">
        <f t="shared" si="12"/>
        <v>27.101600000000001</v>
      </c>
      <c r="U23">
        <f t="shared" si="13"/>
        <v>3.6005730309794748</v>
      </c>
      <c r="V23">
        <f t="shared" si="14"/>
        <v>54.862548714023504</v>
      </c>
      <c r="W23">
        <f t="shared" si="15"/>
        <v>1.9995616038108002</v>
      </c>
      <c r="X23">
        <f t="shared" si="16"/>
        <v>3.6446750117893973</v>
      </c>
      <c r="Y23">
        <f t="shared" si="17"/>
        <v>1.6010114271686746</v>
      </c>
      <c r="Z23">
        <f t="shared" si="18"/>
        <v>-326.9840527791817</v>
      </c>
      <c r="AA23">
        <f t="shared" si="19"/>
        <v>25.035669911384677</v>
      </c>
      <c r="AB23">
        <f t="shared" si="20"/>
        <v>2.4203576876919666</v>
      </c>
      <c r="AC23">
        <f t="shared" si="21"/>
        <v>-17.970759938312195</v>
      </c>
      <c r="AD23">
        <v>-4.0831979858722597E-2</v>
      </c>
      <c r="AE23">
        <v>4.5837474469314798E-2</v>
      </c>
      <c r="AF23">
        <v>3.4318256802606402</v>
      </c>
      <c r="AG23">
        <v>139</v>
      </c>
      <c r="AH23">
        <v>28</v>
      </c>
      <c r="AI23">
        <f t="shared" si="22"/>
        <v>1.0053726642743483</v>
      </c>
      <c r="AJ23">
        <f t="shared" si="23"/>
        <v>0.53726642743483488</v>
      </c>
      <c r="AK23">
        <f t="shared" si="24"/>
        <v>52021.415520547154</v>
      </c>
      <c r="AL23" t="s">
        <v>278</v>
      </c>
      <c r="AM23">
        <v>520.33192307692298</v>
      </c>
      <c r="AN23">
        <v>3330.63</v>
      </c>
      <c r="AO23">
        <f t="shared" si="25"/>
        <v>2810.2980769230771</v>
      </c>
      <c r="AP23">
        <f t="shared" si="26"/>
        <v>0.84377372356673574</v>
      </c>
      <c r="AQ23">
        <v>-1.3252759154356599</v>
      </c>
      <c r="AR23" t="s">
        <v>315</v>
      </c>
      <c r="AS23">
        <v>782.636153846154</v>
      </c>
      <c r="AT23">
        <v>1228.6300000000001</v>
      </c>
      <c r="AU23">
        <f t="shared" si="27"/>
        <v>0.36300094101059399</v>
      </c>
      <c r="AV23">
        <v>0.5</v>
      </c>
      <c r="AW23">
        <f t="shared" si="28"/>
        <v>1471.2213000963588</v>
      </c>
      <c r="AX23">
        <f t="shared" si="29"/>
        <v>30.839965215637935</v>
      </c>
      <c r="AY23">
        <f t="shared" si="30"/>
        <v>267.0273581849039</v>
      </c>
      <c r="AZ23">
        <f t="shared" si="31"/>
        <v>0.56440913863408848</v>
      </c>
      <c r="BA23">
        <f t="shared" si="32"/>
        <v>2.1862952316532465E-2</v>
      </c>
      <c r="BB23">
        <f t="shared" si="33"/>
        <v>1.7108486688425317</v>
      </c>
      <c r="BC23" t="s">
        <v>316</v>
      </c>
      <c r="BD23">
        <v>535.17999999999995</v>
      </c>
      <c r="BE23">
        <f t="shared" si="34"/>
        <v>693.45000000000016</v>
      </c>
      <c r="BF23">
        <f t="shared" si="35"/>
        <v>0.64315213231501334</v>
      </c>
      <c r="BG23">
        <f t="shared" si="36"/>
        <v>0.75193618201005197</v>
      </c>
      <c r="BH23">
        <f t="shared" si="37"/>
        <v>0.62966971206711619</v>
      </c>
      <c r="BI23">
        <f t="shared" si="38"/>
        <v>0.74796336276948439</v>
      </c>
      <c r="BJ23">
        <v>1351</v>
      </c>
      <c r="BK23">
        <v>300</v>
      </c>
      <c r="BL23">
        <v>300</v>
      </c>
      <c r="BM23">
        <v>300</v>
      </c>
      <c r="BN23">
        <v>10278.200000000001</v>
      </c>
      <c r="BO23">
        <v>1108.43</v>
      </c>
      <c r="BP23">
        <v>-7.0591300000000003E-3</v>
      </c>
      <c r="BQ23">
        <v>1.3363</v>
      </c>
      <c r="BR23">
        <f t="shared" si="39"/>
        <v>1750.02</v>
      </c>
      <c r="BS23">
        <f t="shared" si="40"/>
        <v>1471.2213000963588</v>
      </c>
      <c r="BT23">
        <f t="shared" si="41"/>
        <v>0.84068827790331468</v>
      </c>
      <c r="BU23">
        <f t="shared" si="42"/>
        <v>0.19137655580662952</v>
      </c>
      <c r="BV23" t="s">
        <v>281</v>
      </c>
      <c r="BW23">
        <v>1566143468.7</v>
      </c>
      <c r="BX23">
        <v>360.00700000000001</v>
      </c>
      <c r="BY23">
        <v>400.017</v>
      </c>
      <c r="BZ23">
        <v>20.190899999999999</v>
      </c>
      <c r="CA23">
        <v>11.5213</v>
      </c>
      <c r="CB23">
        <v>500.04199999999997</v>
      </c>
      <c r="CC23">
        <v>98.832800000000006</v>
      </c>
      <c r="CD23">
        <v>0.200012</v>
      </c>
      <c r="CE23">
        <v>27.309200000000001</v>
      </c>
      <c r="CF23">
        <v>27.101600000000001</v>
      </c>
      <c r="CG23">
        <v>999.9</v>
      </c>
      <c r="CH23">
        <v>9963.1200000000008</v>
      </c>
      <c r="CI23">
        <v>0</v>
      </c>
      <c r="CJ23">
        <v>432.77100000000002</v>
      </c>
      <c r="CK23">
        <v>1750.02</v>
      </c>
      <c r="CL23">
        <v>0.97699199999999997</v>
      </c>
      <c r="CM23">
        <v>2.3007900000000001E-2</v>
      </c>
      <c r="CN23">
        <v>0</v>
      </c>
      <c r="CO23">
        <v>783.21199999999999</v>
      </c>
      <c r="CP23">
        <v>4.99986</v>
      </c>
      <c r="CQ23">
        <v>15482.2</v>
      </c>
      <c r="CR23">
        <v>14220.9</v>
      </c>
      <c r="CS23">
        <v>44.25</v>
      </c>
      <c r="CT23">
        <v>45.5</v>
      </c>
      <c r="CU23">
        <v>45</v>
      </c>
      <c r="CV23">
        <v>44.625</v>
      </c>
      <c r="CW23">
        <v>45.936999999999998</v>
      </c>
      <c r="CX23">
        <v>1704.87</v>
      </c>
      <c r="CY23">
        <v>40.15</v>
      </c>
      <c r="CZ23">
        <v>0</v>
      </c>
      <c r="DA23">
        <v>98.200000047683702</v>
      </c>
      <c r="DB23">
        <v>782.636153846154</v>
      </c>
      <c r="DC23">
        <v>5.3976068329752103</v>
      </c>
      <c r="DD23">
        <v>470.895726315974</v>
      </c>
      <c r="DE23">
        <v>15425.442307692299</v>
      </c>
      <c r="DF23">
        <v>15</v>
      </c>
      <c r="DG23">
        <v>1566143502.7</v>
      </c>
      <c r="DH23" t="s">
        <v>317</v>
      </c>
      <c r="DI23">
        <v>39</v>
      </c>
      <c r="DJ23">
        <v>0.151</v>
      </c>
      <c r="DK23">
        <v>5.0999999999999997E-2</v>
      </c>
      <c r="DL23">
        <v>400</v>
      </c>
      <c r="DM23">
        <v>12</v>
      </c>
      <c r="DN23">
        <v>0.04</v>
      </c>
      <c r="DO23">
        <v>0.01</v>
      </c>
      <c r="DP23">
        <v>30.725670647917902</v>
      </c>
      <c r="DQ23">
        <v>0.26340017413567601</v>
      </c>
      <c r="DR23">
        <v>7.2848623532996995E-2</v>
      </c>
      <c r="DS23">
        <v>1</v>
      </c>
      <c r="DT23">
        <v>0.51042848225529802</v>
      </c>
      <c r="DU23">
        <v>-2.1773429478904299E-2</v>
      </c>
      <c r="DV23">
        <v>4.3646956073940101E-3</v>
      </c>
      <c r="DW23">
        <v>1</v>
      </c>
      <c r="DX23">
        <v>2</v>
      </c>
      <c r="DY23">
        <v>2</v>
      </c>
      <c r="DZ23" t="s">
        <v>283</v>
      </c>
      <c r="EA23">
        <v>1.8673</v>
      </c>
      <c r="EB23">
        <v>1.86381</v>
      </c>
      <c r="EC23">
        <v>1.8694900000000001</v>
      </c>
      <c r="ED23">
        <v>1.86737</v>
      </c>
      <c r="EE23">
        <v>1.8721000000000001</v>
      </c>
      <c r="EF23">
        <v>1.8645700000000001</v>
      </c>
      <c r="EG23">
        <v>1.86609</v>
      </c>
      <c r="EH23">
        <v>1.8660099999999999</v>
      </c>
      <c r="EI23" t="s">
        <v>284</v>
      </c>
      <c r="EJ23" t="s">
        <v>19</v>
      </c>
      <c r="EK23" t="s">
        <v>19</v>
      </c>
      <c r="EL23" t="s">
        <v>19</v>
      </c>
      <c r="EM23" t="s">
        <v>285</v>
      </c>
      <c r="EN23" t="s">
        <v>286</v>
      </c>
      <c r="EO23" t="s">
        <v>287</v>
      </c>
      <c r="EP23" t="s">
        <v>287</v>
      </c>
      <c r="EQ23" t="s">
        <v>287</v>
      </c>
      <c r="ER23" t="s">
        <v>287</v>
      </c>
      <c r="ES23">
        <v>0</v>
      </c>
      <c r="ET23">
        <v>100</v>
      </c>
      <c r="EU23">
        <v>100</v>
      </c>
      <c r="EV23">
        <v>0.151</v>
      </c>
      <c r="EW23">
        <v>5.0999999999999997E-2</v>
      </c>
      <c r="EX23">
        <v>2</v>
      </c>
      <c r="EY23">
        <v>342.11700000000002</v>
      </c>
      <c r="EZ23">
        <v>496.6</v>
      </c>
      <c r="FA23">
        <v>23.763000000000002</v>
      </c>
      <c r="FB23">
        <v>31.110700000000001</v>
      </c>
      <c r="FC23">
        <v>29.9998</v>
      </c>
      <c r="FD23">
        <v>31.362300000000001</v>
      </c>
      <c r="FE23">
        <v>31.387599999999999</v>
      </c>
      <c r="FF23">
        <v>21.961300000000001</v>
      </c>
      <c r="FG23">
        <v>65.683499999999995</v>
      </c>
      <c r="FH23">
        <v>0</v>
      </c>
      <c r="FI23">
        <v>23.749500000000001</v>
      </c>
      <c r="FJ23">
        <v>400</v>
      </c>
      <c r="FK23">
        <v>11.669700000000001</v>
      </c>
      <c r="FL23">
        <v>101.113</v>
      </c>
      <c r="FM23">
        <v>101.663</v>
      </c>
    </row>
    <row r="24" spans="1:169" x14ac:dyDescent="0.35">
      <c r="A24">
        <v>9</v>
      </c>
      <c r="B24">
        <v>1566143594.2</v>
      </c>
      <c r="C24">
        <v>933.10000014305103</v>
      </c>
      <c r="D24" t="s">
        <v>318</v>
      </c>
      <c r="E24" t="s">
        <v>319</v>
      </c>
      <c r="G24">
        <v>1566143594.2</v>
      </c>
      <c r="H24">
        <f t="shared" si="0"/>
        <v>6.7019620513191682E-3</v>
      </c>
      <c r="I24">
        <f t="shared" si="1"/>
        <v>36.722463556365042</v>
      </c>
      <c r="J24">
        <f t="shared" si="2"/>
        <v>452.55495776471855</v>
      </c>
      <c r="K24">
        <f t="shared" si="3"/>
        <v>297.06359836129025</v>
      </c>
      <c r="L24">
        <f t="shared" si="4"/>
        <v>29.418483226610654</v>
      </c>
      <c r="M24">
        <f t="shared" si="5"/>
        <v>44.816936533330967</v>
      </c>
      <c r="N24">
        <f t="shared" si="6"/>
        <v>0.44127330617510224</v>
      </c>
      <c r="O24">
        <f t="shared" si="7"/>
        <v>2.2409800362602219</v>
      </c>
      <c r="P24">
        <f t="shared" si="8"/>
        <v>0.39807622907252149</v>
      </c>
      <c r="Q24">
        <f t="shared" si="9"/>
        <v>0.25232541065275799</v>
      </c>
      <c r="R24">
        <f t="shared" si="10"/>
        <v>281.52206396349675</v>
      </c>
      <c r="S24">
        <f t="shared" si="11"/>
        <v>26.82633368744191</v>
      </c>
      <c r="T24">
        <f t="shared" si="12"/>
        <v>26.997599999999998</v>
      </c>
      <c r="U24">
        <f t="shared" si="13"/>
        <v>3.5786552128349043</v>
      </c>
      <c r="V24">
        <f t="shared" si="14"/>
        <v>54.923304160147303</v>
      </c>
      <c r="W24">
        <f t="shared" si="15"/>
        <v>1.9579899534089997</v>
      </c>
      <c r="X24">
        <f t="shared" si="16"/>
        <v>3.5649529527572188</v>
      </c>
      <c r="Y24">
        <f t="shared" si="17"/>
        <v>1.6206652594259046</v>
      </c>
      <c r="Z24">
        <f t="shared" si="18"/>
        <v>-295.55652646317532</v>
      </c>
      <c r="AA24">
        <f t="shared" si="19"/>
        <v>-7.8892662361800694</v>
      </c>
      <c r="AB24">
        <f t="shared" si="20"/>
        <v>-0.75948879796283986</v>
      </c>
      <c r="AC24">
        <f t="shared" si="21"/>
        <v>-22.68321753382147</v>
      </c>
      <c r="AD24">
        <v>-4.0941355412811499E-2</v>
      </c>
      <c r="AE24">
        <v>4.59602581106043E-2</v>
      </c>
      <c r="AF24">
        <v>3.4391072824578099</v>
      </c>
      <c r="AG24">
        <v>138</v>
      </c>
      <c r="AH24">
        <v>28</v>
      </c>
      <c r="AI24">
        <f t="shared" si="22"/>
        <v>1.0053133491322854</v>
      </c>
      <c r="AJ24">
        <f t="shared" si="23"/>
        <v>0.53133491322854276</v>
      </c>
      <c r="AK24">
        <f t="shared" si="24"/>
        <v>52220.638518659856</v>
      </c>
      <c r="AL24" t="s">
        <v>278</v>
      </c>
      <c r="AM24">
        <v>520.33192307692298</v>
      </c>
      <c r="AN24">
        <v>3330.63</v>
      </c>
      <c r="AO24">
        <f t="shared" si="25"/>
        <v>2810.2980769230771</v>
      </c>
      <c r="AP24">
        <f t="shared" si="26"/>
        <v>0.84377372356673574</v>
      </c>
      <c r="AQ24">
        <v>-1.3252759154356599</v>
      </c>
      <c r="AR24" t="s">
        <v>320</v>
      </c>
      <c r="AS24">
        <v>816.10092307692298</v>
      </c>
      <c r="AT24">
        <v>1342.12</v>
      </c>
      <c r="AU24">
        <f t="shared" si="27"/>
        <v>0.39193147924408922</v>
      </c>
      <c r="AV24">
        <v>0.5</v>
      </c>
      <c r="AW24">
        <f t="shared" si="28"/>
        <v>1471.0440000962985</v>
      </c>
      <c r="AX24">
        <f t="shared" si="29"/>
        <v>36.722463556365042</v>
      </c>
      <c r="AY24">
        <f t="shared" si="30"/>
        <v>288.27422549544218</v>
      </c>
      <c r="AZ24">
        <f t="shared" si="31"/>
        <v>0.59809853068280028</v>
      </c>
      <c r="BA24">
        <f t="shared" si="32"/>
        <v>2.5864446929738331E-2</v>
      </c>
      <c r="BB24">
        <f t="shared" si="33"/>
        <v>1.481618633207165</v>
      </c>
      <c r="BC24" t="s">
        <v>321</v>
      </c>
      <c r="BD24">
        <v>539.4</v>
      </c>
      <c r="BE24">
        <f t="shared" si="34"/>
        <v>802.71999999999991</v>
      </c>
      <c r="BF24">
        <f t="shared" si="35"/>
        <v>0.65529584029683696</v>
      </c>
      <c r="BG24">
        <f t="shared" si="36"/>
        <v>0.7124135237870044</v>
      </c>
      <c r="BH24">
        <f t="shared" si="37"/>
        <v>0.64009090870798147</v>
      </c>
      <c r="BI24">
        <f t="shared" si="38"/>
        <v>0.70757974619445652</v>
      </c>
      <c r="BJ24">
        <v>1353</v>
      </c>
      <c r="BK24">
        <v>300</v>
      </c>
      <c r="BL24">
        <v>300</v>
      </c>
      <c r="BM24">
        <v>300</v>
      </c>
      <c r="BN24">
        <v>10279.1</v>
      </c>
      <c r="BO24">
        <v>1200.92</v>
      </c>
      <c r="BP24">
        <v>-7.0602499999999997E-3</v>
      </c>
      <c r="BQ24">
        <v>1.4652099999999999</v>
      </c>
      <c r="BR24">
        <f t="shared" si="39"/>
        <v>1749.81</v>
      </c>
      <c r="BS24">
        <f t="shared" si="40"/>
        <v>1471.0440000962985</v>
      </c>
      <c r="BT24">
        <f t="shared" si="41"/>
        <v>0.8406878461640398</v>
      </c>
      <c r="BU24">
        <f t="shared" si="42"/>
        <v>0.19137569232807961</v>
      </c>
      <c r="BV24" t="s">
        <v>281</v>
      </c>
      <c r="BW24">
        <v>1566143594.2</v>
      </c>
      <c r="BX24">
        <v>452.55500000000001</v>
      </c>
      <c r="BY24">
        <v>500.02600000000001</v>
      </c>
      <c r="BZ24">
        <v>19.7715</v>
      </c>
      <c r="CA24">
        <v>11.931100000000001</v>
      </c>
      <c r="CB24">
        <v>500.02800000000002</v>
      </c>
      <c r="CC24">
        <v>98.8309</v>
      </c>
      <c r="CD24">
        <v>0.20002600000000001</v>
      </c>
      <c r="CE24">
        <v>26.932300000000001</v>
      </c>
      <c r="CF24">
        <v>26.997599999999998</v>
      </c>
      <c r="CG24">
        <v>999.9</v>
      </c>
      <c r="CH24">
        <v>9990</v>
      </c>
      <c r="CI24">
        <v>0</v>
      </c>
      <c r="CJ24">
        <v>617.12</v>
      </c>
      <c r="CK24">
        <v>1749.81</v>
      </c>
      <c r="CL24">
        <v>0.97700699999999996</v>
      </c>
      <c r="CM24">
        <v>2.2993099999999999E-2</v>
      </c>
      <c r="CN24">
        <v>0</v>
      </c>
      <c r="CO24">
        <v>815.53</v>
      </c>
      <c r="CP24">
        <v>4.99986</v>
      </c>
      <c r="CQ24">
        <v>16695.900000000001</v>
      </c>
      <c r="CR24">
        <v>14219.3</v>
      </c>
      <c r="CS24">
        <v>44.186999999999998</v>
      </c>
      <c r="CT24">
        <v>45.5</v>
      </c>
      <c r="CU24">
        <v>44.875</v>
      </c>
      <c r="CV24">
        <v>44.686999999999998</v>
      </c>
      <c r="CW24">
        <v>45.875</v>
      </c>
      <c r="CX24">
        <v>1704.69</v>
      </c>
      <c r="CY24">
        <v>40.119999999999997</v>
      </c>
      <c r="CZ24">
        <v>0</v>
      </c>
      <c r="DA24">
        <v>124.89999985694899</v>
      </c>
      <c r="DB24">
        <v>816.10092307692298</v>
      </c>
      <c r="DC24">
        <v>-0.690529906261107</v>
      </c>
      <c r="DD24">
        <v>184.20170932974099</v>
      </c>
      <c r="DE24">
        <v>16674.226923076902</v>
      </c>
      <c r="DF24">
        <v>15</v>
      </c>
      <c r="DG24">
        <v>1566143627.7</v>
      </c>
      <c r="DH24" t="s">
        <v>322</v>
      </c>
      <c r="DI24">
        <v>40</v>
      </c>
      <c r="DJ24">
        <v>0.222</v>
      </c>
      <c r="DK24">
        <v>5.5E-2</v>
      </c>
      <c r="DL24">
        <v>500</v>
      </c>
      <c r="DM24">
        <v>12</v>
      </c>
      <c r="DN24">
        <v>0.04</v>
      </c>
      <c r="DO24">
        <v>0.01</v>
      </c>
      <c r="DP24">
        <v>36.902936387304301</v>
      </c>
      <c r="DQ24">
        <v>-0.66273506080494804</v>
      </c>
      <c r="DR24">
        <v>0.144983271607557</v>
      </c>
      <c r="DS24">
        <v>0</v>
      </c>
      <c r="DT24">
        <v>0.449236358829464</v>
      </c>
      <c r="DU24">
        <v>-2.68273123789072E-2</v>
      </c>
      <c r="DV24">
        <v>5.3034730871077199E-3</v>
      </c>
      <c r="DW24">
        <v>1</v>
      </c>
      <c r="DX24">
        <v>1</v>
      </c>
      <c r="DY24">
        <v>2</v>
      </c>
      <c r="DZ24" t="s">
        <v>323</v>
      </c>
      <c r="EA24">
        <v>1.8673200000000001</v>
      </c>
      <c r="EB24">
        <v>1.86381</v>
      </c>
      <c r="EC24">
        <v>1.86948</v>
      </c>
      <c r="ED24">
        <v>1.86738</v>
      </c>
      <c r="EE24">
        <v>1.8721000000000001</v>
      </c>
      <c r="EF24">
        <v>1.86453</v>
      </c>
      <c r="EG24">
        <v>1.86609</v>
      </c>
      <c r="EH24">
        <v>1.86602</v>
      </c>
      <c r="EI24" t="s">
        <v>284</v>
      </c>
      <c r="EJ24" t="s">
        <v>19</v>
      </c>
      <c r="EK24" t="s">
        <v>19</v>
      </c>
      <c r="EL24" t="s">
        <v>19</v>
      </c>
      <c r="EM24" t="s">
        <v>285</v>
      </c>
      <c r="EN24" t="s">
        <v>286</v>
      </c>
      <c r="EO24" t="s">
        <v>287</v>
      </c>
      <c r="EP24" t="s">
        <v>287</v>
      </c>
      <c r="EQ24" t="s">
        <v>287</v>
      </c>
      <c r="ER24" t="s">
        <v>287</v>
      </c>
      <c r="ES24">
        <v>0</v>
      </c>
      <c r="ET24">
        <v>100</v>
      </c>
      <c r="EU24">
        <v>100</v>
      </c>
      <c r="EV24">
        <v>0.222</v>
      </c>
      <c r="EW24">
        <v>5.5E-2</v>
      </c>
      <c r="EX24">
        <v>2</v>
      </c>
      <c r="EY24">
        <v>342.72199999999998</v>
      </c>
      <c r="EZ24">
        <v>496.69400000000002</v>
      </c>
      <c r="FA24">
        <v>23.68</v>
      </c>
      <c r="FB24">
        <v>31.015599999999999</v>
      </c>
      <c r="FC24">
        <v>29.999700000000001</v>
      </c>
      <c r="FD24">
        <v>31.209199999999999</v>
      </c>
      <c r="FE24">
        <v>31.232800000000001</v>
      </c>
      <c r="FF24">
        <v>26.245999999999999</v>
      </c>
      <c r="FG24">
        <v>64.785799999999995</v>
      </c>
      <c r="FH24">
        <v>0</v>
      </c>
      <c r="FI24">
        <v>23.661799999999999</v>
      </c>
      <c r="FJ24">
        <v>500</v>
      </c>
      <c r="FK24">
        <v>11.954499999999999</v>
      </c>
      <c r="FL24">
        <v>101.134</v>
      </c>
      <c r="FM24">
        <v>101.684</v>
      </c>
    </row>
    <row r="25" spans="1:169" x14ac:dyDescent="0.35">
      <c r="A25">
        <v>10</v>
      </c>
      <c r="B25">
        <v>1566143719.2</v>
      </c>
      <c r="C25">
        <v>1058.10000014305</v>
      </c>
      <c r="D25" t="s">
        <v>324</v>
      </c>
      <c r="E25" t="s">
        <v>325</v>
      </c>
      <c r="G25">
        <v>1566143719.2</v>
      </c>
      <c r="H25">
        <f t="shared" si="0"/>
        <v>6.0875203587449928E-3</v>
      </c>
      <c r="I25">
        <f t="shared" si="1"/>
        <v>41.102074170912708</v>
      </c>
      <c r="J25">
        <f t="shared" si="2"/>
        <v>546.90095316409838</v>
      </c>
      <c r="K25">
        <f t="shared" si="3"/>
        <v>353.32118935104018</v>
      </c>
      <c r="L25">
        <f t="shared" si="4"/>
        <v>34.990136176040437</v>
      </c>
      <c r="M25">
        <f t="shared" si="5"/>
        <v>54.160744961733727</v>
      </c>
      <c r="N25">
        <f t="shared" si="6"/>
        <v>0.39227115922111067</v>
      </c>
      <c r="O25">
        <f t="shared" si="7"/>
        <v>2.2472852366317988</v>
      </c>
      <c r="P25">
        <f t="shared" si="8"/>
        <v>0.35782155739416832</v>
      </c>
      <c r="Q25">
        <f t="shared" si="9"/>
        <v>0.22648097929920225</v>
      </c>
      <c r="R25">
        <f t="shared" si="10"/>
        <v>281.57951962287439</v>
      </c>
      <c r="S25">
        <f t="shared" si="11"/>
        <v>26.670938300256587</v>
      </c>
      <c r="T25">
        <f t="shared" si="12"/>
        <v>26.977399999999999</v>
      </c>
      <c r="U25">
        <f t="shared" si="13"/>
        <v>3.5744116324855182</v>
      </c>
      <c r="V25">
        <f t="shared" si="14"/>
        <v>55.483607131822751</v>
      </c>
      <c r="W25">
        <f t="shared" si="15"/>
        <v>1.9364834106230997</v>
      </c>
      <c r="X25">
        <f t="shared" si="16"/>
        <v>3.4901901854041948</v>
      </c>
      <c r="Y25">
        <f t="shared" si="17"/>
        <v>1.6379282218624185</v>
      </c>
      <c r="Z25">
        <f t="shared" si="18"/>
        <v>-268.4596478206542</v>
      </c>
      <c r="AA25">
        <f t="shared" si="19"/>
        <v>-49.104381571807124</v>
      </c>
      <c r="AB25">
        <f t="shared" si="20"/>
        <v>-4.7049888849188468</v>
      </c>
      <c r="AC25">
        <f t="shared" si="21"/>
        <v>-40.689498654505798</v>
      </c>
      <c r="AD25">
        <v>-4.1110701802432703E-2</v>
      </c>
      <c r="AE25">
        <v>4.6150364268512697E-2</v>
      </c>
      <c r="AF25">
        <v>3.4503683159083001</v>
      </c>
      <c r="AG25">
        <v>138</v>
      </c>
      <c r="AH25">
        <v>28</v>
      </c>
      <c r="AI25">
        <f t="shared" si="22"/>
        <v>1.0052858573626244</v>
      </c>
      <c r="AJ25">
        <f t="shared" si="23"/>
        <v>0.52858573626244354</v>
      </c>
      <c r="AK25">
        <f t="shared" si="24"/>
        <v>52490.802834362985</v>
      </c>
      <c r="AL25" t="s">
        <v>278</v>
      </c>
      <c r="AM25">
        <v>520.33192307692298</v>
      </c>
      <c r="AN25">
        <v>3330.63</v>
      </c>
      <c r="AO25">
        <f t="shared" si="25"/>
        <v>2810.2980769230771</v>
      </c>
      <c r="AP25">
        <f t="shared" si="26"/>
        <v>0.84377372356673574</v>
      </c>
      <c r="AQ25">
        <v>-1.3252759154356599</v>
      </c>
      <c r="AR25" t="s">
        <v>326</v>
      </c>
      <c r="AS25">
        <v>839.14653846153897</v>
      </c>
      <c r="AT25">
        <v>1414.97</v>
      </c>
      <c r="AU25">
        <f t="shared" si="27"/>
        <v>0.40695100358202718</v>
      </c>
      <c r="AV25">
        <v>0.5</v>
      </c>
      <c r="AW25">
        <f t="shared" si="28"/>
        <v>1471.3464000962786</v>
      </c>
      <c r="AX25">
        <f t="shared" si="29"/>
        <v>41.102074170912708</v>
      </c>
      <c r="AY25">
        <f t="shared" si="30"/>
        <v>299.38294706799172</v>
      </c>
      <c r="AZ25">
        <f t="shared" si="31"/>
        <v>0.61631695371633322</v>
      </c>
      <c r="BA25">
        <f t="shared" si="32"/>
        <v>2.8835731737660217E-2</v>
      </c>
      <c r="BB25">
        <f t="shared" si="33"/>
        <v>1.3538520251312749</v>
      </c>
      <c r="BC25" t="s">
        <v>327</v>
      </c>
      <c r="BD25">
        <v>542.9</v>
      </c>
      <c r="BE25">
        <f t="shared" si="34"/>
        <v>872.07</v>
      </c>
      <c r="BF25">
        <f t="shared" si="35"/>
        <v>0.66029500101879557</v>
      </c>
      <c r="BG25">
        <f t="shared" si="36"/>
        <v>0.68717558730580075</v>
      </c>
      <c r="BH25">
        <f t="shared" si="37"/>
        <v>0.64363844597234998</v>
      </c>
      <c r="BI25">
        <f t="shared" si="38"/>
        <v>0.68165722907849224</v>
      </c>
      <c r="BJ25">
        <v>1355</v>
      </c>
      <c r="BK25">
        <v>300</v>
      </c>
      <c r="BL25">
        <v>300</v>
      </c>
      <c r="BM25">
        <v>300</v>
      </c>
      <c r="BN25">
        <v>10279.5</v>
      </c>
      <c r="BO25">
        <v>1265.28</v>
      </c>
      <c r="BP25">
        <v>-7.0606499999999999E-3</v>
      </c>
      <c r="BQ25">
        <v>2.0789800000000001</v>
      </c>
      <c r="BR25">
        <f t="shared" si="39"/>
        <v>1750.17</v>
      </c>
      <c r="BS25">
        <f t="shared" si="40"/>
        <v>1471.3464000962786</v>
      </c>
      <c r="BT25">
        <f t="shared" si="41"/>
        <v>0.84068770467799048</v>
      </c>
      <c r="BU25">
        <f t="shared" si="42"/>
        <v>0.19137540935598105</v>
      </c>
      <c r="BV25" t="s">
        <v>281</v>
      </c>
      <c r="BW25">
        <v>1566143719.2</v>
      </c>
      <c r="BX25">
        <v>546.90099999999995</v>
      </c>
      <c r="BY25">
        <v>599.95799999999997</v>
      </c>
      <c r="BZ25">
        <v>19.554099999999998</v>
      </c>
      <c r="CA25">
        <v>12.4305</v>
      </c>
      <c r="CB25">
        <v>500.012</v>
      </c>
      <c r="CC25">
        <v>98.832099999999997</v>
      </c>
      <c r="CD25">
        <v>0.199991</v>
      </c>
      <c r="CE25">
        <v>26.572099999999999</v>
      </c>
      <c r="CF25">
        <v>26.977399999999999</v>
      </c>
      <c r="CG25">
        <v>999.9</v>
      </c>
      <c r="CH25">
        <v>10031.200000000001</v>
      </c>
      <c r="CI25">
        <v>0</v>
      </c>
      <c r="CJ25">
        <v>695.45399999999995</v>
      </c>
      <c r="CK25">
        <v>1750.17</v>
      </c>
      <c r="CL25">
        <v>0.97701099999999996</v>
      </c>
      <c r="CM25">
        <v>2.2988999999999999E-2</v>
      </c>
      <c r="CN25">
        <v>0</v>
      </c>
      <c r="CO25">
        <v>838.55799999999999</v>
      </c>
      <c r="CP25">
        <v>4.99986</v>
      </c>
      <c r="CQ25">
        <v>17513.2</v>
      </c>
      <c r="CR25">
        <v>14222.2</v>
      </c>
      <c r="CS25">
        <v>44.25</v>
      </c>
      <c r="CT25">
        <v>45.686999999999998</v>
      </c>
      <c r="CU25">
        <v>44.936999999999998</v>
      </c>
      <c r="CV25">
        <v>44.811999999999998</v>
      </c>
      <c r="CW25">
        <v>45.875</v>
      </c>
      <c r="CX25">
        <v>1705.05</v>
      </c>
      <c r="CY25">
        <v>40.119999999999997</v>
      </c>
      <c r="CZ25">
        <v>0</v>
      </c>
      <c r="DA25">
        <v>124.5</v>
      </c>
      <c r="DB25">
        <v>839.14653846153897</v>
      </c>
      <c r="DC25">
        <v>-3.8718632389776899</v>
      </c>
      <c r="DD25">
        <v>23.076923072524099</v>
      </c>
      <c r="DE25">
        <v>17511.3461538462</v>
      </c>
      <c r="DF25">
        <v>15</v>
      </c>
      <c r="DG25">
        <v>1566143755.7</v>
      </c>
      <c r="DH25" t="s">
        <v>328</v>
      </c>
      <c r="DI25">
        <v>41</v>
      </c>
      <c r="DJ25">
        <v>0.34899999999999998</v>
      </c>
      <c r="DK25">
        <v>6.3E-2</v>
      </c>
      <c r="DL25">
        <v>600</v>
      </c>
      <c r="DM25">
        <v>12</v>
      </c>
      <c r="DN25">
        <v>0.02</v>
      </c>
      <c r="DO25">
        <v>0.01</v>
      </c>
      <c r="DP25">
        <v>41.541377218467503</v>
      </c>
      <c r="DQ25">
        <v>-1.0056722371575999</v>
      </c>
      <c r="DR25">
        <v>0.20593419687002501</v>
      </c>
      <c r="DS25">
        <v>0</v>
      </c>
      <c r="DT25">
        <v>0.39524658788974498</v>
      </c>
      <c r="DU25">
        <v>-7.1905637855687703E-3</v>
      </c>
      <c r="DV25">
        <v>1.6677248975634101E-3</v>
      </c>
      <c r="DW25">
        <v>1</v>
      </c>
      <c r="DX25">
        <v>1</v>
      </c>
      <c r="DY25">
        <v>2</v>
      </c>
      <c r="DZ25" t="s">
        <v>323</v>
      </c>
      <c r="EA25">
        <v>1.8673</v>
      </c>
      <c r="EB25">
        <v>1.8638399999999999</v>
      </c>
      <c r="EC25">
        <v>1.86948</v>
      </c>
      <c r="ED25">
        <v>1.86737</v>
      </c>
      <c r="EE25">
        <v>1.8721000000000001</v>
      </c>
      <c r="EF25">
        <v>1.8645400000000001</v>
      </c>
      <c r="EG25">
        <v>1.8661099999999999</v>
      </c>
      <c r="EH25">
        <v>1.8660300000000001</v>
      </c>
      <c r="EI25" t="s">
        <v>284</v>
      </c>
      <c r="EJ25" t="s">
        <v>19</v>
      </c>
      <c r="EK25" t="s">
        <v>19</v>
      </c>
      <c r="EL25" t="s">
        <v>19</v>
      </c>
      <c r="EM25" t="s">
        <v>285</v>
      </c>
      <c r="EN25" t="s">
        <v>286</v>
      </c>
      <c r="EO25" t="s">
        <v>287</v>
      </c>
      <c r="EP25" t="s">
        <v>287</v>
      </c>
      <c r="EQ25" t="s">
        <v>287</v>
      </c>
      <c r="ER25" t="s">
        <v>287</v>
      </c>
      <c r="ES25">
        <v>0</v>
      </c>
      <c r="ET25">
        <v>100</v>
      </c>
      <c r="EU25">
        <v>100</v>
      </c>
      <c r="EV25">
        <v>0.34899999999999998</v>
      </c>
      <c r="EW25">
        <v>6.3E-2</v>
      </c>
      <c r="EX25">
        <v>2</v>
      </c>
      <c r="EY25">
        <v>342.56400000000002</v>
      </c>
      <c r="EZ25">
        <v>496.39</v>
      </c>
      <c r="FA25">
        <v>22.035499999999999</v>
      </c>
      <c r="FB25">
        <v>31.0505</v>
      </c>
      <c r="FC25">
        <v>29.9999</v>
      </c>
      <c r="FD25">
        <v>31.169899999999998</v>
      </c>
      <c r="FE25">
        <v>31.1877</v>
      </c>
      <c r="FF25">
        <v>30.3904</v>
      </c>
      <c r="FG25">
        <v>63.517499999999998</v>
      </c>
      <c r="FH25">
        <v>0</v>
      </c>
      <c r="FI25">
        <v>23.055199999999999</v>
      </c>
      <c r="FJ25">
        <v>600</v>
      </c>
      <c r="FK25">
        <v>12.3466</v>
      </c>
      <c r="FL25">
        <v>101.125</v>
      </c>
      <c r="FM25">
        <v>101.673</v>
      </c>
    </row>
    <row r="26" spans="1:169" x14ac:dyDescent="0.35">
      <c r="A26">
        <v>11</v>
      </c>
      <c r="B26">
        <v>1566143847.2</v>
      </c>
      <c r="C26">
        <v>1186.10000014305</v>
      </c>
      <c r="D26" t="s">
        <v>329</v>
      </c>
      <c r="E26" t="s">
        <v>330</v>
      </c>
      <c r="G26">
        <v>1566143847.2</v>
      </c>
      <c r="H26">
        <f t="shared" si="0"/>
        <v>5.4758413027663272E-3</v>
      </c>
      <c r="I26">
        <f t="shared" si="1"/>
        <v>46.372491995816851</v>
      </c>
      <c r="J26">
        <f t="shared" si="2"/>
        <v>739.87094673869046</v>
      </c>
      <c r="K26">
        <f t="shared" si="3"/>
        <v>489.2103304422032</v>
      </c>
      <c r="L26">
        <f t="shared" si="4"/>
        <v>48.447286652323399</v>
      </c>
      <c r="M26">
        <f t="shared" si="5"/>
        <v>73.270611047756773</v>
      </c>
      <c r="N26">
        <f t="shared" si="6"/>
        <v>0.34029131297089665</v>
      </c>
      <c r="O26">
        <f t="shared" si="7"/>
        <v>2.2407998635286641</v>
      </c>
      <c r="P26">
        <f t="shared" si="8"/>
        <v>0.31396992853131289</v>
      </c>
      <c r="Q26">
        <f t="shared" si="9"/>
        <v>0.19842614185551993</v>
      </c>
      <c r="R26">
        <f t="shared" si="10"/>
        <v>281.52046797296049</v>
      </c>
      <c r="S26">
        <f t="shared" si="11"/>
        <v>26.754737701426802</v>
      </c>
      <c r="T26">
        <f t="shared" si="12"/>
        <v>27.0365</v>
      </c>
      <c r="U26">
        <f t="shared" si="13"/>
        <v>3.5868396467995658</v>
      </c>
      <c r="V26">
        <f t="shared" si="14"/>
        <v>55.042709777147017</v>
      </c>
      <c r="W26">
        <f t="shared" si="15"/>
        <v>1.9075765813030001</v>
      </c>
      <c r="X26">
        <f t="shared" si="16"/>
        <v>3.465629851848246</v>
      </c>
      <c r="Y26">
        <f t="shared" si="17"/>
        <v>1.6792630654965657</v>
      </c>
      <c r="Z26">
        <f t="shared" si="18"/>
        <v>-241.48460145199502</v>
      </c>
      <c r="AA26">
        <f t="shared" si="19"/>
        <v>-70.574866510101899</v>
      </c>
      <c r="AB26">
        <f t="shared" si="20"/>
        <v>-6.7797214442450819</v>
      </c>
      <c r="AC26">
        <f t="shared" si="21"/>
        <v>-37.318721433381498</v>
      </c>
      <c r="AD26">
        <v>-4.09365225639488E-2</v>
      </c>
      <c r="AE26">
        <v>4.5954832814375103E-2</v>
      </c>
      <c r="AF26">
        <v>3.4387856789445701</v>
      </c>
      <c r="AG26">
        <v>139</v>
      </c>
      <c r="AH26">
        <v>28</v>
      </c>
      <c r="AI26">
        <f t="shared" si="22"/>
        <v>1.0053440536338583</v>
      </c>
      <c r="AJ26">
        <f t="shared" si="23"/>
        <v>0.53440536338582589</v>
      </c>
      <c r="AK26">
        <f t="shared" si="24"/>
        <v>52298.435992384861</v>
      </c>
      <c r="AL26" t="s">
        <v>278</v>
      </c>
      <c r="AM26">
        <v>520.33192307692298</v>
      </c>
      <c r="AN26">
        <v>3330.63</v>
      </c>
      <c r="AO26">
        <f t="shared" si="25"/>
        <v>2810.2980769230771</v>
      </c>
      <c r="AP26">
        <f t="shared" si="26"/>
        <v>0.84377372356673574</v>
      </c>
      <c r="AQ26">
        <v>-1.3252759154356599</v>
      </c>
      <c r="AR26" t="s">
        <v>331</v>
      </c>
      <c r="AS26">
        <v>847.74757692307696</v>
      </c>
      <c r="AT26">
        <v>1434.52</v>
      </c>
      <c r="AU26">
        <f t="shared" si="27"/>
        <v>0.4090374641531126</v>
      </c>
      <c r="AV26">
        <v>0.5</v>
      </c>
      <c r="AW26">
        <f t="shared" si="28"/>
        <v>1471.035600096299</v>
      </c>
      <c r="AX26">
        <f t="shared" si="29"/>
        <v>46.372491995816851</v>
      </c>
      <c r="AY26">
        <f t="shared" si="30"/>
        <v>300.85433577117118</v>
      </c>
      <c r="AZ26">
        <f t="shared" si="31"/>
        <v>0.63176532916933881</v>
      </c>
      <c r="BA26">
        <f t="shared" si="32"/>
        <v>3.2424618349229654E-2</v>
      </c>
      <c r="BB26">
        <f t="shared" si="33"/>
        <v>1.3217731366589522</v>
      </c>
      <c r="BC26" t="s">
        <v>332</v>
      </c>
      <c r="BD26">
        <v>528.24</v>
      </c>
      <c r="BE26">
        <f t="shared" si="34"/>
        <v>906.28</v>
      </c>
      <c r="BF26">
        <f t="shared" si="35"/>
        <v>0.64745158568756123</v>
      </c>
      <c r="BG26">
        <f t="shared" si="36"/>
        <v>0.67660461249148041</v>
      </c>
      <c r="BH26">
        <f t="shared" si="37"/>
        <v>0.6418508815514733</v>
      </c>
      <c r="BI26">
        <f t="shared" si="38"/>
        <v>0.6747006716369397</v>
      </c>
      <c r="BJ26">
        <v>1357</v>
      </c>
      <c r="BK26">
        <v>300</v>
      </c>
      <c r="BL26">
        <v>300</v>
      </c>
      <c r="BM26">
        <v>300</v>
      </c>
      <c r="BN26">
        <v>10279.4</v>
      </c>
      <c r="BO26">
        <v>1283.02</v>
      </c>
      <c r="BP26">
        <v>-7.0605599999999996E-3</v>
      </c>
      <c r="BQ26">
        <v>1.6744399999999999</v>
      </c>
      <c r="BR26">
        <f t="shared" si="39"/>
        <v>1749.8</v>
      </c>
      <c r="BS26">
        <f t="shared" si="40"/>
        <v>1471.035600096299</v>
      </c>
      <c r="BT26">
        <f t="shared" si="41"/>
        <v>0.84068785009503888</v>
      </c>
      <c r="BU26">
        <f t="shared" si="42"/>
        <v>0.19137570019007777</v>
      </c>
      <c r="BV26" t="s">
        <v>281</v>
      </c>
      <c r="BW26">
        <v>1566143847.2</v>
      </c>
      <c r="BX26">
        <v>739.87099999999998</v>
      </c>
      <c r="BY26">
        <v>800.08100000000002</v>
      </c>
      <c r="BZ26">
        <v>19.2623</v>
      </c>
      <c r="CA26">
        <v>12.8531</v>
      </c>
      <c r="CB26">
        <v>500.024</v>
      </c>
      <c r="CC26">
        <v>98.831599999999995</v>
      </c>
      <c r="CD26">
        <v>0.20000999999999999</v>
      </c>
      <c r="CE26">
        <v>26.452300000000001</v>
      </c>
      <c r="CF26">
        <v>27.0365</v>
      </c>
      <c r="CG26">
        <v>999.9</v>
      </c>
      <c r="CH26">
        <v>9988.75</v>
      </c>
      <c r="CI26">
        <v>0</v>
      </c>
      <c r="CJ26">
        <v>666.34100000000001</v>
      </c>
      <c r="CK26">
        <v>1749.8</v>
      </c>
      <c r="CL26">
        <v>0.97700699999999996</v>
      </c>
      <c r="CM26">
        <v>2.2993099999999999E-2</v>
      </c>
      <c r="CN26">
        <v>0</v>
      </c>
      <c r="CO26">
        <v>844.36900000000003</v>
      </c>
      <c r="CP26">
        <v>4.99986</v>
      </c>
      <c r="CQ26">
        <v>17522.7</v>
      </c>
      <c r="CR26">
        <v>14219.2</v>
      </c>
      <c r="CS26">
        <v>44.375</v>
      </c>
      <c r="CT26">
        <v>46</v>
      </c>
      <c r="CU26">
        <v>45.125</v>
      </c>
      <c r="CV26">
        <v>45.061999999999998</v>
      </c>
      <c r="CW26">
        <v>46</v>
      </c>
      <c r="CX26">
        <v>1704.68</v>
      </c>
      <c r="CY26">
        <v>40.119999999999997</v>
      </c>
      <c r="CZ26">
        <v>0</v>
      </c>
      <c r="DA26">
        <v>127.40000009536701</v>
      </c>
      <c r="DB26">
        <v>847.74757692307696</v>
      </c>
      <c r="DC26">
        <v>-26.800376044537199</v>
      </c>
      <c r="DD26">
        <v>-327.35042645551499</v>
      </c>
      <c r="DE26">
        <v>17567.446153846198</v>
      </c>
      <c r="DF26">
        <v>15</v>
      </c>
      <c r="DG26">
        <v>1566143882.7</v>
      </c>
      <c r="DH26" t="s">
        <v>333</v>
      </c>
      <c r="DI26">
        <v>42</v>
      </c>
      <c r="DJ26">
        <v>0.3</v>
      </c>
      <c r="DK26">
        <v>6.8000000000000005E-2</v>
      </c>
      <c r="DL26">
        <v>800</v>
      </c>
      <c r="DM26">
        <v>13</v>
      </c>
      <c r="DN26">
        <v>0.02</v>
      </c>
      <c r="DO26">
        <v>0.01</v>
      </c>
      <c r="DP26">
        <v>46.708824536556001</v>
      </c>
      <c r="DQ26">
        <v>-1.7600127655943301</v>
      </c>
      <c r="DR26">
        <v>0.36613590117351602</v>
      </c>
      <c r="DS26">
        <v>0</v>
      </c>
      <c r="DT26">
        <v>0.346409620110048</v>
      </c>
      <c r="DU26">
        <v>-2.2415005989712099E-2</v>
      </c>
      <c r="DV26">
        <v>4.6500431015485504E-3</v>
      </c>
      <c r="DW26">
        <v>1</v>
      </c>
      <c r="DX26">
        <v>1</v>
      </c>
      <c r="DY26">
        <v>2</v>
      </c>
      <c r="DZ26" t="s">
        <v>323</v>
      </c>
      <c r="EA26">
        <v>1.86731</v>
      </c>
      <c r="EB26">
        <v>1.86382</v>
      </c>
      <c r="EC26">
        <v>1.86947</v>
      </c>
      <c r="ED26">
        <v>1.86737</v>
      </c>
      <c r="EE26">
        <v>1.87209</v>
      </c>
      <c r="EF26">
        <v>1.86453</v>
      </c>
      <c r="EG26">
        <v>1.8661399999999999</v>
      </c>
      <c r="EH26">
        <v>1.86602</v>
      </c>
      <c r="EI26" t="s">
        <v>284</v>
      </c>
      <c r="EJ26" t="s">
        <v>19</v>
      </c>
      <c r="EK26" t="s">
        <v>19</v>
      </c>
      <c r="EL26" t="s">
        <v>19</v>
      </c>
      <c r="EM26" t="s">
        <v>285</v>
      </c>
      <c r="EN26" t="s">
        <v>286</v>
      </c>
      <c r="EO26" t="s">
        <v>287</v>
      </c>
      <c r="EP26" t="s">
        <v>287</v>
      </c>
      <c r="EQ26" t="s">
        <v>287</v>
      </c>
      <c r="ER26" t="s">
        <v>287</v>
      </c>
      <c r="ES26">
        <v>0</v>
      </c>
      <c r="ET26">
        <v>100</v>
      </c>
      <c r="EU26">
        <v>100</v>
      </c>
      <c r="EV26">
        <v>0.3</v>
      </c>
      <c r="EW26">
        <v>6.8000000000000005E-2</v>
      </c>
      <c r="EX26">
        <v>2</v>
      </c>
      <c r="EY26">
        <v>341.97199999999998</v>
      </c>
      <c r="EZ26">
        <v>495.84300000000002</v>
      </c>
      <c r="FA26">
        <v>22.441099999999999</v>
      </c>
      <c r="FB26">
        <v>31.202000000000002</v>
      </c>
      <c r="FC26">
        <v>30.000800000000002</v>
      </c>
      <c r="FD26">
        <v>31.242999999999999</v>
      </c>
      <c r="FE26">
        <v>31.2499</v>
      </c>
      <c r="FF26">
        <v>38.340000000000003</v>
      </c>
      <c r="FG26">
        <v>62.545000000000002</v>
      </c>
      <c r="FH26">
        <v>0</v>
      </c>
      <c r="FI26">
        <v>22.4207</v>
      </c>
      <c r="FJ26">
        <v>800</v>
      </c>
      <c r="FK26">
        <v>12.7895</v>
      </c>
      <c r="FL26">
        <v>101.1</v>
      </c>
      <c r="FM26">
        <v>101.64100000000001</v>
      </c>
    </row>
    <row r="27" spans="1:169" x14ac:dyDescent="0.35">
      <c r="A27">
        <v>12</v>
      </c>
      <c r="B27">
        <v>1566143974.2</v>
      </c>
      <c r="C27">
        <v>1313.10000014305</v>
      </c>
      <c r="D27" t="s">
        <v>334</v>
      </c>
      <c r="E27" t="s">
        <v>335</v>
      </c>
      <c r="G27">
        <v>1566143974.2</v>
      </c>
      <c r="H27">
        <f t="shared" si="0"/>
        <v>4.8954340704398143E-3</v>
      </c>
      <c r="I27">
        <f t="shared" si="1"/>
        <v>47.438922390326852</v>
      </c>
      <c r="J27">
        <f t="shared" si="2"/>
        <v>937.88894575521806</v>
      </c>
      <c r="K27">
        <f t="shared" si="3"/>
        <v>645.06897965859605</v>
      </c>
      <c r="L27">
        <f t="shared" si="4"/>
        <v>63.878637548603969</v>
      </c>
      <c r="M27">
        <f t="shared" si="5"/>
        <v>92.875444202026117</v>
      </c>
      <c r="N27">
        <f t="shared" si="6"/>
        <v>0.2980171257521379</v>
      </c>
      <c r="O27">
        <f t="shared" si="7"/>
        <v>2.2431965187251506</v>
      </c>
      <c r="P27">
        <f t="shared" si="8"/>
        <v>0.27763945966257553</v>
      </c>
      <c r="Q27">
        <f t="shared" si="9"/>
        <v>0.17523926443412888</v>
      </c>
      <c r="R27">
        <f t="shared" si="10"/>
        <v>281.57951962287439</v>
      </c>
      <c r="S27">
        <f t="shared" si="11"/>
        <v>26.555926079724241</v>
      </c>
      <c r="T27">
        <f t="shared" si="12"/>
        <v>26.972300000000001</v>
      </c>
      <c r="U27">
        <f t="shared" si="13"/>
        <v>3.5733409282618682</v>
      </c>
      <c r="V27">
        <f t="shared" si="14"/>
        <v>55.380198949281777</v>
      </c>
      <c r="W27">
        <f t="shared" si="15"/>
        <v>1.8753158570431998</v>
      </c>
      <c r="X27">
        <f t="shared" si="16"/>
        <v>3.3862569882795999</v>
      </c>
      <c r="Y27">
        <f t="shared" si="17"/>
        <v>1.6980250712186684</v>
      </c>
      <c r="Z27">
        <f t="shared" si="18"/>
        <v>-215.8886425063958</v>
      </c>
      <c r="AA27">
        <f t="shared" si="19"/>
        <v>-110.32919273758489</v>
      </c>
      <c r="AB27">
        <f t="shared" si="20"/>
        <v>-10.56321373308165</v>
      </c>
      <c r="AC27">
        <f t="shared" si="21"/>
        <v>-55.201529354187926</v>
      </c>
      <c r="AD27">
        <v>-4.1000837501987797E-2</v>
      </c>
      <c r="AE27">
        <v>4.6027031966621897E-2</v>
      </c>
      <c r="AF27">
        <v>3.4430644769969798</v>
      </c>
      <c r="AG27">
        <v>139</v>
      </c>
      <c r="AH27">
        <v>28</v>
      </c>
      <c r="AI27">
        <f t="shared" si="22"/>
        <v>1.0053289541304551</v>
      </c>
      <c r="AJ27">
        <f t="shared" si="23"/>
        <v>0.5328954130455088</v>
      </c>
      <c r="AK27">
        <f t="shared" si="24"/>
        <v>52445.835037501936</v>
      </c>
      <c r="AL27" t="s">
        <v>278</v>
      </c>
      <c r="AM27">
        <v>520.33192307692298</v>
      </c>
      <c r="AN27">
        <v>3330.63</v>
      </c>
      <c r="AO27">
        <f t="shared" si="25"/>
        <v>2810.2980769230771</v>
      </c>
      <c r="AP27">
        <f t="shared" si="26"/>
        <v>0.84377372356673574</v>
      </c>
      <c r="AQ27">
        <v>-1.3252759154356599</v>
      </c>
      <c r="AR27" t="s">
        <v>336</v>
      </c>
      <c r="AS27">
        <v>829.77930769230795</v>
      </c>
      <c r="AT27">
        <v>1382.2</v>
      </c>
      <c r="AU27">
        <f t="shared" si="27"/>
        <v>0.39966769809556657</v>
      </c>
      <c r="AV27">
        <v>0.5</v>
      </c>
      <c r="AW27">
        <f t="shared" si="28"/>
        <v>1471.3464000962786</v>
      </c>
      <c r="AX27">
        <f t="shared" si="29"/>
        <v>47.438922390326852</v>
      </c>
      <c r="AY27">
        <f t="shared" si="30"/>
        <v>294.02481441383907</v>
      </c>
      <c r="AZ27">
        <f t="shared" si="31"/>
        <v>0.62072059036318916</v>
      </c>
      <c r="BA27">
        <f t="shared" si="32"/>
        <v>3.3142568128464917E-2</v>
      </c>
      <c r="BB27">
        <f t="shared" si="33"/>
        <v>1.4096585154102157</v>
      </c>
      <c r="BC27" t="s">
        <v>337</v>
      </c>
      <c r="BD27">
        <v>524.24</v>
      </c>
      <c r="BE27">
        <f t="shared" si="34"/>
        <v>857.96</v>
      </c>
      <c r="BF27">
        <f t="shared" si="35"/>
        <v>0.64387697830632207</v>
      </c>
      <c r="BG27">
        <f t="shared" si="36"/>
        <v>0.69428340323333526</v>
      </c>
      <c r="BH27">
        <f t="shared" si="37"/>
        <v>0.64095736586493435</v>
      </c>
      <c r="BI27">
        <f t="shared" si="38"/>
        <v>0.69331791385392316</v>
      </c>
      <c r="BJ27">
        <v>1359</v>
      </c>
      <c r="BK27">
        <v>300</v>
      </c>
      <c r="BL27">
        <v>300</v>
      </c>
      <c r="BM27">
        <v>300</v>
      </c>
      <c r="BN27">
        <v>10278.799999999999</v>
      </c>
      <c r="BO27">
        <v>1237.01</v>
      </c>
      <c r="BP27">
        <v>-7.0601199999999996E-3</v>
      </c>
      <c r="BQ27">
        <v>1.24207</v>
      </c>
      <c r="BR27">
        <f t="shared" si="39"/>
        <v>1750.17</v>
      </c>
      <c r="BS27">
        <f t="shared" si="40"/>
        <v>1471.3464000962786</v>
      </c>
      <c r="BT27">
        <f t="shared" si="41"/>
        <v>0.84068770467799048</v>
      </c>
      <c r="BU27">
        <f t="shared" si="42"/>
        <v>0.19137540935598105</v>
      </c>
      <c r="BV27" t="s">
        <v>281</v>
      </c>
      <c r="BW27">
        <v>1566143974.2</v>
      </c>
      <c r="BX27">
        <v>937.88900000000001</v>
      </c>
      <c r="BY27">
        <v>1000.02</v>
      </c>
      <c r="BZ27">
        <v>18.9376</v>
      </c>
      <c r="CA27">
        <v>13.2058</v>
      </c>
      <c r="CB27">
        <v>500.029</v>
      </c>
      <c r="CC27">
        <v>98.826099999999997</v>
      </c>
      <c r="CD27">
        <v>0.199957</v>
      </c>
      <c r="CE27">
        <v>26.06</v>
      </c>
      <c r="CF27">
        <v>26.972300000000001</v>
      </c>
      <c r="CG27">
        <v>999.9</v>
      </c>
      <c r="CH27">
        <v>10005</v>
      </c>
      <c r="CI27">
        <v>0</v>
      </c>
      <c r="CJ27">
        <v>885.13599999999997</v>
      </c>
      <c r="CK27">
        <v>1750.17</v>
      </c>
      <c r="CL27">
        <v>0.97701099999999996</v>
      </c>
      <c r="CM27">
        <v>2.2988999999999999E-2</v>
      </c>
      <c r="CN27">
        <v>0</v>
      </c>
      <c r="CO27">
        <v>828.06100000000004</v>
      </c>
      <c r="CP27">
        <v>4.99986</v>
      </c>
      <c r="CQ27">
        <v>17990.3</v>
      </c>
      <c r="CR27">
        <v>14222.2</v>
      </c>
      <c r="CS27">
        <v>44.436999999999998</v>
      </c>
      <c r="CT27">
        <v>46.125</v>
      </c>
      <c r="CU27">
        <v>45.25</v>
      </c>
      <c r="CV27">
        <v>45.125</v>
      </c>
      <c r="CW27">
        <v>46.061999999999998</v>
      </c>
      <c r="CX27">
        <v>1705.05</v>
      </c>
      <c r="CY27">
        <v>40.119999999999997</v>
      </c>
      <c r="CZ27">
        <v>0</v>
      </c>
      <c r="DA27">
        <v>126.60000014305101</v>
      </c>
      <c r="DB27">
        <v>829.77930769230795</v>
      </c>
      <c r="DC27">
        <v>-14.7290256489322</v>
      </c>
      <c r="DD27">
        <v>269.42906018501901</v>
      </c>
      <c r="DE27">
        <v>17945.238461538502</v>
      </c>
      <c r="DF27">
        <v>15</v>
      </c>
      <c r="DG27">
        <v>1566144008.2</v>
      </c>
      <c r="DH27" t="s">
        <v>338</v>
      </c>
      <c r="DI27">
        <v>43</v>
      </c>
      <c r="DJ27">
        <v>0.70799999999999996</v>
      </c>
      <c r="DK27">
        <v>7.0999999999999994E-2</v>
      </c>
      <c r="DL27">
        <v>1000</v>
      </c>
      <c r="DM27">
        <v>13</v>
      </c>
      <c r="DN27">
        <v>0.05</v>
      </c>
      <c r="DO27">
        <v>0.01</v>
      </c>
      <c r="DP27">
        <v>48.039912785876403</v>
      </c>
      <c r="DQ27">
        <v>-1.1732554349066899</v>
      </c>
      <c r="DR27">
        <v>0.266344161618425</v>
      </c>
      <c r="DS27">
        <v>0</v>
      </c>
      <c r="DT27">
        <v>0.301029069226318</v>
      </c>
      <c r="DU27">
        <v>-1.3664882714269499E-2</v>
      </c>
      <c r="DV27">
        <v>2.8623963093262301E-3</v>
      </c>
      <c r="DW27">
        <v>1</v>
      </c>
      <c r="DX27">
        <v>1</v>
      </c>
      <c r="DY27">
        <v>2</v>
      </c>
      <c r="DZ27" t="s">
        <v>323</v>
      </c>
      <c r="EA27">
        <v>1.8673</v>
      </c>
      <c r="EB27">
        <v>1.8637999999999999</v>
      </c>
      <c r="EC27">
        <v>1.8694999999999999</v>
      </c>
      <c r="ED27">
        <v>1.86737</v>
      </c>
      <c r="EE27">
        <v>1.8721000000000001</v>
      </c>
      <c r="EF27">
        <v>1.8645400000000001</v>
      </c>
      <c r="EG27">
        <v>1.8661099999999999</v>
      </c>
      <c r="EH27">
        <v>1.8660300000000001</v>
      </c>
      <c r="EI27" t="s">
        <v>284</v>
      </c>
      <c r="EJ27" t="s">
        <v>19</v>
      </c>
      <c r="EK27" t="s">
        <v>19</v>
      </c>
      <c r="EL27" t="s">
        <v>19</v>
      </c>
      <c r="EM27" t="s">
        <v>285</v>
      </c>
      <c r="EN27" t="s">
        <v>286</v>
      </c>
      <c r="EO27" t="s">
        <v>287</v>
      </c>
      <c r="EP27" t="s">
        <v>287</v>
      </c>
      <c r="EQ27" t="s">
        <v>287</v>
      </c>
      <c r="ER27" t="s">
        <v>287</v>
      </c>
      <c r="ES27">
        <v>0</v>
      </c>
      <c r="ET27">
        <v>100</v>
      </c>
      <c r="EU27">
        <v>100</v>
      </c>
      <c r="EV27">
        <v>0.70799999999999996</v>
      </c>
      <c r="EW27">
        <v>7.0999999999999994E-2</v>
      </c>
      <c r="EX27">
        <v>2</v>
      </c>
      <c r="EY27">
        <v>342.16500000000002</v>
      </c>
      <c r="EZ27">
        <v>495.37900000000002</v>
      </c>
      <c r="FA27">
        <v>21.975300000000001</v>
      </c>
      <c r="FB27">
        <v>31.344000000000001</v>
      </c>
      <c r="FC27">
        <v>29.997299999999999</v>
      </c>
      <c r="FD27">
        <v>31.339300000000001</v>
      </c>
      <c r="FE27">
        <v>31.338000000000001</v>
      </c>
      <c r="FF27">
        <v>45.912700000000001</v>
      </c>
      <c r="FG27">
        <v>61.670999999999999</v>
      </c>
      <c r="FH27">
        <v>0</v>
      </c>
      <c r="FI27">
        <v>22.041899999999998</v>
      </c>
      <c r="FJ27">
        <v>1000</v>
      </c>
      <c r="FK27">
        <v>13.0739</v>
      </c>
      <c r="FL27">
        <v>101.081</v>
      </c>
      <c r="FM27">
        <v>101.61199999999999</v>
      </c>
    </row>
    <row r="28" spans="1:169" x14ac:dyDescent="0.35">
      <c r="A28">
        <v>13</v>
      </c>
      <c r="B28">
        <v>1566144099.7</v>
      </c>
      <c r="C28">
        <v>1438.60000014305</v>
      </c>
      <c r="D28" t="s">
        <v>339</v>
      </c>
      <c r="E28" t="s">
        <v>340</v>
      </c>
      <c r="G28">
        <v>1566144099.7</v>
      </c>
      <c r="H28">
        <f t="shared" si="0"/>
        <v>4.5687351530427833E-3</v>
      </c>
      <c r="I28">
        <f t="shared" si="1"/>
        <v>47.37533047618868</v>
      </c>
      <c r="J28">
        <f t="shared" si="2"/>
        <v>1137.2969454598599</v>
      </c>
      <c r="K28">
        <f t="shared" si="3"/>
        <v>813.94156522038111</v>
      </c>
      <c r="L28">
        <f t="shared" si="4"/>
        <v>80.605700281166335</v>
      </c>
      <c r="M28">
        <f t="shared" si="5"/>
        <v>112.62800750518542</v>
      </c>
      <c r="N28">
        <f t="shared" si="6"/>
        <v>0.27119997970451593</v>
      </c>
      <c r="O28">
        <f t="shared" si="7"/>
        <v>2.2369725193875971</v>
      </c>
      <c r="P28">
        <f t="shared" si="8"/>
        <v>0.25416851067951529</v>
      </c>
      <c r="Q28">
        <f t="shared" si="9"/>
        <v>0.16029631678204628</v>
      </c>
      <c r="R28">
        <f t="shared" si="10"/>
        <v>281.55933357131534</v>
      </c>
      <c r="S28">
        <f t="shared" si="11"/>
        <v>26.286277596094113</v>
      </c>
      <c r="T28">
        <f t="shared" si="12"/>
        <v>27.011099999999999</v>
      </c>
      <c r="U28">
        <f t="shared" si="13"/>
        <v>3.5814937201058124</v>
      </c>
      <c r="V28">
        <f t="shared" si="14"/>
        <v>55.882294711539046</v>
      </c>
      <c r="W28">
        <f t="shared" si="15"/>
        <v>1.8502019834130001</v>
      </c>
      <c r="X28">
        <f t="shared" si="16"/>
        <v>3.3108912097536947</v>
      </c>
      <c r="Y28">
        <f t="shared" si="17"/>
        <v>1.7312917366928122</v>
      </c>
      <c r="Z28">
        <f t="shared" si="18"/>
        <v>-201.48122024918675</v>
      </c>
      <c r="AA28">
        <f t="shared" si="19"/>
        <v>-160.53021070745976</v>
      </c>
      <c r="AB28">
        <f t="shared" si="20"/>
        <v>-15.386076969339261</v>
      </c>
      <c r="AC28">
        <f t="shared" si="21"/>
        <v>-95.838174354670457</v>
      </c>
      <c r="AD28">
        <v>-4.0833942043462697E-2</v>
      </c>
      <c r="AE28">
        <v>4.5839677193582402E-2</v>
      </c>
      <c r="AF28">
        <v>3.4319563697907598</v>
      </c>
      <c r="AG28">
        <v>138</v>
      </c>
      <c r="AH28">
        <v>28</v>
      </c>
      <c r="AI28">
        <f t="shared" si="22"/>
        <v>1.0053044732786141</v>
      </c>
      <c r="AJ28">
        <f t="shared" si="23"/>
        <v>0.53044732786140525</v>
      </c>
      <c r="AK28">
        <f t="shared" si="24"/>
        <v>52307.556292825939</v>
      </c>
      <c r="AL28" t="s">
        <v>278</v>
      </c>
      <c r="AM28">
        <v>520.33192307692298</v>
      </c>
      <c r="AN28">
        <v>3330.63</v>
      </c>
      <c r="AO28">
        <f t="shared" si="25"/>
        <v>2810.2980769230771</v>
      </c>
      <c r="AP28">
        <f t="shared" si="26"/>
        <v>0.84377372356673574</v>
      </c>
      <c r="AQ28">
        <v>-1.3252759154356599</v>
      </c>
      <c r="AR28" t="s">
        <v>341</v>
      </c>
      <c r="AS28">
        <v>816.61123076923104</v>
      </c>
      <c r="AT28">
        <v>1330.92</v>
      </c>
      <c r="AU28">
        <f t="shared" si="27"/>
        <v>0.38643101706396255</v>
      </c>
      <c r="AV28">
        <v>0.5</v>
      </c>
      <c r="AW28">
        <f t="shared" si="28"/>
        <v>1471.2375000963095</v>
      </c>
      <c r="AX28">
        <f t="shared" si="29"/>
        <v>47.37533047618868</v>
      </c>
      <c r="AY28">
        <f t="shared" si="30"/>
        <v>284.26590175242927</v>
      </c>
      <c r="AZ28">
        <f t="shared" si="31"/>
        <v>0.61076548552880716</v>
      </c>
      <c r="BA28">
        <f t="shared" si="32"/>
        <v>3.3101797900363689E-2</v>
      </c>
      <c r="BB28">
        <f t="shared" si="33"/>
        <v>1.502502028671896</v>
      </c>
      <c r="BC28" t="s">
        <v>342</v>
      </c>
      <c r="BD28">
        <v>518.04</v>
      </c>
      <c r="BE28">
        <f t="shared" si="34"/>
        <v>812.88000000000011</v>
      </c>
      <c r="BF28">
        <f t="shared" si="35"/>
        <v>0.63269949959498195</v>
      </c>
      <c r="BG28">
        <f t="shared" si="36"/>
        <v>0.71098524847204891</v>
      </c>
      <c r="BH28">
        <f t="shared" si="37"/>
        <v>0.63448844594783715</v>
      </c>
      <c r="BI28">
        <f t="shared" si="38"/>
        <v>0.71156508856506462</v>
      </c>
      <c r="BJ28">
        <v>1361</v>
      </c>
      <c r="BK28">
        <v>300</v>
      </c>
      <c r="BL28">
        <v>300</v>
      </c>
      <c r="BM28">
        <v>300</v>
      </c>
      <c r="BN28">
        <v>10278.6</v>
      </c>
      <c r="BO28">
        <v>1197.18</v>
      </c>
      <c r="BP28">
        <v>-7.0594999999999998E-3</v>
      </c>
      <c r="BQ28">
        <v>1.29175</v>
      </c>
      <c r="BR28">
        <f t="shared" si="39"/>
        <v>1750.04</v>
      </c>
      <c r="BS28">
        <f t="shared" si="40"/>
        <v>1471.2375000963095</v>
      </c>
      <c r="BT28">
        <f t="shared" si="41"/>
        <v>0.8406879271881269</v>
      </c>
      <c r="BU28">
        <f t="shared" si="42"/>
        <v>0.19137585437625401</v>
      </c>
      <c r="BV28" t="s">
        <v>281</v>
      </c>
      <c r="BW28">
        <v>1566144099.7</v>
      </c>
      <c r="BX28">
        <v>1137.297</v>
      </c>
      <c r="BY28">
        <v>1200.08</v>
      </c>
      <c r="BZ28">
        <v>18.683</v>
      </c>
      <c r="CA28">
        <v>13.332100000000001</v>
      </c>
      <c r="CB28">
        <v>500.02100000000002</v>
      </c>
      <c r="CC28">
        <v>98.831299999999999</v>
      </c>
      <c r="CD28">
        <v>0.20001099999999999</v>
      </c>
      <c r="CE28">
        <v>25.68</v>
      </c>
      <c r="CF28">
        <v>27.011099999999999</v>
      </c>
      <c r="CG28">
        <v>999.9</v>
      </c>
      <c r="CH28">
        <v>9963.75</v>
      </c>
      <c r="CI28">
        <v>0</v>
      </c>
      <c r="CJ28">
        <v>1755.93</v>
      </c>
      <c r="CK28">
        <v>1750.04</v>
      </c>
      <c r="CL28">
        <v>0.97700299999999995</v>
      </c>
      <c r="CM28">
        <v>2.2997099999999999E-2</v>
      </c>
      <c r="CN28">
        <v>0</v>
      </c>
      <c r="CO28">
        <v>815.99199999999996</v>
      </c>
      <c r="CP28">
        <v>4.99986</v>
      </c>
      <c r="CQ28">
        <v>20233.599999999999</v>
      </c>
      <c r="CR28">
        <v>14221.1</v>
      </c>
      <c r="CS28">
        <v>44.75</v>
      </c>
      <c r="CT28">
        <v>46.686999999999998</v>
      </c>
      <c r="CU28">
        <v>45.625</v>
      </c>
      <c r="CV28">
        <v>45.625</v>
      </c>
      <c r="CW28">
        <v>46.375</v>
      </c>
      <c r="CX28">
        <v>1704.91</v>
      </c>
      <c r="CY28">
        <v>40.130000000000003</v>
      </c>
      <c r="CZ28">
        <v>0</v>
      </c>
      <c r="DA28">
        <v>125</v>
      </c>
      <c r="DB28">
        <v>816.61123076923104</v>
      </c>
      <c r="DC28">
        <v>-5.4622222387222603</v>
      </c>
      <c r="DD28">
        <v>3444.2222327613399</v>
      </c>
      <c r="DE28">
        <v>20864.934615384602</v>
      </c>
      <c r="DF28">
        <v>15</v>
      </c>
      <c r="DG28">
        <v>1566144132.7</v>
      </c>
      <c r="DH28" t="s">
        <v>343</v>
      </c>
      <c r="DI28">
        <v>44</v>
      </c>
      <c r="DJ28">
        <v>0.73499999999999999</v>
      </c>
      <c r="DK28">
        <v>7.4999999999999997E-2</v>
      </c>
      <c r="DL28">
        <v>1200</v>
      </c>
      <c r="DM28">
        <v>13</v>
      </c>
      <c r="DN28">
        <v>0.04</v>
      </c>
      <c r="DO28">
        <v>0.02</v>
      </c>
      <c r="DP28">
        <v>47.883307108432597</v>
      </c>
      <c r="DQ28">
        <v>-0.78391496301444397</v>
      </c>
      <c r="DR28">
        <v>0.17597116887890199</v>
      </c>
      <c r="DS28">
        <v>0</v>
      </c>
      <c r="DT28">
        <v>0.26739934592664599</v>
      </c>
      <c r="DU28">
        <v>-1.22526712127755E-2</v>
      </c>
      <c r="DV28">
        <v>2.9734150784786499E-3</v>
      </c>
      <c r="DW28">
        <v>1</v>
      </c>
      <c r="DX28">
        <v>1</v>
      </c>
      <c r="DY28">
        <v>2</v>
      </c>
      <c r="DZ28" t="s">
        <v>323</v>
      </c>
      <c r="EA28">
        <v>1.8672500000000001</v>
      </c>
      <c r="EB28">
        <v>1.8637999999999999</v>
      </c>
      <c r="EC28">
        <v>1.86947</v>
      </c>
      <c r="ED28">
        <v>1.86737</v>
      </c>
      <c r="EE28">
        <v>1.8721000000000001</v>
      </c>
      <c r="EF28">
        <v>1.8645400000000001</v>
      </c>
      <c r="EG28">
        <v>1.86605</v>
      </c>
      <c r="EH28">
        <v>1.8660000000000001</v>
      </c>
      <c r="EI28" t="s">
        <v>284</v>
      </c>
      <c r="EJ28" t="s">
        <v>19</v>
      </c>
      <c r="EK28" t="s">
        <v>19</v>
      </c>
      <c r="EL28" t="s">
        <v>19</v>
      </c>
      <c r="EM28" t="s">
        <v>285</v>
      </c>
      <c r="EN28" t="s">
        <v>286</v>
      </c>
      <c r="EO28" t="s">
        <v>287</v>
      </c>
      <c r="EP28" t="s">
        <v>287</v>
      </c>
      <c r="EQ28" t="s">
        <v>287</v>
      </c>
      <c r="ER28" t="s">
        <v>287</v>
      </c>
      <c r="ES28">
        <v>0</v>
      </c>
      <c r="ET28">
        <v>100</v>
      </c>
      <c r="EU28">
        <v>100</v>
      </c>
      <c r="EV28">
        <v>0.73499999999999999</v>
      </c>
      <c r="EW28">
        <v>7.4999999999999997E-2</v>
      </c>
      <c r="EX28">
        <v>2</v>
      </c>
      <c r="EY28">
        <v>342.44299999999998</v>
      </c>
      <c r="EZ28">
        <v>494.84800000000001</v>
      </c>
      <c r="FA28">
        <v>19.207899999999999</v>
      </c>
      <c r="FB28">
        <v>31.6097</v>
      </c>
      <c r="FC28">
        <v>30.001100000000001</v>
      </c>
      <c r="FD28">
        <v>31.529399999999999</v>
      </c>
      <c r="FE28">
        <v>31.5289</v>
      </c>
      <c r="FF28">
        <v>53.157699999999998</v>
      </c>
      <c r="FG28">
        <v>61.280799999999999</v>
      </c>
      <c r="FH28">
        <v>0</v>
      </c>
      <c r="FI28">
        <v>19.210899999999999</v>
      </c>
      <c r="FJ28">
        <v>1200</v>
      </c>
      <c r="FK28">
        <v>13.2036</v>
      </c>
      <c r="FL28">
        <v>101.038</v>
      </c>
      <c r="FM28">
        <v>101.55800000000001</v>
      </c>
    </row>
    <row r="29" spans="1:169" x14ac:dyDescent="0.35">
      <c r="A29">
        <v>14</v>
      </c>
      <c r="B29">
        <v>1566144219.7</v>
      </c>
      <c r="C29">
        <v>1558.60000014305</v>
      </c>
      <c r="D29" t="s">
        <v>344</v>
      </c>
      <c r="E29" t="s">
        <v>345</v>
      </c>
      <c r="G29">
        <v>1566144219.7</v>
      </c>
      <c r="H29">
        <f t="shared" si="0"/>
        <v>4.4278384213384328E-3</v>
      </c>
      <c r="I29">
        <f t="shared" si="1"/>
        <v>46.158535773877141</v>
      </c>
      <c r="J29">
        <f t="shared" si="2"/>
        <v>1536.5249473270635</v>
      </c>
      <c r="K29">
        <f t="shared" si="3"/>
        <v>1193.1422696161253</v>
      </c>
      <c r="L29">
        <f t="shared" si="4"/>
        <v>118.15959455189054</v>
      </c>
      <c r="M29">
        <f t="shared" si="5"/>
        <v>152.16556266457923</v>
      </c>
      <c r="N29">
        <f t="shared" si="6"/>
        <v>0.25640252391481888</v>
      </c>
      <c r="O29">
        <f t="shared" si="7"/>
        <v>2.2437685583276443</v>
      </c>
      <c r="P29">
        <f t="shared" si="8"/>
        <v>0.24116607467956938</v>
      </c>
      <c r="Q29">
        <f t="shared" si="9"/>
        <v>0.15202222433638729</v>
      </c>
      <c r="R29">
        <f t="shared" si="10"/>
        <v>281.550791793168</v>
      </c>
      <c r="S29">
        <f t="shared" si="11"/>
        <v>26.301366146419046</v>
      </c>
      <c r="T29">
        <f t="shared" si="12"/>
        <v>27.020700000000001</v>
      </c>
      <c r="U29">
        <f t="shared" si="13"/>
        <v>3.5835134096695138</v>
      </c>
      <c r="V29">
        <f t="shared" si="14"/>
        <v>54.911780577713223</v>
      </c>
      <c r="W29">
        <f t="shared" si="15"/>
        <v>1.8148258770656001</v>
      </c>
      <c r="X29">
        <f t="shared" si="16"/>
        <v>3.3049845733871077</v>
      </c>
      <c r="Y29">
        <f t="shared" si="17"/>
        <v>1.7686875326039138</v>
      </c>
      <c r="Z29">
        <f t="shared" si="18"/>
        <v>-195.26767438102488</v>
      </c>
      <c r="AA29">
        <f t="shared" si="19"/>
        <v>-165.82026204810072</v>
      </c>
      <c r="AB29">
        <f t="shared" si="20"/>
        <v>-15.843343193287138</v>
      </c>
      <c r="AC29">
        <f t="shared" si="21"/>
        <v>-95.380487829244714</v>
      </c>
      <c r="AD29">
        <v>-4.10161974556335E-2</v>
      </c>
      <c r="AE29">
        <v>4.6044274860195099E-2</v>
      </c>
      <c r="AF29">
        <v>3.4440860175692798</v>
      </c>
      <c r="AG29">
        <v>139</v>
      </c>
      <c r="AH29">
        <v>28</v>
      </c>
      <c r="AI29">
        <f t="shared" si="22"/>
        <v>1.005319672179243</v>
      </c>
      <c r="AJ29">
        <f t="shared" si="23"/>
        <v>0.53196721792430068</v>
      </c>
      <c r="AK29">
        <f t="shared" si="24"/>
        <v>52536.859311808556</v>
      </c>
      <c r="AL29" t="s">
        <v>278</v>
      </c>
      <c r="AM29">
        <v>520.33192307692298</v>
      </c>
      <c r="AN29">
        <v>3330.63</v>
      </c>
      <c r="AO29">
        <f t="shared" si="25"/>
        <v>2810.2980769230771</v>
      </c>
      <c r="AP29">
        <f t="shared" si="26"/>
        <v>0.84377372356673574</v>
      </c>
      <c r="AQ29">
        <v>-1.3252759154356599</v>
      </c>
      <c r="AR29" t="s">
        <v>346</v>
      </c>
      <c r="AS29">
        <v>811.59276923076902</v>
      </c>
      <c r="AT29">
        <v>1274.1300000000001</v>
      </c>
      <c r="AU29">
        <f t="shared" si="27"/>
        <v>0.3630220077772528</v>
      </c>
      <c r="AV29">
        <v>0.5</v>
      </c>
      <c r="AW29">
        <f t="shared" si="28"/>
        <v>1471.1952000962885</v>
      </c>
      <c r="AX29">
        <f t="shared" si="29"/>
        <v>46.158535773877141</v>
      </c>
      <c r="AY29">
        <f t="shared" si="30"/>
        <v>267.03811768560593</v>
      </c>
      <c r="AZ29">
        <f t="shared" si="31"/>
        <v>2.7937102179526421</v>
      </c>
      <c r="BA29">
        <f t="shared" si="32"/>
        <v>3.2275670615432288E-2</v>
      </c>
      <c r="BB29">
        <f t="shared" si="33"/>
        <v>1.6140425231334321</v>
      </c>
      <c r="BC29" t="s">
        <v>347</v>
      </c>
      <c r="BD29">
        <v>-2285.42</v>
      </c>
      <c r="BE29">
        <f t="shared" si="34"/>
        <v>3559.55</v>
      </c>
      <c r="BF29">
        <f t="shared" si="35"/>
        <v>0.12994261374871291</v>
      </c>
      <c r="BG29">
        <f t="shared" si="36"/>
        <v>0.36618263726284489</v>
      </c>
      <c r="BH29">
        <f t="shared" si="37"/>
        <v>0.61360892914088938</v>
      </c>
      <c r="BI29">
        <f t="shared" si="38"/>
        <v>0.73177290938888906</v>
      </c>
      <c r="BJ29">
        <v>1363</v>
      </c>
      <c r="BK29">
        <v>300</v>
      </c>
      <c r="BL29">
        <v>300</v>
      </c>
      <c r="BM29">
        <v>300</v>
      </c>
      <c r="BN29">
        <v>10276.799999999999</v>
      </c>
      <c r="BO29">
        <v>1152.08</v>
      </c>
      <c r="BP29">
        <v>-7.0581000000000003E-3</v>
      </c>
      <c r="BQ29">
        <v>3.7597699999999998E-2</v>
      </c>
      <c r="BR29">
        <f t="shared" si="39"/>
        <v>1749.99</v>
      </c>
      <c r="BS29">
        <f t="shared" si="40"/>
        <v>1471.1952000962885</v>
      </c>
      <c r="BT29">
        <f t="shared" si="41"/>
        <v>0.84068777541373862</v>
      </c>
      <c r="BU29">
        <f t="shared" si="42"/>
        <v>0.19137555082747737</v>
      </c>
      <c r="BV29" t="s">
        <v>281</v>
      </c>
      <c r="BW29">
        <v>1566144219.7</v>
      </c>
      <c r="BX29">
        <v>1536.5250000000001</v>
      </c>
      <c r="BY29">
        <v>1599.78</v>
      </c>
      <c r="BZ29">
        <v>18.325600000000001</v>
      </c>
      <c r="CA29">
        <v>13.138199999999999</v>
      </c>
      <c r="CB29">
        <v>500.05</v>
      </c>
      <c r="CC29">
        <v>98.832499999999996</v>
      </c>
      <c r="CD29">
        <v>0.19977600000000001</v>
      </c>
      <c r="CE29">
        <v>25.649899999999999</v>
      </c>
      <c r="CF29">
        <v>27.020700000000001</v>
      </c>
      <c r="CG29">
        <v>999.9</v>
      </c>
      <c r="CH29">
        <v>10008.1</v>
      </c>
      <c r="CI29">
        <v>0</v>
      </c>
      <c r="CJ29">
        <v>1092.44</v>
      </c>
      <c r="CK29">
        <v>1749.99</v>
      </c>
      <c r="CL29">
        <v>0.97701099999999996</v>
      </c>
      <c r="CM29">
        <v>2.2988999999999999E-2</v>
      </c>
      <c r="CN29">
        <v>0</v>
      </c>
      <c r="CO29">
        <v>810.65200000000004</v>
      </c>
      <c r="CP29">
        <v>4.99986</v>
      </c>
      <c r="CQ29">
        <v>18594.2</v>
      </c>
      <c r="CR29">
        <v>14220.7</v>
      </c>
      <c r="CS29">
        <v>45.25</v>
      </c>
      <c r="CT29">
        <v>47.436999999999998</v>
      </c>
      <c r="CU29">
        <v>46.186999999999998</v>
      </c>
      <c r="CV29">
        <v>46.25</v>
      </c>
      <c r="CW29">
        <v>46.811999999999998</v>
      </c>
      <c r="CX29">
        <v>1704.87</v>
      </c>
      <c r="CY29">
        <v>40.119999999999997</v>
      </c>
      <c r="CZ29">
        <v>0</v>
      </c>
      <c r="DA29">
        <v>119.700000047684</v>
      </c>
      <c r="DB29">
        <v>811.59276923076902</v>
      </c>
      <c r="DC29">
        <v>-9.8566837814405108</v>
      </c>
      <c r="DD29">
        <v>-7557.8666732023003</v>
      </c>
      <c r="DE29">
        <v>19630.3</v>
      </c>
      <c r="DF29">
        <v>15</v>
      </c>
      <c r="DG29">
        <v>1566144249.7</v>
      </c>
      <c r="DH29" t="s">
        <v>348</v>
      </c>
      <c r="DI29">
        <v>45</v>
      </c>
      <c r="DJ29">
        <v>0.59</v>
      </c>
      <c r="DK29">
        <v>7.0999999999999994E-2</v>
      </c>
      <c r="DL29">
        <v>1600</v>
      </c>
      <c r="DM29">
        <v>13</v>
      </c>
      <c r="DN29">
        <v>0.05</v>
      </c>
      <c r="DO29">
        <v>0.02</v>
      </c>
      <c r="DP29">
        <v>46.172735643934701</v>
      </c>
      <c r="DQ29">
        <v>-0.142489555451811</v>
      </c>
      <c r="DR29">
        <v>0.237963533640244</v>
      </c>
      <c r="DS29">
        <v>1</v>
      </c>
      <c r="DT29">
        <v>0.263344540696483</v>
      </c>
      <c r="DU29">
        <v>-3.2068003652510703E-2</v>
      </c>
      <c r="DV29">
        <v>6.4297743694782597E-3</v>
      </c>
      <c r="DW29">
        <v>1</v>
      </c>
      <c r="DX29">
        <v>2</v>
      </c>
      <c r="DY29">
        <v>2</v>
      </c>
      <c r="DZ29" t="s">
        <v>283</v>
      </c>
      <c r="EA29">
        <v>1.8673299999999999</v>
      </c>
      <c r="EB29">
        <v>1.86381</v>
      </c>
      <c r="EC29">
        <v>1.8694900000000001</v>
      </c>
      <c r="ED29">
        <v>1.86737</v>
      </c>
      <c r="EE29">
        <v>1.8721000000000001</v>
      </c>
      <c r="EF29">
        <v>1.8645700000000001</v>
      </c>
      <c r="EG29">
        <v>1.86612</v>
      </c>
      <c r="EH29">
        <v>1.8660099999999999</v>
      </c>
      <c r="EI29" t="s">
        <v>284</v>
      </c>
      <c r="EJ29" t="s">
        <v>19</v>
      </c>
      <c r="EK29" t="s">
        <v>19</v>
      </c>
      <c r="EL29" t="s">
        <v>19</v>
      </c>
      <c r="EM29" t="s">
        <v>285</v>
      </c>
      <c r="EN29" t="s">
        <v>286</v>
      </c>
      <c r="EO29" t="s">
        <v>287</v>
      </c>
      <c r="EP29" t="s">
        <v>287</v>
      </c>
      <c r="EQ29" t="s">
        <v>287</v>
      </c>
      <c r="ER29" t="s">
        <v>287</v>
      </c>
      <c r="ES29">
        <v>0</v>
      </c>
      <c r="ET29">
        <v>100</v>
      </c>
      <c r="EU29">
        <v>100</v>
      </c>
      <c r="EV29">
        <v>0.59</v>
      </c>
      <c r="EW29">
        <v>7.0999999999999994E-2</v>
      </c>
      <c r="EX29">
        <v>2</v>
      </c>
      <c r="EY29">
        <v>341.7</v>
      </c>
      <c r="EZ29">
        <v>493.154</v>
      </c>
      <c r="FA29">
        <v>19.951599999999999</v>
      </c>
      <c r="FB29">
        <v>32.100099999999998</v>
      </c>
      <c r="FC29">
        <v>29.999600000000001</v>
      </c>
      <c r="FD29">
        <v>31.905200000000001</v>
      </c>
      <c r="FE29">
        <v>31.890799999999999</v>
      </c>
      <c r="FF29">
        <v>66.836100000000002</v>
      </c>
      <c r="FG29">
        <v>61.904400000000003</v>
      </c>
      <c r="FH29">
        <v>0</v>
      </c>
      <c r="FI29">
        <v>20.0259</v>
      </c>
      <c r="FJ29">
        <v>1600</v>
      </c>
      <c r="FK29">
        <v>13.159599999999999</v>
      </c>
      <c r="FL29">
        <v>100.956</v>
      </c>
      <c r="FM29">
        <v>101.455</v>
      </c>
    </row>
  </sheetData>
  <sortState xmlns:xlrd2="http://schemas.microsoft.com/office/spreadsheetml/2017/richdata2" ref="J34:L47">
    <sortCondition ref="J3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4"/>
  <sheetViews>
    <sheetView workbookViewId="0"/>
  </sheetViews>
  <sheetFormatPr defaultRowHeight="14.5" x14ac:dyDescent="0.35"/>
  <sheetData>
    <row r="1" spans="1:2" x14ac:dyDescent="0.35">
      <c r="A1" t="s">
        <v>0</v>
      </c>
      <c r="B1" t="s">
        <v>1</v>
      </c>
    </row>
    <row r="2" spans="1:2" x14ac:dyDescent="0.35">
      <c r="A2" t="s">
        <v>2</v>
      </c>
      <c r="B2" t="s">
        <v>3</v>
      </c>
    </row>
    <row r="3" spans="1:2" x14ac:dyDescent="0.35">
      <c r="A3" t="s">
        <v>4</v>
      </c>
      <c r="B3" t="s">
        <v>5</v>
      </c>
    </row>
    <row r="4" spans="1:2" x14ac:dyDescent="0.35">
      <c r="A4" t="s">
        <v>6</v>
      </c>
      <c r="B4" t="s">
        <v>7</v>
      </c>
    </row>
    <row r="5" spans="1:2" x14ac:dyDescent="0.35">
      <c r="A5" t="s">
        <v>8</v>
      </c>
      <c r="B5" t="s">
        <v>9</v>
      </c>
    </row>
    <row r="6" spans="1:2" x14ac:dyDescent="0.35">
      <c r="A6" t="s">
        <v>10</v>
      </c>
      <c r="B6" t="s">
        <v>11</v>
      </c>
    </row>
    <row r="7" spans="1:2" x14ac:dyDescent="0.35">
      <c r="A7" t="s">
        <v>12</v>
      </c>
      <c r="B7" t="s">
        <v>13</v>
      </c>
    </row>
    <row r="8" spans="1:2" x14ac:dyDescent="0.35">
      <c r="A8" t="s">
        <v>14</v>
      </c>
      <c r="B8" t="s">
        <v>15</v>
      </c>
    </row>
    <row r="9" spans="1:2" x14ac:dyDescent="0.35">
      <c r="A9" t="s">
        <v>16</v>
      </c>
      <c r="B9" t="s">
        <v>17</v>
      </c>
    </row>
    <row r="10" spans="1:2" x14ac:dyDescent="0.35">
      <c r="A10" t="s">
        <v>18</v>
      </c>
      <c r="B10" t="s">
        <v>19</v>
      </c>
    </row>
    <row r="11" spans="1:2" x14ac:dyDescent="0.35">
      <c r="A11" t="s">
        <v>20</v>
      </c>
      <c r="B11" t="s">
        <v>19</v>
      </c>
    </row>
    <row r="12" spans="1:2" x14ac:dyDescent="0.35">
      <c r="A12" t="s">
        <v>21</v>
      </c>
      <c r="B12" t="s">
        <v>17</v>
      </c>
    </row>
    <row r="13" spans="1:2" x14ac:dyDescent="0.35">
      <c r="A13" t="s">
        <v>22</v>
      </c>
      <c r="B13" t="s">
        <v>11</v>
      </c>
    </row>
    <row r="14" spans="1:2" x14ac:dyDescent="0.35">
      <c r="A14" t="s">
        <v>23</v>
      </c>
      <c r="B14" t="s">
        <v>24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Measurements</vt:lpstr>
      <vt:lpstr>Remarks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Wu, Genghong</cp:lastModifiedBy>
  <dcterms:created xsi:type="dcterms:W3CDTF">2019-08-18T11:04:28Z</dcterms:created>
  <dcterms:modified xsi:type="dcterms:W3CDTF">2019-08-28T03:11:53Z</dcterms:modified>
</cp:coreProperties>
</file>