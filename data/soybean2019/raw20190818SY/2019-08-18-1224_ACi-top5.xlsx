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ngya\Documents\Guapi\A-Ci\raw20190818\"/>
    </mc:Choice>
  </mc:AlternateContent>
  <bookViews>
    <workbookView xWindow="0" yWindow="0" windowWidth="15530" windowHeight="7050"/>
  </bookViews>
  <sheets>
    <sheet name="Measurements" sheetId="1" r:id="rId1"/>
    <sheet name="Remark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30" i="1" l="1"/>
  <c r="BT30" i="1"/>
  <c r="BR30" i="1"/>
  <c r="BI30" i="1"/>
  <c r="BH30" i="1"/>
  <c r="BG30" i="1"/>
  <c r="BF30" i="1"/>
  <c r="BE30" i="1"/>
  <c r="AZ30" i="1" s="1"/>
  <c r="BB30" i="1"/>
  <c r="AU30" i="1"/>
  <c r="AO30" i="1"/>
  <c r="AP30" i="1" s="1"/>
  <c r="AK30" i="1"/>
  <c r="AI30" i="1" s="1"/>
  <c r="H30" i="1" s="1"/>
  <c r="X30" i="1"/>
  <c r="W30" i="1"/>
  <c r="O30" i="1"/>
  <c r="BU29" i="1"/>
  <c r="BT29" i="1"/>
  <c r="BR29" i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AJ29" i="1" s="1"/>
  <c r="X29" i="1"/>
  <c r="W29" i="1"/>
  <c r="O29" i="1"/>
  <c r="BU28" i="1"/>
  <c r="BT28" i="1"/>
  <c r="BR28" i="1"/>
  <c r="BI28" i="1"/>
  <c r="BH28" i="1"/>
  <c r="BG28" i="1"/>
  <c r="BF28" i="1"/>
  <c r="BE28" i="1"/>
  <c r="AZ28" i="1" s="1"/>
  <c r="BB28" i="1"/>
  <c r="AU28" i="1"/>
  <c r="AP28" i="1"/>
  <c r="AO28" i="1"/>
  <c r="AK28" i="1"/>
  <c r="AI28" i="1" s="1"/>
  <c r="X28" i="1"/>
  <c r="W28" i="1"/>
  <c r="V28" i="1"/>
  <c r="O28" i="1"/>
  <c r="BU27" i="1"/>
  <c r="BT27" i="1"/>
  <c r="BS27" i="1" s="1"/>
  <c r="BR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 s="1"/>
  <c r="H27" i="1" s="1"/>
  <c r="X27" i="1"/>
  <c r="W27" i="1"/>
  <c r="O27" i="1"/>
  <c r="I27" i="1"/>
  <c r="M27" i="1" s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X26" i="1"/>
  <c r="W26" i="1"/>
  <c r="O26" i="1"/>
  <c r="BU25" i="1"/>
  <c r="BT25" i="1"/>
  <c r="BR25" i="1"/>
  <c r="BS25" i="1" s="1"/>
  <c r="AW25" i="1" s="1"/>
  <c r="BI25" i="1"/>
  <c r="BH25" i="1"/>
  <c r="BG25" i="1"/>
  <c r="BF25" i="1"/>
  <c r="BE25" i="1"/>
  <c r="AZ25" i="1" s="1"/>
  <c r="BB25" i="1"/>
  <c r="AU25" i="1"/>
  <c r="AP25" i="1"/>
  <c r="AO25" i="1"/>
  <c r="AK25" i="1"/>
  <c r="AI25" i="1" s="1"/>
  <c r="AJ25" i="1" s="1"/>
  <c r="X25" i="1"/>
  <c r="W25" i="1"/>
  <c r="V25" i="1" s="1"/>
  <c r="O25" i="1"/>
  <c r="BU24" i="1"/>
  <c r="BT24" i="1"/>
  <c r="BR24" i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X24" i="1"/>
  <c r="W24" i="1"/>
  <c r="V24" i="1" s="1"/>
  <c r="O24" i="1"/>
  <c r="BU23" i="1"/>
  <c r="BT23" i="1"/>
  <c r="BR23" i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 s="1"/>
  <c r="X23" i="1"/>
  <c r="V23" i="1" s="1"/>
  <c r="W23" i="1"/>
  <c r="O23" i="1"/>
  <c r="I23" i="1"/>
  <c r="M23" i="1" s="1"/>
  <c r="H23" i="1"/>
  <c r="BU22" i="1"/>
  <c r="BT22" i="1"/>
  <c r="BR22" i="1"/>
  <c r="BI22" i="1"/>
  <c r="BH22" i="1"/>
  <c r="BG22" i="1"/>
  <c r="BF22" i="1"/>
  <c r="BE22" i="1"/>
  <c r="BB22" i="1"/>
  <c r="AZ22" i="1"/>
  <c r="AU22" i="1"/>
  <c r="AO22" i="1"/>
  <c r="AP22" i="1" s="1"/>
  <c r="AK22" i="1"/>
  <c r="AI22" i="1" s="1"/>
  <c r="X22" i="1"/>
  <c r="W22" i="1"/>
  <c r="O22" i="1"/>
  <c r="H22" i="1"/>
  <c r="Z22" i="1" s="1"/>
  <c r="BU21" i="1"/>
  <c r="BT21" i="1"/>
  <c r="BR21" i="1"/>
  <c r="BI21" i="1"/>
  <c r="BH21" i="1"/>
  <c r="BG21" i="1"/>
  <c r="BF21" i="1"/>
  <c r="BE21" i="1"/>
  <c r="AZ21" i="1" s="1"/>
  <c r="BB21" i="1"/>
  <c r="AU21" i="1"/>
  <c r="AP21" i="1"/>
  <c r="AO21" i="1"/>
  <c r="AK21" i="1"/>
  <c r="AI21" i="1" s="1"/>
  <c r="AJ21" i="1" s="1"/>
  <c r="X21" i="1"/>
  <c r="W21" i="1"/>
  <c r="V21" i="1" s="1"/>
  <c r="O21" i="1"/>
  <c r="BU20" i="1"/>
  <c r="BT20" i="1"/>
  <c r="BR20" i="1"/>
  <c r="BI20" i="1"/>
  <c r="BH20" i="1"/>
  <c r="BG20" i="1"/>
  <c r="BF20" i="1"/>
  <c r="BE20" i="1"/>
  <c r="AZ20" i="1" s="1"/>
  <c r="BB20" i="1"/>
  <c r="AU20" i="1"/>
  <c r="AP20" i="1"/>
  <c r="AO20" i="1"/>
  <c r="AK20" i="1"/>
  <c r="AI20" i="1"/>
  <c r="X20" i="1"/>
  <c r="W20" i="1"/>
  <c r="V20" i="1" s="1"/>
  <c r="O20" i="1"/>
  <c r="BU19" i="1"/>
  <c r="BT19" i="1"/>
  <c r="BR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AJ19" i="1" s="1"/>
  <c r="X19" i="1"/>
  <c r="W19" i="1"/>
  <c r="V19" i="1"/>
  <c r="O19" i="1"/>
  <c r="H19" i="1"/>
  <c r="BU18" i="1"/>
  <c r="BT18" i="1"/>
  <c r="BR18" i="1"/>
  <c r="BI18" i="1"/>
  <c r="BH18" i="1"/>
  <c r="BG18" i="1"/>
  <c r="BF18" i="1"/>
  <c r="BE18" i="1"/>
  <c r="AZ18" i="1" s="1"/>
  <c r="BB18" i="1"/>
  <c r="AU18" i="1"/>
  <c r="AP18" i="1"/>
  <c r="AO18" i="1"/>
  <c r="AK18" i="1"/>
  <c r="AI18" i="1" s="1"/>
  <c r="X18" i="1"/>
  <c r="W18" i="1"/>
  <c r="V18" i="1" s="1"/>
  <c r="O18" i="1"/>
  <c r="BU17" i="1"/>
  <c r="BT17" i="1"/>
  <c r="BS17" i="1" s="1"/>
  <c r="BR17" i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W17" i="1"/>
  <c r="V17" i="1" s="1"/>
  <c r="O17" i="1"/>
  <c r="H17" i="1" l="1"/>
  <c r="I17" i="1"/>
  <c r="BS18" i="1"/>
  <c r="I19" i="1"/>
  <c r="AX19" i="1" s="1"/>
  <c r="BS19" i="1"/>
  <c r="BS23" i="1"/>
  <c r="V27" i="1"/>
  <c r="BS29" i="1"/>
  <c r="BS30" i="1"/>
  <c r="BS21" i="1"/>
  <c r="BS28" i="1"/>
  <c r="BS20" i="1"/>
  <c r="BS22" i="1"/>
  <c r="R22" i="1" s="1"/>
  <c r="BS24" i="1"/>
  <c r="R25" i="1"/>
  <c r="AY25" i="1"/>
  <c r="V29" i="1"/>
  <c r="R19" i="1"/>
  <c r="AW19" i="1"/>
  <c r="AY19" i="1" s="1"/>
  <c r="Z23" i="1"/>
  <c r="R23" i="1"/>
  <c r="AW23" i="1"/>
  <c r="AY23" i="1" s="1"/>
  <c r="R30" i="1"/>
  <c r="AW30" i="1"/>
  <c r="AY30" i="1" s="1"/>
  <c r="I18" i="1"/>
  <c r="H18" i="1"/>
  <c r="AJ18" i="1"/>
  <c r="BA19" i="1"/>
  <c r="R26" i="1"/>
  <c r="AW26" i="1"/>
  <c r="R27" i="1"/>
  <c r="AW27" i="1"/>
  <c r="AY27" i="1" s="1"/>
  <c r="H28" i="1"/>
  <c r="AJ28" i="1"/>
  <c r="I28" i="1"/>
  <c r="Z17" i="1"/>
  <c r="AW17" i="1"/>
  <c r="AY17" i="1" s="1"/>
  <c r="R17" i="1"/>
  <c r="H20" i="1"/>
  <c r="AJ20" i="1"/>
  <c r="J20" i="1"/>
  <c r="I20" i="1"/>
  <c r="AX20" i="1" s="1"/>
  <c r="I26" i="1"/>
  <c r="AX26" i="1" s="1"/>
  <c r="BA26" i="1" s="1"/>
  <c r="AJ26" i="1"/>
  <c r="Z19" i="1"/>
  <c r="AW22" i="1"/>
  <c r="AY22" i="1" s="1"/>
  <c r="H24" i="1"/>
  <c r="AJ24" i="1"/>
  <c r="I24" i="1"/>
  <c r="AX24" i="1" s="1"/>
  <c r="Z27" i="1"/>
  <c r="M17" i="1"/>
  <c r="J22" i="1"/>
  <c r="I22" i="1"/>
  <c r="AX22" i="1" s="1"/>
  <c r="AJ22" i="1"/>
  <c r="M24" i="1"/>
  <c r="H26" i="1"/>
  <c r="Z30" i="1"/>
  <c r="AJ17" i="1"/>
  <c r="J19" i="1"/>
  <c r="AJ23" i="1"/>
  <c r="J23" i="1"/>
  <c r="AX23" i="1"/>
  <c r="AY26" i="1"/>
  <c r="AJ27" i="1"/>
  <c r="J27" i="1"/>
  <c r="AX27" i="1"/>
  <c r="BA27" i="1" s="1"/>
  <c r="I30" i="1"/>
  <c r="AX30" i="1" s="1"/>
  <c r="BA30" i="1" s="1"/>
  <c r="I21" i="1"/>
  <c r="H21" i="1"/>
  <c r="V22" i="1"/>
  <c r="I25" i="1"/>
  <c r="H25" i="1"/>
  <c r="S25" i="1" s="1"/>
  <c r="T25" i="1" s="1"/>
  <c r="V26" i="1"/>
  <c r="I29" i="1"/>
  <c r="H29" i="1"/>
  <c r="V30" i="1"/>
  <c r="AJ30" i="1"/>
  <c r="AW28" i="1" l="1"/>
  <c r="AY28" i="1" s="1"/>
  <c r="R28" i="1"/>
  <c r="M30" i="1"/>
  <c r="J24" i="1"/>
  <c r="AW21" i="1"/>
  <c r="AY21" i="1" s="1"/>
  <c r="R21" i="1"/>
  <c r="AW18" i="1"/>
  <c r="AY18" i="1" s="1"/>
  <c r="R18" i="1"/>
  <c r="J30" i="1"/>
  <c r="BA22" i="1"/>
  <c r="S18" i="1"/>
  <c r="T18" i="1" s="1"/>
  <c r="AW20" i="1"/>
  <c r="AY20" i="1" s="1"/>
  <c r="R20" i="1"/>
  <c r="M19" i="1"/>
  <c r="J17" i="1"/>
  <c r="AX17" i="1"/>
  <c r="AW29" i="1"/>
  <c r="AY29" i="1" s="1"/>
  <c r="R29" i="1"/>
  <c r="S29" i="1" s="1"/>
  <c r="T29" i="1" s="1"/>
  <c r="AA29" i="1" s="1"/>
  <c r="M22" i="1"/>
  <c r="AW24" i="1"/>
  <c r="AY24" i="1" s="1"/>
  <c r="R24" i="1"/>
  <c r="U18" i="1"/>
  <c r="Y18" i="1" s="1"/>
  <c r="AB18" i="1"/>
  <c r="AA18" i="1"/>
  <c r="AX29" i="1"/>
  <c r="BA29" i="1" s="1"/>
  <c r="J29" i="1"/>
  <c r="AX21" i="1"/>
  <c r="BA21" i="1" s="1"/>
  <c r="J21" i="1"/>
  <c r="AB29" i="1"/>
  <c r="AX18" i="1"/>
  <c r="J18" i="1"/>
  <c r="S19" i="1"/>
  <c r="T19" i="1" s="1"/>
  <c r="M29" i="1"/>
  <c r="M21" i="1"/>
  <c r="M26" i="1"/>
  <c r="Z28" i="1"/>
  <c r="S27" i="1"/>
  <c r="T27" i="1" s="1"/>
  <c r="M18" i="1"/>
  <c r="S23" i="1"/>
  <c r="T23" i="1" s="1"/>
  <c r="BA17" i="1"/>
  <c r="Z24" i="1"/>
  <c r="J26" i="1"/>
  <c r="Z20" i="1"/>
  <c r="AX28" i="1"/>
  <c r="BA28" i="1" s="1"/>
  <c r="M28" i="1"/>
  <c r="S20" i="1"/>
  <c r="T20" i="1" s="1"/>
  <c r="AX25" i="1"/>
  <c r="BA25" i="1" s="1"/>
  <c r="J25" i="1"/>
  <c r="Z26" i="1"/>
  <c r="S22" i="1"/>
  <c r="T22" i="1" s="1"/>
  <c r="S17" i="1"/>
  <c r="T17" i="1" s="1"/>
  <c r="U25" i="1"/>
  <c r="Y25" i="1" s="1"/>
  <c r="AB25" i="1"/>
  <c r="AA25" i="1"/>
  <c r="M25" i="1"/>
  <c r="BA23" i="1"/>
  <c r="Z29" i="1"/>
  <c r="P25" i="1"/>
  <c r="N25" i="1" s="1"/>
  <c r="Q25" i="1" s="1"/>
  <c r="K25" i="1" s="1"/>
  <c r="L25" i="1" s="1"/>
  <c r="Z25" i="1"/>
  <c r="Z21" i="1"/>
  <c r="J28" i="1"/>
  <c r="S28" i="1"/>
  <c r="T28" i="1" s="1"/>
  <c r="S26" i="1"/>
  <c r="T26" i="1" s="1"/>
  <c r="P26" i="1" s="1"/>
  <c r="N26" i="1" s="1"/>
  <c r="Q26" i="1" s="1"/>
  <c r="K26" i="1" s="1"/>
  <c r="L26" i="1" s="1"/>
  <c r="P18" i="1"/>
  <c r="N18" i="1" s="1"/>
  <c r="Q18" i="1" s="1"/>
  <c r="K18" i="1" s="1"/>
  <c r="L18" i="1" s="1"/>
  <c r="Z18" i="1"/>
  <c r="S30" i="1"/>
  <c r="T30" i="1" s="1"/>
  <c r="S24" i="1"/>
  <c r="T24" i="1" s="1"/>
  <c r="S21" i="1"/>
  <c r="T21" i="1" s="1"/>
  <c r="P21" i="1" s="1"/>
  <c r="N21" i="1" s="1"/>
  <c r="Q21" i="1" s="1"/>
  <c r="M20" i="1"/>
  <c r="U29" i="1" l="1"/>
  <c r="Y29" i="1" s="1"/>
  <c r="BA24" i="1"/>
  <c r="P29" i="1"/>
  <c r="N29" i="1" s="1"/>
  <c r="Q29" i="1" s="1"/>
  <c r="K29" i="1" s="1"/>
  <c r="L29" i="1" s="1"/>
  <c r="BA18" i="1"/>
  <c r="BA20" i="1"/>
  <c r="U19" i="1"/>
  <c r="Y19" i="1" s="1"/>
  <c r="AB19" i="1"/>
  <c r="P19" i="1"/>
  <c r="N19" i="1" s="1"/>
  <c r="Q19" i="1" s="1"/>
  <c r="K19" i="1" s="1"/>
  <c r="L19" i="1" s="1"/>
  <c r="AA19" i="1"/>
  <c r="U26" i="1"/>
  <c r="Y26" i="1" s="1"/>
  <c r="AA26" i="1"/>
  <c r="AB26" i="1"/>
  <c r="AC26" i="1" s="1"/>
  <c r="AB27" i="1"/>
  <c r="U27" i="1"/>
  <c r="Y27" i="1" s="1"/>
  <c r="AA27" i="1"/>
  <c r="P27" i="1"/>
  <c r="N27" i="1" s="1"/>
  <c r="Q27" i="1" s="1"/>
  <c r="K27" i="1" s="1"/>
  <c r="L27" i="1" s="1"/>
  <c r="AC25" i="1"/>
  <c r="U22" i="1"/>
  <c r="Y22" i="1" s="1"/>
  <c r="AB22" i="1"/>
  <c r="AA22" i="1"/>
  <c r="P22" i="1"/>
  <c r="N22" i="1" s="1"/>
  <c r="Q22" i="1" s="1"/>
  <c r="K22" i="1" s="1"/>
  <c r="L22" i="1" s="1"/>
  <c r="U23" i="1"/>
  <c r="Y23" i="1" s="1"/>
  <c r="AB23" i="1"/>
  <c r="P23" i="1"/>
  <c r="N23" i="1" s="1"/>
  <c r="Q23" i="1" s="1"/>
  <c r="K23" i="1" s="1"/>
  <c r="L23" i="1" s="1"/>
  <c r="AA23" i="1"/>
  <c r="AC18" i="1"/>
  <c r="AB24" i="1"/>
  <c r="U24" i="1"/>
  <c r="Y24" i="1" s="1"/>
  <c r="AA24" i="1"/>
  <c r="AB20" i="1"/>
  <c r="U20" i="1"/>
  <c r="Y20" i="1" s="1"/>
  <c r="AA20" i="1"/>
  <c r="P20" i="1"/>
  <c r="N20" i="1" s="1"/>
  <c r="Q20" i="1" s="1"/>
  <c r="K20" i="1" s="1"/>
  <c r="L20" i="1" s="1"/>
  <c r="U30" i="1"/>
  <c r="Y30" i="1" s="1"/>
  <c r="AB30" i="1"/>
  <c r="AA30" i="1"/>
  <c r="P30" i="1"/>
  <c r="N30" i="1" s="1"/>
  <c r="Q30" i="1" s="1"/>
  <c r="K30" i="1" s="1"/>
  <c r="L30" i="1" s="1"/>
  <c r="AB17" i="1"/>
  <c r="U17" i="1"/>
  <c r="Y17" i="1" s="1"/>
  <c r="P17" i="1"/>
  <c r="N17" i="1" s="1"/>
  <c r="Q17" i="1" s="1"/>
  <c r="K17" i="1" s="1"/>
  <c r="L17" i="1" s="1"/>
  <c r="AA17" i="1"/>
  <c r="K21" i="1"/>
  <c r="L21" i="1" s="1"/>
  <c r="U21" i="1"/>
  <c r="Y21" i="1" s="1"/>
  <c r="AB21" i="1"/>
  <c r="AA21" i="1"/>
  <c r="AB28" i="1"/>
  <c r="U28" i="1"/>
  <c r="Y28" i="1" s="1"/>
  <c r="AA28" i="1"/>
  <c r="P24" i="1"/>
  <c r="N24" i="1" s="1"/>
  <c r="Q24" i="1" s="1"/>
  <c r="K24" i="1" s="1"/>
  <c r="L24" i="1" s="1"/>
  <c r="P28" i="1"/>
  <c r="N28" i="1" s="1"/>
  <c r="Q28" i="1" s="1"/>
  <c r="K28" i="1" s="1"/>
  <c r="L28" i="1" s="1"/>
  <c r="AC29" i="1"/>
  <c r="AC27" i="1" l="1"/>
  <c r="AC21" i="1"/>
  <c r="AC30" i="1"/>
  <c r="AC24" i="1"/>
  <c r="AC23" i="1"/>
  <c r="AC22" i="1"/>
  <c r="AC19" i="1"/>
  <c r="AC28" i="1"/>
  <c r="AC17" i="1"/>
  <c r="AC20" i="1"/>
</calcChain>
</file>

<file path=xl/sharedStrings.xml><?xml version="1.0" encoding="utf-8"?>
<sst xmlns="http://schemas.openxmlformats.org/spreadsheetml/2006/main" count="784" uniqueCount="354">
  <si>
    <t>File opened</t>
  </si>
  <si>
    <t>2019-08-18 12:24:35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</si>
  <si>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</si>
  <si>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</si>
  <si>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</si>
  <si>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</si>
  <si>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</si>
  <si>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</si>
  <si>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</si>
  <si>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</si>
  <si>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</si>
  <si>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</si>
  <si>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</si>
  <si>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{"tbzero": "0.197721", "h2obspan1": "0.998578", "co2aspan1": "0.992625", "co2aspan2a": "0.164928", "h2oaspanconc1": "12.19", "h2obspan2a": "0.0975941", "co2aspan2": "0", "co2bspan1": "0.992131", "co2aspan2b": "0.163711", "co2aspanconc1": "1002", "h2oaspan2": "0", "co2bspan2b": "0.162103", "ssa_ref": "36614.9", "h2obspanconc2": "0", "h2obzero": "1.01783", "flowbzero": "0.20796", "h2oaspan2b": "0.0662632", "oxygen": "21", "h2obspan2": "0", "co2bzero": "0.880288", "co2bspan2": "0", "chamberpressurezero": "2.57337", "ssb_ref": "36526.8", "co2bspanconc1": "1002", "h2oaspanconc2": "0", "flowmeterzero": "0.991801", "co2aspanconc2": "0", "h2oaspan1": "1.00223", "h2oaspan2a": "0.0661155", "co2bspanconc2": "0", "tazero": "0.00774765", "h2obspanconc1": "20", "h2obspan2b": "0.0963575", "flowazero": "0.4286", "co2azero": "0.869071", "co2bspan2a": "0.163389", "h2oazero": "1.00263"}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</si>
  <si>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</si>
  <si>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</si>
  <si>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</si>
  <si>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</si>
  <si>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</si>
  <si>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</si>
  <si>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</si>
  <si>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</si>
  <si>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</si>
  <si>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12:24:36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</si>
  <si>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</si>
  <si>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</si>
  <si>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</si>
  <si>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</si>
  <si>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</si>
  <si>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</si>
  <si>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</si>
  <si>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</si>
  <si>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</si>
  <si>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</si>
  <si>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</si>
  <si>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</si>
  <si>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</si>
  <si>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</si>
  <si>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</si>
  <si>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</si>
  <si>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</si>
  <si>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</si>
  <si>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</si>
  <si>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</si>
  <si>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</si>
  <si>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</si>
  <si>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</si>
  <si>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</si>
  <si>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</si>
  <si>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</si>
  <si>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</si>
  <si>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</si>
  <si>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</si>
  <si>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</si>
  <si>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</si>
  <si>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</si>
  <si>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</si>
  <si>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</si>
  <si>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</si>
  <si>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</si>
  <si>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</si>
  <si>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</si>
  <si>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</si>
  <si>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</si>
  <si>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</si>
  <si>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</si>
  <si>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</si>
  <si>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</si>
  <si>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</si>
  <si>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</si>
  <si>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</si>
  <si>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0.570593 73.8588 386.38 619.433 848.611 1051.49 1232.95 1389.7</t>
  </si>
  <si>
    <t>Fs_true</t>
  </si>
  <si>
    <t>0.0938281 100.298 404.41 600.711 801.999 1000.17 1200.83 1401.26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</si>
  <si>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</si>
  <si>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</si>
  <si>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</si>
  <si>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</si>
  <si>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</si>
  <si>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</si>
  <si>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</si>
  <si>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</si>
  <si>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</si>
  <si>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</si>
  <si>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</si>
  <si>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</si>
  <si>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</si>
  <si>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</si>
  <si>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</si>
  <si>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</si>
  <si>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</si>
  <si>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</si>
  <si>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</si>
  <si>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</si>
  <si>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</si>
  <si>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</si>
  <si>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</si>
  <si>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</si>
  <si>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</si>
  <si>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</si>
  <si>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</si>
  <si>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</si>
  <si>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</si>
  <si>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</si>
  <si>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</si>
  <si>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</si>
  <si>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</si>
  <si>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</si>
  <si>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</si>
  <si>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</si>
  <si>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</si>
  <si>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</si>
  <si>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</si>
  <si>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</si>
  <si>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</si>
  <si>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</si>
  <si>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</si>
  <si>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</si>
  <si>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</si>
  <si>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</si>
  <si>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</si>
  <si>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</si>
  <si>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</si>
  <si>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</si>
  <si>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</si>
  <si>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</si>
  <si>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</si>
  <si>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</si>
  <si>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</si>
  <si>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</si>
  <si>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</si>
  <si>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</si>
  <si>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</si>
  <si>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</si>
  <si>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</si>
  <si>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</si>
  <si>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</si>
  <si>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</si>
  <si>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</si>
  <si>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</si>
  <si>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</si>
  <si>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</si>
  <si>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</si>
  <si>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</si>
  <si>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</si>
  <si>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</si>
  <si>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</si>
  <si>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</si>
  <si>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</si>
  <si>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</si>
  <si>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</si>
  <si>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</si>
  <si>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</si>
  <si>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</si>
  <si>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</si>
  <si>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</si>
  <si>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</si>
  <si>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</si>
  <si>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</si>
  <si>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</si>
  <si>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</si>
  <si>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</si>
  <si>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</si>
  <si>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</si>
  <si>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</si>
  <si>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</si>
  <si>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</si>
  <si>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</si>
  <si>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</si>
  <si>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</si>
  <si>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</si>
  <si>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</si>
  <si>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</si>
  <si>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</si>
  <si>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</si>
  <si>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</si>
  <si>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</si>
  <si>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</si>
  <si>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</si>
  <si>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</si>
  <si>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</si>
  <si>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</si>
  <si>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</si>
  <si>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</si>
  <si>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</si>
  <si>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</si>
  <si>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</si>
  <si>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</si>
  <si>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</si>
  <si>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</si>
  <si>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</si>
  <si>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</si>
  <si>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</si>
  <si>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</si>
  <si>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</si>
  <si>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</si>
  <si>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</si>
  <si>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</si>
  <si>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</si>
  <si>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</si>
  <si>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</si>
  <si>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</si>
  <si>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</si>
  <si>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</si>
  <si>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</si>
  <si>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</si>
  <si>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</si>
  <si>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</si>
  <si>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</si>
  <si>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</si>
  <si>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</si>
  <si>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</si>
  <si>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</si>
  <si>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</si>
  <si>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</si>
  <si>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</si>
  <si>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</si>
  <si>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</si>
  <si>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</si>
  <si>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</si>
  <si>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</si>
  <si>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</si>
  <si>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</si>
  <si>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</si>
  <si>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</si>
  <si>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</si>
  <si>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</si>
  <si>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</si>
  <si>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</si>
  <si>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</si>
  <si>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</si>
  <si>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</si>
  <si>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</si>
  <si>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</si>
  <si>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</si>
  <si>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</si>
  <si>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</si>
  <si>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</si>
  <si>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</si>
  <si>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</si>
  <si>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</si>
  <si>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</si>
  <si>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</si>
  <si>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</si>
  <si>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</si>
  <si>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</si>
  <si>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</si>
  <si>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</si>
  <si>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</si>
  <si>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</si>
  <si>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</si>
  <si>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</si>
  <si>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</si>
  <si>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</si>
  <si>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</si>
  <si>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</si>
  <si>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</si>
  <si>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</si>
  <si>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</si>
  <si>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</si>
  <si>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</si>
  <si>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</si>
  <si>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</si>
  <si>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</si>
  <si>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</si>
  <si>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</si>
  <si>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</si>
  <si>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</si>
  <si>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</si>
  <si>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</si>
  <si>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</si>
  <si>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</si>
  <si>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</si>
  <si>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</si>
  <si>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</si>
  <si>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</si>
  <si>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20190818 12:26:59</t>
  </si>
  <si>
    <t>12:26:59</t>
  </si>
  <si>
    <t>RECT-1274-20190818-05_20_45</t>
  </si>
  <si>
    <t>MPF-1421-20190818-12_27_00</t>
  </si>
  <si>
    <t>DARK-1422-20190818-12_27_08</t>
  </si>
  <si>
    <t>0: Broadleaf</t>
  </si>
  <si>
    <t>12:27:31</t>
  </si>
  <si>
    <t>2/2</t>
  </si>
  <si>
    <t>5</t>
  </si>
  <si>
    <t>11111111</t>
  </si>
  <si>
    <t>oooooooo</t>
  </si>
  <si>
    <t>off</t>
  </si>
  <si>
    <t>20190818 12:28:54</t>
  </si>
  <si>
    <t>12:28:54</t>
  </si>
  <si>
    <t>MPF-1423-20190818-12_28_56</t>
  </si>
  <si>
    <t>DARK-1424-20190818-12_29_03</t>
  </si>
  <si>
    <t>12:29:26</t>
  </si>
  <si>
    <t>20190818 12:30:51</t>
  </si>
  <si>
    <t>12:30:51</t>
  </si>
  <si>
    <t>MPF-1425-20190818-12_30_53</t>
  </si>
  <si>
    <t>DARK-1426-20190818-12_31_00</t>
  </si>
  <si>
    <t>12:31:20</t>
  </si>
  <si>
    <t>20190818 12:32:43</t>
  </si>
  <si>
    <t>12:32:43</t>
  </si>
  <si>
    <t>MPF-1427-20190818-12_32_45</t>
  </si>
  <si>
    <t>DARK-1428-20190818-12_32_52</t>
  </si>
  <si>
    <t>12:33:19</t>
  </si>
  <si>
    <t>20190818 12:34:42</t>
  </si>
  <si>
    <t>12:34:42</t>
  </si>
  <si>
    <t>MPF-1429-20190818-12_34_43</t>
  </si>
  <si>
    <t>DARK-1430-20190818-12_34_51</t>
  </si>
  <si>
    <t>12:35:13</t>
  </si>
  <si>
    <t>20190818 12:36:34</t>
  </si>
  <si>
    <t>12:36:34</t>
  </si>
  <si>
    <t>MPF-1431-20190818-12_36_36</t>
  </si>
  <si>
    <t>DARK-1432-20190818-12_36_43</t>
  </si>
  <si>
    <t>12:37:09</t>
  </si>
  <si>
    <t>20190818 12:38:35</t>
  </si>
  <si>
    <t>12:38:35</t>
  </si>
  <si>
    <t>MPF-1433-20190818-12_38_37</t>
  </si>
  <si>
    <t>DARK-1434-20190818-12_38_45</t>
  </si>
  <si>
    <t>12:39:12</t>
  </si>
  <si>
    <t>20190818 12:40:39</t>
  </si>
  <si>
    <t>12:40:39</t>
  </si>
  <si>
    <t>MPF-1435-20190818-12_40_41</t>
  </si>
  <si>
    <t>DARK-1436-20190818-12_40_49</t>
  </si>
  <si>
    <t>12:41:13</t>
  </si>
  <si>
    <t>20190818 12:42:44</t>
  </si>
  <si>
    <t>12:42:44</t>
  </si>
  <si>
    <t>MPF-1437-20190818-12_42_46</t>
  </si>
  <si>
    <t>DARK-1438-20190818-12_42_53</t>
  </si>
  <si>
    <t>12:43:23</t>
  </si>
  <si>
    <t>1/2</t>
  </si>
  <si>
    <t>20190818 12:44:54</t>
  </si>
  <si>
    <t>12:44:54</t>
  </si>
  <si>
    <t>MPF-1439-20190818-12_44_56</t>
  </si>
  <si>
    <t>DARK-1440-20190818-12_45_04</t>
  </si>
  <si>
    <t>12:45:33</t>
  </si>
  <si>
    <t>20190818 12:47:05</t>
  </si>
  <si>
    <t>12:47:05</t>
  </si>
  <si>
    <t>MPF-1441-20190818-12_47_06</t>
  </si>
  <si>
    <t>DARK-1442-20190818-12_47_14</t>
  </si>
  <si>
    <t>12:47:36</t>
  </si>
  <si>
    <t>20190818 12:49:08</t>
  </si>
  <si>
    <t>12:49:08</t>
  </si>
  <si>
    <t>MPF-1443-20190818-12_49_09</t>
  </si>
  <si>
    <t>DARK-1444-20190818-12_49_17</t>
  </si>
  <si>
    <t>12:49:40</t>
  </si>
  <si>
    <t>20190818 12:51:11</t>
  </si>
  <si>
    <t>12:51:11</t>
  </si>
  <si>
    <t>MPF-1445-20190818-12_51_13</t>
  </si>
  <si>
    <t>DARK-1446-20190818-12_51_21</t>
  </si>
  <si>
    <t>12:51:46</t>
  </si>
  <si>
    <t>20190818 12:53:18</t>
  </si>
  <si>
    <t>12:53:18</t>
  </si>
  <si>
    <t>MPF-1447-20190818-12_53_19</t>
  </si>
  <si>
    <t>DARK-1448-20190818-12_53_27</t>
  </si>
  <si>
    <t>12:53:49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</si>
</sst>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M30"/>
  <sheetViews>
    <sheetView tabSelected="1" topLeftCell="A19" workbookViewId="0">
      <selection activeCell="G35" sqref="G35"/>
    </sheetView>
  </sheetViews>
  <sheetFormatPr defaultRowHeight="14.5" x14ac:dyDescent="0.35"/>
  <sheetData>
    <row r="2" spans="1:169" x14ac:dyDescent="0.35">
      <c r="A2" t="s">
        <v>25</v>
      </c>
      <c r="B2" t="s">
        <v>26</v>
      </c>
      <c r="C2" t="s">
        <v>28</v>
      </c>
      <c r="D2" t="s">
        <v>30</v>
      </c>
    </row>
    <row r="3" spans="1:169" x14ac:dyDescent="0.35">
      <c r="B3" t="s">
        <v>27</v>
      </c>
      <c r="C3" t="s">
        <v>29</v>
      </c>
      <c r="D3" t="s">
        <v>15</v>
      </c>
    </row>
    <row r="4" spans="1:169" x14ac:dyDescent="0.35">
      <c r="A4" t="s">
        <v>31</v>
      </c>
      <c r="B4" t="s">
        <v>32</v>
      </c>
      <c r="C4" t="s">
        <v>33</v>
      </c>
      <c r="D4" t="s">
        <v>34</v>
      </c>
    </row>
    <row r="5" spans="1:169" x14ac:dyDescent="0.35">
      <c r="B5">
        <v>6</v>
      </c>
      <c r="C5">
        <v>0.5</v>
      </c>
      <c r="D5">
        <v>2</v>
      </c>
    </row>
    <row r="6" spans="1:16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69" x14ac:dyDescent="0.35">
      <c r="B7">
        <v>0</v>
      </c>
      <c r="C7">
        <v>1</v>
      </c>
      <c r="D7">
        <v>0</v>
      </c>
      <c r="E7">
        <v>0</v>
      </c>
    </row>
    <row r="8" spans="1:169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69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6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9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69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2</v>
      </c>
    </row>
    <row r="14" spans="1:169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31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84</v>
      </c>
      <c r="DC14" t="s">
        <v>84</v>
      </c>
      <c r="DD14" t="s">
        <v>84</v>
      </c>
      <c r="DE14" t="s">
        <v>84</v>
      </c>
      <c r="DF14" t="s">
        <v>84</v>
      </c>
      <c r="DG14" t="s">
        <v>85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87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</row>
    <row r="15" spans="1:169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95</v>
      </c>
      <c r="BX15" t="s">
        <v>162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90</v>
      </c>
      <c r="DH15" t="s">
        <v>93</v>
      </c>
      <c r="DI15" t="s">
        <v>197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</row>
    <row r="16" spans="1:169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W16" t="s">
        <v>254</v>
      </c>
      <c r="BX16" t="s">
        <v>257</v>
      </c>
      <c r="BY16" t="s">
        <v>257</v>
      </c>
      <c r="BZ16" t="s">
        <v>267</v>
      </c>
      <c r="CA16" t="s">
        <v>267</v>
      </c>
      <c r="CB16" t="s">
        <v>262</v>
      </c>
      <c r="CC16" t="s">
        <v>260</v>
      </c>
      <c r="CD16" t="s">
        <v>260</v>
      </c>
      <c r="CE16" t="s">
        <v>259</v>
      </c>
      <c r="CF16" t="s">
        <v>259</v>
      </c>
      <c r="CG16" t="s">
        <v>259</v>
      </c>
      <c r="CH16" t="s">
        <v>268</v>
      </c>
      <c r="CI16" t="s">
        <v>256</v>
      </c>
      <c r="CJ16" t="s">
        <v>256</v>
      </c>
      <c r="CK16" t="s">
        <v>256</v>
      </c>
      <c r="CP16" t="s">
        <v>256</v>
      </c>
      <c r="CS16" t="s">
        <v>259</v>
      </c>
      <c r="CT16" t="s">
        <v>259</v>
      </c>
      <c r="CU16" t="s">
        <v>259</v>
      </c>
      <c r="CV16" t="s">
        <v>259</v>
      </c>
      <c r="CW16" t="s">
        <v>259</v>
      </c>
      <c r="CX16" t="s">
        <v>256</v>
      </c>
      <c r="CY16" t="s">
        <v>256</v>
      </c>
      <c r="CZ16" t="s">
        <v>256</v>
      </c>
      <c r="DA16" t="s">
        <v>254</v>
      </c>
      <c r="DC16" t="s">
        <v>269</v>
      </c>
      <c r="DD16" t="s">
        <v>269</v>
      </c>
      <c r="DF16" t="s">
        <v>254</v>
      </c>
      <c r="DG16" t="s">
        <v>270</v>
      </c>
      <c r="DJ16" t="s">
        <v>271</v>
      </c>
      <c r="DK16" t="s">
        <v>272</v>
      </c>
      <c r="DL16" t="s">
        <v>271</v>
      </c>
      <c r="DM16" t="s">
        <v>272</v>
      </c>
      <c r="DN16" t="s">
        <v>261</v>
      </c>
      <c r="DO16" t="s">
        <v>261</v>
      </c>
      <c r="DP16" t="s">
        <v>256</v>
      </c>
      <c r="DQ16" t="s">
        <v>273</v>
      </c>
      <c r="DR16" t="s">
        <v>256</v>
      </c>
      <c r="DT16" t="s">
        <v>255</v>
      </c>
      <c r="DU16" t="s">
        <v>274</v>
      </c>
      <c r="DV16" t="s">
        <v>255</v>
      </c>
      <c r="EA16" t="s">
        <v>275</v>
      </c>
      <c r="EB16" t="s">
        <v>275</v>
      </c>
      <c r="EC16" t="s">
        <v>275</v>
      </c>
      <c r="ED16" t="s">
        <v>275</v>
      </c>
      <c r="EE16" t="s">
        <v>275</v>
      </c>
      <c r="EF16" t="s">
        <v>275</v>
      </c>
      <c r="EG16" t="s">
        <v>275</v>
      </c>
      <c r="EH16" t="s">
        <v>275</v>
      </c>
      <c r="EI16" t="s">
        <v>275</v>
      </c>
      <c r="EJ16" t="s">
        <v>275</v>
      </c>
      <c r="EK16" t="s">
        <v>275</v>
      </c>
      <c r="EL16" t="s">
        <v>275</v>
      </c>
      <c r="ES16" t="s">
        <v>275</v>
      </c>
      <c r="ET16" t="s">
        <v>261</v>
      </c>
      <c r="EU16" t="s">
        <v>261</v>
      </c>
      <c r="EV16" t="s">
        <v>271</v>
      </c>
      <c r="EW16" t="s">
        <v>272</v>
      </c>
      <c r="EY16" t="s">
        <v>262</v>
      </c>
      <c r="EZ16" t="s">
        <v>262</v>
      </c>
      <c r="FA16" t="s">
        <v>259</v>
      </c>
      <c r="FB16" t="s">
        <v>259</v>
      </c>
      <c r="FC16" t="s">
        <v>259</v>
      </c>
      <c r="FD16" t="s">
        <v>259</v>
      </c>
      <c r="FE16" t="s">
        <v>259</v>
      </c>
      <c r="FF16" t="s">
        <v>261</v>
      </c>
      <c r="FG16" t="s">
        <v>261</v>
      </c>
      <c r="FH16" t="s">
        <v>261</v>
      </c>
      <c r="FI16" t="s">
        <v>259</v>
      </c>
      <c r="FJ16" t="s">
        <v>257</v>
      </c>
      <c r="FK16" t="s">
        <v>267</v>
      </c>
      <c r="FL16" t="s">
        <v>261</v>
      </c>
      <c r="FM16" t="s">
        <v>261</v>
      </c>
    </row>
    <row r="17" spans="1:169" x14ac:dyDescent="0.35">
      <c r="A17">
        <v>1</v>
      </c>
      <c r="B17">
        <v>1566149219.3</v>
      </c>
      <c r="C17">
        <v>0</v>
      </c>
      <c r="D17" t="s">
        <v>276</v>
      </c>
      <c r="E17" t="s">
        <v>277</v>
      </c>
      <c r="G17">
        <v>1566149219.3</v>
      </c>
      <c r="H17">
        <f t="shared" ref="H17:H30" si="0">CB17*AI17*(BZ17-CA17)/(100*$B$5*(1000-AI17*BZ17))</f>
        <v>5.9048638091468509E-3</v>
      </c>
      <c r="I17">
        <f t="shared" ref="I17:I30" si="1">CB17*AI17*(BY17-BX17*(1000-AI17*CA17)/(1000-AI17*BZ17))/(100*$B$5)</f>
        <v>29.589934458976337</v>
      </c>
      <c r="J17">
        <f t="shared" ref="J17:J30" si="2">BX17 - IF(AI17&gt;1, I17*$B$5*100/(AK17*CH17), 0)</f>
        <v>362.08996611997043</v>
      </c>
      <c r="K17">
        <f t="shared" ref="K17:K30" si="3">((Q17-H17/2)*J17-I17)/(Q17+H17/2)</f>
        <v>248.34418404578915</v>
      </c>
      <c r="L17">
        <f t="shared" ref="L17:L30" si="4">K17*(CC17+CD17)/1000</f>
        <v>24.584726704990494</v>
      </c>
      <c r="M17">
        <f t="shared" ref="M17:M30" si="5">(BX17 - IF(AI17&gt;1, I17*$B$5*100/(AK17*CH17), 0))*(CC17+CD17)/1000</f>
        <v>35.844941945720905</v>
      </c>
      <c r="N17">
        <f t="shared" ref="N17:N30" si="6">2/((1/P17-1/O17)+SIGN(P17)*SQRT((1/P17-1/O17)*(1/P17-1/O17) + 4*$C$5/(($C$5+1)*($C$5+1))*(2*1/P17*1/O17-1/O17*1/O17)))</f>
        <v>0.48685126203045681</v>
      </c>
      <c r="O17">
        <f t="shared" ref="O17:O30" si="7">AF17+AE17*$B$5+AD17*$B$5*$B$5</f>
        <v>2.241563261986141</v>
      </c>
      <c r="P17">
        <f t="shared" ref="P17:P30" si="8">H17*(1000-(1000*0.61365*EXP(17.502*T17/(240.97+T17))/(CC17+CD17)+BZ17)/2)/(1000*0.61365*EXP(17.502*T17/(240.97+T17))/(CC17+CD17)-BZ17)</f>
        <v>0.43484376865055668</v>
      </c>
      <c r="Q17">
        <f t="shared" ref="Q17:Q30" si="9">1/(($C$5+1)/(N17/1.6)+1/(O17/1.37)) + $C$5/(($C$5+1)/(N17/1.6) + $C$5/(O17/1.37))</f>
        <v>0.27598561588063042</v>
      </c>
      <c r="R17">
        <f t="shared" ref="R17:R30" si="10">(BS17*BU17)</f>
        <v>281.52102979852828</v>
      </c>
      <c r="S17">
        <f t="shared" ref="S17:S30" si="11">(CE17+(R17+2*0.95*0.0000000567*(((CE17+$B$7)+273)^4-(CE17+273)^4)-44100*H17)/(1.84*29.3*O17+8*0.95*0.0000000567*(CE17+273)^3))</f>
        <v>26.08164222261847</v>
      </c>
      <c r="T17">
        <f t="shared" ref="T17:T30" si="12">($C$7*CF17+$D$7*CG17+$E$7*S17)</f>
        <v>27.039300000000001</v>
      </c>
      <c r="U17">
        <f t="shared" ref="U17:U30" si="13">0.61365*EXP(17.502*T17/(240.97+T17))</f>
        <v>3.5874293875782817</v>
      </c>
      <c r="V17">
        <f t="shared" ref="V17:V30" si="14">(W17/X17*100)</f>
        <v>67.97238742863415</v>
      </c>
      <c r="W17">
        <f t="shared" ref="W17:W30" si="15">BZ17*(CC17+CD17)/1000</f>
        <v>2.2830128655880002</v>
      </c>
      <c r="X17">
        <f t="shared" ref="X17:X30" si="16">0.61365*EXP(17.502*CE17/(240.97+CE17))</f>
        <v>3.3587357336609522</v>
      </c>
      <c r="Y17">
        <f t="shared" ref="Y17:Y30" si="17">(U17-BZ17*(CC17+CD17)/1000)</f>
        <v>1.3044165219902815</v>
      </c>
      <c r="Z17">
        <f t="shared" ref="Z17:Z30" si="18">(-H17*44100)</f>
        <v>-260.40449398337614</v>
      </c>
      <c r="AA17">
        <f t="shared" ref="AA17:AA30" si="19">2*29.3*O17*0.92*(CE17-T17)</f>
        <v>-135.01044556579598</v>
      </c>
      <c r="AB17">
        <f t="shared" ref="AB17:AB30" si="20">2*0.95*0.0000000567*(((CE17+$B$7)+273)^4-(T17+273)^4)</f>
        <v>-12.931104097044797</v>
      </c>
      <c r="AC17">
        <f t="shared" ref="AC17:AC30" si="21">R17+AB17+Z17+AA17</f>
        <v>-126.82501384768864</v>
      </c>
      <c r="AD17">
        <v>-4.0957001904325198E-2</v>
      </c>
      <c r="AE17">
        <v>4.5977822668036399E-2</v>
      </c>
      <c r="AF17">
        <v>3.44014839453363</v>
      </c>
      <c r="AG17">
        <v>149</v>
      </c>
      <c r="AH17">
        <v>30</v>
      </c>
      <c r="AI17">
        <f t="shared" ref="AI17:AI30" si="22">IF(AG17*$H$13&gt;=AK17,1,(AK17/(AK17-AG17*$H$13)))</f>
        <v>1.0057178447527588</v>
      </c>
      <c r="AJ17">
        <f t="shared" ref="AJ17:AJ30" si="23">(AI17-1)*100</f>
        <v>0.57178447527588272</v>
      </c>
      <c r="AK17">
        <f t="shared" ref="AK17:AK30" si="24">MAX(0,($B$13+$C$13*CH17)/(1+$D$13*CH17)*CC17/(CE17+273)*$E$13)</f>
        <v>52415.539542538681</v>
      </c>
      <c r="AL17" t="s">
        <v>278</v>
      </c>
      <c r="AM17">
        <v>520.33192307692298</v>
      </c>
      <c r="AN17">
        <v>3330.63</v>
      </c>
      <c r="AO17">
        <f t="shared" ref="AO17:AO30" si="25">AN17-AM17</f>
        <v>2810.2980769230771</v>
      </c>
      <c r="AP17">
        <f t="shared" ref="AP17:AP30" si="26">AO17/AN17</f>
        <v>0.84377372356673574</v>
      </c>
      <c r="AQ17">
        <v>-1.3252759154356599</v>
      </c>
      <c r="AR17" t="s">
        <v>279</v>
      </c>
      <c r="AS17">
        <v>840.739423076923</v>
      </c>
      <c r="AT17">
        <v>1284.71</v>
      </c>
      <c r="AU17">
        <f t="shared" ref="AU17:AU30" si="27">1-AS17/AT17</f>
        <v>0.34558038539676428</v>
      </c>
      <c r="AV17">
        <v>0.5</v>
      </c>
      <c r="AW17">
        <f t="shared" ref="AW17:AW30" si="28">BS17</f>
        <v>1471.0359000963228</v>
      </c>
      <c r="AX17">
        <f t="shared" ref="AX17:AX30" si="29">I17</f>
        <v>29.589934458976337</v>
      </c>
      <c r="AY17">
        <f t="shared" ref="AY17:AY30" si="30">AU17*AV17*AW17</f>
        <v>254.18057664388164</v>
      </c>
      <c r="AZ17">
        <f t="shared" ref="AZ17:AZ30" si="31">BE17/AT17</f>
        <v>0.56746658779024062</v>
      </c>
      <c r="BA17">
        <f t="shared" ref="BA17:BA30" si="32">(AX17-AQ17)/AW17</f>
        <v>2.1015945547207707E-2</v>
      </c>
      <c r="BB17">
        <f t="shared" ref="BB17:BB30" si="33">(AN17-AT17)/AT17</f>
        <v>1.5925150423052674</v>
      </c>
      <c r="BC17" t="s">
        <v>280</v>
      </c>
      <c r="BD17">
        <v>555.67999999999995</v>
      </c>
      <c r="BE17">
        <f t="shared" ref="BE17:BE30" si="34">AT17-BD17</f>
        <v>729.03000000000009</v>
      </c>
      <c r="BF17">
        <f t="shared" ref="BF17:BF30" si="35">(AT17-AS17)/(AT17-BD17)</f>
        <v>0.60898807583100423</v>
      </c>
      <c r="BG17">
        <f t="shared" ref="BG17:BG30" si="36">(AN17-AT17)/(AN17-BD17)</f>
        <v>0.73728175282437514</v>
      </c>
      <c r="BH17">
        <f t="shared" ref="BH17:BH30" si="37">(AT17-AS17)/(AT17-AM17)</f>
        <v>0.58082589012787167</v>
      </c>
      <c r="BI17">
        <f t="shared" ref="BI17:BI30" si="38">(AN17-AT17)/(AN17-AM17)</f>
        <v>0.72800818418522528</v>
      </c>
      <c r="BJ17">
        <v>1421</v>
      </c>
      <c r="BK17">
        <v>300</v>
      </c>
      <c r="BL17">
        <v>300</v>
      </c>
      <c r="BM17">
        <v>300</v>
      </c>
      <c r="BN17">
        <v>10279.1</v>
      </c>
      <c r="BO17">
        <v>1177.94</v>
      </c>
      <c r="BP17">
        <v>-7.0586599999999996E-3</v>
      </c>
      <c r="BQ17">
        <v>9.2117900000000006</v>
      </c>
      <c r="BR17">
        <f t="shared" ref="BR17:BR30" si="39">$B$11*CI17+$C$11*CJ17+$F$11*CK17</f>
        <v>1749.8</v>
      </c>
      <c r="BS17">
        <f t="shared" ref="BS17:BS30" si="40">BR17*BT17</f>
        <v>1471.0359000963228</v>
      </c>
      <c r="BT17">
        <f t="shared" ref="BT17:BT30" si="41">($B$11*$D$9+$C$11*$D$9+$F$11*((CX17+CP17)/MAX(CX17+CP17+CY17, 0.1)*$I$9+CY17/MAX(CX17+CP17+CY17, 0.1)*$J$9))/($B$11+$C$11+$F$11)</f>
        <v>0.84068802154321798</v>
      </c>
      <c r="BU17">
        <f t="shared" ref="BU17:BU30" si="42">($B$11*$K$9+$C$11*$K$9+$F$11*((CX17+CP17)/MAX(CX17+CP17+CY17, 0.1)*$P$9+CY17/MAX(CX17+CP17+CY17, 0.1)*$Q$9))/($B$11+$C$11+$F$11)</f>
        <v>0.19137604308643616</v>
      </c>
      <c r="BV17" t="s">
        <v>281</v>
      </c>
      <c r="BW17">
        <v>1566149219.3</v>
      </c>
      <c r="BX17">
        <v>362.09</v>
      </c>
      <c r="BY17">
        <v>399.96100000000001</v>
      </c>
      <c r="BZ17">
        <v>23.062000000000001</v>
      </c>
      <c r="CA17">
        <v>16.18</v>
      </c>
      <c r="CB17">
        <v>500.01</v>
      </c>
      <c r="CC17">
        <v>98.794499999999999</v>
      </c>
      <c r="CD17">
        <v>0.200074</v>
      </c>
      <c r="CE17">
        <v>25.9221</v>
      </c>
      <c r="CF17">
        <v>27.039300000000001</v>
      </c>
      <c r="CG17">
        <v>999.9</v>
      </c>
      <c r="CH17">
        <v>9997.5</v>
      </c>
      <c r="CI17">
        <v>0</v>
      </c>
      <c r="CJ17">
        <v>1351.25</v>
      </c>
      <c r="CK17">
        <v>1749.8</v>
      </c>
      <c r="CL17">
        <v>0.97700299999999995</v>
      </c>
      <c r="CM17">
        <v>2.2997099999999999E-2</v>
      </c>
      <c r="CN17">
        <v>0</v>
      </c>
      <c r="CO17">
        <v>838.95299999999997</v>
      </c>
      <c r="CP17">
        <v>4.99986</v>
      </c>
      <c r="CQ17">
        <v>18561.599999999999</v>
      </c>
      <c r="CR17">
        <v>14219.2</v>
      </c>
      <c r="CS17">
        <v>46.5</v>
      </c>
      <c r="CT17">
        <v>49.125</v>
      </c>
      <c r="CU17">
        <v>47.5</v>
      </c>
      <c r="CV17">
        <v>48.125</v>
      </c>
      <c r="CW17">
        <v>48.125</v>
      </c>
      <c r="CX17">
        <v>1704.67</v>
      </c>
      <c r="CY17">
        <v>40.130000000000003</v>
      </c>
      <c r="CZ17">
        <v>0</v>
      </c>
      <c r="DA17">
        <v>631.29999995231606</v>
      </c>
      <c r="DB17">
        <v>840.739423076923</v>
      </c>
      <c r="DC17">
        <v>-12.7615384390669</v>
      </c>
      <c r="DD17">
        <v>-496.42392977306503</v>
      </c>
      <c r="DE17">
        <v>18474.184615384602</v>
      </c>
      <c r="DF17">
        <v>15</v>
      </c>
      <c r="DG17">
        <v>1566149251.7</v>
      </c>
      <c r="DH17" t="s">
        <v>282</v>
      </c>
      <c r="DI17">
        <v>74</v>
      </c>
      <c r="DJ17">
        <v>7.9000000000000001E-2</v>
      </c>
      <c r="DK17">
        <v>0.11700000000000001</v>
      </c>
      <c r="DL17">
        <v>400</v>
      </c>
      <c r="DM17">
        <v>16</v>
      </c>
      <c r="DN17">
        <v>0.03</v>
      </c>
      <c r="DO17">
        <v>0.01</v>
      </c>
      <c r="DP17">
        <v>29.313804159534399</v>
      </c>
      <c r="DQ17">
        <v>0.29796029692970399</v>
      </c>
      <c r="DR17">
        <v>6.9169886952415494E-2</v>
      </c>
      <c r="DS17">
        <v>1</v>
      </c>
      <c r="DT17">
        <v>0.48078128010446902</v>
      </c>
      <c r="DU17">
        <v>5.5753553616085701E-2</v>
      </c>
      <c r="DV17">
        <v>1.32579708575292E-2</v>
      </c>
      <c r="DW17">
        <v>1</v>
      </c>
      <c r="DX17">
        <v>2</v>
      </c>
      <c r="DY17">
        <v>2</v>
      </c>
      <c r="DZ17" t="s">
        <v>283</v>
      </c>
      <c r="EA17">
        <v>1.8672200000000001</v>
      </c>
      <c r="EB17">
        <v>1.86372</v>
      </c>
      <c r="EC17">
        <v>1.8693500000000001</v>
      </c>
      <c r="ED17">
        <v>1.86734</v>
      </c>
      <c r="EE17">
        <v>1.87201</v>
      </c>
      <c r="EF17">
        <v>1.86446</v>
      </c>
      <c r="EG17">
        <v>1.86592</v>
      </c>
      <c r="EH17">
        <v>1.8658399999999999</v>
      </c>
      <c r="EI17" t="s">
        <v>284</v>
      </c>
      <c r="EJ17" t="s">
        <v>19</v>
      </c>
      <c r="EK17" t="s">
        <v>19</v>
      </c>
      <c r="EL17" t="s">
        <v>19</v>
      </c>
      <c r="EM17" t="s">
        <v>285</v>
      </c>
      <c r="EN17" t="s">
        <v>286</v>
      </c>
      <c r="EO17" t="s">
        <v>287</v>
      </c>
      <c r="EP17" t="s">
        <v>287</v>
      </c>
      <c r="EQ17" t="s">
        <v>287</v>
      </c>
      <c r="ER17" t="s">
        <v>287</v>
      </c>
      <c r="ES17">
        <v>0</v>
      </c>
      <c r="ET17">
        <v>100</v>
      </c>
      <c r="EU17">
        <v>100</v>
      </c>
      <c r="EV17">
        <v>7.9000000000000001E-2</v>
      </c>
      <c r="EW17">
        <v>0.11700000000000001</v>
      </c>
      <c r="EX17">
        <v>2</v>
      </c>
      <c r="EY17">
        <v>331.29399999999998</v>
      </c>
      <c r="EZ17">
        <v>464.20299999999997</v>
      </c>
      <c r="FA17">
        <v>21.023199999999999</v>
      </c>
      <c r="FB17">
        <v>35.631799999999998</v>
      </c>
      <c r="FC17">
        <v>30.0015</v>
      </c>
      <c r="FD17">
        <v>35.695500000000003</v>
      </c>
      <c r="FE17">
        <v>35.708300000000001</v>
      </c>
      <c r="FF17">
        <v>22.025200000000002</v>
      </c>
      <c r="FG17">
        <v>100</v>
      </c>
      <c r="FH17">
        <v>0</v>
      </c>
      <c r="FI17">
        <v>20.964700000000001</v>
      </c>
      <c r="FJ17">
        <v>400</v>
      </c>
      <c r="FK17">
        <v>10.938000000000001</v>
      </c>
      <c r="FL17">
        <v>100.343</v>
      </c>
      <c r="FM17">
        <v>100.79600000000001</v>
      </c>
    </row>
    <row r="18" spans="1:169" x14ac:dyDescent="0.35">
      <c r="A18">
        <v>2</v>
      </c>
      <c r="B18">
        <v>1566149334.8</v>
      </c>
      <c r="C18">
        <v>115.5</v>
      </c>
      <c r="D18" t="s">
        <v>288</v>
      </c>
      <c r="E18" t="s">
        <v>289</v>
      </c>
      <c r="G18">
        <v>1566149334.8</v>
      </c>
      <c r="H18">
        <f t="shared" si="0"/>
        <v>5.1806776141956499E-3</v>
      </c>
      <c r="I18">
        <f t="shared" si="1"/>
        <v>21.797486883295438</v>
      </c>
      <c r="J18">
        <f t="shared" si="2"/>
        <v>272.27797519404464</v>
      </c>
      <c r="K18">
        <f t="shared" si="3"/>
        <v>177.80476143118389</v>
      </c>
      <c r="L18">
        <f t="shared" si="4"/>
        <v>17.602866077900973</v>
      </c>
      <c r="M18">
        <f t="shared" si="5"/>
        <v>26.95581768859326</v>
      </c>
      <c r="N18">
        <f t="shared" si="6"/>
        <v>0.42356804271317877</v>
      </c>
      <c r="O18">
        <f t="shared" si="7"/>
        <v>2.2456778279961962</v>
      </c>
      <c r="P18">
        <f t="shared" si="8"/>
        <v>0.38367521141878125</v>
      </c>
      <c r="Q18">
        <f t="shared" si="9"/>
        <v>0.24306734943961325</v>
      </c>
      <c r="R18">
        <f t="shared" si="10"/>
        <v>281.55407326074413</v>
      </c>
      <c r="S18">
        <f t="shared" si="11"/>
        <v>26.056904811843737</v>
      </c>
      <c r="T18">
        <f t="shared" si="12"/>
        <v>26.950099999999999</v>
      </c>
      <c r="U18">
        <f t="shared" si="13"/>
        <v>3.5686834769169038</v>
      </c>
      <c r="V18">
        <f t="shared" si="14"/>
        <v>68.697658196341209</v>
      </c>
      <c r="W18">
        <f t="shared" si="15"/>
        <v>2.2713227219280001</v>
      </c>
      <c r="X18">
        <f t="shared" si="16"/>
        <v>3.3062593129979057</v>
      </c>
      <c r="Y18">
        <f t="shared" si="17"/>
        <v>1.2973607549889037</v>
      </c>
      <c r="Z18">
        <f t="shared" si="18"/>
        <v>-228.46788278602816</v>
      </c>
      <c r="AA18">
        <f t="shared" si="19"/>
        <v>-156.62694338851347</v>
      </c>
      <c r="AB18">
        <f t="shared" si="20"/>
        <v>-14.947430948273961</v>
      </c>
      <c r="AC18">
        <f t="shared" si="21"/>
        <v>-118.48818386207145</v>
      </c>
      <c r="AD18">
        <v>-4.1067489099530903E-2</v>
      </c>
      <c r="AE18">
        <v>4.6101854223864799E-2</v>
      </c>
      <c r="AF18">
        <v>3.44749631023612</v>
      </c>
      <c r="AG18">
        <v>150</v>
      </c>
      <c r="AH18">
        <v>30</v>
      </c>
      <c r="AI18">
        <f t="shared" si="22"/>
        <v>1.0057363557849932</v>
      </c>
      <c r="AJ18">
        <f t="shared" si="23"/>
        <v>0.57363557849932079</v>
      </c>
      <c r="AK18">
        <f t="shared" si="24"/>
        <v>52598.011358504402</v>
      </c>
      <c r="AL18" t="s">
        <v>278</v>
      </c>
      <c r="AM18">
        <v>520.33192307692298</v>
      </c>
      <c r="AN18">
        <v>3330.63</v>
      </c>
      <c r="AO18">
        <f t="shared" si="25"/>
        <v>2810.2980769230771</v>
      </c>
      <c r="AP18">
        <f t="shared" si="26"/>
        <v>0.84377372356673574</v>
      </c>
      <c r="AQ18">
        <v>-1.3252759154356599</v>
      </c>
      <c r="AR18" t="s">
        <v>290</v>
      </c>
      <c r="AS18">
        <v>801.64438461538498</v>
      </c>
      <c r="AT18">
        <v>1188.22</v>
      </c>
      <c r="AU18">
        <f t="shared" si="27"/>
        <v>0.32534010148340797</v>
      </c>
      <c r="AV18">
        <v>0.5</v>
      </c>
      <c r="AW18">
        <f t="shared" si="28"/>
        <v>1471.2045000963597</v>
      </c>
      <c r="AX18">
        <f t="shared" si="29"/>
        <v>21.797486883295438</v>
      </c>
      <c r="AY18">
        <f t="shared" si="30"/>
        <v>239.32091068209806</v>
      </c>
      <c r="AZ18">
        <f t="shared" si="31"/>
        <v>0.53126525390920876</v>
      </c>
      <c r="BA18">
        <f t="shared" si="32"/>
        <v>1.5716892381186044E-2</v>
      </c>
      <c r="BB18">
        <f t="shared" si="33"/>
        <v>1.8030415242968472</v>
      </c>
      <c r="BC18" t="s">
        <v>291</v>
      </c>
      <c r="BD18">
        <v>556.96</v>
      </c>
      <c r="BE18">
        <f t="shared" si="34"/>
        <v>631.26</v>
      </c>
      <c r="BF18">
        <f t="shared" si="35"/>
        <v>0.61238731328551632</v>
      </c>
      <c r="BG18">
        <f t="shared" si="36"/>
        <v>0.77240983967090526</v>
      </c>
      <c r="BH18">
        <f t="shared" si="37"/>
        <v>0.57880298921571893</v>
      </c>
      <c r="BI18">
        <f t="shared" si="38"/>
        <v>0.76234262037629452</v>
      </c>
      <c r="BJ18">
        <v>1423</v>
      </c>
      <c r="BK18">
        <v>300</v>
      </c>
      <c r="BL18">
        <v>300</v>
      </c>
      <c r="BM18">
        <v>300</v>
      </c>
      <c r="BN18">
        <v>10276.1</v>
      </c>
      <c r="BO18">
        <v>1098.6099999999999</v>
      </c>
      <c r="BP18">
        <v>-7.0561599999999997E-3</v>
      </c>
      <c r="BQ18">
        <v>8.1333000000000002</v>
      </c>
      <c r="BR18">
        <f t="shared" si="39"/>
        <v>1750</v>
      </c>
      <c r="BS18">
        <f t="shared" si="40"/>
        <v>1471.2045000963597</v>
      </c>
      <c r="BT18">
        <f t="shared" si="41"/>
        <v>0.8406882857693484</v>
      </c>
      <c r="BU18">
        <f t="shared" si="42"/>
        <v>0.19137657153869714</v>
      </c>
      <c r="BV18" t="s">
        <v>281</v>
      </c>
      <c r="BW18">
        <v>1566149334.8</v>
      </c>
      <c r="BX18">
        <v>272.27800000000002</v>
      </c>
      <c r="BY18">
        <v>299.97699999999998</v>
      </c>
      <c r="BZ18">
        <v>22.942399999999999</v>
      </c>
      <c r="CA18">
        <v>16.904</v>
      </c>
      <c r="CB18">
        <v>500.02699999999999</v>
      </c>
      <c r="CC18">
        <v>98.801100000000005</v>
      </c>
      <c r="CD18">
        <v>0.19999500000000001</v>
      </c>
      <c r="CE18">
        <v>25.656400000000001</v>
      </c>
      <c r="CF18">
        <v>26.950099999999999</v>
      </c>
      <c r="CG18">
        <v>999.9</v>
      </c>
      <c r="CH18">
        <v>10023.799999999999</v>
      </c>
      <c r="CI18">
        <v>0</v>
      </c>
      <c r="CJ18">
        <v>1038.4000000000001</v>
      </c>
      <c r="CK18">
        <v>1750</v>
      </c>
      <c r="CL18">
        <v>0.97699199999999997</v>
      </c>
      <c r="CM18">
        <v>2.3007900000000001E-2</v>
      </c>
      <c r="CN18">
        <v>0</v>
      </c>
      <c r="CO18">
        <v>800.33600000000001</v>
      </c>
      <c r="CP18">
        <v>4.99986</v>
      </c>
      <c r="CQ18">
        <v>17095.8</v>
      </c>
      <c r="CR18">
        <v>14220.7</v>
      </c>
      <c r="CS18">
        <v>46.875</v>
      </c>
      <c r="CT18">
        <v>49.5</v>
      </c>
      <c r="CU18">
        <v>47.936999999999998</v>
      </c>
      <c r="CV18">
        <v>48.5</v>
      </c>
      <c r="CW18">
        <v>48.561999999999998</v>
      </c>
      <c r="CX18">
        <v>1704.85</v>
      </c>
      <c r="CY18">
        <v>40.15</v>
      </c>
      <c r="CZ18">
        <v>0</v>
      </c>
      <c r="DA18">
        <v>115.19999980926499</v>
      </c>
      <c r="DB18">
        <v>801.64438461538498</v>
      </c>
      <c r="DC18">
        <v>-7.8463589630225297</v>
      </c>
      <c r="DD18">
        <v>-1832.6735043263</v>
      </c>
      <c r="DE18">
        <v>17255.396153846199</v>
      </c>
      <c r="DF18">
        <v>15</v>
      </c>
      <c r="DG18">
        <v>1566149366.8</v>
      </c>
      <c r="DH18" t="s">
        <v>292</v>
      </c>
      <c r="DI18">
        <v>75</v>
      </c>
      <c r="DJ18">
        <v>-1E-3</v>
      </c>
      <c r="DK18">
        <v>0.127</v>
      </c>
      <c r="DL18">
        <v>300</v>
      </c>
      <c r="DM18">
        <v>17</v>
      </c>
      <c r="DN18">
        <v>0.04</v>
      </c>
      <c r="DO18">
        <v>0.01</v>
      </c>
      <c r="DP18">
        <v>21.7336663937884</v>
      </c>
      <c r="DQ18">
        <v>0.23159554932586701</v>
      </c>
      <c r="DR18">
        <v>8.1405004195975003E-2</v>
      </c>
      <c r="DS18">
        <v>1</v>
      </c>
      <c r="DT18">
        <v>0.40675696731560501</v>
      </c>
      <c r="DU18">
        <v>-1.4345157050993301E-2</v>
      </c>
      <c r="DV18">
        <v>6.1423068471903701E-3</v>
      </c>
      <c r="DW18">
        <v>1</v>
      </c>
      <c r="DX18">
        <v>2</v>
      </c>
      <c r="DY18">
        <v>2</v>
      </c>
      <c r="DZ18" t="s">
        <v>283</v>
      </c>
      <c r="EA18">
        <v>1.8672299999999999</v>
      </c>
      <c r="EB18">
        <v>1.8637300000000001</v>
      </c>
      <c r="EC18">
        <v>1.8693599999999999</v>
      </c>
      <c r="ED18">
        <v>1.86734</v>
      </c>
      <c r="EE18">
        <v>1.87199</v>
      </c>
      <c r="EF18">
        <v>1.8644700000000001</v>
      </c>
      <c r="EG18">
        <v>1.8659399999999999</v>
      </c>
      <c r="EH18">
        <v>1.8658399999999999</v>
      </c>
      <c r="EI18" t="s">
        <v>284</v>
      </c>
      <c r="EJ18" t="s">
        <v>19</v>
      </c>
      <c r="EK18" t="s">
        <v>19</v>
      </c>
      <c r="EL18" t="s">
        <v>19</v>
      </c>
      <c r="EM18" t="s">
        <v>285</v>
      </c>
      <c r="EN18" t="s">
        <v>286</v>
      </c>
      <c r="EO18" t="s">
        <v>287</v>
      </c>
      <c r="EP18" t="s">
        <v>287</v>
      </c>
      <c r="EQ18" t="s">
        <v>287</v>
      </c>
      <c r="ER18" t="s">
        <v>287</v>
      </c>
      <c r="ES18">
        <v>0</v>
      </c>
      <c r="ET18">
        <v>100</v>
      </c>
      <c r="EU18">
        <v>100</v>
      </c>
      <c r="EV18">
        <v>-1E-3</v>
      </c>
      <c r="EW18">
        <v>0.127</v>
      </c>
      <c r="EX18">
        <v>2</v>
      </c>
      <c r="EY18">
        <v>330.697</v>
      </c>
      <c r="EZ18">
        <v>463.512</v>
      </c>
      <c r="FA18">
        <v>20.567699999999999</v>
      </c>
      <c r="FB18">
        <v>35.7239</v>
      </c>
      <c r="FC18">
        <v>29.997199999999999</v>
      </c>
      <c r="FD18">
        <v>35.721800000000002</v>
      </c>
      <c r="FE18">
        <v>35.721400000000003</v>
      </c>
      <c r="FF18">
        <v>17.532900000000001</v>
      </c>
      <c r="FG18">
        <v>100</v>
      </c>
      <c r="FH18">
        <v>0</v>
      </c>
      <c r="FI18">
        <v>20.648499999999999</v>
      </c>
      <c r="FJ18">
        <v>300</v>
      </c>
      <c r="FK18">
        <v>10.938000000000001</v>
      </c>
      <c r="FL18">
        <v>100.328</v>
      </c>
      <c r="FM18">
        <v>100.777</v>
      </c>
    </row>
    <row r="19" spans="1:169" x14ac:dyDescent="0.35">
      <c r="A19">
        <v>3</v>
      </c>
      <c r="B19">
        <v>1566149451.8</v>
      </c>
      <c r="C19">
        <v>232.5</v>
      </c>
      <c r="D19" t="s">
        <v>293</v>
      </c>
      <c r="E19" t="s">
        <v>294</v>
      </c>
      <c r="G19">
        <v>1566149451.8</v>
      </c>
      <c r="H19">
        <f t="shared" si="0"/>
        <v>4.8279500066027159E-3</v>
      </c>
      <c r="I19">
        <f t="shared" si="1"/>
        <v>13.535702512997538</v>
      </c>
      <c r="J19">
        <f t="shared" si="2"/>
        <v>182.76698453882585</v>
      </c>
      <c r="K19">
        <f t="shared" si="3"/>
        <v>120.35166624256475</v>
      </c>
      <c r="L19">
        <f t="shared" si="4"/>
        <v>11.9143540111322</v>
      </c>
      <c r="M19">
        <f t="shared" si="5"/>
        <v>18.093231471792972</v>
      </c>
      <c r="N19">
        <f t="shared" si="6"/>
        <v>0.39629032462665642</v>
      </c>
      <c r="O19">
        <f t="shared" si="7"/>
        <v>2.2427328920617446</v>
      </c>
      <c r="P19">
        <f t="shared" si="8"/>
        <v>0.36110046149901437</v>
      </c>
      <c r="Q19">
        <f t="shared" si="9"/>
        <v>0.22858848994883552</v>
      </c>
      <c r="R19">
        <f t="shared" si="10"/>
        <v>281.569471340154</v>
      </c>
      <c r="S19">
        <f t="shared" si="11"/>
        <v>26.170299993908223</v>
      </c>
      <c r="T19">
        <f t="shared" si="12"/>
        <v>26.966799999999999</v>
      </c>
      <c r="U19">
        <f t="shared" si="13"/>
        <v>3.5721865610193388</v>
      </c>
      <c r="V19">
        <f t="shared" si="14"/>
        <v>69.214467977274097</v>
      </c>
      <c r="W19">
        <f t="shared" si="15"/>
        <v>2.2877717898490002</v>
      </c>
      <c r="X19">
        <f t="shared" si="16"/>
        <v>3.3053375352103669</v>
      </c>
      <c r="Y19">
        <f t="shared" si="17"/>
        <v>1.2844147711703386</v>
      </c>
      <c r="Z19">
        <f t="shared" si="18"/>
        <v>-212.91259529117977</v>
      </c>
      <c r="AA19">
        <f t="shared" si="19"/>
        <v>-159.00902463660248</v>
      </c>
      <c r="AB19">
        <f t="shared" si="20"/>
        <v>-15.195603084489877</v>
      </c>
      <c r="AC19">
        <f t="shared" si="21"/>
        <v>-105.54775167211815</v>
      </c>
      <c r="AD19">
        <v>-4.0988391142928203E-2</v>
      </c>
      <c r="AE19">
        <v>4.6013059838216602E-2</v>
      </c>
      <c r="AF19">
        <v>3.44223661417786</v>
      </c>
      <c r="AG19">
        <v>149</v>
      </c>
      <c r="AH19">
        <v>30</v>
      </c>
      <c r="AI19">
        <f t="shared" si="22"/>
        <v>1.0057084192699277</v>
      </c>
      <c r="AJ19">
        <f t="shared" si="23"/>
        <v>0.57084192699277114</v>
      </c>
      <c r="AK19">
        <f t="shared" si="24"/>
        <v>52501.593658559716</v>
      </c>
      <c r="AL19" t="s">
        <v>278</v>
      </c>
      <c r="AM19">
        <v>520.33192307692298</v>
      </c>
      <c r="AN19">
        <v>3330.63</v>
      </c>
      <c r="AO19">
        <f t="shared" si="25"/>
        <v>2810.2980769230771</v>
      </c>
      <c r="AP19">
        <f t="shared" si="26"/>
        <v>0.84377372356673574</v>
      </c>
      <c r="AQ19">
        <v>-1.3252759154356599</v>
      </c>
      <c r="AR19" t="s">
        <v>295</v>
      </c>
      <c r="AS19">
        <v>787.73980769230798</v>
      </c>
      <c r="AT19">
        <v>1110.93</v>
      </c>
      <c r="AU19">
        <f t="shared" si="27"/>
        <v>0.2909185928075505</v>
      </c>
      <c r="AV19">
        <v>0.5</v>
      </c>
      <c r="AW19">
        <f t="shared" si="28"/>
        <v>1471.2882000963305</v>
      </c>
      <c r="AX19">
        <f t="shared" si="29"/>
        <v>13.535702512997538</v>
      </c>
      <c r="AY19">
        <f t="shared" si="30"/>
        <v>214.01254639318913</v>
      </c>
      <c r="AZ19">
        <f t="shared" si="31"/>
        <v>0.48625025879218314</v>
      </c>
      <c r="BA19">
        <f t="shared" si="32"/>
        <v>1.0100657660042537E-2</v>
      </c>
      <c r="BB19">
        <f t="shared" si="33"/>
        <v>1.9980556830763412</v>
      </c>
      <c r="BC19" t="s">
        <v>296</v>
      </c>
      <c r="BD19">
        <v>570.74</v>
      </c>
      <c r="BE19">
        <f t="shared" si="34"/>
        <v>540.19000000000005</v>
      </c>
      <c r="BF19">
        <f t="shared" si="35"/>
        <v>0.59828984673483787</v>
      </c>
      <c r="BG19">
        <f t="shared" si="36"/>
        <v>0.80427118472113002</v>
      </c>
      <c r="BH19">
        <f t="shared" si="37"/>
        <v>0.54722527034199309</v>
      </c>
      <c r="BI19">
        <f t="shared" si="38"/>
        <v>0.78984504107489273</v>
      </c>
      <c r="BJ19">
        <v>1425</v>
      </c>
      <c r="BK19">
        <v>300</v>
      </c>
      <c r="BL19">
        <v>300</v>
      </c>
      <c r="BM19">
        <v>300</v>
      </c>
      <c r="BN19">
        <v>10274.4</v>
      </c>
      <c r="BO19">
        <v>1041.29</v>
      </c>
      <c r="BP19">
        <v>-7.0547199999999996E-3</v>
      </c>
      <c r="BQ19">
        <v>8.7681900000000006</v>
      </c>
      <c r="BR19">
        <f t="shared" si="39"/>
        <v>1750.1</v>
      </c>
      <c r="BS19">
        <f t="shared" si="40"/>
        <v>1471.2882000963305</v>
      </c>
      <c r="BT19">
        <f t="shared" si="41"/>
        <v>0.84068807502218756</v>
      </c>
      <c r="BU19">
        <f t="shared" si="42"/>
        <v>0.19137615004437517</v>
      </c>
      <c r="BV19" t="s">
        <v>281</v>
      </c>
      <c r="BW19">
        <v>1566149451.8</v>
      </c>
      <c r="BX19">
        <v>182.767</v>
      </c>
      <c r="BY19">
        <v>199.976</v>
      </c>
      <c r="BZ19">
        <v>23.1097</v>
      </c>
      <c r="CA19">
        <v>17.4831</v>
      </c>
      <c r="CB19">
        <v>500.01499999999999</v>
      </c>
      <c r="CC19">
        <v>98.796099999999996</v>
      </c>
      <c r="CD19">
        <v>0.20007</v>
      </c>
      <c r="CE19">
        <v>25.651700000000002</v>
      </c>
      <c r="CF19">
        <v>26.966799999999999</v>
      </c>
      <c r="CG19">
        <v>999.9</v>
      </c>
      <c r="CH19">
        <v>10005</v>
      </c>
      <c r="CI19">
        <v>0</v>
      </c>
      <c r="CJ19">
        <v>980.03499999999997</v>
      </c>
      <c r="CK19">
        <v>1750.1</v>
      </c>
      <c r="CL19">
        <v>0.97699599999999998</v>
      </c>
      <c r="CM19">
        <v>2.3003900000000001E-2</v>
      </c>
      <c r="CN19">
        <v>0</v>
      </c>
      <c r="CO19">
        <v>787.08600000000001</v>
      </c>
      <c r="CP19">
        <v>4.99986</v>
      </c>
      <c r="CQ19">
        <v>16759.599999999999</v>
      </c>
      <c r="CR19">
        <v>14221.6</v>
      </c>
      <c r="CS19">
        <v>47.186999999999998</v>
      </c>
      <c r="CT19">
        <v>49.561999999999998</v>
      </c>
      <c r="CU19">
        <v>48.186999999999998</v>
      </c>
      <c r="CV19">
        <v>48.625</v>
      </c>
      <c r="CW19">
        <v>48.686999999999998</v>
      </c>
      <c r="CX19">
        <v>1704.96</v>
      </c>
      <c r="CY19">
        <v>40.14</v>
      </c>
      <c r="CZ19">
        <v>0</v>
      </c>
      <c r="DA19">
        <v>116.60000014305101</v>
      </c>
      <c r="DB19">
        <v>787.73980769230798</v>
      </c>
      <c r="DC19">
        <v>-5.7826666730877303</v>
      </c>
      <c r="DD19">
        <v>308.04444439622802</v>
      </c>
      <c r="DE19">
        <v>16788.288461538501</v>
      </c>
      <c r="DF19">
        <v>15</v>
      </c>
      <c r="DG19">
        <v>1566149480.3</v>
      </c>
      <c r="DH19" t="s">
        <v>297</v>
      </c>
      <c r="DI19">
        <v>76</v>
      </c>
      <c r="DJ19">
        <v>-8.0000000000000002E-3</v>
      </c>
      <c r="DK19">
        <v>0.13400000000000001</v>
      </c>
      <c r="DL19">
        <v>200</v>
      </c>
      <c r="DM19">
        <v>18</v>
      </c>
      <c r="DN19">
        <v>0.09</v>
      </c>
      <c r="DO19">
        <v>0.02</v>
      </c>
      <c r="DP19">
        <v>13.4984373815143</v>
      </c>
      <c r="DQ19">
        <v>0.25358876073244702</v>
      </c>
      <c r="DR19">
        <v>6.4871748338918594E-2</v>
      </c>
      <c r="DS19">
        <v>1</v>
      </c>
      <c r="DT19">
        <v>0.38563376376501401</v>
      </c>
      <c r="DU19">
        <v>1.7252983853621401E-3</v>
      </c>
      <c r="DV19">
        <v>2.9586619682761498E-3</v>
      </c>
      <c r="DW19">
        <v>1</v>
      </c>
      <c r="DX19">
        <v>2</v>
      </c>
      <c r="DY19">
        <v>2</v>
      </c>
      <c r="DZ19" t="s">
        <v>283</v>
      </c>
      <c r="EA19">
        <v>1.86724</v>
      </c>
      <c r="EB19">
        <v>1.86372</v>
      </c>
      <c r="EC19">
        <v>1.8693500000000001</v>
      </c>
      <c r="ED19">
        <v>1.86734</v>
      </c>
      <c r="EE19">
        <v>1.8719699999999999</v>
      </c>
      <c r="EF19">
        <v>1.8644700000000001</v>
      </c>
      <c r="EG19">
        <v>1.8659300000000001</v>
      </c>
      <c r="EH19">
        <v>1.8658399999999999</v>
      </c>
      <c r="EI19" t="s">
        <v>284</v>
      </c>
      <c r="EJ19" t="s">
        <v>19</v>
      </c>
      <c r="EK19" t="s">
        <v>19</v>
      </c>
      <c r="EL19" t="s">
        <v>19</v>
      </c>
      <c r="EM19" t="s">
        <v>285</v>
      </c>
      <c r="EN19" t="s">
        <v>286</v>
      </c>
      <c r="EO19" t="s">
        <v>287</v>
      </c>
      <c r="EP19" t="s">
        <v>287</v>
      </c>
      <c r="EQ19" t="s">
        <v>287</v>
      </c>
      <c r="ER19" t="s">
        <v>287</v>
      </c>
      <c r="ES19">
        <v>0</v>
      </c>
      <c r="ET19">
        <v>100</v>
      </c>
      <c r="EU19">
        <v>100</v>
      </c>
      <c r="EV19">
        <v>-8.0000000000000002E-3</v>
      </c>
      <c r="EW19">
        <v>0.13400000000000001</v>
      </c>
      <c r="EX19">
        <v>2</v>
      </c>
      <c r="EY19">
        <v>331.14299999999997</v>
      </c>
      <c r="EZ19">
        <v>463.745</v>
      </c>
      <c r="FA19">
        <v>20.72</v>
      </c>
      <c r="FB19">
        <v>35.661700000000003</v>
      </c>
      <c r="FC19">
        <v>29.9985</v>
      </c>
      <c r="FD19">
        <v>35.670299999999997</v>
      </c>
      <c r="FE19">
        <v>35.662300000000002</v>
      </c>
      <c r="FF19">
        <v>12.846399999999999</v>
      </c>
      <c r="FG19">
        <v>100</v>
      </c>
      <c r="FH19">
        <v>0</v>
      </c>
      <c r="FI19">
        <v>20.7363</v>
      </c>
      <c r="FJ19">
        <v>200</v>
      </c>
      <c r="FK19">
        <v>10.938000000000001</v>
      </c>
      <c r="FL19">
        <v>100.336</v>
      </c>
      <c r="FM19">
        <v>100.79300000000001</v>
      </c>
    </row>
    <row r="20" spans="1:169" x14ac:dyDescent="0.35">
      <c r="A20">
        <v>4</v>
      </c>
      <c r="B20">
        <v>1566149563.8</v>
      </c>
      <c r="C20">
        <v>344.5</v>
      </c>
      <c r="D20" t="s">
        <v>298</v>
      </c>
      <c r="E20" t="s">
        <v>299</v>
      </c>
      <c r="G20">
        <v>1566149563.8</v>
      </c>
      <c r="H20">
        <f t="shared" si="0"/>
        <v>4.6687361630538939E-3</v>
      </c>
      <c r="I20">
        <f t="shared" si="1"/>
        <v>4.9867466480040417</v>
      </c>
      <c r="J20">
        <f t="shared" si="2"/>
        <v>93.471494303517275</v>
      </c>
      <c r="K20">
        <f t="shared" si="3"/>
        <v>69.606453938214386</v>
      </c>
      <c r="L20">
        <f t="shared" si="4"/>
        <v>6.8904617631671687</v>
      </c>
      <c r="M20">
        <f t="shared" si="5"/>
        <v>9.2529028704174454</v>
      </c>
      <c r="N20">
        <f t="shared" si="6"/>
        <v>0.38938707615634921</v>
      </c>
      <c r="O20">
        <f t="shared" si="7"/>
        <v>2.2428480198063694</v>
      </c>
      <c r="P20">
        <f t="shared" si="8"/>
        <v>0.35535779231432679</v>
      </c>
      <c r="Q20">
        <f t="shared" si="9"/>
        <v>0.22490766925264005</v>
      </c>
      <c r="R20">
        <f t="shared" si="10"/>
        <v>281.54130533655388</v>
      </c>
      <c r="S20">
        <f t="shared" si="11"/>
        <v>26.299058274266475</v>
      </c>
      <c r="T20">
        <f t="shared" si="12"/>
        <v>27.001200000000001</v>
      </c>
      <c r="U20">
        <f t="shared" si="13"/>
        <v>3.5794119560265325</v>
      </c>
      <c r="V20">
        <f t="shared" si="14"/>
        <v>69.801060055876235</v>
      </c>
      <c r="W20">
        <f t="shared" si="15"/>
        <v>2.3175839685252</v>
      </c>
      <c r="X20">
        <f t="shared" si="16"/>
        <v>3.3202704467094879</v>
      </c>
      <c r="Y20">
        <f t="shared" si="17"/>
        <v>1.2618279875013325</v>
      </c>
      <c r="Z20">
        <f t="shared" si="18"/>
        <v>-205.89126479067673</v>
      </c>
      <c r="AA20">
        <f t="shared" si="19"/>
        <v>-153.98706398218081</v>
      </c>
      <c r="AB20">
        <f t="shared" si="20"/>
        <v>-14.723065460964733</v>
      </c>
      <c r="AC20">
        <f t="shared" si="21"/>
        <v>-93.0600888972684</v>
      </c>
      <c r="AD20">
        <v>-4.0991481606848998E-2</v>
      </c>
      <c r="AE20">
        <v>4.6016529154707303E-2</v>
      </c>
      <c r="AF20">
        <v>3.4424421827246898</v>
      </c>
      <c r="AG20">
        <v>149</v>
      </c>
      <c r="AH20">
        <v>30</v>
      </c>
      <c r="AI20">
        <f t="shared" si="22"/>
        <v>1.0057094755244986</v>
      </c>
      <c r="AJ20">
        <f t="shared" si="23"/>
        <v>0.57094755244986306</v>
      </c>
      <c r="AK20">
        <f t="shared" si="24"/>
        <v>52491.935979114292</v>
      </c>
      <c r="AL20" t="s">
        <v>278</v>
      </c>
      <c r="AM20">
        <v>520.33192307692298</v>
      </c>
      <c r="AN20">
        <v>3330.63</v>
      </c>
      <c r="AO20">
        <f t="shared" si="25"/>
        <v>2810.2980769230771</v>
      </c>
      <c r="AP20">
        <f t="shared" si="26"/>
        <v>0.84377372356673574</v>
      </c>
      <c r="AQ20">
        <v>-1.3252759154356599</v>
      </c>
      <c r="AR20" t="s">
        <v>300</v>
      </c>
      <c r="AS20">
        <v>790.512846153846</v>
      </c>
      <c r="AT20">
        <v>1054.6199999999999</v>
      </c>
      <c r="AU20">
        <f t="shared" si="27"/>
        <v>0.25042873627103024</v>
      </c>
      <c r="AV20">
        <v>0.5</v>
      </c>
      <c r="AW20">
        <f t="shared" si="28"/>
        <v>1471.1373000963642</v>
      </c>
      <c r="AX20">
        <f t="shared" si="29"/>
        <v>4.9867466480040417</v>
      </c>
      <c r="AY20">
        <f t="shared" si="30"/>
        <v>184.20752747215394</v>
      </c>
      <c r="AZ20">
        <f t="shared" si="31"/>
        <v>0.43943790180349318</v>
      </c>
      <c r="BA20">
        <f t="shared" si="32"/>
        <v>4.2905733972119688E-3</v>
      </c>
      <c r="BB20">
        <f t="shared" si="33"/>
        <v>2.1581327871650458</v>
      </c>
      <c r="BC20" t="s">
        <v>301</v>
      </c>
      <c r="BD20">
        <v>591.17999999999995</v>
      </c>
      <c r="BE20">
        <f t="shared" si="34"/>
        <v>463.43999999999994</v>
      </c>
      <c r="BF20">
        <f t="shared" si="35"/>
        <v>0.56988424358310441</v>
      </c>
      <c r="BG20">
        <f t="shared" si="36"/>
        <v>0.83082735585610246</v>
      </c>
      <c r="BH20">
        <f t="shared" si="37"/>
        <v>0.49431601649643064</v>
      </c>
      <c r="BI20">
        <f t="shared" si="38"/>
        <v>0.80988206151140552</v>
      </c>
      <c r="BJ20">
        <v>1427</v>
      </c>
      <c r="BK20">
        <v>300</v>
      </c>
      <c r="BL20">
        <v>300</v>
      </c>
      <c r="BM20">
        <v>300</v>
      </c>
      <c r="BN20">
        <v>10273.5</v>
      </c>
      <c r="BO20">
        <v>997.06799999999998</v>
      </c>
      <c r="BP20">
        <v>-7.0537999999999998E-3</v>
      </c>
      <c r="BQ20">
        <v>6.4918800000000001</v>
      </c>
      <c r="BR20">
        <f t="shared" si="39"/>
        <v>1749.92</v>
      </c>
      <c r="BS20">
        <f t="shared" si="40"/>
        <v>1471.1373000963642</v>
      </c>
      <c r="BT20">
        <f t="shared" si="41"/>
        <v>0.8406883172352817</v>
      </c>
      <c r="BU20">
        <f t="shared" si="42"/>
        <v>0.19137663447056369</v>
      </c>
      <c r="BV20" t="s">
        <v>281</v>
      </c>
      <c r="BW20">
        <v>1566149563.8</v>
      </c>
      <c r="BX20">
        <v>93.471500000000006</v>
      </c>
      <c r="BY20">
        <v>99.945400000000006</v>
      </c>
      <c r="BZ20">
        <v>23.411899999999999</v>
      </c>
      <c r="CA20">
        <v>17.972300000000001</v>
      </c>
      <c r="CB20">
        <v>499.99200000000002</v>
      </c>
      <c r="CC20">
        <v>98.791700000000006</v>
      </c>
      <c r="CD20">
        <v>0.20000799999999999</v>
      </c>
      <c r="CE20">
        <v>25.727699999999999</v>
      </c>
      <c r="CF20">
        <v>27.001200000000001</v>
      </c>
      <c r="CG20">
        <v>999.9</v>
      </c>
      <c r="CH20">
        <v>10006.200000000001</v>
      </c>
      <c r="CI20">
        <v>0</v>
      </c>
      <c r="CJ20">
        <v>1931.4</v>
      </c>
      <c r="CK20">
        <v>1749.92</v>
      </c>
      <c r="CL20">
        <v>0.97699199999999997</v>
      </c>
      <c r="CM20">
        <v>2.3007900000000001E-2</v>
      </c>
      <c r="CN20">
        <v>0</v>
      </c>
      <c r="CO20">
        <v>790.09500000000003</v>
      </c>
      <c r="CP20">
        <v>4.99986</v>
      </c>
      <c r="CQ20">
        <v>19209</v>
      </c>
      <c r="CR20">
        <v>14220.1</v>
      </c>
      <c r="CS20">
        <v>47.311999999999998</v>
      </c>
      <c r="CT20">
        <v>49.686999999999998</v>
      </c>
      <c r="CU20">
        <v>48.311999999999998</v>
      </c>
      <c r="CV20">
        <v>48.686999999999998</v>
      </c>
      <c r="CW20">
        <v>48.811999999999998</v>
      </c>
      <c r="CX20">
        <v>1704.77</v>
      </c>
      <c r="CY20">
        <v>40.15</v>
      </c>
      <c r="CZ20">
        <v>0</v>
      </c>
      <c r="DA20">
        <v>111.799999952316</v>
      </c>
      <c r="DB20">
        <v>790.512846153846</v>
      </c>
      <c r="DC20">
        <v>-1.7862564052801899</v>
      </c>
      <c r="DD20">
        <v>10143.138457299599</v>
      </c>
      <c r="DE20">
        <v>18034.5769230769</v>
      </c>
      <c r="DF20">
        <v>15</v>
      </c>
      <c r="DG20">
        <v>1566149599.8</v>
      </c>
      <c r="DH20" t="s">
        <v>302</v>
      </c>
      <c r="DI20">
        <v>77</v>
      </c>
      <c r="DJ20">
        <v>8.9999999999999993E-3</v>
      </c>
      <c r="DK20">
        <v>0.14499999999999999</v>
      </c>
      <c r="DL20">
        <v>100</v>
      </c>
      <c r="DM20">
        <v>18</v>
      </c>
      <c r="DN20">
        <v>0.26</v>
      </c>
      <c r="DO20">
        <v>0.02</v>
      </c>
      <c r="DP20">
        <v>4.9974705049182999</v>
      </c>
      <c r="DQ20">
        <v>0.26049450782443501</v>
      </c>
      <c r="DR20">
        <v>8.1859475860355593E-2</v>
      </c>
      <c r="DS20">
        <v>1</v>
      </c>
      <c r="DT20">
        <v>0.38267407299735001</v>
      </c>
      <c r="DU20">
        <v>1.04784275628998E-2</v>
      </c>
      <c r="DV20">
        <v>2.44782897845662E-3</v>
      </c>
      <c r="DW20">
        <v>1</v>
      </c>
      <c r="DX20">
        <v>2</v>
      </c>
      <c r="DY20">
        <v>2</v>
      </c>
      <c r="DZ20" t="s">
        <v>283</v>
      </c>
      <c r="EA20">
        <v>1.86724</v>
      </c>
      <c r="EB20">
        <v>1.8637699999999999</v>
      </c>
      <c r="EC20">
        <v>1.8693500000000001</v>
      </c>
      <c r="ED20">
        <v>1.86734</v>
      </c>
      <c r="EE20">
        <v>1.87199</v>
      </c>
      <c r="EF20">
        <v>1.8644700000000001</v>
      </c>
      <c r="EG20">
        <v>1.8659300000000001</v>
      </c>
      <c r="EH20">
        <v>1.8658399999999999</v>
      </c>
      <c r="EI20" t="s">
        <v>284</v>
      </c>
      <c r="EJ20" t="s">
        <v>19</v>
      </c>
      <c r="EK20" t="s">
        <v>19</v>
      </c>
      <c r="EL20" t="s">
        <v>19</v>
      </c>
      <c r="EM20" t="s">
        <v>285</v>
      </c>
      <c r="EN20" t="s">
        <v>286</v>
      </c>
      <c r="EO20" t="s">
        <v>287</v>
      </c>
      <c r="EP20" t="s">
        <v>287</v>
      </c>
      <c r="EQ20" t="s">
        <v>287</v>
      </c>
      <c r="ER20" t="s">
        <v>287</v>
      </c>
      <c r="ES20">
        <v>0</v>
      </c>
      <c r="ET20">
        <v>100</v>
      </c>
      <c r="EU20">
        <v>100</v>
      </c>
      <c r="EV20">
        <v>8.9999999999999993E-3</v>
      </c>
      <c r="EW20">
        <v>0.14499999999999999</v>
      </c>
      <c r="EX20">
        <v>2</v>
      </c>
      <c r="EY20">
        <v>331.35700000000003</v>
      </c>
      <c r="EZ20">
        <v>464.59399999999999</v>
      </c>
      <c r="FA20">
        <v>20.923400000000001</v>
      </c>
      <c r="FB20">
        <v>35.514000000000003</v>
      </c>
      <c r="FC20">
        <v>29.999700000000001</v>
      </c>
      <c r="FD20">
        <v>35.561199999999999</v>
      </c>
      <c r="FE20">
        <v>35.559699999999999</v>
      </c>
      <c r="FF20">
        <v>7.9694799999999999</v>
      </c>
      <c r="FG20">
        <v>100</v>
      </c>
      <c r="FH20">
        <v>0</v>
      </c>
      <c r="FI20">
        <v>20.917100000000001</v>
      </c>
      <c r="FJ20">
        <v>100</v>
      </c>
      <c r="FK20">
        <v>10.938000000000001</v>
      </c>
      <c r="FL20">
        <v>100.357</v>
      </c>
      <c r="FM20">
        <v>100.821</v>
      </c>
    </row>
    <row r="21" spans="1:169" x14ac:dyDescent="0.35">
      <c r="A21">
        <v>5</v>
      </c>
      <c r="B21">
        <v>1566149682.3</v>
      </c>
      <c r="C21">
        <v>463</v>
      </c>
      <c r="D21" t="s">
        <v>303</v>
      </c>
      <c r="E21" t="s">
        <v>304</v>
      </c>
      <c r="G21">
        <v>1566149682.3</v>
      </c>
      <c r="H21">
        <f t="shared" si="0"/>
        <v>4.7637589555246601E-3</v>
      </c>
      <c r="I21">
        <f t="shared" si="1"/>
        <v>0.75066038446246319</v>
      </c>
      <c r="J21">
        <f t="shared" si="2"/>
        <v>48.800199145380631</v>
      </c>
      <c r="K21">
        <f t="shared" si="3"/>
        <v>44.796086696208889</v>
      </c>
      <c r="L21">
        <f t="shared" si="4"/>
        <v>4.4344121507057022</v>
      </c>
      <c r="M21">
        <f t="shared" si="5"/>
        <v>4.8307834904125224</v>
      </c>
      <c r="N21">
        <f t="shared" si="6"/>
        <v>0.42372709033850192</v>
      </c>
      <c r="O21">
        <f t="shared" si="7"/>
        <v>2.2454149004677348</v>
      </c>
      <c r="P21">
        <f t="shared" si="8"/>
        <v>0.38380160011876502</v>
      </c>
      <c r="Q21">
        <f t="shared" si="9"/>
        <v>0.24314887987341921</v>
      </c>
      <c r="R21">
        <f t="shared" si="10"/>
        <v>281.54233950115929</v>
      </c>
      <c r="S21">
        <f t="shared" si="11"/>
        <v>26.247762117906323</v>
      </c>
      <c r="T21">
        <f t="shared" si="12"/>
        <v>26.966100000000001</v>
      </c>
      <c r="U21">
        <f t="shared" si="13"/>
        <v>3.5720396649071029</v>
      </c>
      <c r="V21">
        <f t="shared" si="14"/>
        <v>71.771168923171132</v>
      </c>
      <c r="W21">
        <f t="shared" si="15"/>
        <v>2.3802994563816</v>
      </c>
      <c r="X21">
        <f t="shared" si="16"/>
        <v>3.3165120369289771</v>
      </c>
      <c r="Y21">
        <f t="shared" si="17"/>
        <v>1.1917402085255029</v>
      </c>
      <c r="Z21">
        <f t="shared" si="18"/>
        <v>-210.08176993863751</v>
      </c>
      <c r="AA21">
        <f t="shared" si="19"/>
        <v>-152.22642120337582</v>
      </c>
      <c r="AB21">
        <f t="shared" si="20"/>
        <v>-14.534138344144464</v>
      </c>
      <c r="AC21">
        <f t="shared" si="21"/>
        <v>-95.299989984998518</v>
      </c>
      <c r="AD21">
        <v>-4.1060423346069998E-2</v>
      </c>
      <c r="AE21">
        <v>4.6093922296610801E-2</v>
      </c>
      <c r="AF21">
        <v>3.44702660714659</v>
      </c>
      <c r="AG21">
        <v>149</v>
      </c>
      <c r="AH21">
        <v>30</v>
      </c>
      <c r="AI21">
        <f t="shared" si="22"/>
        <v>1.0056998667599706</v>
      </c>
      <c r="AJ21">
        <f t="shared" si="23"/>
        <v>0.56998667599705843</v>
      </c>
      <c r="AK21">
        <f t="shared" si="24"/>
        <v>52579.923867557096</v>
      </c>
      <c r="AL21" t="s">
        <v>278</v>
      </c>
      <c r="AM21">
        <v>520.33192307692298</v>
      </c>
      <c r="AN21">
        <v>3330.63</v>
      </c>
      <c r="AO21">
        <f t="shared" si="25"/>
        <v>2810.2980769230771</v>
      </c>
      <c r="AP21">
        <f t="shared" si="26"/>
        <v>0.84377372356673574</v>
      </c>
      <c r="AQ21">
        <v>-1.3252759154356599</v>
      </c>
      <c r="AR21" t="s">
        <v>305</v>
      </c>
      <c r="AS21">
        <v>793.91630769230801</v>
      </c>
      <c r="AT21">
        <v>1009.81</v>
      </c>
      <c r="AU21">
        <f t="shared" si="27"/>
        <v>0.21379635011308262</v>
      </c>
      <c r="AV21">
        <v>0.5</v>
      </c>
      <c r="AW21">
        <f t="shared" si="28"/>
        <v>1471.1454000963399</v>
      </c>
      <c r="AX21">
        <f t="shared" si="29"/>
        <v>0.75066038446246319</v>
      </c>
      <c r="AY21">
        <f t="shared" si="30"/>
        <v>157.26275851312406</v>
      </c>
      <c r="AZ21">
        <f t="shared" si="31"/>
        <v>0.40063972430457212</v>
      </c>
      <c r="BA21">
        <f t="shared" si="32"/>
        <v>1.4111020567798246E-3</v>
      </c>
      <c r="BB21">
        <f t="shared" si="33"/>
        <v>2.2982739327200168</v>
      </c>
      <c r="BC21" t="s">
        <v>306</v>
      </c>
      <c r="BD21">
        <v>605.24</v>
      </c>
      <c r="BE21">
        <f t="shared" si="34"/>
        <v>404.56999999999994</v>
      </c>
      <c r="BF21">
        <f t="shared" si="35"/>
        <v>0.53363742320906637</v>
      </c>
      <c r="BG21">
        <f t="shared" si="36"/>
        <v>0.85155519026634718</v>
      </c>
      <c r="BH21">
        <f t="shared" si="37"/>
        <v>0.44106917650904376</v>
      </c>
      <c r="BI21">
        <f t="shared" si="38"/>
        <v>0.82582698933524024</v>
      </c>
      <c r="BJ21">
        <v>1429</v>
      </c>
      <c r="BK21">
        <v>300</v>
      </c>
      <c r="BL21">
        <v>300</v>
      </c>
      <c r="BM21">
        <v>300</v>
      </c>
      <c r="BN21">
        <v>10272.4</v>
      </c>
      <c r="BO21">
        <v>966.61599999999999</v>
      </c>
      <c r="BP21">
        <v>-7.0526800000000004E-3</v>
      </c>
      <c r="BQ21">
        <v>5.6719400000000002</v>
      </c>
      <c r="BR21">
        <f t="shared" si="39"/>
        <v>1749.93</v>
      </c>
      <c r="BS21">
        <f t="shared" si="40"/>
        <v>1471.1454000963399</v>
      </c>
      <c r="BT21">
        <f t="shared" si="41"/>
        <v>0.84068814186644025</v>
      </c>
      <c r="BU21">
        <f t="shared" si="42"/>
        <v>0.1913762837328806</v>
      </c>
      <c r="BV21" t="s">
        <v>281</v>
      </c>
      <c r="BW21">
        <v>1566149682.3</v>
      </c>
      <c r="BX21">
        <v>48.800199999999997</v>
      </c>
      <c r="BY21">
        <v>49.974800000000002</v>
      </c>
      <c r="BZ21">
        <v>24.0456</v>
      </c>
      <c r="CA21">
        <v>18.499199999999998</v>
      </c>
      <c r="CB21">
        <v>500.02300000000002</v>
      </c>
      <c r="CC21">
        <v>98.790999999999997</v>
      </c>
      <c r="CD21">
        <v>0.20006099999999999</v>
      </c>
      <c r="CE21">
        <v>25.708600000000001</v>
      </c>
      <c r="CF21">
        <v>26.966100000000001</v>
      </c>
      <c r="CG21">
        <v>999.9</v>
      </c>
      <c r="CH21">
        <v>10023.1</v>
      </c>
      <c r="CI21">
        <v>0</v>
      </c>
      <c r="CJ21">
        <v>1402.31</v>
      </c>
      <c r="CK21">
        <v>1749.93</v>
      </c>
      <c r="CL21">
        <v>0.97699599999999998</v>
      </c>
      <c r="CM21">
        <v>2.3003900000000001E-2</v>
      </c>
      <c r="CN21">
        <v>0</v>
      </c>
      <c r="CO21">
        <v>793.76900000000001</v>
      </c>
      <c r="CP21">
        <v>4.99986</v>
      </c>
      <c r="CQ21">
        <v>17272.2</v>
      </c>
      <c r="CR21">
        <v>14220.1</v>
      </c>
      <c r="CS21">
        <v>47.561999999999998</v>
      </c>
      <c r="CT21">
        <v>50.061999999999998</v>
      </c>
      <c r="CU21">
        <v>48.561999999999998</v>
      </c>
      <c r="CV21">
        <v>49</v>
      </c>
      <c r="CW21">
        <v>49.125</v>
      </c>
      <c r="CX21">
        <v>1704.79</v>
      </c>
      <c r="CY21">
        <v>40.14</v>
      </c>
      <c r="CZ21">
        <v>0</v>
      </c>
      <c r="DA21">
        <v>117.799999952316</v>
      </c>
      <c r="DB21">
        <v>793.91630769230801</v>
      </c>
      <c r="DC21">
        <v>-1.4235213654968</v>
      </c>
      <c r="DD21">
        <v>-1356.24614778411</v>
      </c>
      <c r="DE21">
        <v>18012.653846153898</v>
      </c>
      <c r="DF21">
        <v>15</v>
      </c>
      <c r="DG21">
        <v>1566149713.8</v>
      </c>
      <c r="DH21" t="s">
        <v>307</v>
      </c>
      <c r="DI21">
        <v>78</v>
      </c>
      <c r="DJ21">
        <v>1.4999999999999999E-2</v>
      </c>
      <c r="DK21">
        <v>0.15</v>
      </c>
      <c r="DL21">
        <v>50</v>
      </c>
      <c r="DM21">
        <v>19</v>
      </c>
      <c r="DN21">
        <v>0.64</v>
      </c>
      <c r="DO21">
        <v>0.02</v>
      </c>
      <c r="DP21">
        <v>0.70430283816567496</v>
      </c>
      <c r="DQ21">
        <v>0.28951730669249098</v>
      </c>
      <c r="DR21">
        <v>6.8050964473602399E-2</v>
      </c>
      <c r="DS21">
        <v>1</v>
      </c>
      <c r="DT21">
        <v>0.38307564263302102</v>
      </c>
      <c r="DU21">
        <v>6.5097464117829004E-2</v>
      </c>
      <c r="DV21">
        <v>1.4543197327487699E-2</v>
      </c>
      <c r="DW21">
        <v>1</v>
      </c>
      <c r="DX21">
        <v>2</v>
      </c>
      <c r="DY21">
        <v>2</v>
      </c>
      <c r="DZ21" t="s">
        <v>283</v>
      </c>
      <c r="EA21">
        <v>1.86727</v>
      </c>
      <c r="EB21">
        <v>1.8637600000000001</v>
      </c>
      <c r="EC21">
        <v>1.8693599999999999</v>
      </c>
      <c r="ED21">
        <v>1.8673500000000001</v>
      </c>
      <c r="EE21">
        <v>1.87201</v>
      </c>
      <c r="EF21">
        <v>1.8644700000000001</v>
      </c>
      <c r="EG21">
        <v>1.86595</v>
      </c>
      <c r="EH21">
        <v>1.8658699999999999</v>
      </c>
      <c r="EI21" t="s">
        <v>284</v>
      </c>
      <c r="EJ21" t="s">
        <v>19</v>
      </c>
      <c r="EK21" t="s">
        <v>19</v>
      </c>
      <c r="EL21" t="s">
        <v>19</v>
      </c>
      <c r="EM21" t="s">
        <v>285</v>
      </c>
      <c r="EN21" t="s">
        <v>286</v>
      </c>
      <c r="EO21" t="s">
        <v>287</v>
      </c>
      <c r="EP21" t="s">
        <v>287</v>
      </c>
      <c r="EQ21" t="s">
        <v>287</v>
      </c>
      <c r="ER21" t="s">
        <v>287</v>
      </c>
      <c r="ES21">
        <v>0</v>
      </c>
      <c r="ET21">
        <v>100</v>
      </c>
      <c r="EU21">
        <v>100</v>
      </c>
      <c r="EV21">
        <v>1.4999999999999999E-2</v>
      </c>
      <c r="EW21">
        <v>0.15</v>
      </c>
      <c r="EX21">
        <v>2</v>
      </c>
      <c r="EY21">
        <v>331.54500000000002</v>
      </c>
      <c r="EZ21">
        <v>464.41300000000001</v>
      </c>
      <c r="FA21">
        <v>20.793700000000001</v>
      </c>
      <c r="FB21">
        <v>35.487699999999997</v>
      </c>
      <c r="FC21">
        <v>29.999600000000001</v>
      </c>
      <c r="FD21">
        <v>35.518300000000004</v>
      </c>
      <c r="FE21">
        <v>35.519500000000001</v>
      </c>
      <c r="FF21">
        <v>5.5056599999999998</v>
      </c>
      <c r="FG21">
        <v>100</v>
      </c>
      <c r="FH21">
        <v>0</v>
      </c>
      <c r="FI21">
        <v>20.789400000000001</v>
      </c>
      <c r="FJ21">
        <v>50</v>
      </c>
      <c r="FK21">
        <v>10.938000000000001</v>
      </c>
      <c r="FL21">
        <v>100.361</v>
      </c>
      <c r="FM21">
        <v>100.82599999999999</v>
      </c>
    </row>
    <row r="22" spans="1:169" x14ac:dyDescent="0.35">
      <c r="A22">
        <v>6</v>
      </c>
      <c r="B22">
        <v>1566149794.8</v>
      </c>
      <c r="C22">
        <v>575.5</v>
      </c>
      <c r="D22" t="s">
        <v>308</v>
      </c>
      <c r="E22" t="s">
        <v>309</v>
      </c>
      <c r="G22">
        <v>1566149794.8</v>
      </c>
      <c r="H22">
        <f t="shared" si="0"/>
        <v>4.8618300636486204E-3</v>
      </c>
      <c r="I22">
        <f t="shared" si="1"/>
        <v>-2.6436867051889386</v>
      </c>
      <c r="J22">
        <f t="shared" si="2"/>
        <v>15.565303041979558</v>
      </c>
      <c r="K22">
        <f t="shared" si="3"/>
        <v>25.379192652210463</v>
      </c>
      <c r="L22">
        <f t="shared" si="4"/>
        <v>2.512323258126008</v>
      </c>
      <c r="M22">
        <f t="shared" si="5"/>
        <v>1.5408320267720885</v>
      </c>
      <c r="N22">
        <f t="shared" si="6"/>
        <v>0.45458316062413417</v>
      </c>
      <c r="O22">
        <f t="shared" si="7"/>
        <v>2.2375056800634869</v>
      </c>
      <c r="P22">
        <f t="shared" si="8"/>
        <v>0.40882178935123853</v>
      </c>
      <c r="Q22">
        <f t="shared" si="9"/>
        <v>0.25924013986087691</v>
      </c>
      <c r="R22">
        <f t="shared" si="10"/>
        <v>281.5529496091799</v>
      </c>
      <c r="S22">
        <f t="shared" si="11"/>
        <v>26.358683121964489</v>
      </c>
      <c r="T22">
        <f t="shared" si="12"/>
        <v>26.998200000000001</v>
      </c>
      <c r="U22">
        <f t="shared" si="13"/>
        <v>3.5787813270009385</v>
      </c>
      <c r="V22">
        <f t="shared" si="14"/>
        <v>72.874901350813658</v>
      </c>
      <c r="W22">
        <f t="shared" si="15"/>
        <v>2.4373181585255002</v>
      </c>
      <c r="X22">
        <f t="shared" si="16"/>
        <v>3.3445234413319547</v>
      </c>
      <c r="Y22">
        <f t="shared" si="17"/>
        <v>1.1414631684754384</v>
      </c>
      <c r="Z22">
        <f t="shared" si="18"/>
        <v>-214.40670580690417</v>
      </c>
      <c r="AA22">
        <f t="shared" si="19"/>
        <v>-138.44522182280593</v>
      </c>
      <c r="AB22">
        <f t="shared" si="20"/>
        <v>-13.276633730973783</v>
      </c>
      <c r="AC22">
        <f t="shared" si="21"/>
        <v>-84.575611751503999</v>
      </c>
      <c r="AD22">
        <v>-4.0848222452213603E-2</v>
      </c>
      <c r="AE22">
        <v>4.5855708203437803E-2</v>
      </c>
      <c r="AF22">
        <v>3.43290743912255</v>
      </c>
      <c r="AG22">
        <v>149</v>
      </c>
      <c r="AH22">
        <v>30</v>
      </c>
      <c r="AI22">
        <f t="shared" si="22"/>
        <v>1.0057311639234645</v>
      </c>
      <c r="AJ22">
        <f t="shared" si="23"/>
        <v>0.57311639234645106</v>
      </c>
      <c r="AK22">
        <f t="shared" si="24"/>
        <v>52294.418873997165</v>
      </c>
      <c r="AL22" t="s">
        <v>278</v>
      </c>
      <c r="AM22">
        <v>520.33192307692298</v>
      </c>
      <c r="AN22">
        <v>3330.63</v>
      </c>
      <c r="AO22">
        <f t="shared" si="25"/>
        <v>2810.2980769230771</v>
      </c>
      <c r="AP22">
        <f t="shared" si="26"/>
        <v>0.84377372356673574</v>
      </c>
      <c r="AQ22">
        <v>-1.3252759154356599</v>
      </c>
      <c r="AR22" t="s">
        <v>310</v>
      </c>
      <c r="AS22">
        <v>800.290153846154</v>
      </c>
      <c r="AT22">
        <v>980.51800000000003</v>
      </c>
      <c r="AU22">
        <f t="shared" si="27"/>
        <v>0.18380880937815114</v>
      </c>
      <c r="AV22">
        <v>0.5</v>
      </c>
      <c r="AW22">
        <f t="shared" si="28"/>
        <v>1471.2039000963121</v>
      </c>
      <c r="AX22">
        <f t="shared" si="29"/>
        <v>-2.6436867051889386</v>
      </c>
      <c r="AY22">
        <f t="shared" si="30"/>
        <v>135.21011861459777</v>
      </c>
      <c r="AZ22">
        <f t="shared" si="31"/>
        <v>0.37459587687324453</v>
      </c>
      <c r="BA22">
        <f t="shared" si="32"/>
        <v>-8.961441644268134E-4</v>
      </c>
      <c r="BB22">
        <f t="shared" si="33"/>
        <v>2.3968065859066332</v>
      </c>
      <c r="BC22" t="s">
        <v>311</v>
      </c>
      <c r="BD22">
        <v>613.22</v>
      </c>
      <c r="BE22">
        <f t="shared" si="34"/>
        <v>367.298</v>
      </c>
      <c r="BF22">
        <f t="shared" si="35"/>
        <v>0.49068561809170219</v>
      </c>
      <c r="BG22">
        <f t="shared" si="36"/>
        <v>0.86483526593337046</v>
      </c>
      <c r="BH22">
        <f t="shared" si="37"/>
        <v>0.39164124077567913</v>
      </c>
      <c r="BI22">
        <f t="shared" si="38"/>
        <v>0.83625008297094128</v>
      </c>
      <c r="BJ22">
        <v>1431</v>
      </c>
      <c r="BK22">
        <v>300</v>
      </c>
      <c r="BL22">
        <v>300</v>
      </c>
      <c r="BM22">
        <v>300</v>
      </c>
      <c r="BN22">
        <v>10271.200000000001</v>
      </c>
      <c r="BO22">
        <v>942.79700000000003</v>
      </c>
      <c r="BP22">
        <v>-7.0517599999999998E-3</v>
      </c>
      <c r="BQ22">
        <v>5.78735</v>
      </c>
      <c r="BR22">
        <f t="shared" si="39"/>
        <v>1750</v>
      </c>
      <c r="BS22">
        <f t="shared" si="40"/>
        <v>1471.2039000963121</v>
      </c>
      <c r="BT22">
        <f t="shared" si="41"/>
        <v>0.8406879429121783</v>
      </c>
      <c r="BU22">
        <f t="shared" si="42"/>
        <v>0.19137588582435658</v>
      </c>
      <c r="BV22" t="s">
        <v>281</v>
      </c>
      <c r="BW22">
        <v>1566149794.8</v>
      </c>
      <c r="BX22">
        <v>15.565300000000001</v>
      </c>
      <c r="BY22">
        <v>12.5022</v>
      </c>
      <c r="BZ22">
        <v>24.621500000000001</v>
      </c>
      <c r="CA22">
        <v>18.965</v>
      </c>
      <c r="CB22">
        <v>500.07100000000003</v>
      </c>
      <c r="CC22">
        <v>98.791499999999999</v>
      </c>
      <c r="CD22">
        <v>0.199957</v>
      </c>
      <c r="CE22">
        <v>25.8505</v>
      </c>
      <c r="CF22">
        <v>26.998200000000001</v>
      </c>
      <c r="CG22">
        <v>999.9</v>
      </c>
      <c r="CH22">
        <v>9971.25</v>
      </c>
      <c r="CI22">
        <v>0</v>
      </c>
      <c r="CJ22">
        <v>1108.3900000000001</v>
      </c>
      <c r="CK22">
        <v>1750</v>
      </c>
      <c r="CL22">
        <v>0.97699999999999998</v>
      </c>
      <c r="CM22">
        <v>2.2999800000000001E-2</v>
      </c>
      <c r="CN22">
        <v>0</v>
      </c>
      <c r="CO22">
        <v>800.44399999999996</v>
      </c>
      <c r="CP22">
        <v>4.99986</v>
      </c>
      <c r="CQ22">
        <v>16967.400000000001</v>
      </c>
      <c r="CR22">
        <v>14220.8</v>
      </c>
      <c r="CS22">
        <v>47.875</v>
      </c>
      <c r="CT22">
        <v>50.311999999999998</v>
      </c>
      <c r="CU22">
        <v>48.75</v>
      </c>
      <c r="CV22">
        <v>49.25</v>
      </c>
      <c r="CW22">
        <v>49.311999999999998</v>
      </c>
      <c r="CX22">
        <v>1704.87</v>
      </c>
      <c r="CY22">
        <v>40.130000000000003</v>
      </c>
      <c r="CZ22">
        <v>0</v>
      </c>
      <c r="DA22">
        <v>112.299999952316</v>
      </c>
      <c r="DB22">
        <v>800.290153846154</v>
      </c>
      <c r="DC22">
        <v>1.1275213689746</v>
      </c>
      <c r="DD22">
        <v>-464.92649262851398</v>
      </c>
      <c r="DE22">
        <v>17201.480769230799</v>
      </c>
      <c r="DF22">
        <v>15</v>
      </c>
      <c r="DG22">
        <v>1566149829.8</v>
      </c>
      <c r="DH22" t="s">
        <v>312</v>
      </c>
      <c r="DI22">
        <v>79</v>
      </c>
      <c r="DJ22">
        <v>-0.125</v>
      </c>
      <c r="DK22">
        <v>0.157</v>
      </c>
      <c r="DL22">
        <v>12</v>
      </c>
      <c r="DM22">
        <v>19</v>
      </c>
      <c r="DN22">
        <v>0.16</v>
      </c>
      <c r="DO22">
        <v>0.02</v>
      </c>
      <c r="DP22">
        <v>-2.8309235596435598</v>
      </c>
      <c r="DQ22">
        <v>0.27237318932458199</v>
      </c>
      <c r="DR22">
        <v>6.6372239866211602E-2</v>
      </c>
      <c r="DS22">
        <v>1</v>
      </c>
      <c r="DT22">
        <v>0.44154789363403302</v>
      </c>
      <c r="DU22">
        <v>1.0658107211244701E-2</v>
      </c>
      <c r="DV22">
        <v>4.7453994631372698E-3</v>
      </c>
      <c r="DW22">
        <v>1</v>
      </c>
      <c r="DX22">
        <v>2</v>
      </c>
      <c r="DY22">
        <v>2</v>
      </c>
      <c r="DZ22" t="s">
        <v>283</v>
      </c>
      <c r="EA22">
        <v>1.8672599999999999</v>
      </c>
      <c r="EB22">
        <v>1.8637600000000001</v>
      </c>
      <c r="EC22">
        <v>1.8693500000000001</v>
      </c>
      <c r="ED22">
        <v>1.8673500000000001</v>
      </c>
      <c r="EE22">
        <v>1.87198</v>
      </c>
      <c r="EF22">
        <v>1.8644700000000001</v>
      </c>
      <c r="EG22">
        <v>1.86592</v>
      </c>
      <c r="EH22">
        <v>1.86585</v>
      </c>
      <c r="EI22" t="s">
        <v>284</v>
      </c>
      <c r="EJ22" t="s">
        <v>19</v>
      </c>
      <c r="EK22" t="s">
        <v>19</v>
      </c>
      <c r="EL22" t="s">
        <v>19</v>
      </c>
      <c r="EM22" t="s">
        <v>285</v>
      </c>
      <c r="EN22" t="s">
        <v>286</v>
      </c>
      <c r="EO22" t="s">
        <v>287</v>
      </c>
      <c r="EP22" t="s">
        <v>287</v>
      </c>
      <c r="EQ22" t="s">
        <v>287</v>
      </c>
      <c r="ER22" t="s">
        <v>287</v>
      </c>
      <c r="ES22">
        <v>0</v>
      </c>
      <c r="ET22">
        <v>100</v>
      </c>
      <c r="EU22">
        <v>100</v>
      </c>
      <c r="EV22">
        <v>-0.125</v>
      </c>
      <c r="EW22">
        <v>0.157</v>
      </c>
      <c r="EX22">
        <v>2</v>
      </c>
      <c r="EY22">
        <v>331.14699999999999</v>
      </c>
      <c r="EZ22">
        <v>464.73200000000003</v>
      </c>
      <c r="FA22">
        <v>21.054300000000001</v>
      </c>
      <c r="FB22">
        <v>35.425800000000002</v>
      </c>
      <c r="FC22">
        <v>29.999500000000001</v>
      </c>
      <c r="FD22">
        <v>35.466099999999997</v>
      </c>
      <c r="FE22">
        <v>35.467700000000001</v>
      </c>
      <c r="FF22">
        <v>3.6877800000000001</v>
      </c>
      <c r="FG22">
        <v>100</v>
      </c>
      <c r="FH22">
        <v>0</v>
      </c>
      <c r="FI22">
        <v>21.113600000000002</v>
      </c>
      <c r="FJ22">
        <v>12.5</v>
      </c>
      <c r="FK22">
        <v>10.938000000000001</v>
      </c>
      <c r="FL22">
        <v>100.369</v>
      </c>
      <c r="FM22">
        <v>100.837</v>
      </c>
    </row>
    <row r="23" spans="1:169" x14ac:dyDescent="0.35">
      <c r="A23">
        <v>7</v>
      </c>
      <c r="B23">
        <v>1566149915.8</v>
      </c>
      <c r="C23">
        <v>696.5</v>
      </c>
      <c r="D23" t="s">
        <v>313</v>
      </c>
      <c r="E23" t="s">
        <v>314</v>
      </c>
      <c r="G23">
        <v>1566149915.8</v>
      </c>
      <c r="H23">
        <f t="shared" si="0"/>
        <v>5.1589325771226636E-3</v>
      </c>
      <c r="I23">
        <f t="shared" si="1"/>
        <v>30.859692135986254</v>
      </c>
      <c r="J23">
        <f t="shared" si="2"/>
        <v>360.94296472250295</v>
      </c>
      <c r="K23">
        <f t="shared" si="3"/>
        <v>247.79927762765681</v>
      </c>
      <c r="L23">
        <f t="shared" si="4"/>
        <v>24.528422399141824</v>
      </c>
      <c r="M23">
        <f t="shared" si="5"/>
        <v>35.727955244547402</v>
      </c>
      <c r="N23">
        <f t="shared" si="6"/>
        <v>0.50756241738328856</v>
      </c>
      <c r="O23">
        <f t="shared" si="7"/>
        <v>2.2436141354946102</v>
      </c>
      <c r="P23">
        <f t="shared" si="8"/>
        <v>0.45135413598037744</v>
      </c>
      <c r="Q23">
        <f t="shared" si="9"/>
        <v>0.2866259979787148</v>
      </c>
      <c r="R23">
        <f t="shared" si="10"/>
        <v>281.54337366597991</v>
      </c>
      <c r="S23">
        <f t="shared" si="11"/>
        <v>26.666786946033643</v>
      </c>
      <c r="T23">
        <f t="shared" si="12"/>
        <v>27.217600000000001</v>
      </c>
      <c r="U23">
        <f t="shared" si="13"/>
        <v>3.6251579773164933</v>
      </c>
      <c r="V23">
        <f t="shared" si="14"/>
        <v>73.809208674565085</v>
      </c>
      <c r="W23">
        <f t="shared" si="15"/>
        <v>2.5289391936428003</v>
      </c>
      <c r="X23">
        <f t="shared" si="16"/>
        <v>3.4263193428793413</v>
      </c>
      <c r="Y23">
        <f t="shared" si="17"/>
        <v>1.096218783673693</v>
      </c>
      <c r="Z23">
        <f t="shared" si="18"/>
        <v>-227.50892665110948</v>
      </c>
      <c r="AA23">
        <f t="shared" si="19"/>
        <v>-115.95007544649218</v>
      </c>
      <c r="AB23">
        <f t="shared" si="20"/>
        <v>-11.12402370862975</v>
      </c>
      <c r="AC23">
        <f t="shared" si="21"/>
        <v>-73.039652140251491</v>
      </c>
      <c r="AD23">
        <v>-4.10120506700693E-2</v>
      </c>
      <c r="AE23">
        <v>4.6039619730120898E-2</v>
      </c>
      <c r="AF23">
        <v>3.4438102412363798</v>
      </c>
      <c r="AG23">
        <v>149</v>
      </c>
      <c r="AH23">
        <v>30</v>
      </c>
      <c r="AI23">
        <f t="shared" si="22"/>
        <v>1.005716937658798</v>
      </c>
      <c r="AJ23">
        <f t="shared" si="23"/>
        <v>0.57169376587979936</v>
      </c>
      <c r="AK23">
        <f t="shared" si="24"/>
        <v>52423.808918240808</v>
      </c>
      <c r="AL23" t="s">
        <v>278</v>
      </c>
      <c r="AM23">
        <v>520.33192307692298</v>
      </c>
      <c r="AN23">
        <v>3330.63</v>
      </c>
      <c r="AO23">
        <f t="shared" si="25"/>
        <v>2810.2980769230771</v>
      </c>
      <c r="AP23">
        <f t="shared" si="26"/>
        <v>0.84377372356673574</v>
      </c>
      <c r="AQ23">
        <v>-1.3252759154356599</v>
      </c>
      <c r="AR23" t="s">
        <v>315</v>
      </c>
      <c r="AS23">
        <v>753.53046153846105</v>
      </c>
      <c r="AT23">
        <v>1144.25</v>
      </c>
      <c r="AU23">
        <f t="shared" si="27"/>
        <v>0.34146343758928466</v>
      </c>
      <c r="AV23">
        <v>0.5</v>
      </c>
      <c r="AW23">
        <f t="shared" si="28"/>
        <v>1471.1535000963154</v>
      </c>
      <c r="AX23">
        <f t="shared" si="29"/>
        <v>30.859692135986254</v>
      </c>
      <c r="AY23">
        <f t="shared" si="30"/>
        <v>251.17256568219793</v>
      </c>
      <c r="AZ23">
        <f t="shared" si="31"/>
        <v>0.55069259340179155</v>
      </c>
      <c r="BA23">
        <f t="shared" si="32"/>
        <v>2.1877369050418455E-2</v>
      </c>
      <c r="BB23">
        <f t="shared" si="33"/>
        <v>1.9107537688442211</v>
      </c>
      <c r="BC23" t="s">
        <v>316</v>
      </c>
      <c r="BD23">
        <v>514.12</v>
      </c>
      <c r="BE23">
        <f t="shared" si="34"/>
        <v>630.13</v>
      </c>
      <c r="BF23">
        <f t="shared" si="35"/>
        <v>0.62006179433059683</v>
      </c>
      <c r="BG23">
        <f t="shared" si="36"/>
        <v>0.77627276310043281</v>
      </c>
      <c r="BH23">
        <f t="shared" si="37"/>
        <v>0.62623532305461771</v>
      </c>
      <c r="BI23">
        <f t="shared" si="38"/>
        <v>0.77798864752233365</v>
      </c>
      <c r="BJ23">
        <v>1433</v>
      </c>
      <c r="BK23">
        <v>300</v>
      </c>
      <c r="BL23">
        <v>300</v>
      </c>
      <c r="BM23">
        <v>300</v>
      </c>
      <c r="BN23">
        <v>10270.799999999999</v>
      </c>
      <c r="BO23">
        <v>1045.3900000000001</v>
      </c>
      <c r="BP23">
        <v>-7.0519600000000003E-3</v>
      </c>
      <c r="BQ23">
        <v>5.8450899999999999</v>
      </c>
      <c r="BR23">
        <f t="shared" si="39"/>
        <v>1749.94</v>
      </c>
      <c r="BS23">
        <f t="shared" si="40"/>
        <v>1471.1535000963154</v>
      </c>
      <c r="BT23">
        <f t="shared" si="41"/>
        <v>0.84068796649960298</v>
      </c>
      <c r="BU23">
        <f t="shared" si="42"/>
        <v>0.19137593299920605</v>
      </c>
      <c r="BV23" t="s">
        <v>281</v>
      </c>
      <c r="BW23">
        <v>1566149915.8</v>
      </c>
      <c r="BX23">
        <v>360.94299999999998</v>
      </c>
      <c r="BY23">
        <v>399.99299999999999</v>
      </c>
      <c r="BZ23">
        <v>25.5487</v>
      </c>
      <c r="CA23">
        <v>19.552199999999999</v>
      </c>
      <c r="CB23">
        <v>500.072</v>
      </c>
      <c r="CC23">
        <v>98.784999999999997</v>
      </c>
      <c r="CD23">
        <v>0.200044</v>
      </c>
      <c r="CE23">
        <v>26.259</v>
      </c>
      <c r="CF23">
        <v>27.217600000000001</v>
      </c>
      <c r="CG23">
        <v>999.9</v>
      </c>
      <c r="CH23">
        <v>10011.9</v>
      </c>
      <c r="CI23">
        <v>0</v>
      </c>
      <c r="CJ23">
        <v>1650.46</v>
      </c>
      <c r="CK23">
        <v>1749.94</v>
      </c>
      <c r="CL23">
        <v>0.97699999999999998</v>
      </c>
      <c r="CM23">
        <v>2.2999800000000001E-2</v>
      </c>
      <c r="CN23">
        <v>0</v>
      </c>
      <c r="CO23">
        <v>753.25099999999998</v>
      </c>
      <c r="CP23">
        <v>4.99986</v>
      </c>
      <c r="CQ23">
        <v>17533.3</v>
      </c>
      <c r="CR23">
        <v>14220.2</v>
      </c>
      <c r="CS23">
        <v>48.061999999999998</v>
      </c>
      <c r="CT23">
        <v>50.625</v>
      </c>
      <c r="CU23">
        <v>49.061999999999998</v>
      </c>
      <c r="CV23">
        <v>49.561999999999998</v>
      </c>
      <c r="CW23">
        <v>49.5</v>
      </c>
      <c r="CX23">
        <v>1704.81</v>
      </c>
      <c r="CY23">
        <v>40.130000000000003</v>
      </c>
      <c r="CZ23">
        <v>0</v>
      </c>
      <c r="DA23">
        <v>120.700000047684</v>
      </c>
      <c r="DB23">
        <v>753.53046153846105</v>
      </c>
      <c r="DC23">
        <v>-2.2065641007710401</v>
      </c>
      <c r="DD23">
        <v>1633.2683710712099</v>
      </c>
      <c r="DE23">
        <v>17402.45</v>
      </c>
      <c r="DF23">
        <v>15</v>
      </c>
      <c r="DG23">
        <v>1566149952.3</v>
      </c>
      <c r="DH23" t="s">
        <v>317</v>
      </c>
      <c r="DI23">
        <v>80</v>
      </c>
      <c r="DJ23">
        <v>0.158</v>
      </c>
      <c r="DK23">
        <v>0.16400000000000001</v>
      </c>
      <c r="DL23">
        <v>400</v>
      </c>
      <c r="DM23">
        <v>20</v>
      </c>
      <c r="DN23">
        <v>0.03</v>
      </c>
      <c r="DO23">
        <v>0.02</v>
      </c>
      <c r="DP23">
        <v>31.017150037080299</v>
      </c>
      <c r="DQ23">
        <v>-0.28244109286633001</v>
      </c>
      <c r="DR23">
        <v>0.15417180745617301</v>
      </c>
      <c r="DS23">
        <v>1</v>
      </c>
      <c r="DT23">
        <v>0.49932864517360998</v>
      </c>
      <c r="DU23">
        <v>1.48084528250414E-2</v>
      </c>
      <c r="DV23">
        <v>3.1504404576419899E-3</v>
      </c>
      <c r="DW23">
        <v>1</v>
      </c>
      <c r="DX23">
        <v>2</v>
      </c>
      <c r="DY23">
        <v>2</v>
      </c>
      <c r="DZ23" t="s">
        <v>283</v>
      </c>
      <c r="EA23">
        <v>1.8672599999999999</v>
      </c>
      <c r="EB23">
        <v>1.8637300000000001</v>
      </c>
      <c r="EC23">
        <v>1.8693500000000001</v>
      </c>
      <c r="ED23">
        <v>1.8673200000000001</v>
      </c>
      <c r="EE23">
        <v>1.87201</v>
      </c>
      <c r="EF23">
        <v>1.8644700000000001</v>
      </c>
      <c r="EG23">
        <v>1.8658999999999999</v>
      </c>
      <c r="EH23">
        <v>1.86585</v>
      </c>
      <c r="EI23" t="s">
        <v>284</v>
      </c>
      <c r="EJ23" t="s">
        <v>19</v>
      </c>
      <c r="EK23" t="s">
        <v>19</v>
      </c>
      <c r="EL23" t="s">
        <v>19</v>
      </c>
      <c r="EM23" t="s">
        <v>285</v>
      </c>
      <c r="EN23" t="s">
        <v>286</v>
      </c>
      <c r="EO23" t="s">
        <v>287</v>
      </c>
      <c r="EP23" t="s">
        <v>287</v>
      </c>
      <c r="EQ23" t="s">
        <v>287</v>
      </c>
      <c r="ER23" t="s">
        <v>287</v>
      </c>
      <c r="ES23">
        <v>0</v>
      </c>
      <c r="ET23">
        <v>100</v>
      </c>
      <c r="EU23">
        <v>100</v>
      </c>
      <c r="EV23">
        <v>0.158</v>
      </c>
      <c r="EW23">
        <v>0.16400000000000001</v>
      </c>
      <c r="EX23">
        <v>2</v>
      </c>
      <c r="EY23">
        <v>331.61700000000002</v>
      </c>
      <c r="EZ23">
        <v>465.73099999999999</v>
      </c>
      <c r="FA23">
        <v>21.6646</v>
      </c>
      <c r="FB23">
        <v>35.405900000000003</v>
      </c>
      <c r="FC23">
        <v>30.0002</v>
      </c>
      <c r="FD23">
        <v>35.44</v>
      </c>
      <c r="FE23">
        <v>35.441800000000001</v>
      </c>
      <c r="FF23">
        <v>22.1431</v>
      </c>
      <c r="FG23">
        <v>100</v>
      </c>
      <c r="FH23">
        <v>0</v>
      </c>
      <c r="FI23">
        <v>21.6831</v>
      </c>
      <c r="FJ23">
        <v>400</v>
      </c>
      <c r="FK23">
        <v>10.938000000000001</v>
      </c>
      <c r="FL23">
        <v>100.371</v>
      </c>
      <c r="FM23">
        <v>100.83799999999999</v>
      </c>
    </row>
    <row r="24" spans="1:169" x14ac:dyDescent="0.35">
      <c r="A24">
        <v>8</v>
      </c>
      <c r="B24">
        <v>1566150039.8</v>
      </c>
      <c r="C24">
        <v>820.5</v>
      </c>
      <c r="D24" t="s">
        <v>318</v>
      </c>
      <c r="E24" t="s">
        <v>319</v>
      </c>
      <c r="G24">
        <v>1566150039.8</v>
      </c>
      <c r="H24">
        <f t="shared" si="0"/>
        <v>5.3828298711043384E-3</v>
      </c>
      <c r="I24">
        <f t="shared" si="1"/>
        <v>32.449332366000093</v>
      </c>
      <c r="J24">
        <f t="shared" si="2"/>
        <v>359.00196283795344</v>
      </c>
      <c r="K24">
        <f t="shared" si="3"/>
        <v>248.88207664089722</v>
      </c>
      <c r="L24">
        <f t="shared" si="4"/>
        <v>24.635617244506879</v>
      </c>
      <c r="M24">
        <f t="shared" si="5"/>
        <v>35.535845191711111</v>
      </c>
      <c r="N24">
        <f t="shared" si="6"/>
        <v>0.55281205323426663</v>
      </c>
      <c r="O24">
        <f t="shared" si="7"/>
        <v>2.2430343835043924</v>
      </c>
      <c r="P24">
        <f t="shared" si="8"/>
        <v>0.48681504096564776</v>
      </c>
      <c r="Q24">
        <f t="shared" si="9"/>
        <v>0.30952992893529219</v>
      </c>
      <c r="R24">
        <f t="shared" si="10"/>
        <v>281.53060574171928</v>
      </c>
      <c r="S24">
        <f t="shared" si="11"/>
        <v>26.912559722353386</v>
      </c>
      <c r="T24">
        <f t="shared" si="12"/>
        <v>27.429099999999998</v>
      </c>
      <c r="U24">
        <f t="shared" si="13"/>
        <v>3.6703604178469269</v>
      </c>
      <c r="V24">
        <f t="shared" si="14"/>
        <v>74.765580243593732</v>
      </c>
      <c r="W24">
        <f t="shared" si="15"/>
        <v>2.6105835348499999</v>
      </c>
      <c r="X24">
        <f t="shared" si="16"/>
        <v>3.491691666599066</v>
      </c>
      <c r="Y24">
        <f t="shared" si="17"/>
        <v>1.059776882996927</v>
      </c>
      <c r="Z24">
        <f t="shared" si="18"/>
        <v>-237.38279731570131</v>
      </c>
      <c r="AA24">
        <f t="shared" si="19"/>
        <v>-102.75122129006027</v>
      </c>
      <c r="AB24">
        <f t="shared" si="20"/>
        <v>-9.8865635413817561</v>
      </c>
      <c r="AC24">
        <f t="shared" si="21"/>
        <v>-68.489976405424045</v>
      </c>
      <c r="AD24">
        <v>-4.0996484614420903E-2</v>
      </c>
      <c r="AE24">
        <v>4.6022145468994198E-2</v>
      </c>
      <c r="AF24">
        <v>3.44277495680958</v>
      </c>
      <c r="AG24">
        <v>155</v>
      </c>
      <c r="AH24">
        <v>31</v>
      </c>
      <c r="AI24">
        <f t="shared" si="22"/>
        <v>1.0059571069904316</v>
      </c>
      <c r="AJ24">
        <f t="shared" si="23"/>
        <v>0.59571069904316154</v>
      </c>
      <c r="AK24">
        <f t="shared" si="24"/>
        <v>52348.682618581697</v>
      </c>
      <c r="AL24" t="s">
        <v>278</v>
      </c>
      <c r="AM24">
        <v>520.33192307692298</v>
      </c>
      <c r="AN24">
        <v>3330.63</v>
      </c>
      <c r="AO24">
        <f t="shared" si="25"/>
        <v>2810.2980769230771</v>
      </c>
      <c r="AP24">
        <f t="shared" si="26"/>
        <v>0.84377372356673574</v>
      </c>
      <c r="AQ24">
        <v>-1.3252759154356599</v>
      </c>
      <c r="AR24" t="s">
        <v>320</v>
      </c>
      <c r="AS24">
        <v>752.762846153846</v>
      </c>
      <c r="AT24">
        <v>1196.6300000000001</v>
      </c>
      <c r="AU24">
        <f t="shared" si="27"/>
        <v>0.37093099274308183</v>
      </c>
      <c r="AV24">
        <v>0.5</v>
      </c>
      <c r="AW24">
        <f t="shared" si="28"/>
        <v>1471.0863000963195</v>
      </c>
      <c r="AX24">
        <f t="shared" si="29"/>
        <v>32.449332366000093</v>
      </c>
      <c r="AY24">
        <f t="shared" si="30"/>
        <v>272.83575085273748</v>
      </c>
      <c r="AZ24">
        <f t="shared" si="31"/>
        <v>0.56519559095125482</v>
      </c>
      <c r="BA24">
        <f t="shared" si="32"/>
        <v>2.2958957798209636E-2</v>
      </c>
      <c r="BB24">
        <f t="shared" si="33"/>
        <v>1.7833415508553185</v>
      </c>
      <c r="BC24" t="s">
        <v>321</v>
      </c>
      <c r="BD24">
        <v>520.29999999999995</v>
      </c>
      <c r="BE24">
        <f t="shared" si="34"/>
        <v>676.33000000000015</v>
      </c>
      <c r="BF24">
        <f t="shared" si="35"/>
        <v>0.6562878385494566</v>
      </c>
      <c r="BG24">
        <f t="shared" si="36"/>
        <v>0.75934142965416873</v>
      </c>
      <c r="BH24">
        <f t="shared" si="37"/>
        <v>0.65631881708964257</v>
      </c>
      <c r="BI24">
        <f t="shared" si="38"/>
        <v>0.75935005525693611</v>
      </c>
      <c r="BJ24">
        <v>1435</v>
      </c>
      <c r="BK24">
        <v>300</v>
      </c>
      <c r="BL24">
        <v>300</v>
      </c>
      <c r="BM24">
        <v>300</v>
      </c>
      <c r="BN24">
        <v>10270</v>
      </c>
      <c r="BO24">
        <v>1080.1500000000001</v>
      </c>
      <c r="BP24">
        <v>-7.0513800000000003E-3</v>
      </c>
      <c r="BQ24">
        <v>3.77136</v>
      </c>
      <c r="BR24">
        <f t="shared" si="39"/>
        <v>1749.86</v>
      </c>
      <c r="BS24">
        <f t="shared" si="40"/>
        <v>1471.0863000963195</v>
      </c>
      <c r="BT24">
        <f t="shared" si="41"/>
        <v>0.84068799795201876</v>
      </c>
      <c r="BU24">
        <f t="shared" si="42"/>
        <v>0.19137599590403773</v>
      </c>
      <c r="BV24" t="s">
        <v>281</v>
      </c>
      <c r="BW24">
        <v>1566150039.8</v>
      </c>
      <c r="BX24">
        <v>359.00200000000001</v>
      </c>
      <c r="BY24">
        <v>400.02699999999999</v>
      </c>
      <c r="BZ24">
        <v>26.3735</v>
      </c>
      <c r="CA24">
        <v>20.123100000000001</v>
      </c>
      <c r="CB24">
        <v>500.03100000000001</v>
      </c>
      <c r="CC24">
        <v>98.784999999999997</v>
      </c>
      <c r="CD24">
        <v>0.2001</v>
      </c>
      <c r="CE24">
        <v>26.5794</v>
      </c>
      <c r="CF24">
        <v>27.429099999999998</v>
      </c>
      <c r="CG24">
        <v>999.9</v>
      </c>
      <c r="CH24">
        <v>10008.1</v>
      </c>
      <c r="CI24">
        <v>0</v>
      </c>
      <c r="CJ24">
        <v>1871.64</v>
      </c>
      <c r="CK24">
        <v>1749.86</v>
      </c>
      <c r="CL24">
        <v>0.97699999999999998</v>
      </c>
      <c r="CM24">
        <v>2.2999800000000001E-2</v>
      </c>
      <c r="CN24">
        <v>0</v>
      </c>
      <c r="CO24">
        <v>753.12900000000002</v>
      </c>
      <c r="CP24">
        <v>4.99986</v>
      </c>
      <c r="CQ24">
        <v>17960.599999999999</v>
      </c>
      <c r="CR24">
        <v>14219.6</v>
      </c>
      <c r="CS24">
        <v>48.311999999999998</v>
      </c>
      <c r="CT24">
        <v>51</v>
      </c>
      <c r="CU24">
        <v>49.375</v>
      </c>
      <c r="CV24">
        <v>49.875</v>
      </c>
      <c r="CW24">
        <v>49.811999999999998</v>
      </c>
      <c r="CX24">
        <v>1704.73</v>
      </c>
      <c r="CY24">
        <v>40.130000000000003</v>
      </c>
      <c r="CZ24">
        <v>0</v>
      </c>
      <c r="DA24">
        <v>123.799999952316</v>
      </c>
      <c r="DB24">
        <v>752.762846153846</v>
      </c>
      <c r="DC24">
        <v>2.61866665713911</v>
      </c>
      <c r="DD24">
        <v>1068.7384617105999</v>
      </c>
      <c r="DE24">
        <v>17859.384615384599</v>
      </c>
      <c r="DF24">
        <v>15</v>
      </c>
      <c r="DG24">
        <v>1566150073.3</v>
      </c>
      <c r="DH24" t="s">
        <v>322</v>
      </c>
      <c r="DI24">
        <v>81</v>
      </c>
      <c r="DJ24">
        <v>0.14899999999999999</v>
      </c>
      <c r="DK24">
        <v>0.17100000000000001</v>
      </c>
      <c r="DL24">
        <v>400</v>
      </c>
      <c r="DM24">
        <v>20</v>
      </c>
      <c r="DN24">
        <v>0.06</v>
      </c>
      <c r="DO24">
        <v>0.02</v>
      </c>
      <c r="DP24">
        <v>32.413388491661898</v>
      </c>
      <c r="DQ24">
        <v>-0.22920067209724199</v>
      </c>
      <c r="DR24">
        <v>0.14150369411071201</v>
      </c>
      <c r="DS24">
        <v>1</v>
      </c>
      <c r="DT24">
        <v>0.49168747811521901</v>
      </c>
      <c r="DU24">
        <v>0.211522218346858</v>
      </c>
      <c r="DV24">
        <v>4.1995857823026103E-2</v>
      </c>
      <c r="DW24">
        <v>1</v>
      </c>
      <c r="DX24">
        <v>2</v>
      </c>
      <c r="DY24">
        <v>2</v>
      </c>
      <c r="DZ24" t="s">
        <v>283</v>
      </c>
      <c r="EA24">
        <v>1.8672500000000001</v>
      </c>
      <c r="EB24">
        <v>1.86372</v>
      </c>
      <c r="EC24">
        <v>1.8693500000000001</v>
      </c>
      <c r="ED24">
        <v>1.8673299999999999</v>
      </c>
      <c r="EE24">
        <v>1.87198</v>
      </c>
      <c r="EF24">
        <v>1.8644700000000001</v>
      </c>
      <c r="EG24">
        <v>1.86591</v>
      </c>
      <c r="EH24">
        <v>1.8658600000000001</v>
      </c>
      <c r="EI24" t="s">
        <v>284</v>
      </c>
      <c r="EJ24" t="s">
        <v>19</v>
      </c>
      <c r="EK24" t="s">
        <v>19</v>
      </c>
      <c r="EL24" t="s">
        <v>19</v>
      </c>
      <c r="EM24" t="s">
        <v>285</v>
      </c>
      <c r="EN24" t="s">
        <v>286</v>
      </c>
      <c r="EO24" t="s">
        <v>287</v>
      </c>
      <c r="EP24" t="s">
        <v>287</v>
      </c>
      <c r="EQ24" t="s">
        <v>287</v>
      </c>
      <c r="ER24" t="s">
        <v>287</v>
      </c>
      <c r="ES24">
        <v>0</v>
      </c>
      <c r="ET24">
        <v>100</v>
      </c>
      <c r="EU24">
        <v>100</v>
      </c>
      <c r="EV24">
        <v>0.14899999999999999</v>
      </c>
      <c r="EW24">
        <v>0.17100000000000001</v>
      </c>
      <c r="EX24">
        <v>2</v>
      </c>
      <c r="EY24">
        <v>325.14100000000002</v>
      </c>
      <c r="EZ24">
        <v>464.99099999999999</v>
      </c>
      <c r="FA24">
        <v>22.177600000000002</v>
      </c>
      <c r="FB24">
        <v>35.488999999999997</v>
      </c>
      <c r="FC24">
        <v>30.000399999999999</v>
      </c>
      <c r="FD24">
        <v>35.4786</v>
      </c>
      <c r="FE24">
        <v>35.478400000000001</v>
      </c>
      <c r="FF24">
        <v>22.146899999999999</v>
      </c>
      <c r="FG24">
        <v>100</v>
      </c>
      <c r="FH24">
        <v>0</v>
      </c>
      <c r="FI24">
        <v>22.1815</v>
      </c>
      <c r="FJ24">
        <v>400</v>
      </c>
      <c r="FK24">
        <v>10.938000000000001</v>
      </c>
      <c r="FL24">
        <v>100.358</v>
      </c>
      <c r="FM24">
        <v>100.819</v>
      </c>
    </row>
    <row r="25" spans="1:169" x14ac:dyDescent="0.35">
      <c r="A25">
        <v>9</v>
      </c>
      <c r="B25">
        <v>1566150164.8</v>
      </c>
      <c r="C25">
        <v>945.5</v>
      </c>
      <c r="D25" t="s">
        <v>323</v>
      </c>
      <c r="E25" t="s">
        <v>324</v>
      </c>
      <c r="G25">
        <v>1566150164.8</v>
      </c>
      <c r="H25">
        <f t="shared" si="0"/>
        <v>5.6375484165258208E-3</v>
      </c>
      <c r="I25">
        <f t="shared" si="1"/>
        <v>39.707178643521338</v>
      </c>
      <c r="J25">
        <f t="shared" si="2"/>
        <v>449.55395443463181</v>
      </c>
      <c r="K25">
        <f t="shared" si="3"/>
        <v>320.32236414642921</v>
      </c>
      <c r="L25">
        <f t="shared" si="4"/>
        <v>31.709774937748723</v>
      </c>
      <c r="M25">
        <f t="shared" si="5"/>
        <v>44.502839367720838</v>
      </c>
      <c r="N25">
        <f t="shared" si="6"/>
        <v>0.58189549031408838</v>
      </c>
      <c r="O25">
        <f t="shared" si="7"/>
        <v>2.2426896158572678</v>
      </c>
      <c r="P25">
        <f t="shared" si="8"/>
        <v>0.50924824670004532</v>
      </c>
      <c r="Q25">
        <f t="shared" si="9"/>
        <v>0.32404836975617529</v>
      </c>
      <c r="R25">
        <f t="shared" si="10"/>
        <v>281.57425931174458</v>
      </c>
      <c r="S25">
        <f t="shared" si="11"/>
        <v>27.273256899051464</v>
      </c>
      <c r="T25">
        <f t="shared" si="12"/>
        <v>27.822900000000001</v>
      </c>
      <c r="U25">
        <f t="shared" si="13"/>
        <v>3.7558365395466855</v>
      </c>
      <c r="V25">
        <f t="shared" si="14"/>
        <v>75.206643929170767</v>
      </c>
      <c r="W25">
        <f t="shared" si="15"/>
        <v>2.6956574533854001</v>
      </c>
      <c r="X25">
        <f t="shared" si="16"/>
        <v>3.584334192500541</v>
      </c>
      <c r="Y25">
        <f t="shared" si="17"/>
        <v>1.0601790861612854</v>
      </c>
      <c r="Z25">
        <f t="shared" si="18"/>
        <v>-248.61588516878871</v>
      </c>
      <c r="AA25">
        <f t="shared" si="19"/>
        <v>-96.52076265570858</v>
      </c>
      <c r="AB25">
        <f t="shared" si="20"/>
        <v>-9.3275231501725173</v>
      </c>
      <c r="AC25">
        <f t="shared" si="21"/>
        <v>-72.889911662925215</v>
      </c>
      <c r="AD25">
        <v>-4.0987229482749299E-2</v>
      </c>
      <c r="AE25">
        <v>4.6011755772898802E-2</v>
      </c>
      <c r="AF25">
        <v>3.4421593425988499</v>
      </c>
      <c r="AG25">
        <v>156</v>
      </c>
      <c r="AH25">
        <v>31</v>
      </c>
      <c r="AI25">
        <f t="shared" si="22"/>
        <v>1.0060060213348148</v>
      </c>
      <c r="AJ25">
        <f t="shared" si="23"/>
        <v>0.60060213348147595</v>
      </c>
      <c r="AK25">
        <f t="shared" si="24"/>
        <v>52259.867416228102</v>
      </c>
      <c r="AL25" t="s">
        <v>278</v>
      </c>
      <c r="AM25">
        <v>520.33192307692298</v>
      </c>
      <c r="AN25">
        <v>3330.63</v>
      </c>
      <c r="AO25">
        <f t="shared" si="25"/>
        <v>2810.2980769230771</v>
      </c>
      <c r="AP25">
        <f t="shared" si="26"/>
        <v>0.84377372356673574</v>
      </c>
      <c r="AQ25">
        <v>-1.3252759154356599</v>
      </c>
      <c r="AR25" t="s">
        <v>325</v>
      </c>
      <c r="AS25">
        <v>782.27773076923097</v>
      </c>
      <c r="AT25">
        <v>1317.23</v>
      </c>
      <c r="AU25">
        <f t="shared" si="27"/>
        <v>0.40611910541877205</v>
      </c>
      <c r="AV25">
        <v>0.5</v>
      </c>
      <c r="AW25">
        <f t="shared" si="28"/>
        <v>1471.3134000963287</v>
      </c>
      <c r="AX25">
        <f t="shared" si="29"/>
        <v>39.707178643521338</v>
      </c>
      <c r="AY25">
        <f t="shared" si="30"/>
        <v>298.7642409188864</v>
      </c>
      <c r="AZ25">
        <f t="shared" si="31"/>
        <v>0.59940177493679925</v>
      </c>
      <c r="BA25">
        <f t="shared" si="32"/>
        <v>2.7888317034474475E-2</v>
      </c>
      <c r="BB25">
        <f t="shared" si="33"/>
        <v>1.5285105866097797</v>
      </c>
      <c r="BC25" t="s">
        <v>326</v>
      </c>
      <c r="BD25">
        <v>527.67999999999995</v>
      </c>
      <c r="BE25">
        <f t="shared" si="34"/>
        <v>789.55000000000007</v>
      </c>
      <c r="BF25">
        <f t="shared" si="35"/>
        <v>0.67754071209013866</v>
      </c>
      <c r="BG25">
        <f t="shared" si="36"/>
        <v>0.71831463279758823</v>
      </c>
      <c r="BH25">
        <f t="shared" si="37"/>
        <v>0.67129321141831155</v>
      </c>
      <c r="BI25">
        <f t="shared" si="38"/>
        <v>0.71643645794485256</v>
      </c>
      <c r="BJ25">
        <v>1437</v>
      </c>
      <c r="BK25">
        <v>300</v>
      </c>
      <c r="BL25">
        <v>300</v>
      </c>
      <c r="BM25">
        <v>300</v>
      </c>
      <c r="BN25">
        <v>10269.799999999999</v>
      </c>
      <c r="BO25">
        <v>1178.81</v>
      </c>
      <c r="BP25">
        <v>-7.05158E-3</v>
      </c>
      <c r="BQ25">
        <v>4.3482700000000003</v>
      </c>
      <c r="BR25">
        <f t="shared" si="39"/>
        <v>1750.13</v>
      </c>
      <c r="BS25">
        <f t="shared" si="40"/>
        <v>1471.3134000963287</v>
      </c>
      <c r="BT25">
        <f t="shared" si="41"/>
        <v>0.8406880632274909</v>
      </c>
      <c r="BU25">
        <f t="shared" si="42"/>
        <v>0.19137612645498203</v>
      </c>
      <c r="BV25" t="s">
        <v>281</v>
      </c>
      <c r="BW25">
        <v>1566150164.8</v>
      </c>
      <c r="BX25">
        <v>449.55399999999997</v>
      </c>
      <c r="BY25">
        <v>499.959</v>
      </c>
      <c r="BZ25">
        <v>27.230699999999999</v>
      </c>
      <c r="CA25">
        <v>20.690300000000001</v>
      </c>
      <c r="CB25">
        <v>500.00400000000002</v>
      </c>
      <c r="CC25">
        <v>98.793300000000002</v>
      </c>
      <c r="CD25">
        <v>0.20002200000000001</v>
      </c>
      <c r="CE25">
        <v>27.0246</v>
      </c>
      <c r="CF25">
        <v>27.822900000000001</v>
      </c>
      <c r="CG25">
        <v>999.9</v>
      </c>
      <c r="CH25">
        <v>10005</v>
      </c>
      <c r="CI25">
        <v>0</v>
      </c>
      <c r="CJ25">
        <v>1971.2</v>
      </c>
      <c r="CK25">
        <v>1750.13</v>
      </c>
      <c r="CL25">
        <v>0.97699999999999998</v>
      </c>
      <c r="CM25">
        <v>2.2999800000000001E-2</v>
      </c>
      <c r="CN25">
        <v>0</v>
      </c>
      <c r="CO25">
        <v>781.30700000000002</v>
      </c>
      <c r="CP25">
        <v>4.99986</v>
      </c>
      <c r="CQ25">
        <v>18551.5</v>
      </c>
      <c r="CR25">
        <v>14221.8</v>
      </c>
      <c r="CS25">
        <v>48.561999999999998</v>
      </c>
      <c r="CT25">
        <v>51.436999999999998</v>
      </c>
      <c r="CU25">
        <v>49.686999999999998</v>
      </c>
      <c r="CV25">
        <v>50.186999999999998</v>
      </c>
      <c r="CW25">
        <v>50.125</v>
      </c>
      <c r="CX25">
        <v>1704.99</v>
      </c>
      <c r="CY25">
        <v>40.14</v>
      </c>
      <c r="CZ25">
        <v>0</v>
      </c>
      <c r="DA25">
        <v>124.5</v>
      </c>
      <c r="DB25">
        <v>782.27773076923097</v>
      </c>
      <c r="DC25">
        <v>-7.0041367685908904</v>
      </c>
      <c r="DD25">
        <v>-1354.9470091132901</v>
      </c>
      <c r="DE25">
        <v>18669.769230769201</v>
      </c>
      <c r="DF25">
        <v>15</v>
      </c>
      <c r="DG25">
        <v>1566150203.3</v>
      </c>
      <c r="DH25" t="s">
        <v>327</v>
      </c>
      <c r="DI25">
        <v>82</v>
      </c>
      <c r="DJ25">
        <v>0.23200000000000001</v>
      </c>
      <c r="DK25">
        <v>0.17899999999999999</v>
      </c>
      <c r="DL25">
        <v>500</v>
      </c>
      <c r="DM25">
        <v>21</v>
      </c>
      <c r="DN25">
        <v>0.04</v>
      </c>
      <c r="DO25">
        <v>0.02</v>
      </c>
      <c r="DP25">
        <v>39.489172100614503</v>
      </c>
      <c r="DQ25">
        <v>2.1469176046891398</v>
      </c>
      <c r="DR25">
        <v>0.52986301178406603</v>
      </c>
      <c r="DS25">
        <v>0</v>
      </c>
      <c r="DT25">
        <v>0.53307049003012297</v>
      </c>
      <c r="DU25">
        <v>0.20345763216290499</v>
      </c>
      <c r="DV25">
        <v>4.1361399277004399E-2</v>
      </c>
      <c r="DW25">
        <v>1</v>
      </c>
      <c r="DX25">
        <v>1</v>
      </c>
      <c r="DY25">
        <v>2</v>
      </c>
      <c r="DZ25" t="s">
        <v>328</v>
      </c>
      <c r="EA25">
        <v>1.86724</v>
      </c>
      <c r="EB25">
        <v>1.8637300000000001</v>
      </c>
      <c r="EC25">
        <v>1.8693500000000001</v>
      </c>
      <c r="ED25">
        <v>1.8673299999999999</v>
      </c>
      <c r="EE25">
        <v>1.87198</v>
      </c>
      <c r="EF25">
        <v>1.8644700000000001</v>
      </c>
      <c r="EG25">
        <v>1.8659399999999999</v>
      </c>
      <c r="EH25">
        <v>1.8658399999999999</v>
      </c>
      <c r="EI25" t="s">
        <v>284</v>
      </c>
      <c r="EJ25" t="s">
        <v>19</v>
      </c>
      <c r="EK25" t="s">
        <v>19</v>
      </c>
      <c r="EL25" t="s">
        <v>19</v>
      </c>
      <c r="EM25" t="s">
        <v>285</v>
      </c>
      <c r="EN25" t="s">
        <v>286</v>
      </c>
      <c r="EO25" t="s">
        <v>287</v>
      </c>
      <c r="EP25" t="s">
        <v>287</v>
      </c>
      <c r="EQ25" t="s">
        <v>287</v>
      </c>
      <c r="ER25" t="s">
        <v>287</v>
      </c>
      <c r="ES25">
        <v>0</v>
      </c>
      <c r="ET25">
        <v>100</v>
      </c>
      <c r="EU25">
        <v>100</v>
      </c>
      <c r="EV25">
        <v>0.23200000000000001</v>
      </c>
      <c r="EW25">
        <v>0.17899999999999999</v>
      </c>
      <c r="EX25">
        <v>2</v>
      </c>
      <c r="EY25">
        <v>324.42399999999998</v>
      </c>
      <c r="EZ25">
        <v>464.20600000000002</v>
      </c>
      <c r="FA25">
        <v>22.7134</v>
      </c>
      <c r="FB25">
        <v>35.700200000000002</v>
      </c>
      <c r="FC25">
        <v>30.001000000000001</v>
      </c>
      <c r="FD25">
        <v>35.618499999999997</v>
      </c>
      <c r="FE25">
        <v>35.612400000000001</v>
      </c>
      <c r="FF25">
        <v>26.514099999999999</v>
      </c>
      <c r="FG25">
        <v>100</v>
      </c>
      <c r="FH25">
        <v>0</v>
      </c>
      <c r="FI25">
        <v>22.727799999999998</v>
      </c>
      <c r="FJ25">
        <v>500</v>
      </c>
      <c r="FK25">
        <v>10.938000000000001</v>
      </c>
      <c r="FL25">
        <v>100.32</v>
      </c>
      <c r="FM25">
        <v>100.773</v>
      </c>
    </row>
    <row r="26" spans="1:169" x14ac:dyDescent="0.35">
      <c r="A26">
        <v>10</v>
      </c>
      <c r="B26">
        <v>1566150294.8</v>
      </c>
      <c r="C26">
        <v>1075.5</v>
      </c>
      <c r="D26" t="s">
        <v>329</v>
      </c>
      <c r="E26" t="s">
        <v>330</v>
      </c>
      <c r="G26">
        <v>1566150294.8</v>
      </c>
      <c r="H26">
        <f t="shared" si="0"/>
        <v>5.4824129976171311E-3</v>
      </c>
      <c r="I26">
        <f t="shared" si="1"/>
        <v>44.81676784921347</v>
      </c>
      <c r="J26">
        <f t="shared" si="2"/>
        <v>542.97394841992855</v>
      </c>
      <c r="K26">
        <f t="shared" si="3"/>
        <v>390.88188900379481</v>
      </c>
      <c r="L26">
        <f t="shared" si="4"/>
        <v>38.690984105939165</v>
      </c>
      <c r="M26">
        <f t="shared" si="5"/>
        <v>53.745637746983284</v>
      </c>
      <c r="N26">
        <f t="shared" si="6"/>
        <v>0.55680217466727211</v>
      </c>
      <c r="O26">
        <f t="shared" si="7"/>
        <v>2.2408268503007021</v>
      </c>
      <c r="P26">
        <f t="shared" si="8"/>
        <v>0.48985301829685268</v>
      </c>
      <c r="Q26">
        <f t="shared" si="9"/>
        <v>0.31149988843325527</v>
      </c>
      <c r="R26">
        <f t="shared" si="10"/>
        <v>281.52844792564287</v>
      </c>
      <c r="S26">
        <f t="shared" si="11"/>
        <v>27.516104182416846</v>
      </c>
      <c r="T26">
        <f t="shared" si="12"/>
        <v>28.041399999999999</v>
      </c>
      <c r="U26">
        <f t="shared" si="13"/>
        <v>3.8040080891570538</v>
      </c>
      <c r="V26">
        <f t="shared" si="14"/>
        <v>75.390414077463035</v>
      </c>
      <c r="W26">
        <f t="shared" si="15"/>
        <v>2.7327652097567996</v>
      </c>
      <c r="X26">
        <f t="shared" si="16"/>
        <v>3.6248178806245916</v>
      </c>
      <c r="Y26">
        <f t="shared" si="17"/>
        <v>1.0712428794002542</v>
      </c>
      <c r="Z26">
        <f t="shared" si="18"/>
        <v>-241.7744131949155</v>
      </c>
      <c r="AA26">
        <f t="shared" si="19"/>
        <v>-99.714475134425612</v>
      </c>
      <c r="AB26">
        <f t="shared" si="20"/>
        <v>-9.6639183221808178</v>
      </c>
      <c r="AC26">
        <f t="shared" si="21"/>
        <v>-69.624358725879034</v>
      </c>
      <c r="AD26">
        <v>-4.0937246419352903E-2</v>
      </c>
      <c r="AE26">
        <v>4.5955645405479403E-2</v>
      </c>
      <c r="AF26">
        <v>3.43883384896453</v>
      </c>
      <c r="AG26">
        <v>157</v>
      </c>
      <c r="AH26">
        <v>31</v>
      </c>
      <c r="AI26">
        <f t="shared" si="22"/>
        <v>1.0060557836073643</v>
      </c>
      <c r="AJ26">
        <f t="shared" si="23"/>
        <v>0.60557836073642513</v>
      </c>
      <c r="AK26">
        <f t="shared" si="24"/>
        <v>52165.258294328072</v>
      </c>
      <c r="AL26" t="s">
        <v>278</v>
      </c>
      <c r="AM26">
        <v>520.33192307692298</v>
      </c>
      <c r="AN26">
        <v>3330.63</v>
      </c>
      <c r="AO26">
        <f t="shared" si="25"/>
        <v>2810.2980769230771</v>
      </c>
      <c r="AP26">
        <f t="shared" si="26"/>
        <v>0.84377372356673574</v>
      </c>
      <c r="AQ26">
        <v>-1.3252759154356599</v>
      </c>
      <c r="AR26" t="s">
        <v>331</v>
      </c>
      <c r="AS26">
        <v>793.80449999999996</v>
      </c>
      <c r="AT26">
        <v>1370.23</v>
      </c>
      <c r="AU26">
        <f t="shared" si="27"/>
        <v>0.42067791538646804</v>
      </c>
      <c r="AV26">
        <v>0.5</v>
      </c>
      <c r="AW26">
        <f t="shared" si="28"/>
        <v>1471.0776000962962</v>
      </c>
      <c r="AX26">
        <f t="shared" si="29"/>
        <v>44.81676784921347</v>
      </c>
      <c r="AY26">
        <f t="shared" si="30"/>
        <v>309.42492909011906</v>
      </c>
      <c r="AZ26">
        <f t="shared" si="31"/>
        <v>0.61323281492888049</v>
      </c>
      <c r="BA26">
        <f t="shared" si="32"/>
        <v>3.1366152106203429E-2</v>
      </c>
      <c r="BB26">
        <f t="shared" si="33"/>
        <v>1.430708713135751</v>
      </c>
      <c r="BC26" t="s">
        <v>332</v>
      </c>
      <c r="BD26">
        <v>529.96</v>
      </c>
      <c r="BE26">
        <f t="shared" si="34"/>
        <v>840.27</v>
      </c>
      <c r="BF26">
        <f t="shared" si="35"/>
        <v>0.686000333226225</v>
      </c>
      <c r="BG26">
        <f t="shared" si="36"/>
        <v>0.69997536303813013</v>
      </c>
      <c r="BH26">
        <f t="shared" si="37"/>
        <v>0.67822897315741482</v>
      </c>
      <c r="BI26">
        <f t="shared" si="38"/>
        <v>0.69757724851251068</v>
      </c>
      <c r="BJ26">
        <v>1439</v>
      </c>
      <c r="BK26">
        <v>300</v>
      </c>
      <c r="BL26">
        <v>300</v>
      </c>
      <c r="BM26">
        <v>300</v>
      </c>
      <c r="BN26">
        <v>10267.799999999999</v>
      </c>
      <c r="BO26">
        <v>1231.3</v>
      </c>
      <c r="BP26">
        <v>-7.0502999999999998E-3</v>
      </c>
      <c r="BQ26">
        <v>9.7099600000000006</v>
      </c>
      <c r="BR26">
        <f t="shared" si="39"/>
        <v>1749.85</v>
      </c>
      <c r="BS26">
        <f t="shared" si="40"/>
        <v>1471.0776000962962</v>
      </c>
      <c r="BT26">
        <f t="shared" si="41"/>
        <v>0.84068783044049278</v>
      </c>
      <c r="BU26">
        <f t="shared" si="42"/>
        <v>0.19137566088098554</v>
      </c>
      <c r="BV26" t="s">
        <v>281</v>
      </c>
      <c r="BW26">
        <v>1566150294.8</v>
      </c>
      <c r="BX26">
        <v>542.97400000000005</v>
      </c>
      <c r="BY26">
        <v>600.00199999999995</v>
      </c>
      <c r="BZ26">
        <v>27.6082</v>
      </c>
      <c r="CA26">
        <v>21.250599999999999</v>
      </c>
      <c r="CB26">
        <v>500.005</v>
      </c>
      <c r="CC26">
        <v>98.783900000000003</v>
      </c>
      <c r="CD26">
        <v>0.19992399999999999</v>
      </c>
      <c r="CE26">
        <v>27.216000000000001</v>
      </c>
      <c r="CF26">
        <v>28.041399999999999</v>
      </c>
      <c r="CG26">
        <v>999.9</v>
      </c>
      <c r="CH26">
        <v>9993.75</v>
      </c>
      <c r="CI26">
        <v>0</v>
      </c>
      <c r="CJ26">
        <v>977.93299999999999</v>
      </c>
      <c r="CK26">
        <v>1749.85</v>
      </c>
      <c r="CL26">
        <v>0.97700799999999999</v>
      </c>
      <c r="CM26">
        <v>2.29917E-2</v>
      </c>
      <c r="CN26">
        <v>0</v>
      </c>
      <c r="CO26">
        <v>792.67200000000003</v>
      </c>
      <c r="CP26">
        <v>4.99986</v>
      </c>
      <c r="CQ26">
        <v>16549.5</v>
      </c>
      <c r="CR26">
        <v>14219.6</v>
      </c>
      <c r="CS26">
        <v>48.875</v>
      </c>
      <c r="CT26">
        <v>51.686999999999998</v>
      </c>
      <c r="CU26">
        <v>49.936999999999998</v>
      </c>
      <c r="CV26">
        <v>50.5</v>
      </c>
      <c r="CW26">
        <v>50.375</v>
      </c>
      <c r="CX26">
        <v>1704.73</v>
      </c>
      <c r="CY26">
        <v>40.119999999999997</v>
      </c>
      <c r="CZ26">
        <v>0</v>
      </c>
      <c r="DA26">
        <v>129.700000047684</v>
      </c>
      <c r="DB26">
        <v>793.80449999999996</v>
      </c>
      <c r="DC26">
        <v>-11.2004444270272</v>
      </c>
      <c r="DD26">
        <v>331.189741138692</v>
      </c>
      <c r="DE26">
        <v>16538.057692307699</v>
      </c>
      <c r="DF26">
        <v>15</v>
      </c>
      <c r="DG26">
        <v>1566150333.8</v>
      </c>
      <c r="DH26" t="s">
        <v>333</v>
      </c>
      <c r="DI26">
        <v>83</v>
      </c>
      <c r="DJ26">
        <v>0.17499999999999999</v>
      </c>
      <c r="DK26">
        <v>0.184</v>
      </c>
      <c r="DL26">
        <v>600</v>
      </c>
      <c r="DM26">
        <v>21</v>
      </c>
      <c r="DN26">
        <v>0.01</v>
      </c>
      <c r="DO26">
        <v>0.02</v>
      </c>
      <c r="DP26">
        <v>44.7677248641048</v>
      </c>
      <c r="DQ26">
        <v>0.93816364877806002</v>
      </c>
      <c r="DR26">
        <v>0.344596270277442</v>
      </c>
      <c r="DS26">
        <v>0</v>
      </c>
      <c r="DT26">
        <v>0.53487574113519598</v>
      </c>
      <c r="DU26">
        <v>0.14439644237872801</v>
      </c>
      <c r="DV26">
        <v>3.1529005758048401E-2</v>
      </c>
      <c r="DW26">
        <v>1</v>
      </c>
      <c r="DX26">
        <v>1</v>
      </c>
      <c r="DY26">
        <v>2</v>
      </c>
      <c r="DZ26" t="s">
        <v>328</v>
      </c>
      <c r="EA26">
        <v>1.8672299999999999</v>
      </c>
      <c r="EB26">
        <v>1.8637600000000001</v>
      </c>
      <c r="EC26">
        <v>1.8693500000000001</v>
      </c>
      <c r="ED26">
        <v>1.8673500000000001</v>
      </c>
      <c r="EE26">
        <v>1.8719699999999999</v>
      </c>
      <c r="EF26">
        <v>1.8644700000000001</v>
      </c>
      <c r="EG26">
        <v>1.8658999999999999</v>
      </c>
      <c r="EH26">
        <v>1.8658399999999999</v>
      </c>
      <c r="EI26" t="s">
        <v>284</v>
      </c>
      <c r="EJ26" t="s">
        <v>19</v>
      </c>
      <c r="EK26" t="s">
        <v>19</v>
      </c>
      <c r="EL26" t="s">
        <v>19</v>
      </c>
      <c r="EM26" t="s">
        <v>285</v>
      </c>
      <c r="EN26" t="s">
        <v>286</v>
      </c>
      <c r="EO26" t="s">
        <v>287</v>
      </c>
      <c r="EP26" t="s">
        <v>287</v>
      </c>
      <c r="EQ26" t="s">
        <v>287</v>
      </c>
      <c r="ER26" t="s">
        <v>287</v>
      </c>
      <c r="ES26">
        <v>0</v>
      </c>
      <c r="ET26">
        <v>100</v>
      </c>
      <c r="EU26">
        <v>100</v>
      </c>
      <c r="EV26">
        <v>0.17499999999999999</v>
      </c>
      <c r="EW26">
        <v>0.184</v>
      </c>
      <c r="EX26">
        <v>2</v>
      </c>
      <c r="EY26">
        <v>322.85599999999999</v>
      </c>
      <c r="EZ26">
        <v>463.63200000000001</v>
      </c>
      <c r="FA26">
        <v>22.963100000000001</v>
      </c>
      <c r="FB26">
        <v>35.948099999999997</v>
      </c>
      <c r="FC26">
        <v>30.001000000000001</v>
      </c>
      <c r="FD26">
        <v>35.817500000000003</v>
      </c>
      <c r="FE26">
        <v>35.8018</v>
      </c>
      <c r="FF26">
        <v>30.735900000000001</v>
      </c>
      <c r="FG26">
        <v>100</v>
      </c>
      <c r="FH26">
        <v>0</v>
      </c>
      <c r="FI26">
        <v>22.950600000000001</v>
      </c>
      <c r="FJ26">
        <v>600</v>
      </c>
      <c r="FK26">
        <v>10.938000000000001</v>
      </c>
      <c r="FL26">
        <v>100.276</v>
      </c>
      <c r="FM26">
        <v>100.721</v>
      </c>
    </row>
    <row r="27" spans="1:169" x14ac:dyDescent="0.35">
      <c r="A27">
        <v>11</v>
      </c>
      <c r="B27">
        <v>1566150425.3</v>
      </c>
      <c r="C27">
        <v>1206</v>
      </c>
      <c r="D27" t="s">
        <v>334</v>
      </c>
      <c r="E27" t="s">
        <v>335</v>
      </c>
      <c r="G27">
        <v>1566150425.3</v>
      </c>
      <c r="H27">
        <f t="shared" si="0"/>
        <v>4.9718999909037385E-3</v>
      </c>
      <c r="I27">
        <f t="shared" si="1"/>
        <v>50.021748205548278</v>
      </c>
      <c r="J27">
        <f t="shared" si="2"/>
        <v>735.98094245397601</v>
      </c>
      <c r="K27">
        <f t="shared" si="3"/>
        <v>540.33744588659363</v>
      </c>
      <c r="L27">
        <f t="shared" si="4"/>
        <v>53.485596024655038</v>
      </c>
      <c r="M27">
        <f t="shared" si="5"/>
        <v>72.851473962439513</v>
      </c>
      <c r="N27">
        <f t="shared" si="6"/>
        <v>0.47891721670206872</v>
      </c>
      <c r="O27">
        <f t="shared" si="7"/>
        <v>2.2414257417919217</v>
      </c>
      <c r="P27">
        <f t="shared" si="8"/>
        <v>0.42849453453681763</v>
      </c>
      <c r="Q27">
        <f t="shared" si="9"/>
        <v>0.27189563072911899</v>
      </c>
      <c r="R27">
        <f t="shared" si="10"/>
        <v>281.54928528917202</v>
      </c>
      <c r="S27">
        <f t="shared" si="11"/>
        <v>27.784062275942755</v>
      </c>
      <c r="T27">
        <f t="shared" si="12"/>
        <v>28.233000000000001</v>
      </c>
      <c r="U27">
        <f t="shared" si="13"/>
        <v>3.8466918076575465</v>
      </c>
      <c r="V27">
        <f t="shared" si="14"/>
        <v>75.056542895331489</v>
      </c>
      <c r="W27">
        <f t="shared" si="15"/>
        <v>2.7363365812271998</v>
      </c>
      <c r="X27">
        <f t="shared" si="16"/>
        <v>3.6457002623250312</v>
      </c>
      <c r="Y27">
        <f t="shared" si="17"/>
        <v>1.1103552264303467</v>
      </c>
      <c r="Z27">
        <f t="shared" si="18"/>
        <v>-219.26078959885487</v>
      </c>
      <c r="AA27">
        <f t="shared" si="19"/>
        <v>-111.05172527957578</v>
      </c>
      <c r="AB27">
        <f t="shared" si="20"/>
        <v>-10.775362388566625</v>
      </c>
      <c r="AC27">
        <f t="shared" si="21"/>
        <v>-59.538591977825263</v>
      </c>
      <c r="AD27">
        <v>-4.09533122524018E-2</v>
      </c>
      <c r="AE27">
        <v>4.5973680710521103E-2</v>
      </c>
      <c r="AF27">
        <v>3.43990289861526</v>
      </c>
      <c r="AG27">
        <v>157</v>
      </c>
      <c r="AH27">
        <v>31</v>
      </c>
      <c r="AI27">
        <f t="shared" si="22"/>
        <v>1.0060554747249733</v>
      </c>
      <c r="AJ27">
        <f t="shared" si="23"/>
        <v>0.60554747249732532</v>
      </c>
      <c r="AK27">
        <f t="shared" si="24"/>
        <v>52167.903163866424</v>
      </c>
      <c r="AL27" t="s">
        <v>278</v>
      </c>
      <c r="AM27">
        <v>520.33192307692298</v>
      </c>
      <c r="AN27">
        <v>3330.63</v>
      </c>
      <c r="AO27">
        <f t="shared" si="25"/>
        <v>2810.2980769230771</v>
      </c>
      <c r="AP27">
        <f t="shared" si="26"/>
        <v>0.84377372356673574</v>
      </c>
      <c r="AQ27">
        <v>-1.3252759154356599</v>
      </c>
      <c r="AR27" t="s">
        <v>336</v>
      </c>
      <c r="AS27">
        <v>783.48803846153805</v>
      </c>
      <c r="AT27">
        <v>1364.52</v>
      </c>
      <c r="AU27">
        <f t="shared" si="27"/>
        <v>0.4258141775411588</v>
      </c>
      <c r="AV27">
        <v>0.5</v>
      </c>
      <c r="AW27">
        <f t="shared" si="28"/>
        <v>1471.1793000963617</v>
      </c>
      <c r="AX27">
        <f t="shared" si="29"/>
        <v>50.021748205548278</v>
      </c>
      <c r="AY27">
        <f t="shared" si="30"/>
        <v>313.22450184305495</v>
      </c>
      <c r="AZ27">
        <f t="shared" si="31"/>
        <v>0.61686160701198955</v>
      </c>
      <c r="BA27">
        <f t="shared" si="32"/>
        <v>3.490194846924554E-2</v>
      </c>
      <c r="BB27">
        <f t="shared" si="33"/>
        <v>1.4408803095594056</v>
      </c>
      <c r="BC27" t="s">
        <v>337</v>
      </c>
      <c r="BD27">
        <v>522.79999999999995</v>
      </c>
      <c r="BE27">
        <f t="shared" si="34"/>
        <v>841.72</v>
      </c>
      <c r="BF27">
        <f t="shared" si="35"/>
        <v>0.69029126257955364</v>
      </c>
      <c r="BG27">
        <f t="shared" si="36"/>
        <v>0.70022401641124998</v>
      </c>
      <c r="BH27">
        <f t="shared" si="37"/>
        <v>0.68827311996187546</v>
      </c>
      <c r="BI27">
        <f t="shared" si="38"/>
        <v>0.69960906145324031</v>
      </c>
      <c r="BJ27">
        <v>1441</v>
      </c>
      <c r="BK27">
        <v>300</v>
      </c>
      <c r="BL27">
        <v>300</v>
      </c>
      <c r="BM27">
        <v>300</v>
      </c>
      <c r="BN27">
        <v>10267</v>
      </c>
      <c r="BO27">
        <v>1222.9000000000001</v>
      </c>
      <c r="BP27">
        <v>-7.0494499999999996E-3</v>
      </c>
      <c r="BQ27">
        <v>10.8522</v>
      </c>
      <c r="BR27">
        <f t="shared" si="39"/>
        <v>1749.97</v>
      </c>
      <c r="BS27">
        <f t="shared" si="40"/>
        <v>1471.1793000963617</v>
      </c>
      <c r="BT27">
        <f t="shared" si="41"/>
        <v>0.84068829756873642</v>
      </c>
      <c r="BU27">
        <f t="shared" si="42"/>
        <v>0.19137659513747282</v>
      </c>
      <c r="BV27" t="s">
        <v>281</v>
      </c>
      <c r="BW27">
        <v>1566150425.3</v>
      </c>
      <c r="BX27">
        <v>735.98099999999999</v>
      </c>
      <c r="BY27">
        <v>800.03200000000004</v>
      </c>
      <c r="BZ27">
        <v>27.643799999999999</v>
      </c>
      <c r="CA27">
        <v>21.878799999999998</v>
      </c>
      <c r="CB27">
        <v>500.03800000000001</v>
      </c>
      <c r="CC27">
        <v>98.785600000000002</v>
      </c>
      <c r="CD27">
        <v>0.19994400000000001</v>
      </c>
      <c r="CE27">
        <v>27.314</v>
      </c>
      <c r="CF27">
        <v>28.233000000000001</v>
      </c>
      <c r="CG27">
        <v>999.9</v>
      </c>
      <c r="CH27">
        <v>9997.5</v>
      </c>
      <c r="CI27">
        <v>0</v>
      </c>
      <c r="CJ27">
        <v>2008.98</v>
      </c>
      <c r="CK27">
        <v>1749.97</v>
      </c>
      <c r="CL27">
        <v>0.976989</v>
      </c>
      <c r="CM27">
        <v>2.3010599999999999E-2</v>
      </c>
      <c r="CN27">
        <v>0</v>
      </c>
      <c r="CO27">
        <v>781.24199999999996</v>
      </c>
      <c r="CP27">
        <v>4.99986</v>
      </c>
      <c r="CQ27">
        <v>18667.900000000001</v>
      </c>
      <c r="CR27">
        <v>14220.5</v>
      </c>
      <c r="CS27">
        <v>49.125</v>
      </c>
      <c r="CT27">
        <v>51.875</v>
      </c>
      <c r="CU27">
        <v>50.186999999999998</v>
      </c>
      <c r="CV27">
        <v>50.75</v>
      </c>
      <c r="CW27">
        <v>50.625</v>
      </c>
      <c r="CX27">
        <v>1704.82</v>
      </c>
      <c r="CY27">
        <v>40.15</v>
      </c>
      <c r="CZ27">
        <v>0</v>
      </c>
      <c r="DA27">
        <v>129.90000009536701</v>
      </c>
      <c r="DB27">
        <v>783.48803846153805</v>
      </c>
      <c r="DC27">
        <v>-18.449264980229</v>
      </c>
      <c r="DD27">
        <v>2487.07692587677</v>
      </c>
      <c r="DE27">
        <v>18403.676923076899</v>
      </c>
      <c r="DF27">
        <v>15</v>
      </c>
      <c r="DG27">
        <v>1566150456.8</v>
      </c>
      <c r="DH27" t="s">
        <v>338</v>
      </c>
      <c r="DI27">
        <v>84</v>
      </c>
      <c r="DJ27">
        <v>0.42799999999999999</v>
      </c>
      <c r="DK27">
        <v>0.19</v>
      </c>
      <c r="DL27">
        <v>800</v>
      </c>
      <c r="DM27">
        <v>22</v>
      </c>
      <c r="DN27">
        <v>0.06</v>
      </c>
      <c r="DO27">
        <v>0.02</v>
      </c>
      <c r="DP27">
        <v>49.536213414098903</v>
      </c>
      <c r="DQ27">
        <v>3.5333883906733798</v>
      </c>
      <c r="DR27">
        <v>0.83768659012244595</v>
      </c>
      <c r="DS27">
        <v>0</v>
      </c>
      <c r="DT27">
        <v>0.45237996942057301</v>
      </c>
      <c r="DU27">
        <v>0.136815411227349</v>
      </c>
      <c r="DV27">
        <v>2.8552510430333699E-2</v>
      </c>
      <c r="DW27">
        <v>1</v>
      </c>
      <c r="DX27">
        <v>1</v>
      </c>
      <c r="DY27">
        <v>2</v>
      </c>
      <c r="DZ27" t="s">
        <v>328</v>
      </c>
      <c r="EA27">
        <v>1.86724</v>
      </c>
      <c r="EB27">
        <v>1.86372</v>
      </c>
      <c r="EC27">
        <v>1.8693500000000001</v>
      </c>
      <c r="ED27">
        <v>1.8673200000000001</v>
      </c>
      <c r="EE27">
        <v>1.8719699999999999</v>
      </c>
      <c r="EF27">
        <v>1.8644700000000001</v>
      </c>
      <c r="EG27">
        <v>1.86591</v>
      </c>
      <c r="EH27">
        <v>1.86585</v>
      </c>
      <c r="EI27" t="s">
        <v>284</v>
      </c>
      <c r="EJ27" t="s">
        <v>19</v>
      </c>
      <c r="EK27" t="s">
        <v>19</v>
      </c>
      <c r="EL27" t="s">
        <v>19</v>
      </c>
      <c r="EM27" t="s">
        <v>285</v>
      </c>
      <c r="EN27" t="s">
        <v>286</v>
      </c>
      <c r="EO27" t="s">
        <v>287</v>
      </c>
      <c r="EP27" t="s">
        <v>287</v>
      </c>
      <c r="EQ27" t="s">
        <v>287</v>
      </c>
      <c r="ER27" t="s">
        <v>287</v>
      </c>
      <c r="ES27">
        <v>0</v>
      </c>
      <c r="ET27">
        <v>100</v>
      </c>
      <c r="EU27">
        <v>100</v>
      </c>
      <c r="EV27">
        <v>0.42799999999999999</v>
      </c>
      <c r="EW27">
        <v>0.19</v>
      </c>
      <c r="EX27">
        <v>2</v>
      </c>
      <c r="EY27">
        <v>323.27499999999998</v>
      </c>
      <c r="EZ27">
        <v>463.959</v>
      </c>
      <c r="FA27">
        <v>22.970400000000001</v>
      </c>
      <c r="FB27">
        <v>36.070900000000002</v>
      </c>
      <c r="FC27">
        <v>30.001100000000001</v>
      </c>
      <c r="FD27">
        <v>35.9407</v>
      </c>
      <c r="FE27">
        <v>35.924100000000003</v>
      </c>
      <c r="FF27">
        <v>38.824100000000001</v>
      </c>
      <c r="FG27">
        <v>100</v>
      </c>
      <c r="FH27">
        <v>0</v>
      </c>
      <c r="FI27">
        <v>22.966699999999999</v>
      </c>
      <c r="FJ27">
        <v>800</v>
      </c>
      <c r="FK27">
        <v>10.938000000000001</v>
      </c>
      <c r="FL27">
        <v>100.258</v>
      </c>
      <c r="FM27">
        <v>100.702</v>
      </c>
    </row>
    <row r="28" spans="1:169" x14ac:dyDescent="0.35">
      <c r="A28">
        <v>12</v>
      </c>
      <c r="B28">
        <v>1566150548.3</v>
      </c>
      <c r="C28">
        <v>1329</v>
      </c>
      <c r="D28" t="s">
        <v>339</v>
      </c>
      <c r="E28" t="s">
        <v>340</v>
      </c>
      <c r="G28">
        <v>1566150548.3</v>
      </c>
      <c r="H28">
        <f t="shared" si="0"/>
        <v>4.8574248257320946E-3</v>
      </c>
      <c r="I28">
        <f t="shared" si="1"/>
        <v>52.255412096811348</v>
      </c>
      <c r="J28">
        <f t="shared" si="2"/>
        <v>932.30393969404804</v>
      </c>
      <c r="K28">
        <f t="shared" si="3"/>
        <v>711.21434467283063</v>
      </c>
      <c r="L28">
        <f t="shared" si="4"/>
        <v>70.405299230559436</v>
      </c>
      <c r="M28">
        <f t="shared" si="5"/>
        <v>92.291639418751998</v>
      </c>
      <c r="N28">
        <f t="shared" si="6"/>
        <v>0.44527691489594845</v>
      </c>
      <c r="O28">
        <f t="shared" si="7"/>
        <v>2.2398233067822013</v>
      </c>
      <c r="P28">
        <f t="shared" si="8"/>
        <v>0.40131385037179579</v>
      </c>
      <c r="Q28">
        <f t="shared" si="9"/>
        <v>0.25440837841974268</v>
      </c>
      <c r="R28">
        <f t="shared" si="10"/>
        <v>281.5529496091799</v>
      </c>
      <c r="S28">
        <f t="shared" si="11"/>
        <v>28.13188036571621</v>
      </c>
      <c r="T28">
        <f t="shared" si="12"/>
        <v>28.633900000000001</v>
      </c>
      <c r="U28">
        <f t="shared" si="13"/>
        <v>3.9373561497978726</v>
      </c>
      <c r="V28">
        <f t="shared" si="14"/>
        <v>74.88036857905</v>
      </c>
      <c r="W28">
        <f t="shared" si="15"/>
        <v>2.7798148082528997</v>
      </c>
      <c r="X28">
        <f t="shared" si="16"/>
        <v>3.7123412464487191</v>
      </c>
      <c r="Y28">
        <f t="shared" si="17"/>
        <v>1.1575413415449729</v>
      </c>
      <c r="Z28">
        <f t="shared" si="18"/>
        <v>-214.21243481478538</v>
      </c>
      <c r="AA28">
        <f t="shared" si="19"/>
        <v>-122.00918899804063</v>
      </c>
      <c r="AB28">
        <f t="shared" si="20"/>
        <v>-11.889063835033886</v>
      </c>
      <c r="AC28">
        <f t="shared" si="21"/>
        <v>-66.557738038679986</v>
      </c>
      <c r="AD28">
        <v>-4.0910334013568299E-2</v>
      </c>
      <c r="AE28">
        <v>4.5925433872330002E-2</v>
      </c>
      <c r="AF28">
        <v>3.4370427280366802</v>
      </c>
      <c r="AG28">
        <v>158</v>
      </c>
      <c r="AH28">
        <v>32</v>
      </c>
      <c r="AI28">
        <f t="shared" si="22"/>
        <v>1.0061067654009799</v>
      </c>
      <c r="AJ28">
        <f t="shared" si="23"/>
        <v>0.61067654009798744</v>
      </c>
      <c r="AK28">
        <f t="shared" si="24"/>
        <v>52061.888248678806</v>
      </c>
      <c r="AL28" t="s">
        <v>278</v>
      </c>
      <c r="AM28">
        <v>520.33192307692298</v>
      </c>
      <c r="AN28">
        <v>3330.63</v>
      </c>
      <c r="AO28">
        <f t="shared" si="25"/>
        <v>2810.2980769230771</v>
      </c>
      <c r="AP28">
        <f t="shared" si="26"/>
        <v>0.84377372356673574</v>
      </c>
      <c r="AQ28">
        <v>-1.3252759154356599</v>
      </c>
      <c r="AR28" t="s">
        <v>341</v>
      </c>
      <c r="AS28">
        <v>766.72723076923103</v>
      </c>
      <c r="AT28">
        <v>1322.09</v>
      </c>
      <c r="AU28">
        <f t="shared" si="27"/>
        <v>0.42006426887032566</v>
      </c>
      <c r="AV28">
        <v>0.5</v>
      </c>
      <c r="AW28">
        <f t="shared" si="28"/>
        <v>1471.2039000963121</v>
      </c>
      <c r="AX28">
        <f t="shared" si="29"/>
        <v>52.255412096811348</v>
      </c>
      <c r="AY28">
        <f t="shared" si="30"/>
        <v>309.00009532656446</v>
      </c>
      <c r="AZ28">
        <f t="shared" si="31"/>
        <v>0.61094933022714037</v>
      </c>
      <c r="BA28">
        <f t="shared" si="32"/>
        <v>3.6419620698897932E-2</v>
      </c>
      <c r="BB28">
        <f t="shared" si="33"/>
        <v>1.5192157871249312</v>
      </c>
      <c r="BC28" t="s">
        <v>342</v>
      </c>
      <c r="BD28">
        <v>514.36</v>
      </c>
      <c r="BE28">
        <f t="shared" si="34"/>
        <v>807.7299999999999</v>
      </c>
      <c r="BF28">
        <f t="shared" si="35"/>
        <v>0.68755991387068571</v>
      </c>
      <c r="BG28">
        <f t="shared" si="36"/>
        <v>0.71319156188859745</v>
      </c>
      <c r="BH28">
        <f t="shared" si="37"/>
        <v>0.69268122793610731</v>
      </c>
      <c r="BI28">
        <f t="shared" si="38"/>
        <v>0.71470710402332083</v>
      </c>
      <c r="BJ28">
        <v>1443</v>
      </c>
      <c r="BK28">
        <v>300</v>
      </c>
      <c r="BL28">
        <v>300</v>
      </c>
      <c r="BM28">
        <v>300</v>
      </c>
      <c r="BN28">
        <v>10269.5</v>
      </c>
      <c r="BO28">
        <v>1188.0999999999999</v>
      </c>
      <c r="BP28">
        <v>-7.0511300000000001E-3</v>
      </c>
      <c r="BQ28">
        <v>9.3231199999999994</v>
      </c>
      <c r="BR28">
        <f t="shared" si="39"/>
        <v>1750</v>
      </c>
      <c r="BS28">
        <f t="shared" si="40"/>
        <v>1471.2039000963121</v>
      </c>
      <c r="BT28">
        <f t="shared" si="41"/>
        <v>0.8406879429121783</v>
      </c>
      <c r="BU28">
        <f t="shared" si="42"/>
        <v>0.19137588582435658</v>
      </c>
      <c r="BV28" t="s">
        <v>281</v>
      </c>
      <c r="BW28">
        <v>1566150548.3</v>
      </c>
      <c r="BX28">
        <v>932.30399999999997</v>
      </c>
      <c r="BY28">
        <v>1000.06</v>
      </c>
      <c r="BZ28">
        <v>28.0809</v>
      </c>
      <c r="CA28">
        <v>22.4514</v>
      </c>
      <c r="CB28">
        <v>500.03100000000001</v>
      </c>
      <c r="CC28">
        <v>98.793099999999995</v>
      </c>
      <c r="CD28">
        <v>0.19998099999999999</v>
      </c>
      <c r="CE28">
        <v>27.6235</v>
      </c>
      <c r="CF28">
        <v>28.633900000000001</v>
      </c>
      <c r="CG28">
        <v>999.9</v>
      </c>
      <c r="CH28">
        <v>9986.25</v>
      </c>
      <c r="CI28">
        <v>0</v>
      </c>
      <c r="CJ28">
        <v>2018.48</v>
      </c>
      <c r="CK28">
        <v>1750</v>
      </c>
      <c r="CL28">
        <v>0.97699999999999998</v>
      </c>
      <c r="CM28">
        <v>2.2999800000000001E-2</v>
      </c>
      <c r="CN28">
        <v>0</v>
      </c>
      <c r="CO28">
        <v>765.25900000000001</v>
      </c>
      <c r="CP28">
        <v>4.99986</v>
      </c>
      <c r="CQ28">
        <v>18348.400000000001</v>
      </c>
      <c r="CR28">
        <v>14220.8</v>
      </c>
      <c r="CS28">
        <v>48.625</v>
      </c>
      <c r="CT28">
        <v>51.436999999999998</v>
      </c>
      <c r="CU28">
        <v>49.625</v>
      </c>
      <c r="CV28">
        <v>50.061999999999998</v>
      </c>
      <c r="CW28">
        <v>50</v>
      </c>
      <c r="CX28">
        <v>1704.87</v>
      </c>
      <c r="CY28">
        <v>40.130000000000003</v>
      </c>
      <c r="CZ28">
        <v>0</v>
      </c>
      <c r="DA28">
        <v>122.5</v>
      </c>
      <c r="DB28">
        <v>766.72723076923103</v>
      </c>
      <c r="DC28">
        <v>-10.254290615090699</v>
      </c>
      <c r="DD28">
        <v>-266.85470114629402</v>
      </c>
      <c r="DE28">
        <v>18398.4576923077</v>
      </c>
      <c r="DF28">
        <v>15</v>
      </c>
      <c r="DG28">
        <v>1566150580.3</v>
      </c>
      <c r="DH28" t="s">
        <v>343</v>
      </c>
      <c r="DI28">
        <v>85</v>
      </c>
      <c r="DJ28">
        <v>0.58399999999999996</v>
      </c>
      <c r="DK28">
        <v>0.19800000000000001</v>
      </c>
      <c r="DL28">
        <v>1000</v>
      </c>
      <c r="DM28">
        <v>23</v>
      </c>
      <c r="DN28">
        <v>0.04</v>
      </c>
      <c r="DO28">
        <v>0.01</v>
      </c>
      <c r="DP28">
        <v>51.722667650959302</v>
      </c>
      <c r="DQ28">
        <v>3.0141602136442001</v>
      </c>
      <c r="DR28">
        <v>0.65763872307360205</v>
      </c>
      <c r="DS28">
        <v>0</v>
      </c>
      <c r="DT28">
        <v>0.41291482538152402</v>
      </c>
      <c r="DU28">
        <v>0.14433398338828299</v>
      </c>
      <c r="DV28">
        <v>2.96354938697156E-2</v>
      </c>
      <c r="DW28">
        <v>1</v>
      </c>
      <c r="DX28">
        <v>1</v>
      </c>
      <c r="DY28">
        <v>2</v>
      </c>
      <c r="DZ28" t="s">
        <v>328</v>
      </c>
      <c r="EA28">
        <v>1.8672500000000001</v>
      </c>
      <c r="EB28">
        <v>1.8637300000000001</v>
      </c>
      <c r="EC28">
        <v>1.8693500000000001</v>
      </c>
      <c r="ED28">
        <v>1.8672899999999999</v>
      </c>
      <c r="EE28">
        <v>1.8719699999999999</v>
      </c>
      <c r="EF28">
        <v>1.8644700000000001</v>
      </c>
      <c r="EG28">
        <v>1.8658699999999999</v>
      </c>
      <c r="EH28">
        <v>1.86585</v>
      </c>
      <c r="EI28" t="s">
        <v>284</v>
      </c>
      <c r="EJ28" t="s">
        <v>19</v>
      </c>
      <c r="EK28" t="s">
        <v>19</v>
      </c>
      <c r="EL28" t="s">
        <v>19</v>
      </c>
      <c r="EM28" t="s">
        <v>285</v>
      </c>
      <c r="EN28" t="s">
        <v>286</v>
      </c>
      <c r="EO28" t="s">
        <v>287</v>
      </c>
      <c r="EP28" t="s">
        <v>287</v>
      </c>
      <c r="EQ28" t="s">
        <v>287</v>
      </c>
      <c r="ER28" t="s">
        <v>287</v>
      </c>
      <c r="ES28">
        <v>0</v>
      </c>
      <c r="ET28">
        <v>100</v>
      </c>
      <c r="EU28">
        <v>100</v>
      </c>
      <c r="EV28">
        <v>0.58399999999999996</v>
      </c>
      <c r="EW28">
        <v>0.19800000000000001</v>
      </c>
      <c r="EX28">
        <v>2</v>
      </c>
      <c r="EY28">
        <v>322.29399999999998</v>
      </c>
      <c r="EZ28">
        <v>463.39699999999999</v>
      </c>
      <c r="FA28">
        <v>23.223500000000001</v>
      </c>
      <c r="FB28">
        <v>36.302900000000001</v>
      </c>
      <c r="FC28">
        <v>30.001200000000001</v>
      </c>
      <c r="FD28">
        <v>36.145299999999999</v>
      </c>
      <c r="FE28">
        <v>36.1295</v>
      </c>
      <c r="FF28">
        <v>46.536200000000001</v>
      </c>
      <c r="FG28">
        <v>100</v>
      </c>
      <c r="FH28">
        <v>0</v>
      </c>
      <c r="FI28">
        <v>23.224299999999999</v>
      </c>
      <c r="FJ28">
        <v>1000</v>
      </c>
      <c r="FK28">
        <v>10.938000000000001</v>
      </c>
      <c r="FL28">
        <v>100.217</v>
      </c>
      <c r="FM28">
        <v>100.649</v>
      </c>
    </row>
    <row r="29" spans="1:169" x14ac:dyDescent="0.35">
      <c r="A29">
        <v>13</v>
      </c>
      <c r="B29">
        <v>1566150671.8</v>
      </c>
      <c r="C29">
        <v>1452.5</v>
      </c>
      <c r="D29" t="s">
        <v>344</v>
      </c>
      <c r="E29" t="s">
        <v>345</v>
      </c>
      <c r="G29">
        <v>1566150671.8</v>
      </c>
      <c r="H29">
        <f t="shared" si="0"/>
        <v>4.8339750602954881E-3</v>
      </c>
      <c r="I29">
        <f t="shared" si="1"/>
        <v>52.95970556728944</v>
      </c>
      <c r="J29">
        <f t="shared" si="2"/>
        <v>1130.4369387722436</v>
      </c>
      <c r="K29">
        <f t="shared" si="3"/>
        <v>893.41427646745387</v>
      </c>
      <c r="L29">
        <f t="shared" si="4"/>
        <v>88.445642248788189</v>
      </c>
      <c r="M29">
        <f t="shared" si="5"/>
        <v>111.91025675881663</v>
      </c>
      <c r="N29">
        <f t="shared" si="6"/>
        <v>0.42558777448198271</v>
      </c>
      <c r="O29">
        <f t="shared" si="7"/>
        <v>2.2393151276046974</v>
      </c>
      <c r="P29">
        <f t="shared" si="8"/>
        <v>0.3852301338710637</v>
      </c>
      <c r="Q29">
        <f t="shared" si="9"/>
        <v>0.24407509457052054</v>
      </c>
      <c r="R29">
        <f t="shared" si="10"/>
        <v>281.54553148221589</v>
      </c>
      <c r="S29">
        <f t="shared" si="11"/>
        <v>28.466989006349326</v>
      </c>
      <c r="T29">
        <f t="shared" si="12"/>
        <v>29.0427</v>
      </c>
      <c r="U29">
        <f t="shared" si="13"/>
        <v>4.031720706113604</v>
      </c>
      <c r="V29">
        <f t="shared" si="14"/>
        <v>74.855932274000978</v>
      </c>
      <c r="W29">
        <f t="shared" si="15"/>
        <v>2.8325417629558007</v>
      </c>
      <c r="X29">
        <f t="shared" si="16"/>
        <v>3.7839910303803688</v>
      </c>
      <c r="Y29">
        <f t="shared" si="17"/>
        <v>1.1991789431578033</v>
      </c>
      <c r="Z29">
        <f t="shared" si="18"/>
        <v>-213.17830015903104</v>
      </c>
      <c r="AA29">
        <f t="shared" si="19"/>
        <v>-131.80860002665955</v>
      </c>
      <c r="AB29">
        <f t="shared" si="20"/>
        <v>-12.894048100889318</v>
      </c>
      <c r="AC29">
        <f t="shared" si="21"/>
        <v>-76.33541680436403</v>
      </c>
      <c r="AD29">
        <v>-4.0896710086502003E-2</v>
      </c>
      <c r="AE29">
        <v>4.5910139820676599E-2</v>
      </c>
      <c r="AF29">
        <v>3.43613585179471</v>
      </c>
      <c r="AG29">
        <v>160</v>
      </c>
      <c r="AH29">
        <v>32</v>
      </c>
      <c r="AI29">
        <f t="shared" si="22"/>
        <v>1.0061933019078693</v>
      </c>
      <c r="AJ29">
        <f t="shared" si="23"/>
        <v>0.61933019078692642</v>
      </c>
      <c r="AK29">
        <f t="shared" si="24"/>
        <v>51988.722881634618</v>
      </c>
      <c r="AL29" t="s">
        <v>278</v>
      </c>
      <c r="AM29">
        <v>520.33192307692298</v>
      </c>
      <c r="AN29">
        <v>3330.63</v>
      </c>
      <c r="AO29">
        <f t="shared" si="25"/>
        <v>2810.2980769230771</v>
      </c>
      <c r="AP29">
        <f t="shared" si="26"/>
        <v>0.84377372356673574</v>
      </c>
      <c r="AQ29">
        <v>-1.3252759154356599</v>
      </c>
      <c r="AR29" t="s">
        <v>346</v>
      </c>
      <c r="AS29">
        <v>757.92080769230802</v>
      </c>
      <c r="AT29">
        <v>1290.03</v>
      </c>
      <c r="AU29">
        <f t="shared" si="27"/>
        <v>0.41247815345975825</v>
      </c>
      <c r="AV29">
        <v>0.5</v>
      </c>
      <c r="AW29">
        <f t="shared" si="28"/>
        <v>1471.1622000963389</v>
      </c>
      <c r="AX29">
        <f t="shared" si="29"/>
        <v>52.95970556728944</v>
      </c>
      <c r="AY29">
        <f t="shared" si="30"/>
        <v>303.41113386776664</v>
      </c>
      <c r="AZ29">
        <f t="shared" si="31"/>
        <v>0.6037301458105625</v>
      </c>
      <c r="BA29">
        <f t="shared" si="32"/>
        <v>3.689938572318556E-2</v>
      </c>
      <c r="BB29">
        <f t="shared" si="33"/>
        <v>1.5818236785191044</v>
      </c>
      <c r="BC29" t="s">
        <v>347</v>
      </c>
      <c r="BD29">
        <v>511.2</v>
      </c>
      <c r="BE29">
        <f t="shared" si="34"/>
        <v>778.82999999999993</v>
      </c>
      <c r="BF29">
        <f t="shared" si="35"/>
        <v>0.6832160963338495</v>
      </c>
      <c r="BG29">
        <f t="shared" si="36"/>
        <v>0.72376331386131232</v>
      </c>
      <c r="BH29">
        <f t="shared" si="37"/>
        <v>0.69132197190206901</v>
      </c>
      <c r="BI29">
        <f t="shared" si="38"/>
        <v>0.72611514655918652</v>
      </c>
      <c r="BJ29">
        <v>1445</v>
      </c>
      <c r="BK29">
        <v>300</v>
      </c>
      <c r="BL29">
        <v>300</v>
      </c>
      <c r="BM29">
        <v>300</v>
      </c>
      <c r="BN29">
        <v>10271.6</v>
      </c>
      <c r="BO29">
        <v>1159.3399999999999</v>
      </c>
      <c r="BP29">
        <v>-7.0528199999999996E-3</v>
      </c>
      <c r="BQ29">
        <v>7.9771700000000001</v>
      </c>
      <c r="BR29">
        <f t="shared" si="39"/>
        <v>1749.95</v>
      </c>
      <c r="BS29">
        <f t="shared" si="40"/>
        <v>1471.1622000963389</v>
      </c>
      <c r="BT29">
        <f t="shared" si="41"/>
        <v>0.84068813400173648</v>
      </c>
      <c r="BU29">
        <f t="shared" si="42"/>
        <v>0.19137626800347296</v>
      </c>
      <c r="BV29" t="s">
        <v>281</v>
      </c>
      <c r="BW29">
        <v>1566150671.8</v>
      </c>
      <c r="BX29">
        <v>1130.4369999999999</v>
      </c>
      <c r="BY29">
        <v>1200.1500000000001</v>
      </c>
      <c r="BZ29">
        <v>28.612300000000001</v>
      </c>
      <c r="CA29">
        <v>23.0136</v>
      </c>
      <c r="CB29">
        <v>500.03500000000003</v>
      </c>
      <c r="CC29">
        <v>98.797300000000007</v>
      </c>
      <c r="CD29">
        <v>0.200046</v>
      </c>
      <c r="CE29">
        <v>27.950900000000001</v>
      </c>
      <c r="CF29">
        <v>29.0427</v>
      </c>
      <c r="CG29">
        <v>999.9</v>
      </c>
      <c r="CH29">
        <v>9982.5</v>
      </c>
      <c r="CI29">
        <v>0</v>
      </c>
      <c r="CJ29">
        <v>1979.95</v>
      </c>
      <c r="CK29">
        <v>1749.95</v>
      </c>
      <c r="CL29">
        <v>0.97699599999999998</v>
      </c>
      <c r="CM29">
        <v>2.3003900000000001E-2</v>
      </c>
      <c r="CN29">
        <v>0</v>
      </c>
      <c r="CO29">
        <v>757.024</v>
      </c>
      <c r="CP29">
        <v>4.99986</v>
      </c>
      <c r="CQ29">
        <v>17972.8</v>
      </c>
      <c r="CR29">
        <v>14220.4</v>
      </c>
      <c r="CS29">
        <v>48</v>
      </c>
      <c r="CT29">
        <v>50.936999999999998</v>
      </c>
      <c r="CU29">
        <v>49</v>
      </c>
      <c r="CV29">
        <v>49.686999999999998</v>
      </c>
      <c r="CW29">
        <v>49.561999999999998</v>
      </c>
      <c r="CX29">
        <v>1704.81</v>
      </c>
      <c r="CY29">
        <v>40.14</v>
      </c>
      <c r="CZ29">
        <v>0</v>
      </c>
      <c r="DA29">
        <v>123.200000047684</v>
      </c>
      <c r="DB29">
        <v>757.92080769230802</v>
      </c>
      <c r="DC29">
        <v>-7.6482392986054304</v>
      </c>
      <c r="DD29">
        <v>166.05128307042901</v>
      </c>
      <c r="DE29">
        <v>18161.092307692299</v>
      </c>
      <c r="DF29">
        <v>15</v>
      </c>
      <c r="DG29">
        <v>1566150706.8</v>
      </c>
      <c r="DH29" t="s">
        <v>348</v>
      </c>
      <c r="DI29">
        <v>86</v>
      </c>
      <c r="DJ29">
        <v>0.53100000000000003</v>
      </c>
      <c r="DK29">
        <v>0.20499999999999999</v>
      </c>
      <c r="DL29">
        <v>1200</v>
      </c>
      <c r="DM29">
        <v>23</v>
      </c>
      <c r="DN29">
        <v>0.03</v>
      </c>
      <c r="DO29">
        <v>0.02</v>
      </c>
      <c r="DP29">
        <v>52.294898205775098</v>
      </c>
      <c r="DQ29">
        <v>2.0247794737912002</v>
      </c>
      <c r="DR29">
        <v>0.44419464104136502</v>
      </c>
      <c r="DS29">
        <v>0</v>
      </c>
      <c r="DT29">
        <v>0.399428103343762</v>
      </c>
      <c r="DU29">
        <v>0.12558219558049899</v>
      </c>
      <c r="DV29">
        <v>2.61005823039503E-2</v>
      </c>
      <c r="DW29">
        <v>1</v>
      </c>
      <c r="DX29">
        <v>1</v>
      </c>
      <c r="DY29">
        <v>2</v>
      </c>
      <c r="DZ29" t="s">
        <v>328</v>
      </c>
      <c r="EA29">
        <v>1.8672200000000001</v>
      </c>
      <c r="EB29">
        <v>1.86372</v>
      </c>
      <c r="EC29">
        <v>1.8693500000000001</v>
      </c>
      <c r="ED29">
        <v>1.8673</v>
      </c>
      <c r="EE29">
        <v>1.8719600000000001</v>
      </c>
      <c r="EF29">
        <v>1.8644700000000001</v>
      </c>
      <c r="EG29">
        <v>1.86588</v>
      </c>
      <c r="EH29">
        <v>1.8658399999999999</v>
      </c>
      <c r="EI29" t="s">
        <v>284</v>
      </c>
      <c r="EJ29" t="s">
        <v>19</v>
      </c>
      <c r="EK29" t="s">
        <v>19</v>
      </c>
      <c r="EL29" t="s">
        <v>19</v>
      </c>
      <c r="EM29" t="s">
        <v>285</v>
      </c>
      <c r="EN29" t="s">
        <v>286</v>
      </c>
      <c r="EO29" t="s">
        <v>287</v>
      </c>
      <c r="EP29" t="s">
        <v>287</v>
      </c>
      <c r="EQ29" t="s">
        <v>287</v>
      </c>
      <c r="ER29" t="s">
        <v>287</v>
      </c>
      <c r="ES29">
        <v>0</v>
      </c>
      <c r="ET29">
        <v>100</v>
      </c>
      <c r="EU29">
        <v>100</v>
      </c>
      <c r="EV29">
        <v>0.53100000000000003</v>
      </c>
      <c r="EW29">
        <v>0.20499999999999999</v>
      </c>
      <c r="EX29">
        <v>2</v>
      </c>
      <c r="EY29">
        <v>320.56</v>
      </c>
      <c r="EZ29">
        <v>462.96</v>
      </c>
      <c r="FA29">
        <v>23.5379</v>
      </c>
      <c r="FB29">
        <v>36.594700000000003</v>
      </c>
      <c r="FC29">
        <v>30.001200000000001</v>
      </c>
      <c r="FD29">
        <v>36.4</v>
      </c>
      <c r="FE29">
        <v>36.3795</v>
      </c>
      <c r="FF29">
        <v>53.906399999999998</v>
      </c>
      <c r="FG29">
        <v>100</v>
      </c>
      <c r="FH29">
        <v>0</v>
      </c>
      <c r="FI29">
        <v>23.532499999999999</v>
      </c>
      <c r="FJ29">
        <v>1200</v>
      </c>
      <c r="FK29">
        <v>10.938000000000001</v>
      </c>
      <c r="FL29">
        <v>100.166</v>
      </c>
      <c r="FM29">
        <v>100.58799999999999</v>
      </c>
    </row>
    <row r="30" spans="1:169" x14ac:dyDescent="0.35">
      <c r="A30">
        <v>14</v>
      </c>
      <c r="B30">
        <v>1566150798.3</v>
      </c>
      <c r="C30">
        <v>1579</v>
      </c>
      <c r="D30" t="s">
        <v>349</v>
      </c>
      <c r="E30" t="s">
        <v>350</v>
      </c>
      <c r="G30">
        <v>1566150798.3</v>
      </c>
      <c r="H30">
        <f t="shared" si="0"/>
        <v>4.6888459908201192E-3</v>
      </c>
      <c r="I30">
        <f t="shared" si="1"/>
        <v>52.325603111692274</v>
      </c>
      <c r="J30">
        <f t="shared" si="2"/>
        <v>1529.0019398780908</v>
      </c>
      <c r="K30">
        <f t="shared" si="3"/>
        <v>1275.8643431521145</v>
      </c>
      <c r="L30">
        <f t="shared" si="4"/>
        <v>126.31984933342707</v>
      </c>
      <c r="M30">
        <f t="shared" si="5"/>
        <v>151.38231247903971</v>
      </c>
      <c r="N30">
        <f t="shared" si="6"/>
        <v>0.40396488723410107</v>
      </c>
      <c r="O30">
        <f t="shared" si="7"/>
        <v>2.2446132736321407</v>
      </c>
      <c r="P30">
        <f t="shared" si="8"/>
        <v>0.3674936160002365</v>
      </c>
      <c r="Q30">
        <f t="shared" si="9"/>
        <v>0.23268529403176702</v>
      </c>
      <c r="R30">
        <f t="shared" si="10"/>
        <v>281.56308737803471</v>
      </c>
      <c r="S30">
        <f t="shared" si="11"/>
        <v>28.671342401451938</v>
      </c>
      <c r="T30">
        <f t="shared" si="12"/>
        <v>29.311399999999999</v>
      </c>
      <c r="U30">
        <f t="shared" si="13"/>
        <v>4.0948142113595942</v>
      </c>
      <c r="V30">
        <f t="shared" si="14"/>
        <v>75.312591913531051</v>
      </c>
      <c r="W30">
        <f t="shared" si="15"/>
        <v>2.8760523726497</v>
      </c>
      <c r="X30">
        <f t="shared" si="16"/>
        <v>3.8188200665723913</v>
      </c>
      <c r="Y30">
        <f t="shared" si="17"/>
        <v>1.2187618387098942</v>
      </c>
      <c r="Z30">
        <f t="shared" si="18"/>
        <v>-206.77810819516725</v>
      </c>
      <c r="AA30">
        <f t="shared" si="19"/>
        <v>-145.6132472193336</v>
      </c>
      <c r="AB30">
        <f t="shared" si="20"/>
        <v>-14.240994864879278</v>
      </c>
      <c r="AC30">
        <f t="shared" si="21"/>
        <v>-85.069262901345411</v>
      </c>
      <c r="AD30">
        <v>-4.1038885507025898E-2</v>
      </c>
      <c r="AE30">
        <v>4.60697441854655E-2</v>
      </c>
      <c r="AF30">
        <v>3.4455946867722802</v>
      </c>
      <c r="AG30">
        <v>160</v>
      </c>
      <c r="AH30">
        <v>32</v>
      </c>
      <c r="AI30">
        <f t="shared" si="22"/>
        <v>1.0061758126096143</v>
      </c>
      <c r="AJ30">
        <f t="shared" si="23"/>
        <v>0.61758126096143062</v>
      </c>
      <c r="AK30">
        <f t="shared" si="24"/>
        <v>52135.043659491093</v>
      </c>
      <c r="AL30" t="s">
        <v>278</v>
      </c>
      <c r="AM30">
        <v>520.33192307692298</v>
      </c>
      <c r="AN30">
        <v>3330.63</v>
      </c>
      <c r="AO30">
        <f t="shared" si="25"/>
        <v>2810.2980769230771</v>
      </c>
      <c r="AP30">
        <f t="shared" si="26"/>
        <v>0.84377372356673574</v>
      </c>
      <c r="AQ30">
        <v>-1.3252759154356599</v>
      </c>
      <c r="AR30" t="s">
        <v>351</v>
      </c>
      <c r="AS30">
        <v>755.359923076923</v>
      </c>
      <c r="AT30">
        <v>1243.26</v>
      </c>
      <c r="AU30">
        <f t="shared" si="27"/>
        <v>0.39243607686491722</v>
      </c>
      <c r="AV30">
        <v>0.5</v>
      </c>
      <c r="AW30">
        <f t="shared" si="28"/>
        <v>1471.2546000963325</v>
      </c>
      <c r="AX30">
        <f t="shared" si="29"/>
        <v>52.325603111692274</v>
      </c>
      <c r="AY30">
        <f t="shared" si="30"/>
        <v>288.6866916656337</v>
      </c>
      <c r="AZ30">
        <f t="shared" si="31"/>
        <v>0.59162202596399782</v>
      </c>
      <c r="BA30">
        <f t="shared" si="32"/>
        <v>3.6466073936907359E-2</v>
      </c>
      <c r="BB30">
        <f t="shared" si="33"/>
        <v>1.6789488924279716</v>
      </c>
      <c r="BC30" t="s">
        <v>352</v>
      </c>
      <c r="BD30">
        <v>507.72</v>
      </c>
      <c r="BE30">
        <f t="shared" si="34"/>
        <v>735.54</v>
      </c>
      <c r="BF30">
        <f t="shared" si="35"/>
        <v>0.66332228964172857</v>
      </c>
      <c r="BG30">
        <f t="shared" si="36"/>
        <v>0.73943908945024817</v>
      </c>
      <c r="BH30">
        <f t="shared" si="37"/>
        <v>0.67489435325250469</v>
      </c>
      <c r="BI30">
        <f t="shared" si="38"/>
        <v>0.74275750929787754</v>
      </c>
      <c r="BJ30">
        <v>1447</v>
      </c>
      <c r="BK30">
        <v>300</v>
      </c>
      <c r="BL30">
        <v>300</v>
      </c>
      <c r="BM30">
        <v>300</v>
      </c>
      <c r="BN30">
        <v>10272.799999999999</v>
      </c>
      <c r="BO30">
        <v>1123.3499999999999</v>
      </c>
      <c r="BP30">
        <v>-7.0538199999999997E-3</v>
      </c>
      <c r="BQ30">
        <v>7.3582799999999997</v>
      </c>
      <c r="BR30">
        <f t="shared" si="39"/>
        <v>1750.06</v>
      </c>
      <c r="BS30">
        <f t="shared" si="40"/>
        <v>1471.2546000963325</v>
      </c>
      <c r="BT30">
        <f t="shared" si="41"/>
        <v>0.84068809074907869</v>
      </c>
      <c r="BU30">
        <f t="shared" si="42"/>
        <v>0.19137618149815741</v>
      </c>
      <c r="BV30" t="s">
        <v>281</v>
      </c>
      <c r="BW30">
        <v>1566150798.3</v>
      </c>
      <c r="BX30">
        <v>1529.002</v>
      </c>
      <c r="BY30">
        <v>1600.01</v>
      </c>
      <c r="BZ30">
        <v>29.0489</v>
      </c>
      <c r="CA30">
        <v>23.6203</v>
      </c>
      <c r="CB30">
        <v>500.00299999999999</v>
      </c>
      <c r="CC30">
        <v>98.807199999999995</v>
      </c>
      <c r="CD30">
        <v>0.200073</v>
      </c>
      <c r="CE30">
        <v>28.1081</v>
      </c>
      <c r="CF30">
        <v>29.311399999999999</v>
      </c>
      <c r="CG30">
        <v>999.9</v>
      </c>
      <c r="CH30">
        <v>10016.200000000001</v>
      </c>
      <c r="CI30">
        <v>0</v>
      </c>
      <c r="CJ30">
        <v>1755.99</v>
      </c>
      <c r="CK30">
        <v>1750.06</v>
      </c>
      <c r="CL30">
        <v>0.97699599999999998</v>
      </c>
      <c r="CM30">
        <v>2.3003900000000001E-2</v>
      </c>
      <c r="CN30">
        <v>0</v>
      </c>
      <c r="CO30">
        <v>754.09400000000005</v>
      </c>
      <c r="CP30">
        <v>4.99986</v>
      </c>
      <c r="CQ30">
        <v>17219.2</v>
      </c>
      <c r="CR30">
        <v>14221.2</v>
      </c>
      <c r="CS30">
        <v>47.561999999999998</v>
      </c>
      <c r="CT30">
        <v>50.436999999999998</v>
      </c>
      <c r="CU30">
        <v>48.561999999999998</v>
      </c>
      <c r="CV30">
        <v>49.311999999999998</v>
      </c>
      <c r="CW30">
        <v>49.125</v>
      </c>
      <c r="CX30">
        <v>1704.92</v>
      </c>
      <c r="CY30">
        <v>40.14</v>
      </c>
      <c r="CZ30">
        <v>0</v>
      </c>
      <c r="DA30">
        <v>126.200000047684</v>
      </c>
      <c r="DB30">
        <v>755.359923076923</v>
      </c>
      <c r="DC30">
        <v>-9.0124444181712704</v>
      </c>
      <c r="DD30">
        <v>2829.6102512185398</v>
      </c>
      <c r="DE30">
        <v>17135.580769230801</v>
      </c>
      <c r="DF30">
        <v>15</v>
      </c>
      <c r="DG30">
        <v>1566150829.3</v>
      </c>
      <c r="DH30" t="s">
        <v>353</v>
      </c>
      <c r="DI30">
        <v>87</v>
      </c>
      <c r="DJ30">
        <v>0.69299999999999995</v>
      </c>
      <c r="DK30">
        <v>0.20799999999999999</v>
      </c>
      <c r="DL30">
        <v>1600</v>
      </c>
      <c r="DM30">
        <v>24</v>
      </c>
      <c r="DN30">
        <v>0.03</v>
      </c>
      <c r="DO30">
        <v>0.02</v>
      </c>
      <c r="DP30">
        <v>52.3760021498097</v>
      </c>
      <c r="DQ30">
        <v>-0.28678349692563398</v>
      </c>
      <c r="DR30">
        <v>0.16515671957613501</v>
      </c>
      <c r="DS30">
        <v>1</v>
      </c>
      <c r="DT30">
        <v>0.38179417542365901</v>
      </c>
      <c r="DU30">
        <v>0.123316533515356</v>
      </c>
      <c r="DV30">
        <v>2.6060144055700299E-2</v>
      </c>
      <c r="DW30">
        <v>1</v>
      </c>
      <c r="DX30">
        <v>2</v>
      </c>
      <c r="DY30">
        <v>2</v>
      </c>
      <c r="DZ30" t="s">
        <v>283</v>
      </c>
      <c r="EA30">
        <v>1.8672200000000001</v>
      </c>
      <c r="EB30">
        <v>1.86371</v>
      </c>
      <c r="EC30">
        <v>1.8693500000000001</v>
      </c>
      <c r="ED30">
        <v>1.8673</v>
      </c>
      <c r="EE30">
        <v>1.87195</v>
      </c>
      <c r="EF30">
        <v>1.86446</v>
      </c>
      <c r="EG30">
        <v>1.86588</v>
      </c>
      <c r="EH30">
        <v>1.8658399999999999</v>
      </c>
      <c r="EI30" t="s">
        <v>284</v>
      </c>
      <c r="EJ30" t="s">
        <v>19</v>
      </c>
      <c r="EK30" t="s">
        <v>19</v>
      </c>
      <c r="EL30" t="s">
        <v>19</v>
      </c>
      <c r="EM30" t="s">
        <v>285</v>
      </c>
      <c r="EN30" t="s">
        <v>286</v>
      </c>
      <c r="EO30" t="s">
        <v>287</v>
      </c>
      <c r="EP30" t="s">
        <v>287</v>
      </c>
      <c r="EQ30" t="s">
        <v>287</v>
      </c>
      <c r="ER30" t="s">
        <v>287</v>
      </c>
      <c r="ES30">
        <v>0</v>
      </c>
      <c r="ET30">
        <v>100</v>
      </c>
      <c r="EU30">
        <v>100</v>
      </c>
      <c r="EV30">
        <v>0.69299999999999995</v>
      </c>
      <c r="EW30">
        <v>0.20799999999999999</v>
      </c>
      <c r="EX30">
        <v>2</v>
      </c>
      <c r="EY30">
        <v>320.00700000000001</v>
      </c>
      <c r="EZ30">
        <v>463.29599999999999</v>
      </c>
      <c r="FA30">
        <v>23.798400000000001</v>
      </c>
      <c r="FB30">
        <v>36.844499999999996</v>
      </c>
      <c r="FC30">
        <v>30.001100000000001</v>
      </c>
      <c r="FD30">
        <v>36.640300000000003</v>
      </c>
      <c r="FE30">
        <v>36.613399999999999</v>
      </c>
      <c r="FF30">
        <v>67.811199999999999</v>
      </c>
      <c r="FG30">
        <v>100</v>
      </c>
      <c r="FH30">
        <v>0</v>
      </c>
      <c r="FI30">
        <v>23.7911</v>
      </c>
      <c r="FJ30">
        <v>1600</v>
      </c>
      <c r="FK30">
        <v>10.938000000000001</v>
      </c>
      <c r="FL30">
        <v>100.124</v>
      </c>
      <c r="FM30">
        <v>100.54</v>
      </c>
    </row>
  </sheetData>
  <sortState ref="J35:L48">
    <sortCondition ref="J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Jiang, Chongya</cp:lastModifiedBy>
  <dcterms:created xsi:type="dcterms:W3CDTF">2019-08-18T13:13:50Z</dcterms:created>
  <dcterms:modified xsi:type="dcterms:W3CDTF">2019-08-28T02:44:40Z</dcterms:modified>
</cp:coreProperties>
</file>