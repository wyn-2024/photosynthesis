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ongya\Documents\Guapi\A-Ci\raw20190818\"/>
    </mc:Choice>
  </mc:AlternateContent>
  <bookViews>
    <workbookView xWindow="0" yWindow="0" windowWidth="15530" windowHeight="7050"/>
  </bookViews>
  <sheets>
    <sheet name="Measurements" sheetId="1" r:id="rId1"/>
    <sheet name="Remarks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AZ30" i="1" s="1"/>
  <c r="BB30" i="1"/>
  <c r="AU30" i="1"/>
  <c r="AO30" i="1"/>
  <c r="AP30" i="1" s="1"/>
  <c r="AK30" i="1"/>
  <c r="AI30" i="1" s="1"/>
  <c r="X30" i="1"/>
  <c r="W30" i="1"/>
  <c r="O30" i="1"/>
  <c r="H30" i="1"/>
  <c r="Z30" i="1" s="1"/>
  <c r="BU29" i="1"/>
  <c r="BT29" i="1"/>
  <c r="BR29" i="1"/>
  <c r="BS29" i="1" s="1"/>
  <c r="AW29" i="1" s="1"/>
  <c r="BI29" i="1"/>
  <c r="BH29" i="1"/>
  <c r="BG29" i="1"/>
  <c r="BF29" i="1"/>
  <c r="BE29" i="1"/>
  <c r="AZ29" i="1" s="1"/>
  <c r="BB29" i="1"/>
  <c r="AU29" i="1"/>
  <c r="AP29" i="1"/>
  <c r="AO29" i="1"/>
  <c r="AK29" i="1"/>
  <c r="AI29" i="1"/>
  <c r="AJ29" i="1" s="1"/>
  <c r="X29" i="1"/>
  <c r="W29" i="1"/>
  <c r="O29" i="1"/>
  <c r="BU28" i="1"/>
  <c r="BT28" i="1"/>
  <c r="BR28" i="1"/>
  <c r="BS28" i="1" s="1"/>
  <c r="AW28" i="1" s="1"/>
  <c r="AY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 s="1"/>
  <c r="X28" i="1"/>
  <c r="W28" i="1"/>
  <c r="V28" i="1" s="1"/>
  <c r="O28" i="1"/>
  <c r="BU27" i="1"/>
  <c r="BT27" i="1"/>
  <c r="BS27" i="1" s="1"/>
  <c r="BR27" i="1"/>
  <c r="BI27" i="1"/>
  <c r="BH27" i="1"/>
  <c r="BG27" i="1"/>
  <c r="BF27" i="1"/>
  <c r="BE27" i="1"/>
  <c r="AZ27" i="1" s="1"/>
  <c r="BB27" i="1"/>
  <c r="AU27" i="1"/>
  <c r="AO27" i="1"/>
  <c r="AP27" i="1" s="1"/>
  <c r="AK27" i="1"/>
  <c r="AI27" i="1" s="1"/>
  <c r="I27" i="1" s="1"/>
  <c r="M27" i="1" s="1"/>
  <c r="X27" i="1"/>
  <c r="V27" i="1" s="1"/>
  <c r="W27" i="1"/>
  <c r="O27" i="1"/>
  <c r="H27" i="1"/>
  <c r="BU26" i="1"/>
  <c r="BT26" i="1"/>
  <c r="BR26" i="1"/>
  <c r="BS26" i="1" s="1"/>
  <c r="BI26" i="1"/>
  <c r="BH26" i="1"/>
  <c r="BG26" i="1"/>
  <c r="BF26" i="1"/>
  <c r="BE26" i="1"/>
  <c r="AZ26" i="1" s="1"/>
  <c r="BB26" i="1"/>
  <c r="AU26" i="1"/>
  <c r="AO26" i="1"/>
  <c r="AP26" i="1" s="1"/>
  <c r="AK26" i="1"/>
  <c r="AI26" i="1" s="1"/>
  <c r="X26" i="1"/>
  <c r="W26" i="1"/>
  <c r="O26" i="1"/>
  <c r="H26" i="1"/>
  <c r="Z26" i="1" s="1"/>
  <c r="BU25" i="1"/>
  <c r="BT25" i="1"/>
  <c r="BR25" i="1"/>
  <c r="BS25" i="1" s="1"/>
  <c r="AW25" i="1" s="1"/>
  <c r="BI25" i="1"/>
  <c r="BH25" i="1"/>
  <c r="BG25" i="1"/>
  <c r="BF25" i="1"/>
  <c r="BE25" i="1"/>
  <c r="AZ25" i="1" s="1"/>
  <c r="BB25" i="1"/>
  <c r="AU25" i="1"/>
  <c r="AP25" i="1"/>
  <c r="AO25" i="1"/>
  <c r="AK25" i="1"/>
  <c r="AI25" i="1"/>
  <c r="AJ25" i="1" s="1"/>
  <c r="X25" i="1"/>
  <c r="W25" i="1"/>
  <c r="O25" i="1"/>
  <c r="BU24" i="1"/>
  <c r="BT24" i="1"/>
  <c r="BR24" i="1"/>
  <c r="BS24" i="1" s="1"/>
  <c r="AW24" i="1" s="1"/>
  <c r="AY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 s="1"/>
  <c r="X24" i="1"/>
  <c r="W24" i="1"/>
  <c r="V24" i="1" s="1"/>
  <c r="O24" i="1"/>
  <c r="BU23" i="1"/>
  <c r="BT23" i="1"/>
  <c r="BS23" i="1" s="1"/>
  <c r="BR23" i="1"/>
  <c r="BI23" i="1"/>
  <c r="BH23" i="1"/>
  <c r="BG23" i="1"/>
  <c r="BF23" i="1"/>
  <c r="BE23" i="1"/>
  <c r="AZ23" i="1" s="1"/>
  <c r="BB23" i="1"/>
  <c r="AW23" i="1"/>
  <c r="AY23" i="1" s="1"/>
  <c r="AU23" i="1"/>
  <c r="AO23" i="1"/>
  <c r="AP23" i="1" s="1"/>
  <c r="AK23" i="1"/>
  <c r="AI23" i="1" s="1"/>
  <c r="H23" i="1" s="1"/>
  <c r="Z23" i="1" s="1"/>
  <c r="X23" i="1"/>
  <c r="V23" i="1" s="1"/>
  <c r="W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 s="1"/>
  <c r="X22" i="1"/>
  <c r="W22" i="1"/>
  <c r="O22" i="1"/>
  <c r="H22" i="1"/>
  <c r="Z22" i="1" s="1"/>
  <c r="BU21" i="1"/>
  <c r="BT21" i="1"/>
  <c r="BR21" i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 s="1"/>
  <c r="AJ21" i="1" s="1"/>
  <c r="X21" i="1"/>
  <c r="W21" i="1"/>
  <c r="V21" i="1" s="1"/>
  <c r="O21" i="1"/>
  <c r="BU20" i="1"/>
  <c r="BT20" i="1"/>
  <c r="BR20" i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/>
  <c r="X20" i="1"/>
  <c r="W20" i="1"/>
  <c r="V20" i="1"/>
  <c r="O20" i="1"/>
  <c r="BU19" i="1"/>
  <c r="BT19" i="1"/>
  <c r="BS19" i="1"/>
  <c r="AW19" i="1" s="1"/>
  <c r="BR19" i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 s="1"/>
  <c r="AJ19" i="1" s="1"/>
  <c r="X19" i="1"/>
  <c r="W19" i="1"/>
  <c r="V19" i="1" s="1"/>
  <c r="O19" i="1"/>
  <c r="I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H18" i="1" s="1"/>
  <c r="X18" i="1"/>
  <c r="V18" i="1" s="1"/>
  <c r="W18" i="1"/>
  <c r="O18" i="1"/>
  <c r="I18" i="1"/>
  <c r="AX18" i="1" s="1"/>
  <c r="BU17" i="1"/>
  <c r="BT17" i="1"/>
  <c r="BR17" i="1"/>
  <c r="BS17" i="1" s="1"/>
  <c r="R17" i="1" s="1"/>
  <c r="BI17" i="1"/>
  <c r="BH17" i="1"/>
  <c r="BG17" i="1"/>
  <c r="BF17" i="1"/>
  <c r="BE17" i="1"/>
  <c r="AZ17" i="1" s="1"/>
  <c r="BB17" i="1"/>
  <c r="AU17" i="1"/>
  <c r="AP17" i="1"/>
  <c r="AO17" i="1"/>
  <c r="AK17" i="1"/>
  <c r="AI17" i="1"/>
  <c r="AJ17" i="1" s="1"/>
  <c r="X17" i="1"/>
  <c r="V17" i="1" s="1"/>
  <c r="W17" i="1"/>
  <c r="O17" i="1"/>
  <c r="AY19" i="1" l="1"/>
  <c r="I23" i="1"/>
  <c r="R25" i="1"/>
  <c r="S25" i="1" s="1"/>
  <c r="T25" i="1" s="1"/>
  <c r="AA25" i="1" s="1"/>
  <c r="AY25" i="1"/>
  <c r="R29" i="1"/>
  <c r="AY29" i="1"/>
  <c r="R19" i="1"/>
  <c r="R24" i="1"/>
  <c r="V25" i="1"/>
  <c r="R28" i="1"/>
  <c r="V29" i="1"/>
  <c r="H19" i="1"/>
  <c r="Z19" i="1" s="1"/>
  <c r="BS20" i="1"/>
  <c r="BS21" i="1"/>
  <c r="R23" i="1"/>
  <c r="S23" i="1" s="1"/>
  <c r="T23" i="1" s="1"/>
  <c r="AA23" i="1" s="1"/>
  <c r="AW18" i="1"/>
  <c r="BA18" i="1" s="1"/>
  <c r="R18" i="1"/>
  <c r="R22" i="1"/>
  <c r="AW22" i="1"/>
  <c r="AY22" i="1" s="1"/>
  <c r="S19" i="1"/>
  <c r="T19" i="1" s="1"/>
  <c r="AA19" i="1" s="1"/>
  <c r="R26" i="1"/>
  <c r="AW26" i="1"/>
  <c r="AY26" i="1" s="1"/>
  <c r="R27" i="1"/>
  <c r="AW27" i="1"/>
  <c r="AY27" i="1" s="1"/>
  <c r="H28" i="1"/>
  <c r="AJ28" i="1"/>
  <c r="I28" i="1"/>
  <c r="AX28" i="1" s="1"/>
  <c r="BA28" i="1" s="1"/>
  <c r="J18" i="1"/>
  <c r="AX19" i="1"/>
  <c r="BA19" i="1" s="1"/>
  <c r="J19" i="1"/>
  <c r="R30" i="1"/>
  <c r="AW30" i="1"/>
  <c r="H17" i="1"/>
  <c r="AW17" i="1"/>
  <c r="AY17" i="1" s="1"/>
  <c r="Z18" i="1"/>
  <c r="AJ18" i="1"/>
  <c r="I22" i="1"/>
  <c r="AX22" i="1" s="1"/>
  <c r="BA22" i="1" s="1"/>
  <c r="AJ22" i="1"/>
  <c r="M23" i="1"/>
  <c r="AX23" i="1"/>
  <c r="BA23" i="1" s="1"/>
  <c r="J26" i="1"/>
  <c r="I26" i="1"/>
  <c r="AX26" i="1" s="1"/>
  <c r="AJ26" i="1"/>
  <c r="M28" i="1"/>
  <c r="I17" i="1"/>
  <c r="M17" i="1" s="1"/>
  <c r="M18" i="1"/>
  <c r="M19" i="1"/>
  <c r="H20" i="1"/>
  <c r="AJ20" i="1"/>
  <c r="I20" i="1"/>
  <c r="H24" i="1"/>
  <c r="AJ24" i="1"/>
  <c r="I24" i="1"/>
  <c r="Z27" i="1"/>
  <c r="J30" i="1"/>
  <c r="M30" i="1"/>
  <c r="I30" i="1"/>
  <c r="AX30" i="1" s="1"/>
  <c r="AJ30" i="1"/>
  <c r="AJ23" i="1"/>
  <c r="J23" i="1"/>
  <c r="AJ27" i="1"/>
  <c r="J27" i="1"/>
  <c r="AX27" i="1"/>
  <c r="BA27" i="1" s="1"/>
  <c r="AY30" i="1"/>
  <c r="I21" i="1"/>
  <c r="H21" i="1"/>
  <c r="V22" i="1"/>
  <c r="I25" i="1"/>
  <c r="H25" i="1"/>
  <c r="V26" i="1"/>
  <c r="I29" i="1"/>
  <c r="H29" i="1"/>
  <c r="S29" i="1" s="1"/>
  <c r="T29" i="1" s="1"/>
  <c r="V30" i="1"/>
  <c r="BA30" i="1" l="1"/>
  <c r="M22" i="1"/>
  <c r="AY18" i="1"/>
  <c r="AW21" i="1"/>
  <c r="AY21" i="1" s="1"/>
  <c r="R21" i="1"/>
  <c r="S21" i="1" s="1"/>
  <c r="T21" i="1" s="1"/>
  <c r="AA21" i="1" s="1"/>
  <c r="P19" i="1"/>
  <c r="N19" i="1" s="1"/>
  <c r="Q19" i="1" s="1"/>
  <c r="K19" i="1" s="1"/>
  <c r="L19" i="1" s="1"/>
  <c r="BA26" i="1"/>
  <c r="J22" i="1"/>
  <c r="AW20" i="1"/>
  <c r="AY20" i="1" s="1"/>
  <c r="R20" i="1"/>
  <c r="S20" i="1" s="1"/>
  <c r="T20" i="1" s="1"/>
  <c r="AA20" i="1" s="1"/>
  <c r="AX29" i="1"/>
  <c r="BA29" i="1" s="1"/>
  <c r="J29" i="1"/>
  <c r="AX25" i="1"/>
  <c r="BA25" i="1" s="1"/>
  <c r="J25" i="1"/>
  <c r="AX21" i="1"/>
  <c r="J21" i="1"/>
  <c r="AX24" i="1"/>
  <c r="BA24" i="1" s="1"/>
  <c r="M24" i="1"/>
  <c r="S30" i="1"/>
  <c r="T30" i="1" s="1"/>
  <c r="U29" i="1"/>
  <c r="Y29" i="1" s="1"/>
  <c r="AB29" i="1"/>
  <c r="S22" i="1"/>
  <c r="T22" i="1" s="1"/>
  <c r="M29" i="1"/>
  <c r="M25" i="1"/>
  <c r="M21" i="1"/>
  <c r="J24" i="1"/>
  <c r="J20" i="1"/>
  <c r="AX20" i="1"/>
  <c r="BA20" i="1" s="1"/>
  <c r="M20" i="1"/>
  <c r="Z28" i="1"/>
  <c r="S27" i="1"/>
  <c r="T27" i="1" s="1"/>
  <c r="AB20" i="1"/>
  <c r="S18" i="1"/>
  <c r="T18" i="1" s="1"/>
  <c r="AA29" i="1"/>
  <c r="U25" i="1"/>
  <c r="Y25" i="1" s="1"/>
  <c r="AB25" i="1"/>
  <c r="U21" i="1"/>
  <c r="Y21" i="1" s="1"/>
  <c r="AB21" i="1"/>
  <c r="Z17" i="1"/>
  <c r="U23" i="1"/>
  <c r="Y23" i="1" s="1"/>
  <c r="AB23" i="1"/>
  <c r="AC23" i="1" s="1"/>
  <c r="P23" i="1"/>
  <c r="N23" i="1" s="1"/>
  <c r="Q23" i="1" s="1"/>
  <c r="K23" i="1" s="1"/>
  <c r="L23" i="1" s="1"/>
  <c r="AB19" i="1"/>
  <c r="AC19" i="1" s="1"/>
  <c r="U19" i="1"/>
  <c r="Y19" i="1" s="1"/>
  <c r="S17" i="1"/>
  <c r="T17" i="1" s="1"/>
  <c r="P17" i="1" s="1"/>
  <c r="N17" i="1" s="1"/>
  <c r="Q17" i="1" s="1"/>
  <c r="K17" i="1" s="1"/>
  <c r="L17" i="1" s="1"/>
  <c r="P29" i="1"/>
  <c r="N29" i="1" s="1"/>
  <c r="Q29" i="1" s="1"/>
  <c r="K29" i="1" s="1"/>
  <c r="L29" i="1" s="1"/>
  <c r="Z29" i="1"/>
  <c r="P25" i="1"/>
  <c r="N25" i="1" s="1"/>
  <c r="Q25" i="1" s="1"/>
  <c r="Z25" i="1"/>
  <c r="P21" i="1"/>
  <c r="N21" i="1" s="1"/>
  <c r="Q21" i="1" s="1"/>
  <c r="K21" i="1" s="1"/>
  <c r="L21" i="1" s="1"/>
  <c r="Z21" i="1"/>
  <c r="Z24" i="1"/>
  <c r="P20" i="1"/>
  <c r="N20" i="1" s="1"/>
  <c r="Q20" i="1" s="1"/>
  <c r="K20" i="1" s="1"/>
  <c r="L20" i="1" s="1"/>
  <c r="Z20" i="1"/>
  <c r="AX17" i="1"/>
  <c r="BA17" i="1" s="1"/>
  <c r="J17" i="1"/>
  <c r="M26" i="1"/>
  <c r="S24" i="1"/>
  <c r="T24" i="1" s="1"/>
  <c r="J28" i="1"/>
  <c r="S28" i="1"/>
  <c r="T28" i="1" s="1"/>
  <c r="S26" i="1"/>
  <c r="T26" i="1" s="1"/>
  <c r="BA21" i="1" l="1"/>
  <c r="AC25" i="1"/>
  <c r="U20" i="1"/>
  <c r="Y20" i="1" s="1"/>
  <c r="U26" i="1"/>
  <c r="Y26" i="1" s="1"/>
  <c r="AB26" i="1"/>
  <c r="AA26" i="1"/>
  <c r="P26" i="1"/>
  <c r="N26" i="1" s="1"/>
  <c r="Q26" i="1" s="1"/>
  <c r="K26" i="1" s="1"/>
  <c r="L26" i="1" s="1"/>
  <c r="AB24" i="1"/>
  <c r="U24" i="1"/>
  <c r="Y24" i="1" s="1"/>
  <c r="AA24" i="1"/>
  <c r="U27" i="1"/>
  <c r="Y27" i="1" s="1"/>
  <c r="AB27" i="1"/>
  <c r="P27" i="1"/>
  <c r="N27" i="1" s="1"/>
  <c r="Q27" i="1" s="1"/>
  <c r="K27" i="1" s="1"/>
  <c r="L27" i="1" s="1"/>
  <c r="AA27" i="1"/>
  <c r="AC29" i="1"/>
  <c r="AB28" i="1"/>
  <c r="U28" i="1"/>
  <c r="Y28" i="1" s="1"/>
  <c r="AA28" i="1"/>
  <c r="AB17" i="1"/>
  <c r="AC17" i="1" s="1"/>
  <c r="U17" i="1"/>
  <c r="Y17" i="1" s="1"/>
  <c r="AA17" i="1"/>
  <c r="AC21" i="1"/>
  <c r="AC20" i="1"/>
  <c r="P28" i="1"/>
  <c r="N28" i="1" s="1"/>
  <c r="Q28" i="1" s="1"/>
  <c r="K28" i="1" s="1"/>
  <c r="L28" i="1" s="1"/>
  <c r="U22" i="1"/>
  <c r="Y22" i="1" s="1"/>
  <c r="AB22" i="1"/>
  <c r="AA22" i="1"/>
  <c r="P22" i="1"/>
  <c r="N22" i="1" s="1"/>
  <c r="Q22" i="1" s="1"/>
  <c r="K22" i="1" s="1"/>
  <c r="L22" i="1" s="1"/>
  <c r="U30" i="1"/>
  <c r="Y30" i="1" s="1"/>
  <c r="AB30" i="1"/>
  <c r="AA30" i="1"/>
  <c r="P30" i="1"/>
  <c r="N30" i="1" s="1"/>
  <c r="Q30" i="1" s="1"/>
  <c r="K30" i="1" s="1"/>
  <c r="L30" i="1" s="1"/>
  <c r="P24" i="1"/>
  <c r="N24" i="1" s="1"/>
  <c r="Q24" i="1" s="1"/>
  <c r="K24" i="1" s="1"/>
  <c r="L24" i="1" s="1"/>
  <c r="K25" i="1"/>
  <c r="L25" i="1" s="1"/>
  <c r="AB18" i="1"/>
  <c r="AC18" i="1" s="1"/>
  <c r="U18" i="1"/>
  <c r="Y18" i="1" s="1"/>
  <c r="P18" i="1"/>
  <c r="N18" i="1" s="1"/>
  <c r="Q18" i="1" s="1"/>
  <c r="K18" i="1" s="1"/>
  <c r="L18" i="1" s="1"/>
  <c r="AA18" i="1"/>
  <c r="AC26" i="1" l="1"/>
  <c r="AC30" i="1"/>
  <c r="AC22" i="1"/>
  <c r="AC28" i="1"/>
  <c r="AC27" i="1"/>
  <c r="AC24" i="1"/>
</calcChain>
</file>

<file path=xl/sharedStrings.xml><?xml version="1.0" encoding="utf-8"?>
<sst xmlns="http://schemas.openxmlformats.org/spreadsheetml/2006/main" count="784" uniqueCount="354">
  <si>
    <t>File opened</t>
  </si>
  <si>
    <t>2019-08-18 11:04:43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</si>
  <si>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</si>
  <si>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</si>
  <si>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</si>
  <si>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</si>
  <si>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</si>
  <si>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</si>
  <si>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</si>
  <si>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</si>
  <si>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</si>
  <si>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</si>
  <si>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</si>
  <si>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{"tbzero": "0.197721", "h2obspan1": "0.998578", "co2aspan1": "0.992625", "co2aspan2a": "0.164928", "h2oaspanconc1": "12.19", "h2obspan2a": "0.0975941", "co2aspan2": "0", "co2bspan1": "0.992131", "co2aspan2b": "0.163711", "co2aspanconc1": "1002", "h2oaspan2": "0", "co2bspan2b": "0.162103", "ssa_ref": "36614.9", "h2obspanconc2": "0", "h2obzero": "1.01783", "flowbzero": "0.20796", "h2oaspan2b": "0.0662632", "oxygen": "21", "h2obspan2": "0", "co2bzero": "0.880288", "co2bspan2": "0", "chamberpressurezero": "2.57337", "ssb_ref": "36526.8", "co2bspanconc1": "1002", "h2oaspanconc2": "0", "flowmeterzero": "0.991801", "co2aspanconc2": "0", "h2oaspan1": "1.00223", "h2oaspan2a": "0.0661155", "co2bspanconc2": "0", "tazero": "0.00774765", "h2obspanconc1": "20", "h2obspan2b": "0.0963575", "flowazero": "0.4286", "co2azero": "0.869071", "co2bspan2a": "0.163389", "h2oazero": "1.00263"}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</si>
  <si>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</si>
  <si>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</si>
  <si>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</si>
  <si>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</si>
  <si>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</si>
  <si>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</si>
  <si>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</si>
  <si>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</si>
  <si>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</si>
  <si>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11:04:43</t>
  </si>
  <si>
    <t>Stability Definition:	A (GasEx): Slp&lt;0.3 Std&lt;0.5	gsw (GasEx): Slp&lt;1 Std&lt;0.5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</si>
  <si>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</si>
  <si>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</si>
  <si>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</si>
  <si>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</si>
  <si>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</si>
  <si>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</si>
  <si>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</si>
  <si>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</si>
  <si>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</si>
  <si>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</si>
  <si>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</si>
  <si>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</si>
  <si>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</si>
  <si>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</si>
  <si>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</si>
  <si>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</si>
  <si>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</si>
  <si>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</si>
  <si>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</si>
  <si>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</si>
  <si>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</si>
  <si>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</si>
  <si>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</si>
  <si>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</si>
  <si>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</si>
  <si>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</si>
  <si>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</si>
  <si>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</si>
  <si>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</si>
  <si>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</si>
  <si>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</si>
  <si>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</si>
  <si>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</si>
  <si>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</si>
  <si>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</si>
  <si>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</si>
  <si>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</si>
  <si>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</si>
  <si>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</si>
  <si>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</si>
  <si>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</si>
  <si>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</si>
  <si>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</si>
  <si>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</si>
  <si>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</si>
  <si>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</si>
  <si>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0.570593 73.8588 386.38 619.433 848.611 1051.49 1232.95 1389.7</t>
  </si>
  <si>
    <t>Fs_true</t>
  </si>
  <si>
    <t>0.0938281 100.298 404.41 600.711 801.999 1000.17 1200.83 1401.26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</si>
  <si>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</si>
  <si>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</si>
  <si>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</si>
  <si>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</si>
  <si>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</si>
  <si>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</si>
  <si>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</si>
  <si>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</si>
  <si>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</si>
  <si>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</si>
  <si>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</si>
  <si>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</si>
  <si>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</si>
  <si>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</si>
  <si>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</si>
  <si>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</si>
  <si>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</si>
  <si>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</si>
  <si>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</si>
  <si>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</si>
  <si>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</si>
  <si>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</si>
  <si>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</si>
  <si>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</si>
  <si>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</si>
  <si>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</si>
  <si>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</si>
  <si>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</si>
  <si>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</si>
  <si>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</si>
  <si>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</si>
  <si>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</si>
  <si>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</si>
  <si>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</si>
  <si>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</si>
  <si>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</si>
  <si>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</si>
  <si>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</si>
  <si>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</si>
  <si>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</si>
  <si>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</si>
  <si>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</si>
  <si>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</si>
  <si>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</si>
  <si>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</si>
  <si>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</si>
  <si>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</si>
  <si>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</si>
  <si>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</si>
  <si>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</si>
  <si>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</si>
  <si>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</si>
  <si>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</si>
  <si>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</si>
  <si>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</si>
  <si>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</si>
  <si>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</si>
  <si>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</si>
  <si>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</si>
  <si>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</si>
  <si>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</si>
  <si>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</si>
  <si>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</si>
  <si>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</si>
  <si>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</si>
  <si>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</si>
  <si>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</si>
  <si>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</si>
  <si>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</si>
  <si>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</si>
  <si>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</si>
  <si>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</si>
  <si>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</si>
  <si>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</si>
  <si>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</si>
  <si>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</si>
  <si>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</si>
  <si>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</si>
  <si>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</si>
  <si>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</si>
  <si>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</si>
  <si>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</si>
  <si>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</si>
  <si>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</si>
  <si>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</si>
  <si>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</si>
  <si>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</si>
  <si>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</si>
  <si>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</si>
  <si>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</si>
  <si>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</si>
  <si>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</si>
  <si>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</si>
  <si>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</si>
  <si>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</si>
  <si>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</si>
  <si>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</si>
  <si>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</si>
  <si>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</si>
  <si>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</si>
  <si>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</si>
  <si>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</si>
  <si>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</si>
  <si>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</si>
  <si>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</si>
  <si>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</si>
  <si>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</si>
  <si>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</si>
  <si>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</si>
  <si>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</si>
  <si>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</si>
  <si>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</si>
  <si>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</si>
  <si>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</si>
  <si>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</si>
  <si>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</si>
  <si>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</si>
  <si>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</si>
  <si>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</si>
  <si>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</si>
  <si>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</si>
  <si>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</si>
  <si>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</si>
  <si>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</si>
  <si>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</si>
  <si>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</si>
  <si>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</si>
  <si>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</si>
  <si>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</si>
  <si>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</si>
  <si>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</si>
  <si>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</si>
  <si>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</si>
  <si>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</si>
  <si>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</si>
  <si>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</si>
  <si>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</si>
  <si>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</si>
  <si>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</si>
  <si>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</si>
  <si>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</si>
  <si>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</si>
  <si>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</si>
  <si>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</si>
  <si>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</si>
  <si>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</si>
  <si>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</si>
  <si>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</si>
  <si>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</si>
  <si>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</si>
  <si>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</si>
  <si>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</si>
  <si>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</si>
  <si>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</si>
  <si>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</si>
  <si>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</si>
  <si>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</si>
  <si>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</si>
  <si>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</si>
  <si>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</si>
  <si>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</si>
  <si>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</si>
  <si>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</si>
  <si>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</si>
  <si>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</si>
  <si>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</si>
  <si>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</si>
  <si>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</si>
  <si>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</si>
  <si>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</si>
  <si>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</si>
  <si>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</si>
  <si>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</si>
  <si>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</si>
  <si>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</si>
  <si>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</si>
  <si>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</si>
  <si>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</si>
  <si>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</si>
  <si>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</si>
  <si>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</si>
  <si>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</si>
  <si>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</si>
  <si>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</si>
  <si>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</si>
  <si>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</si>
  <si>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</si>
  <si>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</si>
  <si>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</si>
  <si>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</si>
  <si>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</si>
  <si>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</si>
  <si>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</si>
  <si>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</si>
  <si>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</si>
  <si>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</si>
  <si>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</si>
  <si>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</si>
  <si>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</si>
  <si>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</si>
  <si>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</si>
  <si>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</si>
  <si>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20190818 11:09:44</t>
  </si>
  <si>
    <t>11:09:44</t>
  </si>
  <si>
    <t>RECT-1274-20190818-05_20_45</t>
  </si>
  <si>
    <t>MPF-1365-20190818-11_09_46</t>
  </si>
  <si>
    <t>DARK-1366-20190818-11_09_54</t>
  </si>
  <si>
    <t>0: Broadleaf</t>
  </si>
  <si>
    <t>11:10:15</t>
  </si>
  <si>
    <t>1/2</t>
  </si>
  <si>
    <t>5</t>
  </si>
  <si>
    <t>11111111</t>
  </si>
  <si>
    <t>oooooooo</t>
  </si>
  <si>
    <t>off</t>
  </si>
  <si>
    <t>20190818 11:11:31</t>
  </si>
  <si>
    <t>11:11:31</t>
  </si>
  <si>
    <t>MPF-1367-20190818-11_11_32</t>
  </si>
  <si>
    <t>DARK-1368-20190818-11_11_40</t>
  </si>
  <si>
    <t>11:12:00</t>
  </si>
  <si>
    <t>2/2</t>
  </si>
  <si>
    <t>20190818 11:13:22</t>
  </si>
  <si>
    <t>11:13:22</t>
  </si>
  <si>
    <t>MPF-1369-20190818-11_13_23</t>
  </si>
  <si>
    <t>DARK-1370-20190818-11_13_31</t>
  </si>
  <si>
    <t>11:13:48</t>
  </si>
  <si>
    <t>20190818 11:15:14</t>
  </si>
  <si>
    <t>11:15:14</t>
  </si>
  <si>
    <t>MPF-1371-20190818-11_15_16</t>
  </si>
  <si>
    <t>DARK-1372-20190818-11_15_24</t>
  </si>
  <si>
    <t>11:15:42</t>
  </si>
  <si>
    <t>20190818 11:17:06</t>
  </si>
  <si>
    <t>11:17:06</t>
  </si>
  <si>
    <t>MPF-1373-20190818-11_17_08</t>
  </si>
  <si>
    <t>DARK-1374-20190818-11_17_16</t>
  </si>
  <si>
    <t>11:17:39</t>
  </si>
  <si>
    <t>20190818 11:18:58</t>
  </si>
  <si>
    <t>11:18:58</t>
  </si>
  <si>
    <t>MPF-1375-20190818-11_18_59</t>
  </si>
  <si>
    <t>DARK-1376-20190818-11_19_07</t>
  </si>
  <si>
    <t>11:19:28</t>
  </si>
  <si>
    <t>20190818 11:20:52</t>
  </si>
  <si>
    <t>11:20:52</t>
  </si>
  <si>
    <t>MPF-1377-20190818-11_20_53</t>
  </si>
  <si>
    <t>DARK-1378-20190818-11_21_01</t>
  </si>
  <si>
    <t>11:21:27</t>
  </si>
  <si>
    <t>20190818 11:22:58</t>
  </si>
  <si>
    <t>11:22:58</t>
  </si>
  <si>
    <t>MPF-1379-20190818-11_23_00</t>
  </si>
  <si>
    <t>DARK-1380-20190818-11_23_07</t>
  </si>
  <si>
    <t>11:23:39</t>
  </si>
  <si>
    <t>20190818 11:25:10</t>
  </si>
  <si>
    <t>11:25:10</t>
  </si>
  <si>
    <t>MPF-1381-20190818-11_25_12</t>
  </si>
  <si>
    <t>DARK-1382-20190818-11_25_20</t>
  </si>
  <si>
    <t>11:25:43</t>
  </si>
  <si>
    <t>20190818 11:27:15</t>
  </si>
  <si>
    <t>11:27:15</t>
  </si>
  <si>
    <t>MPF-1383-20190818-11_27_16</t>
  </si>
  <si>
    <t>DARK-1384-20190818-11_27_24</t>
  </si>
  <si>
    <t>11:27:55</t>
  </si>
  <si>
    <t>20190818 11:29:26</t>
  </si>
  <si>
    <t>11:29:26</t>
  </si>
  <si>
    <t>MPF-1385-20190818-11_29_28</t>
  </si>
  <si>
    <t>DARK-1386-20190818-11_29_36</t>
  </si>
  <si>
    <t>11:29:59</t>
  </si>
  <si>
    <t>20190818 11:31:31</t>
  </si>
  <si>
    <t>11:31:31</t>
  </si>
  <si>
    <t>MPF-1387-20190818-11_31_32</t>
  </si>
  <si>
    <t>DARK-1388-20190818-11_31_40</t>
  </si>
  <si>
    <t>11:32:04</t>
  </si>
  <si>
    <t>20190818 11:33:36</t>
  </si>
  <si>
    <t>11:33:36</t>
  </si>
  <si>
    <t>MPF-1389-20190818-11_33_37</t>
  </si>
  <si>
    <t>DARK-1390-20190818-11_33_45</t>
  </si>
  <si>
    <t>11:34:06</t>
  </si>
  <si>
    <t>20190818 11:35:38</t>
  </si>
  <si>
    <t>11:35:38</t>
  </si>
  <si>
    <t>MPF-1391-20190818-11_35_39</t>
  </si>
  <si>
    <t>DARK-1392-20190818-11_35_47</t>
  </si>
  <si>
    <t>11:36:07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</si>
</sst>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M30"/>
  <sheetViews>
    <sheetView tabSelected="1" topLeftCell="A28" workbookViewId="0">
      <selection activeCell="I31" sqref="I31"/>
    </sheetView>
  </sheetViews>
  <sheetFormatPr defaultRowHeight="14.5" x14ac:dyDescent="0.35"/>
  <sheetData>
    <row r="2" spans="1:169" x14ac:dyDescent="0.35">
      <c r="A2" t="s">
        <v>25</v>
      </c>
      <c r="B2" t="s">
        <v>26</v>
      </c>
      <c r="C2" t="s">
        <v>28</v>
      </c>
      <c r="D2" t="s">
        <v>30</v>
      </c>
    </row>
    <row r="3" spans="1:169" x14ac:dyDescent="0.35">
      <c r="B3" t="s">
        <v>27</v>
      </c>
      <c r="C3" t="s">
        <v>29</v>
      </c>
      <c r="D3" t="s">
        <v>15</v>
      </c>
    </row>
    <row r="4" spans="1:169" x14ac:dyDescent="0.35">
      <c r="A4" t="s">
        <v>31</v>
      </c>
      <c r="B4" t="s">
        <v>32</v>
      </c>
      <c r="C4" t="s">
        <v>33</v>
      </c>
      <c r="D4" t="s">
        <v>34</v>
      </c>
    </row>
    <row r="5" spans="1:169" x14ac:dyDescent="0.35">
      <c r="B5">
        <v>6</v>
      </c>
      <c r="C5">
        <v>0.5</v>
      </c>
      <c r="D5">
        <v>2</v>
      </c>
    </row>
    <row r="6" spans="1:169" x14ac:dyDescent="0.3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69" x14ac:dyDescent="0.35">
      <c r="B7">
        <v>0</v>
      </c>
      <c r="C7">
        <v>1</v>
      </c>
      <c r="D7">
        <v>0</v>
      </c>
      <c r="E7">
        <v>0</v>
      </c>
    </row>
    <row r="8" spans="1:169" x14ac:dyDescent="0.3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69" x14ac:dyDescent="0.3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9" x14ac:dyDescent="0.3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69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9" x14ac:dyDescent="0.3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69" x14ac:dyDescent="0.3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2</v>
      </c>
    </row>
    <row r="14" spans="1:169" x14ac:dyDescent="0.3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31</v>
      </c>
      <c r="BW14" t="s">
        <v>82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83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84</v>
      </c>
      <c r="DC14" t="s">
        <v>84</v>
      </c>
      <c r="DD14" t="s">
        <v>84</v>
      </c>
      <c r="DE14" t="s">
        <v>84</v>
      </c>
      <c r="DF14" t="s">
        <v>84</v>
      </c>
      <c r="DG14" t="s">
        <v>85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86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87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88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</row>
    <row r="15" spans="1:169" x14ac:dyDescent="0.3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95</v>
      </c>
      <c r="BX15" t="s">
        <v>162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90</v>
      </c>
      <c r="DH15" t="s">
        <v>93</v>
      </c>
      <c r="DI15" t="s">
        <v>197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</row>
    <row r="16" spans="1:169" x14ac:dyDescent="0.35">
      <c r="B16" t="s">
        <v>254</v>
      </c>
      <c r="C16" t="s">
        <v>254</v>
      </c>
      <c r="G16" t="s">
        <v>254</v>
      </c>
      <c r="H16" t="s">
        <v>255</v>
      </c>
      <c r="I16" t="s">
        <v>256</v>
      </c>
      <c r="J16" t="s">
        <v>257</v>
      </c>
      <c r="K16" t="s">
        <v>257</v>
      </c>
      <c r="L16" t="s">
        <v>167</v>
      </c>
      <c r="M16" t="s">
        <v>167</v>
      </c>
      <c r="N16" t="s">
        <v>255</v>
      </c>
      <c r="O16" t="s">
        <v>255</v>
      </c>
      <c r="P16" t="s">
        <v>255</v>
      </c>
      <c r="Q16" t="s">
        <v>255</v>
      </c>
      <c r="R16" t="s">
        <v>258</v>
      </c>
      <c r="S16" t="s">
        <v>259</v>
      </c>
      <c r="T16" t="s">
        <v>259</v>
      </c>
      <c r="U16" t="s">
        <v>260</v>
      </c>
      <c r="V16" t="s">
        <v>261</v>
      </c>
      <c r="W16" t="s">
        <v>260</v>
      </c>
      <c r="X16" t="s">
        <v>260</v>
      </c>
      <c r="Y16" t="s">
        <v>260</v>
      </c>
      <c r="Z16" t="s">
        <v>258</v>
      </c>
      <c r="AA16" t="s">
        <v>258</v>
      </c>
      <c r="AB16" t="s">
        <v>258</v>
      </c>
      <c r="AC16" t="s">
        <v>258</v>
      </c>
      <c r="AG16" t="s">
        <v>262</v>
      </c>
      <c r="AH16" t="s">
        <v>261</v>
      </c>
      <c r="AJ16" t="s">
        <v>261</v>
      </c>
      <c r="AK16" t="s">
        <v>262</v>
      </c>
      <c r="AQ16" t="s">
        <v>256</v>
      </c>
      <c r="AW16" t="s">
        <v>256</v>
      </c>
      <c r="AX16" t="s">
        <v>256</v>
      </c>
      <c r="AY16" t="s">
        <v>256</v>
      </c>
      <c r="BA16" t="s">
        <v>263</v>
      </c>
      <c r="BK16" t="s">
        <v>264</v>
      </c>
      <c r="BL16" t="s">
        <v>264</v>
      </c>
      <c r="BM16" t="s">
        <v>264</v>
      </c>
      <c r="BN16" t="s">
        <v>256</v>
      </c>
      <c r="BP16" t="s">
        <v>265</v>
      </c>
      <c r="BR16" t="s">
        <v>256</v>
      </c>
      <c r="BS16" t="s">
        <v>256</v>
      </c>
      <c r="BU16" t="s">
        <v>266</v>
      </c>
      <c r="BW16" t="s">
        <v>254</v>
      </c>
      <c r="BX16" t="s">
        <v>257</v>
      </c>
      <c r="BY16" t="s">
        <v>257</v>
      </c>
      <c r="BZ16" t="s">
        <v>267</v>
      </c>
      <c r="CA16" t="s">
        <v>267</v>
      </c>
      <c r="CB16" t="s">
        <v>262</v>
      </c>
      <c r="CC16" t="s">
        <v>260</v>
      </c>
      <c r="CD16" t="s">
        <v>260</v>
      </c>
      <c r="CE16" t="s">
        <v>259</v>
      </c>
      <c r="CF16" t="s">
        <v>259</v>
      </c>
      <c r="CG16" t="s">
        <v>259</v>
      </c>
      <c r="CH16" t="s">
        <v>268</v>
      </c>
      <c r="CI16" t="s">
        <v>256</v>
      </c>
      <c r="CJ16" t="s">
        <v>256</v>
      </c>
      <c r="CK16" t="s">
        <v>256</v>
      </c>
      <c r="CP16" t="s">
        <v>256</v>
      </c>
      <c r="CS16" t="s">
        <v>259</v>
      </c>
      <c r="CT16" t="s">
        <v>259</v>
      </c>
      <c r="CU16" t="s">
        <v>259</v>
      </c>
      <c r="CV16" t="s">
        <v>259</v>
      </c>
      <c r="CW16" t="s">
        <v>259</v>
      </c>
      <c r="CX16" t="s">
        <v>256</v>
      </c>
      <c r="CY16" t="s">
        <v>256</v>
      </c>
      <c r="CZ16" t="s">
        <v>256</v>
      </c>
      <c r="DA16" t="s">
        <v>254</v>
      </c>
      <c r="DC16" t="s">
        <v>269</v>
      </c>
      <c r="DD16" t="s">
        <v>269</v>
      </c>
      <c r="DF16" t="s">
        <v>254</v>
      </c>
      <c r="DG16" t="s">
        <v>270</v>
      </c>
      <c r="DJ16" t="s">
        <v>271</v>
      </c>
      <c r="DK16" t="s">
        <v>272</v>
      </c>
      <c r="DL16" t="s">
        <v>271</v>
      </c>
      <c r="DM16" t="s">
        <v>272</v>
      </c>
      <c r="DN16" t="s">
        <v>261</v>
      </c>
      <c r="DO16" t="s">
        <v>261</v>
      </c>
      <c r="DP16" t="s">
        <v>256</v>
      </c>
      <c r="DQ16" t="s">
        <v>273</v>
      </c>
      <c r="DR16" t="s">
        <v>256</v>
      </c>
      <c r="DT16" t="s">
        <v>255</v>
      </c>
      <c r="DU16" t="s">
        <v>274</v>
      </c>
      <c r="DV16" t="s">
        <v>255</v>
      </c>
      <c r="EA16" t="s">
        <v>275</v>
      </c>
      <c r="EB16" t="s">
        <v>275</v>
      </c>
      <c r="EC16" t="s">
        <v>275</v>
      </c>
      <c r="ED16" t="s">
        <v>275</v>
      </c>
      <c r="EE16" t="s">
        <v>275</v>
      </c>
      <c r="EF16" t="s">
        <v>275</v>
      </c>
      <c r="EG16" t="s">
        <v>275</v>
      </c>
      <c r="EH16" t="s">
        <v>275</v>
      </c>
      <c r="EI16" t="s">
        <v>275</v>
      </c>
      <c r="EJ16" t="s">
        <v>275</v>
      </c>
      <c r="EK16" t="s">
        <v>275</v>
      </c>
      <c r="EL16" t="s">
        <v>275</v>
      </c>
      <c r="ES16" t="s">
        <v>275</v>
      </c>
      <c r="ET16" t="s">
        <v>261</v>
      </c>
      <c r="EU16" t="s">
        <v>261</v>
      </c>
      <c r="EV16" t="s">
        <v>271</v>
      </c>
      <c r="EW16" t="s">
        <v>272</v>
      </c>
      <c r="EY16" t="s">
        <v>262</v>
      </c>
      <c r="EZ16" t="s">
        <v>262</v>
      </c>
      <c r="FA16" t="s">
        <v>259</v>
      </c>
      <c r="FB16" t="s">
        <v>259</v>
      </c>
      <c r="FC16" t="s">
        <v>259</v>
      </c>
      <c r="FD16" t="s">
        <v>259</v>
      </c>
      <c r="FE16" t="s">
        <v>259</v>
      </c>
      <c r="FF16" t="s">
        <v>261</v>
      </c>
      <c r="FG16" t="s">
        <v>261</v>
      </c>
      <c r="FH16" t="s">
        <v>261</v>
      </c>
      <c r="FI16" t="s">
        <v>259</v>
      </c>
      <c r="FJ16" t="s">
        <v>257</v>
      </c>
      <c r="FK16" t="s">
        <v>267</v>
      </c>
      <c r="FL16" t="s">
        <v>261</v>
      </c>
      <c r="FM16" t="s">
        <v>261</v>
      </c>
    </row>
    <row r="17" spans="1:169" x14ac:dyDescent="0.35">
      <c r="A17">
        <v>1</v>
      </c>
      <c r="B17">
        <v>1566144584.7</v>
      </c>
      <c r="C17">
        <v>0</v>
      </c>
      <c r="D17" t="s">
        <v>276</v>
      </c>
      <c r="E17" t="s">
        <v>277</v>
      </c>
      <c r="G17">
        <v>1566144584.7</v>
      </c>
      <c r="H17">
        <f t="shared" ref="H17:H30" si="0">CB17*AI17*(BZ17-CA17)/(100*$B$5*(1000-AI17*BZ17))</f>
        <v>6.0473187835769398E-3</v>
      </c>
      <c r="I17">
        <f t="shared" ref="I17:I30" si="1">CB17*AI17*(BY17-BX17*(1000-AI17*CA17)/(1000-AI17*BZ17))/(100*$B$5)</f>
        <v>26.038443409910712</v>
      </c>
      <c r="J17">
        <f t="shared" ref="J17:J30" si="2">BX17 - IF(AI17&gt;1, I17*$B$5*100/(AK17*CH17), 0)</f>
        <v>366.22097005066666</v>
      </c>
      <c r="K17">
        <f t="shared" ref="K17:K30" si="3">((Q17-H17/2)*J17-I17)/(Q17+H17/2)</f>
        <v>240.22458832298736</v>
      </c>
      <c r="L17">
        <f t="shared" ref="L17:L30" si="4">K17*(CC17+CD17)/1000</f>
        <v>23.790787920892164</v>
      </c>
      <c r="M17">
        <f t="shared" ref="M17:M30" si="5">(BX17 - IF(AI17&gt;1, I17*$B$5*100/(AK17*CH17), 0))*(CC17+CD17)/1000</f>
        <v>36.26891606509659</v>
      </c>
      <c r="N17">
        <f t="shared" ref="N17:N30" si="6">2/((1/P17-1/O17)+SIGN(P17)*SQRT((1/P17-1/O17)*(1/P17-1/O17) + 4*$C$5/(($C$5+1)*($C$5+1))*(2*1/P17*1/O17-1/O17*1/O17)))</f>
        <v>0.38251166306707235</v>
      </c>
      <c r="O17">
        <f t="shared" ref="O17:O30" si="7">AF17+AE17*$B$5+AD17*$B$5*$B$5</f>
        <v>2.2404811609574979</v>
      </c>
      <c r="P17">
        <f t="shared" ref="P17:P30" si="8">H17*(1000-(1000*0.61365*EXP(17.502*T17/(240.97+T17))/(CC17+CD17)+BZ17)/2)/(1000*0.61365*EXP(17.502*T17/(240.97+T17))/(CC17+CD17)-BZ17)</f>
        <v>0.34958762360938506</v>
      </c>
      <c r="Q17">
        <f t="shared" ref="Q17:Q30" si="9">1/(($C$5+1)/(N17/1.6)+1/(O17/1.37)) + $C$5/(($C$5+1)/(N17/1.6) + $C$5/(O17/1.37))</f>
        <v>0.22121371928232586</v>
      </c>
      <c r="R17">
        <f t="shared" ref="R17:R30" si="10">(BS17*BU17)</f>
        <v>281.5513536186462</v>
      </c>
      <c r="S17">
        <f t="shared" ref="S17:S30" si="11">(CE17+(R17+2*0.95*0.0000000567*(((CE17+$B$7)+273)^4-(CE17+273)^4)-44100*H17)/(1.84*29.3*O17+8*0.95*0.0000000567*(CE17+273)^3))</f>
        <v>26.858275332302679</v>
      </c>
      <c r="T17">
        <f t="shared" ref="T17:T30" si="12">($C$7*CF17+$D$7*CG17+$E$7*S17)</f>
        <v>27.021799999999999</v>
      </c>
      <c r="U17">
        <f t="shared" ref="U17:U30" si="13">0.61365*EXP(17.502*T17/(240.97+T17))</f>
        <v>3.583744895906035</v>
      </c>
      <c r="V17">
        <f t="shared" ref="V17:V30" si="14">(W17/X17*100)</f>
        <v>54.399042169109265</v>
      </c>
      <c r="W17">
        <f t="shared" ref="W17:W30" si="15">BZ17*(CC17+CD17)/1000</f>
        <v>1.9181711541795001</v>
      </c>
      <c r="X17">
        <f t="shared" ref="X17:X30" si="16">0.61365*EXP(17.502*CE17/(240.97+CE17))</f>
        <v>3.5261120006791993</v>
      </c>
      <c r="Y17">
        <f t="shared" ref="Y17:Y30" si="17">(U17-BZ17*(CC17+CD17)/1000)</f>
        <v>1.6655737417265348</v>
      </c>
      <c r="Z17">
        <f t="shared" ref="Z17:Z30" si="18">(-H17*44100)</f>
        <v>-266.68675835574305</v>
      </c>
      <c r="AA17">
        <f t="shared" ref="AA17:AA30" si="19">2*29.3*O17*0.92*(CE17-T17)</f>
        <v>-33.313556652403342</v>
      </c>
      <c r="AB17">
        <f t="shared" ref="AB17:AB30" si="20">2*0.95*0.0000000567*(((CE17+$B$7)+273)^4-(T17+273)^4)</f>
        <v>-3.2051654713645221</v>
      </c>
      <c r="AC17">
        <f t="shared" ref="AC17:AC30" si="21">R17+AB17+Z17+AA17</f>
        <v>-21.654126860864714</v>
      </c>
      <c r="AD17">
        <v>-4.0927974721562801E-2</v>
      </c>
      <c r="AE17">
        <v>4.5945237112464801E-2</v>
      </c>
      <c r="AF17">
        <v>3.43821682825897</v>
      </c>
      <c r="AG17">
        <v>139</v>
      </c>
      <c r="AH17">
        <v>28</v>
      </c>
      <c r="AI17">
        <f t="shared" ref="AI17:AI30" si="22">IF(AG17*$H$13&gt;=AK17,1,(AK17/(AK17-AG17*$H$13)))</f>
        <v>1.0053503916303017</v>
      </c>
      <c r="AJ17">
        <f t="shared" ref="AJ17:AJ30" si="23">(AI17-1)*100</f>
        <v>0.53503916303017096</v>
      </c>
      <c r="AK17">
        <f t="shared" ref="AK17:AK30" si="24">MAX(0,($B$13+$C$13*CH17)/(1+$D$13*CH17)*CC17/(CE17+273)*$E$13)</f>
        <v>52236.813337243526</v>
      </c>
      <c r="AL17" t="s">
        <v>278</v>
      </c>
      <c r="AM17">
        <v>520.33192307692298</v>
      </c>
      <c r="AN17">
        <v>3330.63</v>
      </c>
      <c r="AO17">
        <f t="shared" ref="AO17:AO30" si="25">AN17-AM17</f>
        <v>2810.2980769230771</v>
      </c>
      <c r="AP17">
        <f t="shared" ref="AP17:AP30" si="26">AO17/AN17</f>
        <v>0.84377372356673574</v>
      </c>
      <c r="AQ17">
        <v>-1.3252759154356599</v>
      </c>
      <c r="AR17" t="s">
        <v>279</v>
      </c>
      <c r="AS17">
        <v>859.15211538461494</v>
      </c>
      <c r="AT17">
        <v>1285.3499999999999</v>
      </c>
      <c r="AU17">
        <f t="shared" ref="AU17:AU30" si="27">1-AS17/AT17</f>
        <v>0.33158119159402888</v>
      </c>
      <c r="AV17">
        <v>0.5</v>
      </c>
      <c r="AW17">
        <f t="shared" ref="AW17:AW30" si="28">BS17</f>
        <v>1471.1955000963123</v>
      </c>
      <c r="AX17">
        <f t="shared" ref="AX17:AX30" si="29">I17</f>
        <v>26.038443409910712</v>
      </c>
      <c r="AY17">
        <f t="shared" ref="AY17:AY30" si="30">AU17*AV17*AW17</f>
        <v>243.91037849485423</v>
      </c>
      <c r="AZ17">
        <f t="shared" ref="AZ17:AZ30" si="31">BE17/AT17</f>
        <v>0.56845995254210913</v>
      </c>
      <c r="BA17">
        <f t="shared" ref="BA17:BA30" si="32">(AX17-AQ17)/AW17</f>
        <v>1.859964860112405E-2</v>
      </c>
      <c r="BB17">
        <f t="shared" ref="BB17:BB30" si="33">(AN17-AT17)/AT17</f>
        <v>1.5912241801843858</v>
      </c>
      <c r="BC17" t="s">
        <v>280</v>
      </c>
      <c r="BD17">
        <v>554.67999999999995</v>
      </c>
      <c r="BE17">
        <f t="shared" ref="BE17:BE30" si="34">AT17-BD17</f>
        <v>730.67</v>
      </c>
      <c r="BF17">
        <f t="shared" ref="BF17:BF30" si="35">(AT17-AS17)/(AT17-BD17)</f>
        <v>0.58329736353673345</v>
      </c>
      <c r="BG17">
        <f t="shared" ref="BG17:BG30" si="36">(AN17-AT17)/(AN17-BD17)</f>
        <v>0.73678560492804268</v>
      </c>
      <c r="BH17">
        <f t="shared" ref="BH17:BH30" si="37">(AT17-AS17)/(AT17-AM17)</f>
        <v>0.55710825334946878</v>
      </c>
      <c r="BI17">
        <f t="shared" ref="BI17:BI30" si="38">(AN17-AT17)/(AN17-AM17)</f>
        <v>0.72778045033547634</v>
      </c>
      <c r="BJ17">
        <v>1365</v>
      </c>
      <c r="BK17">
        <v>300</v>
      </c>
      <c r="BL17">
        <v>300</v>
      </c>
      <c r="BM17">
        <v>300</v>
      </c>
      <c r="BN17">
        <v>10290</v>
      </c>
      <c r="BO17">
        <v>1188.8800000000001</v>
      </c>
      <c r="BP17">
        <v>-7.0667600000000001E-3</v>
      </c>
      <c r="BQ17">
        <v>4.6708999999999996</v>
      </c>
      <c r="BR17">
        <f t="shared" ref="BR17:BR30" si="39">$B$11*CI17+$C$11*CJ17+$F$11*CK17</f>
        <v>1749.99</v>
      </c>
      <c r="BS17">
        <f t="shared" ref="BS17:BS30" si="40">BR17*BT17</f>
        <v>1471.1955000963123</v>
      </c>
      <c r="BT17">
        <f t="shared" ref="BT17:BT30" si="41">($B$11*$D$9+$C$11*$D$9+$F$11*((CX17+CP17)/MAX(CX17+CP17+CY17, 0.1)*$I$9+CY17/MAX(CX17+CP17+CY17, 0.1)*$J$9))/($B$11+$C$11+$F$11)</f>
        <v>0.84068794684330328</v>
      </c>
      <c r="BU17">
        <f t="shared" ref="BU17:BU30" si="42">($B$11*$K$9+$C$11*$K$9+$F$11*((CX17+CP17)/MAX(CX17+CP17+CY17, 0.1)*$P$9+CY17/MAX(CX17+CP17+CY17, 0.1)*$Q$9))/($B$11+$C$11+$F$11)</f>
        <v>0.19137589368660682</v>
      </c>
      <c r="BV17" t="s">
        <v>281</v>
      </c>
      <c r="BW17">
        <v>1566144584.7</v>
      </c>
      <c r="BX17">
        <v>366.221</v>
      </c>
      <c r="BY17">
        <v>399.95600000000002</v>
      </c>
      <c r="BZ17">
        <v>19.368500000000001</v>
      </c>
      <c r="CA17">
        <v>12.291399999999999</v>
      </c>
      <c r="CB17">
        <v>500.036</v>
      </c>
      <c r="CC17">
        <v>98.835700000000003</v>
      </c>
      <c r="CD17">
        <v>0.199907</v>
      </c>
      <c r="CE17">
        <v>26.745999999999999</v>
      </c>
      <c r="CF17">
        <v>27.021799999999999</v>
      </c>
      <c r="CG17">
        <v>999.9</v>
      </c>
      <c r="CH17">
        <v>9986.25</v>
      </c>
      <c r="CI17">
        <v>0</v>
      </c>
      <c r="CJ17">
        <v>670.428</v>
      </c>
      <c r="CK17">
        <v>1749.99</v>
      </c>
      <c r="CL17">
        <v>0.97700100000000001</v>
      </c>
      <c r="CM17">
        <v>2.2998500000000002E-2</v>
      </c>
      <c r="CN17">
        <v>0</v>
      </c>
      <c r="CO17">
        <v>855.80399999999997</v>
      </c>
      <c r="CP17">
        <v>4.99986</v>
      </c>
      <c r="CQ17">
        <v>17596.2</v>
      </c>
      <c r="CR17">
        <v>14220.7</v>
      </c>
      <c r="CS17">
        <v>44.936999999999998</v>
      </c>
      <c r="CT17">
        <v>46.75</v>
      </c>
      <c r="CU17">
        <v>45.936999999999998</v>
      </c>
      <c r="CV17">
        <v>45.625</v>
      </c>
      <c r="CW17">
        <v>46.625</v>
      </c>
      <c r="CX17">
        <v>1704.86</v>
      </c>
      <c r="CY17">
        <v>40.130000000000003</v>
      </c>
      <c r="CZ17">
        <v>0</v>
      </c>
      <c r="DA17">
        <v>364.5</v>
      </c>
      <c r="DB17">
        <v>859.15211538461494</v>
      </c>
      <c r="DC17">
        <v>-25.121675206784602</v>
      </c>
      <c r="DD17">
        <v>-412.30085435189397</v>
      </c>
      <c r="DE17">
        <v>17660.261538461498</v>
      </c>
      <c r="DF17">
        <v>15</v>
      </c>
      <c r="DG17">
        <v>1566144615.3</v>
      </c>
      <c r="DH17" t="s">
        <v>282</v>
      </c>
      <c r="DI17">
        <v>46</v>
      </c>
      <c r="DJ17">
        <v>0.14399999999999999</v>
      </c>
      <c r="DK17">
        <v>5.8000000000000003E-2</v>
      </c>
      <c r="DL17">
        <v>400</v>
      </c>
      <c r="DM17">
        <v>12</v>
      </c>
      <c r="DN17">
        <v>0.04</v>
      </c>
      <c r="DO17">
        <v>0.01</v>
      </c>
      <c r="DP17">
        <v>25.865574814332401</v>
      </c>
      <c r="DQ17">
        <v>-0.60283179113418695</v>
      </c>
      <c r="DR17">
        <v>0.12537077045693401</v>
      </c>
      <c r="DS17">
        <v>0</v>
      </c>
      <c r="DT17">
        <v>0.40381879366088602</v>
      </c>
      <c r="DU17">
        <v>-5.3584198711217099E-2</v>
      </c>
      <c r="DV17">
        <v>1.07006811084281E-2</v>
      </c>
      <c r="DW17">
        <v>1</v>
      </c>
      <c r="DX17">
        <v>1</v>
      </c>
      <c r="DY17">
        <v>2</v>
      </c>
      <c r="DZ17" t="s">
        <v>283</v>
      </c>
      <c r="EA17">
        <v>1.86734</v>
      </c>
      <c r="EB17">
        <v>1.86385</v>
      </c>
      <c r="EC17">
        <v>1.86947</v>
      </c>
      <c r="ED17">
        <v>1.86737</v>
      </c>
      <c r="EE17">
        <v>1.87209</v>
      </c>
      <c r="EF17">
        <v>1.86452</v>
      </c>
      <c r="EG17">
        <v>1.86608</v>
      </c>
      <c r="EH17">
        <v>1.8660099999999999</v>
      </c>
      <c r="EI17" t="s">
        <v>284</v>
      </c>
      <c r="EJ17" t="s">
        <v>19</v>
      </c>
      <c r="EK17" t="s">
        <v>19</v>
      </c>
      <c r="EL17" t="s">
        <v>19</v>
      </c>
      <c r="EM17" t="s">
        <v>285</v>
      </c>
      <c r="EN17" t="s">
        <v>286</v>
      </c>
      <c r="EO17" t="s">
        <v>287</v>
      </c>
      <c r="EP17" t="s">
        <v>287</v>
      </c>
      <c r="EQ17" t="s">
        <v>287</v>
      </c>
      <c r="ER17" t="s">
        <v>287</v>
      </c>
      <c r="ES17">
        <v>0</v>
      </c>
      <c r="ET17">
        <v>100</v>
      </c>
      <c r="EU17">
        <v>100</v>
      </c>
      <c r="EV17">
        <v>0.14399999999999999</v>
      </c>
      <c r="EW17">
        <v>5.8000000000000003E-2</v>
      </c>
      <c r="EX17">
        <v>2</v>
      </c>
      <c r="EY17">
        <v>341.83600000000001</v>
      </c>
      <c r="EZ17">
        <v>490.505</v>
      </c>
      <c r="FA17">
        <v>22.9907</v>
      </c>
      <c r="FB17">
        <v>32.497100000000003</v>
      </c>
      <c r="FC17">
        <v>30.000299999999999</v>
      </c>
      <c r="FD17">
        <v>32.436999999999998</v>
      </c>
      <c r="FE17">
        <v>32.417299999999997</v>
      </c>
      <c r="FF17">
        <v>21.958300000000001</v>
      </c>
      <c r="FG17">
        <v>64.127300000000005</v>
      </c>
      <c r="FH17">
        <v>0</v>
      </c>
      <c r="FI17">
        <v>22.909400000000002</v>
      </c>
      <c r="FJ17">
        <v>400</v>
      </c>
      <c r="FK17">
        <v>12.420400000000001</v>
      </c>
      <c r="FL17">
        <v>100.884</v>
      </c>
      <c r="FM17">
        <v>101.389</v>
      </c>
    </row>
    <row r="18" spans="1:169" x14ac:dyDescent="0.35">
      <c r="A18">
        <v>2</v>
      </c>
      <c r="B18">
        <v>1566144691.3</v>
      </c>
      <c r="C18">
        <v>106.59999990463299</v>
      </c>
      <c r="D18" t="s">
        <v>288</v>
      </c>
      <c r="E18" t="s">
        <v>289</v>
      </c>
      <c r="G18">
        <v>1566144691.3</v>
      </c>
      <c r="H18">
        <f t="shared" si="0"/>
        <v>4.9389962994001819E-3</v>
      </c>
      <c r="I18">
        <f t="shared" si="1"/>
        <v>17.437814297123431</v>
      </c>
      <c r="J18">
        <f t="shared" si="2"/>
        <v>277.57698011481875</v>
      </c>
      <c r="K18">
        <f t="shared" si="3"/>
        <v>172.98477647782198</v>
      </c>
      <c r="L18">
        <f t="shared" si="4"/>
        <v>17.131434033452507</v>
      </c>
      <c r="M18">
        <f t="shared" si="5"/>
        <v>27.4896544127491</v>
      </c>
      <c r="N18">
        <f t="shared" si="6"/>
        <v>0.30182932571967491</v>
      </c>
      <c r="O18">
        <f t="shared" si="7"/>
        <v>2.245901556946329</v>
      </c>
      <c r="P18">
        <f t="shared" si="8"/>
        <v>0.28096985850340023</v>
      </c>
      <c r="Q18">
        <f t="shared" si="9"/>
        <v>0.1773600237522181</v>
      </c>
      <c r="R18">
        <f t="shared" si="10"/>
        <v>281.58646541041065</v>
      </c>
      <c r="S18">
        <f t="shared" si="11"/>
        <v>26.737963232121349</v>
      </c>
      <c r="T18">
        <f t="shared" si="12"/>
        <v>27.047499999999999</v>
      </c>
      <c r="U18">
        <f t="shared" si="13"/>
        <v>3.5891569724985053</v>
      </c>
      <c r="V18">
        <f t="shared" si="14"/>
        <v>55.357377413793529</v>
      </c>
      <c r="W18">
        <f t="shared" si="15"/>
        <v>1.8965077067499998</v>
      </c>
      <c r="X18">
        <f t="shared" si="16"/>
        <v>3.4259348895336985</v>
      </c>
      <c r="Y18">
        <f t="shared" si="17"/>
        <v>1.6926492657485055</v>
      </c>
      <c r="Z18">
        <f t="shared" si="18"/>
        <v>-217.80973680354802</v>
      </c>
      <c r="AA18">
        <f t="shared" si="19"/>
        <v>-95.702457760986519</v>
      </c>
      <c r="AB18">
        <f t="shared" si="20"/>
        <v>-9.1642554117901067</v>
      </c>
      <c r="AC18">
        <f t="shared" si="21"/>
        <v>-41.089984565914008</v>
      </c>
      <c r="AD18">
        <v>-4.1073502040297097E-2</v>
      </c>
      <c r="AE18">
        <v>4.6108604276637398E-2</v>
      </c>
      <c r="AF18">
        <v>3.4478960047372</v>
      </c>
      <c r="AG18">
        <v>139</v>
      </c>
      <c r="AH18">
        <v>28</v>
      </c>
      <c r="AI18">
        <f t="shared" si="22"/>
        <v>1.0053233729693021</v>
      </c>
      <c r="AJ18">
        <f t="shared" si="23"/>
        <v>0.53233729693020759</v>
      </c>
      <c r="AK18">
        <f t="shared" si="24"/>
        <v>52500.529137657424</v>
      </c>
      <c r="AL18" t="s">
        <v>278</v>
      </c>
      <c r="AM18">
        <v>520.33192307692298</v>
      </c>
      <c r="AN18">
        <v>3330.63</v>
      </c>
      <c r="AO18">
        <f t="shared" si="25"/>
        <v>2810.2980769230771</v>
      </c>
      <c r="AP18">
        <f t="shared" si="26"/>
        <v>0.84377372356673574</v>
      </c>
      <c r="AQ18">
        <v>-1.3252759154356599</v>
      </c>
      <c r="AR18" t="s">
        <v>290</v>
      </c>
      <c r="AS18">
        <v>812.57550000000003</v>
      </c>
      <c r="AT18">
        <v>1161.83</v>
      </c>
      <c r="AU18">
        <f t="shared" si="27"/>
        <v>0.30060723169482617</v>
      </c>
      <c r="AV18">
        <v>0.5</v>
      </c>
      <c r="AW18">
        <f t="shared" si="28"/>
        <v>1471.3803000963005</v>
      </c>
      <c r="AX18">
        <f t="shared" si="29"/>
        <v>17.437814297123431</v>
      </c>
      <c r="AY18">
        <f t="shared" si="30"/>
        <v>221.15377939112574</v>
      </c>
      <c r="AZ18">
        <f t="shared" si="31"/>
        <v>0.52278732688947605</v>
      </c>
      <c r="BA18">
        <f t="shared" si="32"/>
        <v>1.2752033047697502E-2</v>
      </c>
      <c r="BB18">
        <f t="shared" si="33"/>
        <v>1.8667102760300562</v>
      </c>
      <c r="BC18" t="s">
        <v>291</v>
      </c>
      <c r="BD18">
        <v>554.44000000000005</v>
      </c>
      <c r="BE18">
        <f t="shared" si="34"/>
        <v>607.38999999999987</v>
      </c>
      <c r="BF18">
        <f t="shared" si="35"/>
        <v>0.57500864354039405</v>
      </c>
      <c r="BG18">
        <f t="shared" si="36"/>
        <v>0.7812145422323401</v>
      </c>
      <c r="BH18">
        <f t="shared" si="37"/>
        <v>0.54443577083689298</v>
      </c>
      <c r="BI18">
        <f t="shared" si="38"/>
        <v>0.77173308333703994</v>
      </c>
      <c r="BJ18">
        <v>1367</v>
      </c>
      <c r="BK18">
        <v>300</v>
      </c>
      <c r="BL18">
        <v>300</v>
      </c>
      <c r="BM18">
        <v>300</v>
      </c>
      <c r="BN18">
        <v>10289.200000000001</v>
      </c>
      <c r="BO18">
        <v>1083.92</v>
      </c>
      <c r="BP18">
        <v>-7.0660200000000001E-3</v>
      </c>
      <c r="BQ18">
        <v>4.6014400000000002</v>
      </c>
      <c r="BR18">
        <f t="shared" si="39"/>
        <v>1750.21</v>
      </c>
      <c r="BS18">
        <f t="shared" si="40"/>
        <v>1471.3803000963005</v>
      </c>
      <c r="BT18">
        <f t="shared" si="41"/>
        <v>0.8406878603689274</v>
      </c>
      <c r="BU18">
        <f t="shared" si="42"/>
        <v>0.19137572073785483</v>
      </c>
      <c r="BV18" t="s">
        <v>281</v>
      </c>
      <c r="BW18">
        <v>1566144691.3</v>
      </c>
      <c r="BX18">
        <v>277.577</v>
      </c>
      <c r="BY18">
        <v>300.03199999999998</v>
      </c>
      <c r="BZ18">
        <v>19.149999999999999</v>
      </c>
      <c r="CA18">
        <v>13.369300000000001</v>
      </c>
      <c r="CB18">
        <v>500.10500000000002</v>
      </c>
      <c r="CC18">
        <v>98.834299999999999</v>
      </c>
      <c r="CD18">
        <v>0.200045</v>
      </c>
      <c r="CE18">
        <v>26.257100000000001</v>
      </c>
      <c r="CF18">
        <v>27.047499999999999</v>
      </c>
      <c r="CG18">
        <v>999.9</v>
      </c>
      <c r="CH18">
        <v>10021.9</v>
      </c>
      <c r="CI18">
        <v>0</v>
      </c>
      <c r="CJ18">
        <v>769.41399999999999</v>
      </c>
      <c r="CK18">
        <v>1750.21</v>
      </c>
      <c r="CL18">
        <v>0.97700600000000004</v>
      </c>
      <c r="CM18">
        <v>2.2994500000000001E-2</v>
      </c>
      <c r="CN18">
        <v>0</v>
      </c>
      <c r="CO18">
        <v>811.09199999999998</v>
      </c>
      <c r="CP18">
        <v>4.99986</v>
      </c>
      <c r="CQ18">
        <v>16921</v>
      </c>
      <c r="CR18">
        <v>14222.5</v>
      </c>
      <c r="CS18">
        <v>44.811999999999998</v>
      </c>
      <c r="CT18">
        <v>46.5</v>
      </c>
      <c r="CU18">
        <v>45.75</v>
      </c>
      <c r="CV18">
        <v>45.436999999999998</v>
      </c>
      <c r="CW18">
        <v>46.5</v>
      </c>
      <c r="CX18">
        <v>1705.08</v>
      </c>
      <c r="CY18">
        <v>40.130000000000003</v>
      </c>
      <c r="CZ18">
        <v>0</v>
      </c>
      <c r="DA18">
        <v>105.89999985694899</v>
      </c>
      <c r="DB18">
        <v>812.57550000000003</v>
      </c>
      <c r="DC18">
        <v>-12.2024273572111</v>
      </c>
      <c r="DD18">
        <v>46.523074491836198</v>
      </c>
      <c r="DE18">
        <v>16949.223076923099</v>
      </c>
      <c r="DF18">
        <v>15</v>
      </c>
      <c r="DG18">
        <v>1566144720.3</v>
      </c>
      <c r="DH18" t="s">
        <v>292</v>
      </c>
      <c r="DI18">
        <v>47</v>
      </c>
      <c r="DJ18">
        <v>0.02</v>
      </c>
      <c r="DK18">
        <v>7.3999999999999996E-2</v>
      </c>
      <c r="DL18">
        <v>300</v>
      </c>
      <c r="DM18">
        <v>13</v>
      </c>
      <c r="DN18">
        <v>0.05</v>
      </c>
      <c r="DO18">
        <v>0.02</v>
      </c>
      <c r="DP18">
        <v>17.477212914860299</v>
      </c>
      <c r="DQ18">
        <v>0.295171370649153</v>
      </c>
      <c r="DR18">
        <v>0.25015831239539599</v>
      </c>
      <c r="DS18">
        <v>1</v>
      </c>
      <c r="DT18">
        <v>0.30999771480458199</v>
      </c>
      <c r="DU18">
        <v>-3.8609848295345299E-2</v>
      </c>
      <c r="DV18">
        <v>7.8283289720835394E-3</v>
      </c>
      <c r="DW18">
        <v>1</v>
      </c>
      <c r="DX18">
        <v>2</v>
      </c>
      <c r="DY18">
        <v>2</v>
      </c>
      <c r="DZ18" t="s">
        <v>293</v>
      </c>
      <c r="EA18">
        <v>1.86731</v>
      </c>
      <c r="EB18">
        <v>1.8637999999999999</v>
      </c>
      <c r="EC18">
        <v>1.8694299999999999</v>
      </c>
      <c r="ED18">
        <v>1.86737</v>
      </c>
      <c r="EE18">
        <v>1.8721000000000001</v>
      </c>
      <c r="EF18">
        <v>1.8645099999999999</v>
      </c>
      <c r="EG18">
        <v>1.8660600000000001</v>
      </c>
      <c r="EH18">
        <v>1.8660099999999999</v>
      </c>
      <c r="EI18" t="s">
        <v>284</v>
      </c>
      <c r="EJ18" t="s">
        <v>19</v>
      </c>
      <c r="EK18" t="s">
        <v>19</v>
      </c>
      <c r="EL18" t="s">
        <v>19</v>
      </c>
      <c r="EM18" t="s">
        <v>285</v>
      </c>
      <c r="EN18" t="s">
        <v>286</v>
      </c>
      <c r="EO18" t="s">
        <v>287</v>
      </c>
      <c r="EP18" t="s">
        <v>287</v>
      </c>
      <c r="EQ18" t="s">
        <v>287</v>
      </c>
      <c r="ER18" t="s">
        <v>287</v>
      </c>
      <c r="ES18">
        <v>0</v>
      </c>
      <c r="ET18">
        <v>100</v>
      </c>
      <c r="EU18">
        <v>100</v>
      </c>
      <c r="EV18">
        <v>0.02</v>
      </c>
      <c r="EW18">
        <v>7.3999999999999996E-2</v>
      </c>
      <c r="EX18">
        <v>2</v>
      </c>
      <c r="EY18">
        <v>342.25599999999997</v>
      </c>
      <c r="EZ18">
        <v>491.452</v>
      </c>
      <c r="FA18">
        <v>20.881399999999999</v>
      </c>
      <c r="FB18">
        <v>32.386600000000001</v>
      </c>
      <c r="FC18">
        <v>29.999500000000001</v>
      </c>
      <c r="FD18">
        <v>32.394300000000001</v>
      </c>
      <c r="FE18">
        <v>32.384</v>
      </c>
      <c r="FF18">
        <v>17.509399999999999</v>
      </c>
      <c r="FG18">
        <v>61.561100000000003</v>
      </c>
      <c r="FH18">
        <v>0</v>
      </c>
      <c r="FI18">
        <v>20.8384</v>
      </c>
      <c r="FJ18">
        <v>300</v>
      </c>
      <c r="FK18">
        <v>13.3155</v>
      </c>
      <c r="FL18">
        <v>100.899</v>
      </c>
      <c r="FM18">
        <v>101.411</v>
      </c>
    </row>
    <row r="19" spans="1:169" x14ac:dyDescent="0.35">
      <c r="A19">
        <v>3</v>
      </c>
      <c r="B19">
        <v>1566144802.3</v>
      </c>
      <c r="C19">
        <v>217.59999990463299</v>
      </c>
      <c r="D19" t="s">
        <v>294</v>
      </c>
      <c r="E19" t="s">
        <v>295</v>
      </c>
      <c r="G19">
        <v>1566144802.3</v>
      </c>
      <c r="H19">
        <f t="shared" si="0"/>
        <v>4.2939685659769003E-3</v>
      </c>
      <c r="I19">
        <f t="shared" si="1"/>
        <v>9.8518814244646542</v>
      </c>
      <c r="J19">
        <f t="shared" si="2"/>
        <v>187.2839887387147</v>
      </c>
      <c r="K19">
        <f t="shared" si="3"/>
        <v>117.6256798005893</v>
      </c>
      <c r="L19">
        <f t="shared" si="4"/>
        <v>11.648385086280422</v>
      </c>
      <c r="M19">
        <f t="shared" si="5"/>
        <v>18.546596500199151</v>
      </c>
      <c r="N19">
        <f t="shared" si="6"/>
        <v>0.25428622352817165</v>
      </c>
      <c r="O19">
        <f t="shared" si="7"/>
        <v>2.2432459671661924</v>
      </c>
      <c r="P19">
        <f t="shared" si="8"/>
        <v>0.23928908990088282</v>
      </c>
      <c r="Q19">
        <f t="shared" si="9"/>
        <v>0.15082935332068234</v>
      </c>
      <c r="R19">
        <f t="shared" si="10"/>
        <v>281.5816774388033</v>
      </c>
      <c r="S19">
        <f t="shared" si="11"/>
        <v>26.659631822854589</v>
      </c>
      <c r="T19">
        <f t="shared" si="12"/>
        <v>27.0017</v>
      </c>
      <c r="U19">
        <f t="shared" si="13"/>
        <v>3.5795170702945032</v>
      </c>
      <c r="V19">
        <f t="shared" si="14"/>
        <v>54.981201802670299</v>
      </c>
      <c r="W19">
        <f t="shared" si="15"/>
        <v>1.8511937371245999</v>
      </c>
      <c r="X19">
        <f t="shared" si="16"/>
        <v>3.366957571732621</v>
      </c>
      <c r="Y19">
        <f t="shared" si="17"/>
        <v>1.7283233331699033</v>
      </c>
      <c r="Z19">
        <f t="shared" si="18"/>
        <v>-189.3640137595813</v>
      </c>
      <c r="AA19">
        <f t="shared" si="19"/>
        <v>-125.56979725494911</v>
      </c>
      <c r="AB19">
        <f t="shared" si="20"/>
        <v>-12.018087932826189</v>
      </c>
      <c r="AC19">
        <f t="shared" si="21"/>
        <v>-45.370221508553286</v>
      </c>
      <c r="AD19">
        <v>-4.10021651136208E-2</v>
      </c>
      <c r="AE19">
        <v>4.6028522326985198E-2</v>
      </c>
      <c r="AF19">
        <v>3.44315277729463</v>
      </c>
      <c r="AG19">
        <v>138</v>
      </c>
      <c r="AH19">
        <v>28</v>
      </c>
      <c r="AI19">
        <f t="shared" si="22"/>
        <v>1.0052885234542375</v>
      </c>
      <c r="AJ19">
        <f t="shared" si="23"/>
        <v>0.52885234542374704</v>
      </c>
      <c r="AK19">
        <f t="shared" si="24"/>
        <v>52464.479901484847</v>
      </c>
      <c r="AL19" t="s">
        <v>278</v>
      </c>
      <c r="AM19">
        <v>520.33192307692298</v>
      </c>
      <c r="AN19">
        <v>3330.63</v>
      </c>
      <c r="AO19">
        <f t="shared" si="25"/>
        <v>2810.2980769230771</v>
      </c>
      <c r="AP19">
        <f t="shared" si="26"/>
        <v>0.84377372356673574</v>
      </c>
      <c r="AQ19">
        <v>-1.3252759154356599</v>
      </c>
      <c r="AR19" t="s">
        <v>296</v>
      </c>
      <c r="AS19">
        <v>798.60546153846201</v>
      </c>
      <c r="AT19">
        <v>1084.17</v>
      </c>
      <c r="AU19">
        <f t="shared" si="27"/>
        <v>0.26339461381659524</v>
      </c>
      <c r="AV19">
        <v>0.5</v>
      </c>
      <c r="AW19">
        <f t="shared" si="28"/>
        <v>1471.3551000963021</v>
      </c>
      <c r="AX19">
        <f t="shared" si="29"/>
        <v>9.8518814244646542</v>
      </c>
      <c r="AY19">
        <f t="shared" si="30"/>
        <v>193.77350418847166</v>
      </c>
      <c r="AZ19">
        <f t="shared" si="31"/>
        <v>0.47801544038296584</v>
      </c>
      <c r="BA19">
        <f t="shared" si="32"/>
        <v>7.5965056560233181E-3</v>
      </c>
      <c r="BB19">
        <f t="shared" si="33"/>
        <v>2.0720551205069313</v>
      </c>
      <c r="BC19" t="s">
        <v>297</v>
      </c>
      <c r="BD19">
        <v>565.91999999999996</v>
      </c>
      <c r="BE19">
        <f t="shared" si="34"/>
        <v>518.25000000000011</v>
      </c>
      <c r="BF19">
        <f t="shared" si="35"/>
        <v>0.55101695795762273</v>
      </c>
      <c r="BG19">
        <f t="shared" si="36"/>
        <v>0.81254815152402959</v>
      </c>
      <c r="BH19">
        <f t="shared" si="37"/>
        <v>0.50646550871465335</v>
      </c>
      <c r="BI19">
        <f t="shared" si="38"/>
        <v>0.79936716266752428</v>
      </c>
      <c r="BJ19">
        <v>1369</v>
      </c>
      <c r="BK19">
        <v>300</v>
      </c>
      <c r="BL19">
        <v>300</v>
      </c>
      <c r="BM19">
        <v>300</v>
      </c>
      <c r="BN19">
        <v>10288.799999999999</v>
      </c>
      <c r="BO19">
        <v>1023.98</v>
      </c>
      <c r="BP19">
        <v>-7.0656900000000003E-3</v>
      </c>
      <c r="BQ19">
        <v>5.3098099999999997</v>
      </c>
      <c r="BR19">
        <f t="shared" si="39"/>
        <v>1750.18</v>
      </c>
      <c r="BS19">
        <f t="shared" si="40"/>
        <v>1471.3551000963021</v>
      </c>
      <c r="BT19">
        <f t="shared" si="41"/>
        <v>0.84068787215960761</v>
      </c>
      <c r="BU19">
        <f t="shared" si="42"/>
        <v>0.19137574431921528</v>
      </c>
      <c r="BV19" t="s">
        <v>281</v>
      </c>
      <c r="BW19">
        <v>1566144802.3</v>
      </c>
      <c r="BX19">
        <v>187.28399999999999</v>
      </c>
      <c r="BY19">
        <v>200.00800000000001</v>
      </c>
      <c r="BZ19">
        <v>18.6934</v>
      </c>
      <c r="CA19">
        <v>13.6645</v>
      </c>
      <c r="CB19">
        <v>500.04300000000001</v>
      </c>
      <c r="CC19">
        <v>98.829300000000003</v>
      </c>
      <c r="CD19">
        <v>0.19996900000000001</v>
      </c>
      <c r="CE19">
        <v>25.9634</v>
      </c>
      <c r="CF19">
        <v>27.0017</v>
      </c>
      <c r="CG19">
        <v>999.9</v>
      </c>
      <c r="CH19">
        <v>10005</v>
      </c>
      <c r="CI19">
        <v>0</v>
      </c>
      <c r="CJ19">
        <v>952.14400000000001</v>
      </c>
      <c r="CK19">
        <v>1750.18</v>
      </c>
      <c r="CL19">
        <v>0.97700600000000004</v>
      </c>
      <c r="CM19">
        <v>2.2994500000000001E-2</v>
      </c>
      <c r="CN19">
        <v>0</v>
      </c>
      <c r="CO19">
        <v>797.89599999999996</v>
      </c>
      <c r="CP19">
        <v>4.99986</v>
      </c>
      <c r="CQ19">
        <v>17055.7</v>
      </c>
      <c r="CR19">
        <v>14222.3</v>
      </c>
      <c r="CS19">
        <v>44.811999999999998</v>
      </c>
      <c r="CT19">
        <v>46.5</v>
      </c>
      <c r="CU19">
        <v>45.75</v>
      </c>
      <c r="CV19">
        <v>45.5</v>
      </c>
      <c r="CW19">
        <v>46.5</v>
      </c>
      <c r="CX19">
        <v>1705.05</v>
      </c>
      <c r="CY19">
        <v>40.130000000000003</v>
      </c>
      <c r="CZ19">
        <v>0</v>
      </c>
      <c r="DA19">
        <v>110.700000047684</v>
      </c>
      <c r="DB19">
        <v>798.60546153846201</v>
      </c>
      <c r="DC19">
        <v>-6.9969230831215103</v>
      </c>
      <c r="DD19">
        <v>-71.326495519742807</v>
      </c>
      <c r="DE19">
        <v>17074.4576923077</v>
      </c>
      <c r="DF19">
        <v>15</v>
      </c>
      <c r="DG19">
        <v>1566144828.8</v>
      </c>
      <c r="DH19" t="s">
        <v>298</v>
      </c>
      <c r="DI19">
        <v>48</v>
      </c>
      <c r="DJ19">
        <v>4.5999999999999999E-2</v>
      </c>
      <c r="DK19">
        <v>0.08</v>
      </c>
      <c r="DL19">
        <v>200</v>
      </c>
      <c r="DM19">
        <v>14</v>
      </c>
      <c r="DN19">
        <v>0.15</v>
      </c>
      <c r="DO19">
        <v>0.01</v>
      </c>
      <c r="DP19">
        <v>9.8594004054086408</v>
      </c>
      <c r="DQ19">
        <v>0.28313342920458501</v>
      </c>
      <c r="DR19">
        <v>0.100726980453611</v>
      </c>
      <c r="DS19">
        <v>1</v>
      </c>
      <c r="DT19">
        <v>0.25872605833234502</v>
      </c>
      <c r="DU19">
        <v>-2.92898068222163E-2</v>
      </c>
      <c r="DV19">
        <v>6.2600813802217402E-3</v>
      </c>
      <c r="DW19">
        <v>1</v>
      </c>
      <c r="DX19">
        <v>2</v>
      </c>
      <c r="DY19">
        <v>2</v>
      </c>
      <c r="DZ19" t="s">
        <v>293</v>
      </c>
      <c r="EA19">
        <v>1.8672899999999999</v>
      </c>
      <c r="EB19">
        <v>1.8638300000000001</v>
      </c>
      <c r="EC19">
        <v>1.86947</v>
      </c>
      <c r="ED19">
        <v>1.86738</v>
      </c>
      <c r="EE19">
        <v>1.8721000000000001</v>
      </c>
      <c r="EF19">
        <v>1.8645400000000001</v>
      </c>
      <c r="EG19">
        <v>1.86608</v>
      </c>
      <c r="EH19">
        <v>1.8660099999999999</v>
      </c>
      <c r="EI19" t="s">
        <v>284</v>
      </c>
      <c r="EJ19" t="s">
        <v>19</v>
      </c>
      <c r="EK19" t="s">
        <v>19</v>
      </c>
      <c r="EL19" t="s">
        <v>19</v>
      </c>
      <c r="EM19" t="s">
        <v>285</v>
      </c>
      <c r="EN19" t="s">
        <v>286</v>
      </c>
      <c r="EO19" t="s">
        <v>287</v>
      </c>
      <c r="EP19" t="s">
        <v>287</v>
      </c>
      <c r="EQ19" t="s">
        <v>287</v>
      </c>
      <c r="ER19" t="s">
        <v>287</v>
      </c>
      <c r="ES19">
        <v>0</v>
      </c>
      <c r="ET19">
        <v>100</v>
      </c>
      <c r="EU19">
        <v>100</v>
      </c>
      <c r="EV19">
        <v>4.5999999999999999E-2</v>
      </c>
      <c r="EW19">
        <v>0.08</v>
      </c>
      <c r="EX19">
        <v>2</v>
      </c>
      <c r="EY19">
        <v>342.40699999999998</v>
      </c>
      <c r="EZ19">
        <v>491.61799999999999</v>
      </c>
      <c r="FA19">
        <v>21.366900000000001</v>
      </c>
      <c r="FB19">
        <v>32.316600000000001</v>
      </c>
      <c r="FC19">
        <v>29.999300000000002</v>
      </c>
      <c r="FD19">
        <v>32.35</v>
      </c>
      <c r="FE19">
        <v>32.3491</v>
      </c>
      <c r="FF19">
        <v>12.8773</v>
      </c>
      <c r="FG19">
        <v>60.696800000000003</v>
      </c>
      <c r="FH19">
        <v>0</v>
      </c>
      <c r="FI19">
        <v>21.3871</v>
      </c>
      <c r="FJ19">
        <v>200</v>
      </c>
      <c r="FK19">
        <v>13.670999999999999</v>
      </c>
      <c r="FL19">
        <v>100.914</v>
      </c>
      <c r="FM19">
        <v>101.432</v>
      </c>
    </row>
    <row r="20" spans="1:169" x14ac:dyDescent="0.35">
      <c r="A20">
        <v>4</v>
      </c>
      <c r="B20">
        <v>1566144914.8</v>
      </c>
      <c r="C20">
        <v>330.09999990463302</v>
      </c>
      <c r="D20" t="s">
        <v>299</v>
      </c>
      <c r="E20" t="s">
        <v>300</v>
      </c>
      <c r="G20">
        <v>1566144914.8</v>
      </c>
      <c r="H20">
        <f t="shared" si="0"/>
        <v>4.3010991590917581E-3</v>
      </c>
      <c r="I20">
        <f t="shared" si="1"/>
        <v>3.5797346928877838</v>
      </c>
      <c r="J20">
        <f t="shared" si="2"/>
        <v>95.220795936471774</v>
      </c>
      <c r="K20">
        <f t="shared" si="3"/>
        <v>69.166585404102207</v>
      </c>
      <c r="L20">
        <f t="shared" si="4"/>
        <v>6.8488391817566194</v>
      </c>
      <c r="M20">
        <f t="shared" si="5"/>
        <v>9.4287135083739582</v>
      </c>
      <c r="N20">
        <f t="shared" si="6"/>
        <v>0.25449575545841885</v>
      </c>
      <c r="O20">
        <f t="shared" si="7"/>
        <v>2.2482482258900691</v>
      </c>
      <c r="P20">
        <f t="shared" si="8"/>
        <v>0.2395059884288378</v>
      </c>
      <c r="Q20">
        <f t="shared" si="9"/>
        <v>0.15096438642137133</v>
      </c>
      <c r="R20">
        <f t="shared" si="10"/>
        <v>281.57848545773231</v>
      </c>
      <c r="S20">
        <f t="shared" si="11"/>
        <v>26.524702840971617</v>
      </c>
      <c r="T20">
        <f t="shared" si="12"/>
        <v>26.980699999999999</v>
      </c>
      <c r="U20">
        <f t="shared" si="13"/>
        <v>3.5751045903256626</v>
      </c>
      <c r="V20">
        <f t="shared" si="14"/>
        <v>55.241550626897563</v>
      </c>
      <c r="W20">
        <f t="shared" si="15"/>
        <v>1.8455646387552</v>
      </c>
      <c r="X20">
        <f t="shared" si="16"/>
        <v>3.3408994096132045</v>
      </c>
      <c r="Y20">
        <f t="shared" si="17"/>
        <v>1.7295399515704626</v>
      </c>
      <c r="Z20">
        <f t="shared" si="18"/>
        <v>-189.67847291594654</v>
      </c>
      <c r="AA20">
        <f t="shared" si="19"/>
        <v>-139.20688076978178</v>
      </c>
      <c r="AB20">
        <f t="shared" si="20"/>
        <v>-13.283505629199473</v>
      </c>
      <c r="AC20">
        <f t="shared" si="21"/>
        <v>-60.590373857195459</v>
      </c>
      <c r="AD20">
        <v>-4.1136603626477003E-2</v>
      </c>
      <c r="AE20">
        <v>4.61794413351269E-2</v>
      </c>
      <c r="AF20">
        <v>3.45208930843248</v>
      </c>
      <c r="AG20">
        <v>138</v>
      </c>
      <c r="AH20">
        <v>28</v>
      </c>
      <c r="AI20">
        <f t="shared" si="22"/>
        <v>1.0052695630760162</v>
      </c>
      <c r="AJ20">
        <f t="shared" si="23"/>
        <v>0.5269563076016226</v>
      </c>
      <c r="AK20">
        <f t="shared" si="24"/>
        <v>52652.258907723466</v>
      </c>
      <c r="AL20" t="s">
        <v>278</v>
      </c>
      <c r="AM20">
        <v>520.33192307692298</v>
      </c>
      <c r="AN20">
        <v>3330.63</v>
      </c>
      <c r="AO20">
        <f t="shared" si="25"/>
        <v>2810.2980769230771</v>
      </c>
      <c r="AP20">
        <f t="shared" si="26"/>
        <v>0.84377372356673574</v>
      </c>
      <c r="AQ20">
        <v>-1.3252759154356599</v>
      </c>
      <c r="AR20" t="s">
        <v>301</v>
      </c>
      <c r="AS20">
        <v>799.33073076923097</v>
      </c>
      <c r="AT20">
        <v>1033.52</v>
      </c>
      <c r="AU20">
        <f t="shared" si="27"/>
        <v>0.22659384359351442</v>
      </c>
      <c r="AV20">
        <v>0.5</v>
      </c>
      <c r="AW20">
        <f t="shared" si="28"/>
        <v>1471.3383000963031</v>
      </c>
      <c r="AX20">
        <f t="shared" si="29"/>
        <v>3.5797346928877838</v>
      </c>
      <c r="AY20">
        <f t="shared" si="30"/>
        <v>166.69810032258454</v>
      </c>
      <c r="AZ20">
        <f t="shared" si="31"/>
        <v>0.43890781020202801</v>
      </c>
      <c r="BA20">
        <f t="shared" si="32"/>
        <v>3.3337068762516395E-3</v>
      </c>
      <c r="BB20">
        <f t="shared" si="33"/>
        <v>2.2226081740072763</v>
      </c>
      <c r="BC20" t="s">
        <v>302</v>
      </c>
      <c r="BD20">
        <v>579.9</v>
      </c>
      <c r="BE20">
        <f t="shared" si="34"/>
        <v>453.62</v>
      </c>
      <c r="BF20">
        <f t="shared" si="35"/>
        <v>0.51626751296408668</v>
      </c>
      <c r="BG20">
        <f t="shared" si="36"/>
        <v>0.83509104855801919</v>
      </c>
      <c r="BH20">
        <f t="shared" si="37"/>
        <v>0.45634199187732144</v>
      </c>
      <c r="BI20">
        <f t="shared" si="38"/>
        <v>0.81739016187031899</v>
      </c>
      <c r="BJ20">
        <v>1371</v>
      </c>
      <c r="BK20">
        <v>300</v>
      </c>
      <c r="BL20">
        <v>300</v>
      </c>
      <c r="BM20">
        <v>300</v>
      </c>
      <c r="BN20">
        <v>10288.4</v>
      </c>
      <c r="BO20">
        <v>987.07899999999995</v>
      </c>
      <c r="BP20">
        <v>-7.0650000000000001E-3</v>
      </c>
      <c r="BQ20">
        <v>3.8883100000000002</v>
      </c>
      <c r="BR20">
        <f t="shared" si="39"/>
        <v>1750.16</v>
      </c>
      <c r="BS20">
        <f t="shared" si="40"/>
        <v>1471.3383000963031</v>
      </c>
      <c r="BT20">
        <f t="shared" si="41"/>
        <v>0.84068788002028561</v>
      </c>
      <c r="BU20">
        <f t="shared" si="42"/>
        <v>0.19137576004057139</v>
      </c>
      <c r="BV20" t="s">
        <v>281</v>
      </c>
      <c r="BW20">
        <v>1566144914.8</v>
      </c>
      <c r="BX20">
        <v>95.220799999999997</v>
      </c>
      <c r="BY20">
        <v>99.984800000000007</v>
      </c>
      <c r="BZ20">
        <v>18.638400000000001</v>
      </c>
      <c r="CA20">
        <v>13.601000000000001</v>
      </c>
      <c r="CB20">
        <v>500.06599999999997</v>
      </c>
      <c r="CC20">
        <v>98.819500000000005</v>
      </c>
      <c r="CD20">
        <v>0.19997799999999999</v>
      </c>
      <c r="CE20">
        <v>25.8322</v>
      </c>
      <c r="CF20">
        <v>26.980699999999999</v>
      </c>
      <c r="CG20">
        <v>999.9</v>
      </c>
      <c r="CH20">
        <v>10038.799999999999</v>
      </c>
      <c r="CI20">
        <v>0</v>
      </c>
      <c r="CJ20">
        <v>970.67399999999998</v>
      </c>
      <c r="CK20">
        <v>1750.16</v>
      </c>
      <c r="CL20">
        <v>0.97700600000000004</v>
      </c>
      <c r="CM20">
        <v>2.2994500000000001E-2</v>
      </c>
      <c r="CN20">
        <v>0</v>
      </c>
      <c r="CO20">
        <v>799.15899999999999</v>
      </c>
      <c r="CP20">
        <v>4.99986</v>
      </c>
      <c r="CQ20">
        <v>17094.7</v>
      </c>
      <c r="CR20">
        <v>14222.1</v>
      </c>
      <c r="CS20">
        <v>44.936999999999998</v>
      </c>
      <c r="CT20">
        <v>46.686999999999998</v>
      </c>
      <c r="CU20">
        <v>45.811999999999998</v>
      </c>
      <c r="CV20">
        <v>45.686999999999998</v>
      </c>
      <c r="CW20">
        <v>46.5</v>
      </c>
      <c r="CX20">
        <v>1705.03</v>
      </c>
      <c r="CY20">
        <v>40.130000000000003</v>
      </c>
      <c r="CZ20">
        <v>0</v>
      </c>
      <c r="DA20">
        <v>111.90000009536701</v>
      </c>
      <c r="DB20">
        <v>799.33073076923097</v>
      </c>
      <c r="DC20">
        <v>-0.93507692832829603</v>
      </c>
      <c r="DD20">
        <v>-721.65128203151801</v>
      </c>
      <c r="DE20">
        <v>17108.95</v>
      </c>
      <c r="DF20">
        <v>15</v>
      </c>
      <c r="DG20">
        <v>1566144942.8</v>
      </c>
      <c r="DH20" t="s">
        <v>303</v>
      </c>
      <c r="DI20">
        <v>49</v>
      </c>
      <c r="DJ20">
        <v>-3.3000000000000002E-2</v>
      </c>
      <c r="DK20">
        <v>7.8E-2</v>
      </c>
      <c r="DL20">
        <v>100</v>
      </c>
      <c r="DM20">
        <v>14</v>
      </c>
      <c r="DN20">
        <v>0.33</v>
      </c>
      <c r="DO20">
        <v>0.02</v>
      </c>
      <c r="DP20">
        <v>3.4576898805010501</v>
      </c>
      <c r="DQ20">
        <v>0.27149585836879297</v>
      </c>
      <c r="DR20">
        <v>6.9802519837323898E-2</v>
      </c>
      <c r="DS20">
        <v>1</v>
      </c>
      <c r="DT20">
        <v>0.25286390283918803</v>
      </c>
      <c r="DU20">
        <v>7.2861057809310197E-3</v>
      </c>
      <c r="DV20">
        <v>1.9150576249699E-3</v>
      </c>
      <c r="DW20">
        <v>1</v>
      </c>
      <c r="DX20">
        <v>2</v>
      </c>
      <c r="DY20">
        <v>2</v>
      </c>
      <c r="DZ20" t="s">
        <v>293</v>
      </c>
      <c r="EA20">
        <v>1.86734</v>
      </c>
      <c r="EB20">
        <v>1.86385</v>
      </c>
      <c r="EC20">
        <v>1.86948</v>
      </c>
      <c r="ED20">
        <v>1.8673900000000001</v>
      </c>
      <c r="EE20">
        <v>1.8721000000000001</v>
      </c>
      <c r="EF20">
        <v>1.86453</v>
      </c>
      <c r="EG20">
        <v>1.86608</v>
      </c>
      <c r="EH20">
        <v>1.8660000000000001</v>
      </c>
      <c r="EI20" t="s">
        <v>284</v>
      </c>
      <c r="EJ20" t="s">
        <v>19</v>
      </c>
      <c r="EK20" t="s">
        <v>19</v>
      </c>
      <c r="EL20" t="s">
        <v>19</v>
      </c>
      <c r="EM20" t="s">
        <v>285</v>
      </c>
      <c r="EN20" t="s">
        <v>286</v>
      </c>
      <c r="EO20" t="s">
        <v>287</v>
      </c>
      <c r="EP20" t="s">
        <v>287</v>
      </c>
      <c r="EQ20" t="s">
        <v>287</v>
      </c>
      <c r="ER20" t="s">
        <v>287</v>
      </c>
      <c r="ES20">
        <v>0</v>
      </c>
      <c r="ET20">
        <v>100</v>
      </c>
      <c r="EU20">
        <v>100</v>
      </c>
      <c r="EV20">
        <v>-3.3000000000000002E-2</v>
      </c>
      <c r="EW20">
        <v>7.8E-2</v>
      </c>
      <c r="EX20">
        <v>2</v>
      </c>
      <c r="EY20">
        <v>342.80700000000002</v>
      </c>
      <c r="EZ20">
        <v>490.89100000000002</v>
      </c>
      <c r="FA20">
        <v>21.0989</v>
      </c>
      <c r="FB20">
        <v>32.334099999999999</v>
      </c>
      <c r="FC20">
        <v>29.999400000000001</v>
      </c>
      <c r="FD20">
        <v>32.361499999999999</v>
      </c>
      <c r="FE20">
        <v>32.363300000000002</v>
      </c>
      <c r="FF20">
        <v>8.0567200000000003</v>
      </c>
      <c r="FG20">
        <v>61.085700000000003</v>
      </c>
      <c r="FH20">
        <v>0</v>
      </c>
      <c r="FI20">
        <v>21.392299999999999</v>
      </c>
      <c r="FJ20">
        <v>100</v>
      </c>
      <c r="FK20">
        <v>13.657500000000001</v>
      </c>
      <c r="FL20">
        <v>100.90900000000001</v>
      </c>
      <c r="FM20">
        <v>101.42400000000001</v>
      </c>
    </row>
    <row r="21" spans="1:169" x14ac:dyDescent="0.35">
      <c r="A21">
        <v>5</v>
      </c>
      <c r="B21">
        <v>1566145026.8</v>
      </c>
      <c r="C21">
        <v>442.09999990463302</v>
      </c>
      <c r="D21" t="s">
        <v>304</v>
      </c>
      <c r="E21" t="s">
        <v>305</v>
      </c>
      <c r="G21">
        <v>1566145026.8</v>
      </c>
      <c r="H21">
        <f t="shared" si="0"/>
        <v>4.4939314108605292E-3</v>
      </c>
      <c r="I21">
        <f t="shared" si="1"/>
        <v>0.50835856942288971</v>
      </c>
      <c r="J21">
        <f t="shared" si="2"/>
        <v>49.138199419186037</v>
      </c>
      <c r="K21">
        <f t="shared" si="3"/>
        <v>44.588966840519099</v>
      </c>
      <c r="L21">
        <f t="shared" si="4"/>
        <v>4.415372680095409</v>
      </c>
      <c r="M21">
        <f t="shared" si="5"/>
        <v>4.8658553592543452</v>
      </c>
      <c r="N21">
        <f t="shared" si="6"/>
        <v>0.26712400609635911</v>
      </c>
      <c r="O21">
        <f t="shared" si="7"/>
        <v>2.2434525144408095</v>
      </c>
      <c r="P21">
        <f t="shared" si="8"/>
        <v>0.2506284966007189</v>
      </c>
      <c r="Q21">
        <f t="shared" si="9"/>
        <v>0.1580399078840424</v>
      </c>
      <c r="R21">
        <f t="shared" si="10"/>
        <v>281.53539371331624</v>
      </c>
      <c r="S21">
        <f t="shared" si="11"/>
        <v>26.54857616237852</v>
      </c>
      <c r="T21">
        <f t="shared" si="12"/>
        <v>27.0215</v>
      </c>
      <c r="U21">
        <f t="shared" si="13"/>
        <v>3.5836817620015937</v>
      </c>
      <c r="V21">
        <f t="shared" si="14"/>
        <v>55.294726605839337</v>
      </c>
      <c r="W21">
        <f t="shared" si="15"/>
        <v>1.8568958727679998</v>
      </c>
      <c r="X21">
        <f t="shared" si="16"/>
        <v>3.3581789562043052</v>
      </c>
      <c r="Y21">
        <f t="shared" si="17"/>
        <v>1.7267858892335939</v>
      </c>
      <c r="Z21">
        <f t="shared" si="18"/>
        <v>-198.18237521894935</v>
      </c>
      <c r="AA21">
        <f t="shared" si="19"/>
        <v>-133.31000098069498</v>
      </c>
      <c r="AB21">
        <f t="shared" si="20"/>
        <v>-12.756168185974678</v>
      </c>
      <c r="AC21">
        <f t="shared" si="21"/>
        <v>-62.71315067230276</v>
      </c>
      <c r="AD21">
        <v>-4.1007710861649803E-2</v>
      </c>
      <c r="AE21">
        <v>4.6034747914982001E-2</v>
      </c>
      <c r="AF21">
        <v>3.4435216179703101</v>
      </c>
      <c r="AG21">
        <v>139</v>
      </c>
      <c r="AH21">
        <v>28</v>
      </c>
      <c r="AI21">
        <f t="shared" si="22"/>
        <v>1.005325577814145</v>
      </c>
      <c r="AJ21">
        <f t="shared" si="23"/>
        <v>0.53255778141449994</v>
      </c>
      <c r="AK21">
        <f t="shared" si="24"/>
        <v>52478.908465109045</v>
      </c>
      <c r="AL21" t="s">
        <v>278</v>
      </c>
      <c r="AM21">
        <v>520.33192307692298</v>
      </c>
      <c r="AN21">
        <v>3330.63</v>
      </c>
      <c r="AO21">
        <f t="shared" si="25"/>
        <v>2810.2980769230771</v>
      </c>
      <c r="AP21">
        <f t="shared" si="26"/>
        <v>0.84377372356673574</v>
      </c>
      <c r="AQ21">
        <v>-1.3252759154356599</v>
      </c>
      <c r="AR21" t="s">
        <v>306</v>
      </c>
      <c r="AS21">
        <v>799.98738461538505</v>
      </c>
      <c r="AT21">
        <v>1008.19</v>
      </c>
      <c r="AU21">
        <f t="shared" si="27"/>
        <v>0.20651128793641571</v>
      </c>
      <c r="AV21">
        <v>0.5</v>
      </c>
      <c r="AW21">
        <f t="shared" si="28"/>
        <v>1471.1115000963182</v>
      </c>
      <c r="AX21">
        <f t="shared" si="29"/>
        <v>0.50835856942288971</v>
      </c>
      <c r="AY21">
        <f t="shared" si="30"/>
        <v>151.9005652914816</v>
      </c>
      <c r="AZ21">
        <f t="shared" si="31"/>
        <v>0.41870084011942205</v>
      </c>
      <c r="BA21">
        <f t="shared" si="32"/>
        <v>1.246427945630563E-3</v>
      </c>
      <c r="BB21">
        <f t="shared" si="33"/>
        <v>2.3035737311419475</v>
      </c>
      <c r="BC21" t="s">
        <v>307</v>
      </c>
      <c r="BD21">
        <v>586.05999999999995</v>
      </c>
      <c r="BE21">
        <f t="shared" si="34"/>
        <v>422.13000000000011</v>
      </c>
      <c r="BF21">
        <f t="shared" si="35"/>
        <v>0.4932191869438679</v>
      </c>
      <c r="BG21">
        <f t="shared" si="36"/>
        <v>0.84619448583931178</v>
      </c>
      <c r="BH21">
        <f t="shared" si="37"/>
        <v>0.42676881911589898</v>
      </c>
      <c r="BI21">
        <f t="shared" si="38"/>
        <v>0.82640344064241744</v>
      </c>
      <c r="BJ21">
        <v>1373</v>
      </c>
      <c r="BK21">
        <v>300</v>
      </c>
      <c r="BL21">
        <v>300</v>
      </c>
      <c r="BM21">
        <v>300</v>
      </c>
      <c r="BN21">
        <v>10288.4</v>
      </c>
      <c r="BO21">
        <v>964.572</v>
      </c>
      <c r="BP21">
        <v>-7.0649700000000003E-3</v>
      </c>
      <c r="BQ21">
        <v>3.6880500000000001</v>
      </c>
      <c r="BR21">
        <f t="shared" si="39"/>
        <v>1749.89</v>
      </c>
      <c r="BS21">
        <f t="shared" si="40"/>
        <v>1471.1115000963182</v>
      </c>
      <c r="BT21">
        <f t="shared" si="41"/>
        <v>0.84068798615702589</v>
      </c>
      <c r="BU21">
        <f t="shared" si="42"/>
        <v>0.19137597231405182</v>
      </c>
      <c r="BV21" t="s">
        <v>281</v>
      </c>
      <c r="BW21">
        <v>1566145026.8</v>
      </c>
      <c r="BX21">
        <v>49.138199999999998</v>
      </c>
      <c r="BY21">
        <v>50.009900000000002</v>
      </c>
      <c r="BZ21">
        <v>18.751999999999999</v>
      </c>
      <c r="CA21">
        <v>13.4895</v>
      </c>
      <c r="CB21">
        <v>500.05</v>
      </c>
      <c r="CC21">
        <v>98.823899999999995</v>
      </c>
      <c r="CD21">
        <v>0.199984</v>
      </c>
      <c r="CE21">
        <v>25.9193</v>
      </c>
      <c r="CF21">
        <v>27.0215</v>
      </c>
      <c r="CG21">
        <v>999.9</v>
      </c>
      <c r="CH21">
        <v>10006.9</v>
      </c>
      <c r="CI21">
        <v>0</v>
      </c>
      <c r="CJ21">
        <v>1252.46</v>
      </c>
      <c r="CK21">
        <v>1749.89</v>
      </c>
      <c r="CL21">
        <v>0.97700100000000001</v>
      </c>
      <c r="CM21">
        <v>2.2998500000000002E-2</v>
      </c>
      <c r="CN21">
        <v>0</v>
      </c>
      <c r="CO21">
        <v>799.88599999999997</v>
      </c>
      <c r="CP21">
        <v>4.99986</v>
      </c>
      <c r="CQ21">
        <v>17248.400000000001</v>
      </c>
      <c r="CR21">
        <v>14219.9</v>
      </c>
      <c r="CS21">
        <v>45</v>
      </c>
      <c r="CT21">
        <v>46.875</v>
      </c>
      <c r="CU21">
        <v>45.875</v>
      </c>
      <c r="CV21">
        <v>45.811999999999998</v>
      </c>
      <c r="CW21">
        <v>46.625</v>
      </c>
      <c r="CX21">
        <v>1704.76</v>
      </c>
      <c r="CY21">
        <v>40.130000000000003</v>
      </c>
      <c r="CZ21">
        <v>0</v>
      </c>
      <c r="DA21">
        <v>111.700000047684</v>
      </c>
      <c r="DB21">
        <v>799.98738461538505</v>
      </c>
      <c r="DC21">
        <v>-1.5304615347181501</v>
      </c>
      <c r="DD21">
        <v>1909.866669255</v>
      </c>
      <c r="DE21">
        <v>17483.069230769201</v>
      </c>
      <c r="DF21">
        <v>15</v>
      </c>
      <c r="DG21">
        <v>1566145059.3</v>
      </c>
      <c r="DH21" t="s">
        <v>308</v>
      </c>
      <c r="DI21">
        <v>50</v>
      </c>
      <c r="DJ21">
        <v>-6.5000000000000002E-2</v>
      </c>
      <c r="DK21">
        <v>7.6999999999999999E-2</v>
      </c>
      <c r="DL21">
        <v>50</v>
      </c>
      <c r="DM21">
        <v>13</v>
      </c>
      <c r="DN21">
        <v>0.28000000000000003</v>
      </c>
      <c r="DO21">
        <v>0.02</v>
      </c>
      <c r="DP21">
        <v>0.414346642531916</v>
      </c>
      <c r="DQ21">
        <v>0.27606775048777799</v>
      </c>
      <c r="DR21">
        <v>6.5016956587012897E-2</v>
      </c>
      <c r="DS21">
        <v>1</v>
      </c>
      <c r="DT21">
        <v>0.26140954440611502</v>
      </c>
      <c r="DU21">
        <v>1.2447007905088001E-2</v>
      </c>
      <c r="DV21">
        <v>2.4882207743250001E-3</v>
      </c>
      <c r="DW21">
        <v>1</v>
      </c>
      <c r="DX21">
        <v>2</v>
      </c>
      <c r="DY21">
        <v>2</v>
      </c>
      <c r="DZ21" t="s">
        <v>293</v>
      </c>
      <c r="EA21">
        <v>1.8673200000000001</v>
      </c>
      <c r="EB21">
        <v>1.8638399999999999</v>
      </c>
      <c r="EC21">
        <v>1.86948</v>
      </c>
      <c r="ED21">
        <v>1.8673900000000001</v>
      </c>
      <c r="EE21">
        <v>1.8721000000000001</v>
      </c>
      <c r="EF21">
        <v>1.8645499999999999</v>
      </c>
      <c r="EG21">
        <v>1.86608</v>
      </c>
      <c r="EH21">
        <v>1.8660399999999999</v>
      </c>
      <c r="EI21" t="s">
        <v>284</v>
      </c>
      <c r="EJ21" t="s">
        <v>19</v>
      </c>
      <c r="EK21" t="s">
        <v>19</v>
      </c>
      <c r="EL21" t="s">
        <v>19</v>
      </c>
      <c r="EM21" t="s">
        <v>285</v>
      </c>
      <c r="EN21" t="s">
        <v>286</v>
      </c>
      <c r="EO21" t="s">
        <v>287</v>
      </c>
      <c r="EP21" t="s">
        <v>287</v>
      </c>
      <c r="EQ21" t="s">
        <v>287</v>
      </c>
      <c r="ER21" t="s">
        <v>287</v>
      </c>
      <c r="ES21">
        <v>0</v>
      </c>
      <c r="ET21">
        <v>100</v>
      </c>
      <c r="EU21">
        <v>100</v>
      </c>
      <c r="EV21">
        <v>-6.5000000000000002E-2</v>
      </c>
      <c r="EW21">
        <v>7.6999999999999999E-2</v>
      </c>
      <c r="EX21">
        <v>2</v>
      </c>
      <c r="EY21">
        <v>342.07100000000003</v>
      </c>
      <c r="EZ21">
        <v>489.98399999999998</v>
      </c>
      <c r="FA21">
        <v>21.167400000000001</v>
      </c>
      <c r="FB21">
        <v>32.399900000000002</v>
      </c>
      <c r="FC21">
        <v>30.000499999999999</v>
      </c>
      <c r="FD21">
        <v>32.407299999999999</v>
      </c>
      <c r="FE21">
        <v>32.408200000000001</v>
      </c>
      <c r="FF21">
        <v>5.6207700000000003</v>
      </c>
      <c r="FG21">
        <v>61.693300000000001</v>
      </c>
      <c r="FH21">
        <v>0</v>
      </c>
      <c r="FI21">
        <v>21.148499999999999</v>
      </c>
      <c r="FJ21">
        <v>50</v>
      </c>
      <c r="FK21">
        <v>13.3466</v>
      </c>
      <c r="FL21">
        <v>100.89700000000001</v>
      </c>
      <c r="FM21">
        <v>101.41200000000001</v>
      </c>
    </row>
    <row r="22" spans="1:169" x14ac:dyDescent="0.35">
      <c r="A22">
        <v>6</v>
      </c>
      <c r="B22">
        <v>1566145138.3</v>
      </c>
      <c r="C22">
        <v>553.59999990463302</v>
      </c>
      <c r="D22" t="s">
        <v>309</v>
      </c>
      <c r="E22" t="s">
        <v>310</v>
      </c>
      <c r="G22">
        <v>1566145138.3</v>
      </c>
      <c r="H22">
        <f t="shared" si="0"/>
        <v>5.0035120490339244E-3</v>
      </c>
      <c r="I22">
        <f t="shared" si="1"/>
        <v>-2.0814419430648785</v>
      </c>
      <c r="J22">
        <f t="shared" si="2"/>
        <v>14.895402376289894</v>
      </c>
      <c r="K22">
        <f t="shared" si="3"/>
        <v>25.986651474020039</v>
      </c>
      <c r="L22">
        <f t="shared" si="4"/>
        <v>2.5732499164072467</v>
      </c>
      <c r="M22">
        <f t="shared" si="5"/>
        <v>1.4749723702555517</v>
      </c>
      <c r="N22">
        <f t="shared" si="6"/>
        <v>0.30380526135873737</v>
      </c>
      <c r="O22">
        <f t="shared" si="7"/>
        <v>2.2442776629774306</v>
      </c>
      <c r="P22">
        <f t="shared" si="8"/>
        <v>0.28266788671395077</v>
      </c>
      <c r="Q22">
        <f t="shared" si="9"/>
        <v>0.17844383451411983</v>
      </c>
      <c r="R22">
        <f t="shared" si="10"/>
        <v>281.5513536186462</v>
      </c>
      <c r="S22">
        <f t="shared" si="11"/>
        <v>26.472347961232586</v>
      </c>
      <c r="T22">
        <f t="shared" si="12"/>
        <v>26.986699999999999</v>
      </c>
      <c r="U22">
        <f t="shared" si="13"/>
        <v>3.5763648141214421</v>
      </c>
      <c r="V22">
        <f t="shared" si="14"/>
        <v>55.430719442995901</v>
      </c>
      <c r="W22">
        <f t="shared" si="15"/>
        <v>1.8717928536691999</v>
      </c>
      <c r="X22">
        <f t="shared" si="16"/>
        <v>3.3768150088582609</v>
      </c>
      <c r="Y22">
        <f t="shared" si="17"/>
        <v>1.7045719604522422</v>
      </c>
      <c r="Z22">
        <f t="shared" si="18"/>
        <v>-220.65488136239605</v>
      </c>
      <c r="AA22">
        <f t="shared" si="19"/>
        <v>-117.83556708517523</v>
      </c>
      <c r="AB22">
        <f t="shared" si="20"/>
        <v>-11.274610767142251</v>
      </c>
      <c r="AC22">
        <f t="shared" si="21"/>
        <v>-68.213705596067314</v>
      </c>
      <c r="AD22">
        <v>-4.1029870484964898E-2</v>
      </c>
      <c r="AE22">
        <v>4.6059624033442798E-2</v>
      </c>
      <c r="AF22">
        <v>3.4449952562355102</v>
      </c>
      <c r="AG22">
        <v>139</v>
      </c>
      <c r="AH22">
        <v>28</v>
      </c>
      <c r="AI22">
        <f t="shared" si="22"/>
        <v>1.0053244831035326</v>
      </c>
      <c r="AJ22">
        <f t="shared" si="23"/>
        <v>0.53244831035326179</v>
      </c>
      <c r="AK22">
        <f t="shared" si="24"/>
        <v>52489.640941363861</v>
      </c>
      <c r="AL22" t="s">
        <v>278</v>
      </c>
      <c r="AM22">
        <v>520.33192307692298</v>
      </c>
      <c r="AN22">
        <v>3330.63</v>
      </c>
      <c r="AO22">
        <f t="shared" si="25"/>
        <v>2810.2980769230771</v>
      </c>
      <c r="AP22">
        <f t="shared" si="26"/>
        <v>0.84377372356673574</v>
      </c>
      <c r="AQ22">
        <v>-1.3252759154356599</v>
      </c>
      <c r="AR22" t="s">
        <v>311</v>
      </c>
      <c r="AS22">
        <v>803.71988461538501</v>
      </c>
      <c r="AT22">
        <v>982.01099999999997</v>
      </c>
      <c r="AU22">
        <f t="shared" si="27"/>
        <v>0.18155714690020275</v>
      </c>
      <c r="AV22">
        <v>0.5</v>
      </c>
      <c r="AW22">
        <f t="shared" si="28"/>
        <v>1471.1955000963123</v>
      </c>
      <c r="AX22">
        <f t="shared" si="29"/>
        <v>-2.0814419430648785</v>
      </c>
      <c r="AY22">
        <f t="shared" si="30"/>
        <v>133.5530287649517</v>
      </c>
      <c r="AZ22">
        <f t="shared" si="31"/>
        <v>0.40273581456826857</v>
      </c>
      <c r="BA22">
        <f t="shared" si="32"/>
        <v>-5.1398065558229064E-4</v>
      </c>
      <c r="BB22">
        <f t="shared" si="33"/>
        <v>2.3916422524798606</v>
      </c>
      <c r="BC22" t="s">
        <v>312</v>
      </c>
      <c r="BD22">
        <v>586.52</v>
      </c>
      <c r="BE22">
        <f t="shared" si="34"/>
        <v>395.49099999999999</v>
      </c>
      <c r="BF22">
        <f t="shared" si="35"/>
        <v>0.45080953898979992</v>
      </c>
      <c r="BG22">
        <f t="shared" si="36"/>
        <v>0.85587640437154489</v>
      </c>
      <c r="BH22">
        <f t="shared" si="37"/>
        <v>0.38617976056627984</v>
      </c>
      <c r="BI22">
        <f t="shared" si="38"/>
        <v>0.83571882259957364</v>
      </c>
      <c r="BJ22">
        <v>1375</v>
      </c>
      <c r="BK22">
        <v>300</v>
      </c>
      <c r="BL22">
        <v>300</v>
      </c>
      <c r="BM22">
        <v>300</v>
      </c>
      <c r="BN22">
        <v>10288.6</v>
      </c>
      <c r="BO22">
        <v>948.57600000000002</v>
      </c>
      <c r="BP22">
        <v>-7.0649900000000002E-3</v>
      </c>
      <c r="BQ22">
        <v>3.3679199999999998</v>
      </c>
      <c r="BR22">
        <f t="shared" si="39"/>
        <v>1749.99</v>
      </c>
      <c r="BS22">
        <f t="shared" si="40"/>
        <v>1471.1955000963123</v>
      </c>
      <c r="BT22">
        <f t="shared" si="41"/>
        <v>0.84068794684330328</v>
      </c>
      <c r="BU22">
        <f t="shared" si="42"/>
        <v>0.19137589368660682</v>
      </c>
      <c r="BV22" t="s">
        <v>281</v>
      </c>
      <c r="BW22">
        <v>1566145138.3</v>
      </c>
      <c r="BX22">
        <v>14.8954</v>
      </c>
      <c r="BY22">
        <v>12.500299999999999</v>
      </c>
      <c r="BZ22">
        <v>18.902799999999999</v>
      </c>
      <c r="CA22">
        <v>13.043799999999999</v>
      </c>
      <c r="CB22">
        <v>499.99299999999999</v>
      </c>
      <c r="CC22">
        <v>98.822000000000003</v>
      </c>
      <c r="CD22">
        <v>0.199989</v>
      </c>
      <c r="CE22">
        <v>26.012799999999999</v>
      </c>
      <c r="CF22">
        <v>26.986699999999999</v>
      </c>
      <c r="CG22">
        <v>999.9</v>
      </c>
      <c r="CH22">
        <v>10012.5</v>
      </c>
      <c r="CI22">
        <v>0</v>
      </c>
      <c r="CJ22">
        <v>1284.6099999999999</v>
      </c>
      <c r="CK22">
        <v>1749.99</v>
      </c>
      <c r="CL22">
        <v>0.97700100000000001</v>
      </c>
      <c r="CM22">
        <v>2.2998500000000002E-2</v>
      </c>
      <c r="CN22">
        <v>0</v>
      </c>
      <c r="CO22">
        <v>804.25199999999995</v>
      </c>
      <c r="CP22">
        <v>4.99986</v>
      </c>
      <c r="CQ22">
        <v>17583.7</v>
      </c>
      <c r="CR22">
        <v>14220.7</v>
      </c>
      <c r="CS22">
        <v>45.061999999999998</v>
      </c>
      <c r="CT22">
        <v>47</v>
      </c>
      <c r="CU22">
        <v>46</v>
      </c>
      <c r="CV22">
        <v>45.811999999999998</v>
      </c>
      <c r="CW22">
        <v>46.686999999999998</v>
      </c>
      <c r="CX22">
        <v>1704.86</v>
      </c>
      <c r="CY22">
        <v>40.130000000000003</v>
      </c>
      <c r="CZ22">
        <v>0</v>
      </c>
      <c r="DA22">
        <v>111.30000019073501</v>
      </c>
      <c r="DB22">
        <v>803.71988461538501</v>
      </c>
      <c r="DC22">
        <v>0.86075214458756999</v>
      </c>
      <c r="DD22">
        <v>-8403.3162458631705</v>
      </c>
      <c r="DE22">
        <v>18899.461538461499</v>
      </c>
      <c r="DF22">
        <v>15</v>
      </c>
      <c r="DG22">
        <v>1566145168.3</v>
      </c>
      <c r="DH22" t="s">
        <v>313</v>
      </c>
      <c r="DI22">
        <v>51</v>
      </c>
      <c r="DJ22">
        <v>-0.121</v>
      </c>
      <c r="DK22">
        <v>6.8000000000000005E-2</v>
      </c>
      <c r="DL22">
        <v>13</v>
      </c>
      <c r="DM22">
        <v>13</v>
      </c>
      <c r="DN22">
        <v>0.34</v>
      </c>
      <c r="DO22">
        <v>0.02</v>
      </c>
      <c r="DP22">
        <v>-2.1978151977723099</v>
      </c>
      <c r="DQ22">
        <v>0.29295632255575599</v>
      </c>
      <c r="DR22">
        <v>8.3231304333831399E-2</v>
      </c>
      <c r="DS22">
        <v>1</v>
      </c>
      <c r="DT22">
        <v>0.29426335816802401</v>
      </c>
      <c r="DU22">
        <v>2.7728053199353099E-2</v>
      </c>
      <c r="DV22">
        <v>5.7048175661897496E-3</v>
      </c>
      <c r="DW22">
        <v>1</v>
      </c>
      <c r="DX22">
        <v>2</v>
      </c>
      <c r="DY22">
        <v>2</v>
      </c>
      <c r="DZ22" t="s">
        <v>293</v>
      </c>
      <c r="EA22">
        <v>1.8673500000000001</v>
      </c>
      <c r="EB22">
        <v>1.86385</v>
      </c>
      <c r="EC22">
        <v>1.8694900000000001</v>
      </c>
      <c r="ED22">
        <v>1.8673900000000001</v>
      </c>
      <c r="EE22">
        <v>1.8721000000000001</v>
      </c>
      <c r="EF22">
        <v>1.8645799999999999</v>
      </c>
      <c r="EG22">
        <v>1.8660600000000001</v>
      </c>
      <c r="EH22">
        <v>1.8660300000000001</v>
      </c>
      <c r="EI22" t="s">
        <v>284</v>
      </c>
      <c r="EJ22" t="s">
        <v>19</v>
      </c>
      <c r="EK22" t="s">
        <v>19</v>
      </c>
      <c r="EL22" t="s">
        <v>19</v>
      </c>
      <c r="EM22" t="s">
        <v>285</v>
      </c>
      <c r="EN22" t="s">
        <v>286</v>
      </c>
      <c r="EO22" t="s">
        <v>287</v>
      </c>
      <c r="EP22" t="s">
        <v>287</v>
      </c>
      <c r="EQ22" t="s">
        <v>287</v>
      </c>
      <c r="ER22" t="s">
        <v>287</v>
      </c>
      <c r="ES22">
        <v>0</v>
      </c>
      <c r="ET22">
        <v>100</v>
      </c>
      <c r="EU22">
        <v>100</v>
      </c>
      <c r="EV22">
        <v>-0.121</v>
      </c>
      <c r="EW22">
        <v>6.8000000000000005E-2</v>
      </c>
      <c r="EX22">
        <v>2</v>
      </c>
      <c r="EY22">
        <v>341.51400000000001</v>
      </c>
      <c r="EZ22">
        <v>489.08199999999999</v>
      </c>
      <c r="FA22">
        <v>21.498799999999999</v>
      </c>
      <c r="FB22">
        <v>32.486800000000002</v>
      </c>
      <c r="FC22">
        <v>30.0001</v>
      </c>
      <c r="FD22">
        <v>32.4758</v>
      </c>
      <c r="FE22">
        <v>32.472299999999997</v>
      </c>
      <c r="FF22">
        <v>3.8276400000000002</v>
      </c>
      <c r="FG22">
        <v>63.3553</v>
      </c>
      <c r="FH22">
        <v>0</v>
      </c>
      <c r="FI22">
        <v>21.5001</v>
      </c>
      <c r="FJ22">
        <v>12.5</v>
      </c>
      <c r="FK22">
        <v>12.895200000000001</v>
      </c>
      <c r="FL22">
        <v>100.88500000000001</v>
      </c>
      <c r="FM22">
        <v>101.398</v>
      </c>
    </row>
    <row r="23" spans="1:169" x14ac:dyDescent="0.35">
      <c r="A23">
        <v>7</v>
      </c>
      <c r="B23">
        <v>1566145252.3</v>
      </c>
      <c r="C23">
        <v>667.59999990463302</v>
      </c>
      <c r="D23" t="s">
        <v>314</v>
      </c>
      <c r="E23" t="s">
        <v>315</v>
      </c>
      <c r="G23">
        <v>1566145252.3</v>
      </c>
      <c r="H23">
        <f t="shared" si="0"/>
        <v>5.8347741213409738E-3</v>
      </c>
      <c r="I23">
        <f t="shared" si="1"/>
        <v>25.336921624818871</v>
      </c>
      <c r="J23">
        <f t="shared" si="2"/>
        <v>367.23097078605969</v>
      </c>
      <c r="K23">
        <f t="shared" si="3"/>
        <v>239.08937039015549</v>
      </c>
      <c r="L23">
        <f t="shared" si="4"/>
        <v>23.673032099949619</v>
      </c>
      <c r="M23">
        <f t="shared" si="5"/>
        <v>36.360757257119801</v>
      </c>
      <c r="N23">
        <f t="shared" si="6"/>
        <v>0.36452684578341277</v>
      </c>
      <c r="O23">
        <f t="shared" si="7"/>
        <v>2.237268549040127</v>
      </c>
      <c r="P23">
        <f t="shared" si="8"/>
        <v>0.3344566534302213</v>
      </c>
      <c r="Q23">
        <f t="shared" si="9"/>
        <v>0.21153000008617082</v>
      </c>
      <c r="R23">
        <f t="shared" si="10"/>
        <v>281.54816163757937</v>
      </c>
      <c r="S23">
        <f t="shared" si="11"/>
        <v>26.492259151951213</v>
      </c>
      <c r="T23">
        <f t="shared" si="12"/>
        <v>26.991900000000001</v>
      </c>
      <c r="U23">
        <f t="shared" si="13"/>
        <v>3.5774573217313943</v>
      </c>
      <c r="V23">
        <f t="shared" si="14"/>
        <v>55.228173080305488</v>
      </c>
      <c r="W23">
        <f t="shared" si="15"/>
        <v>1.8978773972600997</v>
      </c>
      <c r="X23">
        <f t="shared" si="16"/>
        <v>3.4364297991542436</v>
      </c>
      <c r="Y23">
        <f t="shared" si="17"/>
        <v>1.6795799244712946</v>
      </c>
      <c r="Z23">
        <f t="shared" si="18"/>
        <v>-257.31353875113695</v>
      </c>
      <c r="AA23">
        <f t="shared" si="19"/>
        <v>-82.380469836826435</v>
      </c>
      <c r="AB23">
        <f t="shared" si="20"/>
        <v>-7.9188570684815014</v>
      </c>
      <c r="AC23">
        <f t="shared" si="21"/>
        <v>-66.064704018865498</v>
      </c>
      <c r="AD23">
        <v>-4.0841870657196799E-2</v>
      </c>
      <c r="AE23">
        <v>4.5848577757083599E-2</v>
      </c>
      <c r="AF23">
        <v>3.43248442615671</v>
      </c>
      <c r="AG23">
        <v>139</v>
      </c>
      <c r="AH23">
        <v>28</v>
      </c>
      <c r="AI23">
        <f t="shared" si="22"/>
        <v>1.0053534636466233</v>
      </c>
      <c r="AJ23">
        <f t="shared" si="23"/>
        <v>0.53534636466232577</v>
      </c>
      <c r="AK23">
        <f t="shared" si="24"/>
        <v>52206.997439882492</v>
      </c>
      <c r="AL23" t="s">
        <v>278</v>
      </c>
      <c r="AM23">
        <v>520.33192307692298</v>
      </c>
      <c r="AN23">
        <v>3330.63</v>
      </c>
      <c r="AO23">
        <f t="shared" si="25"/>
        <v>2810.2980769230771</v>
      </c>
      <c r="AP23">
        <f t="shared" si="26"/>
        <v>0.84377372356673574</v>
      </c>
      <c r="AQ23">
        <v>-1.3252759154356599</v>
      </c>
      <c r="AR23" t="s">
        <v>316</v>
      </c>
      <c r="AS23">
        <v>757.01596153846106</v>
      </c>
      <c r="AT23">
        <v>1097.67</v>
      </c>
      <c r="AU23">
        <f t="shared" si="27"/>
        <v>0.31034285209720502</v>
      </c>
      <c r="AV23">
        <v>0.5</v>
      </c>
      <c r="AW23">
        <f t="shared" si="28"/>
        <v>1471.1787000963136</v>
      </c>
      <c r="AX23">
        <f t="shared" si="29"/>
        <v>25.336921624818871</v>
      </c>
      <c r="AY23">
        <f t="shared" si="30"/>
        <v>228.28489686627429</v>
      </c>
      <c r="AZ23">
        <f t="shared" si="31"/>
        <v>0.52820064318055526</v>
      </c>
      <c r="BA23">
        <f t="shared" si="32"/>
        <v>1.8123017644633543E-2</v>
      </c>
      <c r="BB23">
        <f t="shared" si="33"/>
        <v>2.0342725955888379</v>
      </c>
      <c r="BC23" t="s">
        <v>317</v>
      </c>
      <c r="BD23">
        <v>517.88</v>
      </c>
      <c r="BE23">
        <f t="shared" si="34"/>
        <v>579.79000000000008</v>
      </c>
      <c r="BF23">
        <f t="shared" si="35"/>
        <v>0.58754728170809944</v>
      </c>
      <c r="BG23">
        <f t="shared" si="36"/>
        <v>0.79387076704292958</v>
      </c>
      <c r="BH23">
        <f t="shared" si="37"/>
        <v>0.59004256271655331</v>
      </c>
      <c r="BI23">
        <f t="shared" si="38"/>
        <v>0.79456340177438056</v>
      </c>
      <c r="BJ23">
        <v>1377</v>
      </c>
      <c r="BK23">
        <v>300</v>
      </c>
      <c r="BL23">
        <v>300</v>
      </c>
      <c r="BM23">
        <v>300</v>
      </c>
      <c r="BN23">
        <v>10288.5</v>
      </c>
      <c r="BO23">
        <v>1017.63</v>
      </c>
      <c r="BP23">
        <v>-7.0653699999999996E-3</v>
      </c>
      <c r="BQ23">
        <v>2.52521</v>
      </c>
      <c r="BR23">
        <f t="shared" si="39"/>
        <v>1749.97</v>
      </c>
      <c r="BS23">
        <f t="shared" si="40"/>
        <v>1471.1787000963136</v>
      </c>
      <c r="BT23">
        <f t="shared" si="41"/>
        <v>0.84068795470568847</v>
      </c>
      <c r="BU23">
        <f t="shared" si="42"/>
        <v>0.19137590941137692</v>
      </c>
      <c r="BV23" t="s">
        <v>281</v>
      </c>
      <c r="BW23">
        <v>1566145252.3</v>
      </c>
      <c r="BX23">
        <v>367.23099999999999</v>
      </c>
      <c r="BY23">
        <v>400.04399999999998</v>
      </c>
      <c r="BZ23">
        <v>19.167899999999999</v>
      </c>
      <c r="CA23">
        <v>12.3378</v>
      </c>
      <c r="CB23">
        <v>500.01</v>
      </c>
      <c r="CC23">
        <v>98.813299999999998</v>
      </c>
      <c r="CD23">
        <v>0.200019</v>
      </c>
      <c r="CE23">
        <v>26.308900000000001</v>
      </c>
      <c r="CF23">
        <v>26.991900000000001</v>
      </c>
      <c r="CG23">
        <v>999.9</v>
      </c>
      <c r="CH23">
        <v>9967.5</v>
      </c>
      <c r="CI23">
        <v>0</v>
      </c>
      <c r="CJ23">
        <v>1599.36</v>
      </c>
      <c r="CK23">
        <v>1749.97</v>
      </c>
      <c r="CL23">
        <v>0.97700100000000001</v>
      </c>
      <c r="CM23">
        <v>2.2998500000000002E-2</v>
      </c>
      <c r="CN23">
        <v>0</v>
      </c>
      <c r="CO23">
        <v>756.78300000000002</v>
      </c>
      <c r="CP23">
        <v>4.99986</v>
      </c>
      <c r="CQ23">
        <v>18273.400000000001</v>
      </c>
      <c r="CR23">
        <v>14220.5</v>
      </c>
      <c r="CS23">
        <v>45.25</v>
      </c>
      <c r="CT23">
        <v>47.25</v>
      </c>
      <c r="CU23">
        <v>46.186999999999998</v>
      </c>
      <c r="CV23">
        <v>46.061999999999998</v>
      </c>
      <c r="CW23">
        <v>46.875</v>
      </c>
      <c r="CX23">
        <v>1704.84</v>
      </c>
      <c r="CY23">
        <v>40.130000000000003</v>
      </c>
      <c r="CZ23">
        <v>0</v>
      </c>
      <c r="DA23">
        <v>113.60000014305101</v>
      </c>
      <c r="DB23">
        <v>757.01596153846106</v>
      </c>
      <c r="DC23">
        <v>-1.4738803383393699</v>
      </c>
      <c r="DD23">
        <v>-2085.50769478545</v>
      </c>
      <c r="DE23">
        <v>18160.896153846199</v>
      </c>
      <c r="DF23">
        <v>15</v>
      </c>
      <c r="DG23">
        <v>1566145287.8</v>
      </c>
      <c r="DH23" t="s">
        <v>318</v>
      </c>
      <c r="DI23">
        <v>52</v>
      </c>
      <c r="DJ23">
        <v>0.16200000000000001</v>
      </c>
      <c r="DK23">
        <v>6.0999999999999999E-2</v>
      </c>
      <c r="DL23">
        <v>400</v>
      </c>
      <c r="DM23">
        <v>12</v>
      </c>
      <c r="DN23">
        <v>0.05</v>
      </c>
      <c r="DO23">
        <v>0.01</v>
      </c>
      <c r="DP23">
        <v>25.364795844437399</v>
      </c>
      <c r="DQ23">
        <v>-9.6325503584058697E-2</v>
      </c>
      <c r="DR23">
        <v>0.206206126496491</v>
      </c>
      <c r="DS23">
        <v>1</v>
      </c>
      <c r="DT23">
        <v>0.35132190980973999</v>
      </c>
      <c r="DU23">
        <v>2.88860042934777E-2</v>
      </c>
      <c r="DV23">
        <v>5.7943467857116899E-3</v>
      </c>
      <c r="DW23">
        <v>1</v>
      </c>
      <c r="DX23">
        <v>2</v>
      </c>
      <c r="DY23">
        <v>2</v>
      </c>
      <c r="DZ23" t="s">
        <v>293</v>
      </c>
      <c r="EA23">
        <v>1.8673599999999999</v>
      </c>
      <c r="EB23">
        <v>1.8638399999999999</v>
      </c>
      <c r="EC23">
        <v>1.86947</v>
      </c>
      <c r="ED23">
        <v>1.86738</v>
      </c>
      <c r="EE23">
        <v>1.8721000000000001</v>
      </c>
      <c r="EF23">
        <v>1.8645799999999999</v>
      </c>
      <c r="EG23">
        <v>1.86605</v>
      </c>
      <c r="EH23">
        <v>1.8660099999999999</v>
      </c>
      <c r="EI23" t="s">
        <v>284</v>
      </c>
      <c r="EJ23" t="s">
        <v>19</v>
      </c>
      <c r="EK23" t="s">
        <v>19</v>
      </c>
      <c r="EL23" t="s">
        <v>19</v>
      </c>
      <c r="EM23" t="s">
        <v>285</v>
      </c>
      <c r="EN23" t="s">
        <v>286</v>
      </c>
      <c r="EO23" t="s">
        <v>287</v>
      </c>
      <c r="EP23" t="s">
        <v>287</v>
      </c>
      <c r="EQ23" t="s">
        <v>287</v>
      </c>
      <c r="ER23" t="s">
        <v>287</v>
      </c>
      <c r="ES23">
        <v>0</v>
      </c>
      <c r="ET23">
        <v>100</v>
      </c>
      <c r="EU23">
        <v>100</v>
      </c>
      <c r="EV23">
        <v>0.16200000000000001</v>
      </c>
      <c r="EW23">
        <v>6.0999999999999999E-2</v>
      </c>
      <c r="EX23">
        <v>2</v>
      </c>
      <c r="EY23">
        <v>341.54700000000003</v>
      </c>
      <c r="EZ23">
        <v>488.51</v>
      </c>
      <c r="FA23">
        <v>21.855699999999999</v>
      </c>
      <c r="FB23">
        <v>32.619</v>
      </c>
      <c r="FC23">
        <v>30.000800000000002</v>
      </c>
      <c r="FD23">
        <v>32.581000000000003</v>
      </c>
      <c r="FE23">
        <v>32.577500000000001</v>
      </c>
      <c r="FF23">
        <v>21.9648</v>
      </c>
      <c r="FG23">
        <v>66.240399999999994</v>
      </c>
      <c r="FH23">
        <v>0</v>
      </c>
      <c r="FI23">
        <v>21.8505</v>
      </c>
      <c r="FJ23">
        <v>400</v>
      </c>
      <c r="FK23">
        <v>12.2346</v>
      </c>
      <c r="FL23">
        <v>100.863</v>
      </c>
      <c r="FM23">
        <v>101.371</v>
      </c>
    </row>
    <row r="24" spans="1:169" x14ac:dyDescent="0.35">
      <c r="A24">
        <v>8</v>
      </c>
      <c r="B24">
        <v>1566145378.8</v>
      </c>
      <c r="C24">
        <v>794.09999990463302</v>
      </c>
      <c r="D24" t="s">
        <v>319</v>
      </c>
      <c r="E24" t="s">
        <v>320</v>
      </c>
      <c r="G24">
        <v>1566145378.8</v>
      </c>
      <c r="H24">
        <f t="shared" si="0"/>
        <v>6.2439860508756492E-3</v>
      </c>
      <c r="I24">
        <f t="shared" si="1"/>
        <v>26.491721742331556</v>
      </c>
      <c r="J24">
        <f t="shared" si="2"/>
        <v>365.57296965108725</v>
      </c>
      <c r="K24">
        <f t="shared" si="3"/>
        <v>241.43068920456787</v>
      </c>
      <c r="L24">
        <f t="shared" si="4"/>
        <v>23.901701727523477</v>
      </c>
      <c r="M24">
        <f t="shared" si="5"/>
        <v>36.191820141148654</v>
      </c>
      <c r="N24">
        <f t="shared" si="6"/>
        <v>0.39643833722904692</v>
      </c>
      <c r="O24">
        <f t="shared" si="7"/>
        <v>2.2422177739759475</v>
      </c>
      <c r="P24">
        <f t="shared" si="8"/>
        <v>0.36121611092975359</v>
      </c>
      <c r="Q24">
        <f t="shared" si="9"/>
        <v>0.22866329528982046</v>
      </c>
      <c r="R24">
        <f t="shared" si="10"/>
        <v>281.52102979852828</v>
      </c>
      <c r="S24">
        <f t="shared" si="11"/>
        <v>26.363621726706238</v>
      </c>
      <c r="T24">
        <f t="shared" si="12"/>
        <v>26.959499999999998</v>
      </c>
      <c r="U24">
        <f t="shared" si="13"/>
        <v>3.5706549036451563</v>
      </c>
      <c r="V24">
        <f t="shared" si="14"/>
        <v>55.457352728389573</v>
      </c>
      <c r="W24">
        <f t="shared" si="15"/>
        <v>1.9066757651958997</v>
      </c>
      <c r="X24">
        <f t="shared" si="16"/>
        <v>3.4380937267851941</v>
      </c>
      <c r="Y24">
        <f t="shared" si="17"/>
        <v>1.6639791384492566</v>
      </c>
      <c r="Z24">
        <f t="shared" si="18"/>
        <v>-275.35978484361613</v>
      </c>
      <c r="AA24">
        <f t="shared" si="19"/>
        <v>-77.654882430691657</v>
      </c>
      <c r="AB24">
        <f t="shared" si="20"/>
        <v>-7.4472280966390869</v>
      </c>
      <c r="AC24">
        <f t="shared" si="21"/>
        <v>-78.940865572418602</v>
      </c>
      <c r="AD24">
        <v>-4.0974565166649199E-2</v>
      </c>
      <c r="AE24">
        <v>4.5997538968621403E-2</v>
      </c>
      <c r="AF24">
        <v>3.4413168861635901</v>
      </c>
      <c r="AG24">
        <v>140</v>
      </c>
      <c r="AH24">
        <v>28</v>
      </c>
      <c r="AI24">
        <f t="shared" si="22"/>
        <v>1.005375515891801</v>
      </c>
      <c r="AJ24">
        <f t="shared" si="23"/>
        <v>0.53755158918009638</v>
      </c>
      <c r="AK24">
        <f t="shared" si="24"/>
        <v>52368.023854059255</v>
      </c>
      <c r="AL24" t="s">
        <v>278</v>
      </c>
      <c r="AM24">
        <v>520.33192307692298</v>
      </c>
      <c r="AN24">
        <v>3330.63</v>
      </c>
      <c r="AO24">
        <f t="shared" si="25"/>
        <v>2810.2980769230771</v>
      </c>
      <c r="AP24">
        <f t="shared" si="26"/>
        <v>0.84377372356673574</v>
      </c>
      <c r="AQ24">
        <v>-1.3252759154356599</v>
      </c>
      <c r="AR24" t="s">
        <v>321</v>
      </c>
      <c r="AS24">
        <v>762.09746153846197</v>
      </c>
      <c r="AT24">
        <v>1142.27</v>
      </c>
      <c r="AU24">
        <f t="shared" si="27"/>
        <v>0.33282195843499174</v>
      </c>
      <c r="AV24">
        <v>0.5</v>
      </c>
      <c r="AW24">
        <f t="shared" si="28"/>
        <v>1471.0359000963228</v>
      </c>
      <c r="AX24">
        <f t="shared" si="29"/>
        <v>26.491721742331556</v>
      </c>
      <c r="AY24">
        <f t="shared" si="30"/>
        <v>244.79652459911952</v>
      </c>
      <c r="AZ24">
        <f t="shared" si="31"/>
        <v>0.54173706741838612</v>
      </c>
      <c r="BA24">
        <f t="shared" si="32"/>
        <v>1.890980203538593E-2</v>
      </c>
      <c r="BB24">
        <f t="shared" si="33"/>
        <v>1.9157992418605059</v>
      </c>
      <c r="BC24" t="s">
        <v>322</v>
      </c>
      <c r="BD24">
        <v>523.46</v>
      </c>
      <c r="BE24">
        <f t="shared" si="34"/>
        <v>618.80999999999995</v>
      </c>
      <c r="BF24">
        <f t="shared" si="35"/>
        <v>0.61436068981034253</v>
      </c>
      <c r="BG24">
        <f t="shared" si="36"/>
        <v>0.77956091009807027</v>
      </c>
      <c r="BH24">
        <f t="shared" si="37"/>
        <v>0.61127072383535508</v>
      </c>
      <c r="BI24">
        <f t="shared" si="38"/>
        <v>0.77869319911999479</v>
      </c>
      <c r="BJ24">
        <v>1379</v>
      </c>
      <c r="BK24">
        <v>300</v>
      </c>
      <c r="BL24">
        <v>300</v>
      </c>
      <c r="BM24">
        <v>300</v>
      </c>
      <c r="BN24">
        <v>10287.299999999999</v>
      </c>
      <c r="BO24">
        <v>1049.1300000000001</v>
      </c>
      <c r="BP24">
        <v>-7.0644899999999997E-3</v>
      </c>
      <c r="BQ24">
        <v>1.84521</v>
      </c>
      <c r="BR24">
        <f t="shared" si="39"/>
        <v>1749.8</v>
      </c>
      <c r="BS24">
        <f t="shared" si="40"/>
        <v>1471.0359000963228</v>
      </c>
      <c r="BT24">
        <f t="shared" si="41"/>
        <v>0.84068802154321798</v>
      </c>
      <c r="BU24">
        <f t="shared" si="42"/>
        <v>0.19137604308643616</v>
      </c>
      <c r="BV24" t="s">
        <v>281</v>
      </c>
      <c r="BW24">
        <v>1566145378.8</v>
      </c>
      <c r="BX24">
        <v>365.57299999999998</v>
      </c>
      <c r="BY24">
        <v>399.935</v>
      </c>
      <c r="BZ24">
        <v>19.2593</v>
      </c>
      <c r="CA24">
        <v>11.9503</v>
      </c>
      <c r="CB24">
        <v>499.96</v>
      </c>
      <c r="CC24">
        <v>98.800299999999993</v>
      </c>
      <c r="CD24">
        <v>0.199963</v>
      </c>
      <c r="CE24">
        <v>26.3171</v>
      </c>
      <c r="CF24">
        <v>26.959499999999998</v>
      </c>
      <c r="CG24">
        <v>999.9</v>
      </c>
      <c r="CH24">
        <v>10001.200000000001</v>
      </c>
      <c r="CI24">
        <v>0</v>
      </c>
      <c r="CJ24">
        <v>1734.95</v>
      </c>
      <c r="CK24">
        <v>1749.8</v>
      </c>
      <c r="CL24">
        <v>0.97700100000000001</v>
      </c>
      <c r="CM24">
        <v>2.2998500000000002E-2</v>
      </c>
      <c r="CN24">
        <v>0</v>
      </c>
      <c r="CO24">
        <v>762.42600000000004</v>
      </c>
      <c r="CP24">
        <v>4.99986</v>
      </c>
      <c r="CQ24">
        <v>18317.3</v>
      </c>
      <c r="CR24">
        <v>14219.1</v>
      </c>
      <c r="CS24">
        <v>45.625</v>
      </c>
      <c r="CT24">
        <v>47.811999999999998</v>
      </c>
      <c r="CU24">
        <v>46.561999999999998</v>
      </c>
      <c r="CV24">
        <v>46.5</v>
      </c>
      <c r="CW24">
        <v>47.25</v>
      </c>
      <c r="CX24">
        <v>1704.67</v>
      </c>
      <c r="CY24">
        <v>40.130000000000003</v>
      </c>
      <c r="CZ24">
        <v>0</v>
      </c>
      <c r="DA24">
        <v>126.30000019073501</v>
      </c>
      <c r="DB24">
        <v>762.09746153846197</v>
      </c>
      <c r="DC24">
        <v>3.8588034241456799</v>
      </c>
      <c r="DD24">
        <v>283.60683768657202</v>
      </c>
      <c r="DE24">
        <v>18300.803846153802</v>
      </c>
      <c r="DF24">
        <v>15</v>
      </c>
      <c r="DG24">
        <v>1566145419.3</v>
      </c>
      <c r="DH24" t="s">
        <v>323</v>
      </c>
      <c r="DI24">
        <v>53</v>
      </c>
      <c r="DJ24">
        <v>0.128</v>
      </c>
      <c r="DK24">
        <v>6.0999999999999999E-2</v>
      </c>
      <c r="DL24">
        <v>400</v>
      </c>
      <c r="DM24">
        <v>12</v>
      </c>
      <c r="DN24">
        <v>0.06</v>
      </c>
      <c r="DO24">
        <v>0.01</v>
      </c>
      <c r="DP24">
        <v>26.402385293128201</v>
      </c>
      <c r="DQ24">
        <v>0.29614838201518701</v>
      </c>
      <c r="DR24">
        <v>6.5261833503481304E-2</v>
      </c>
      <c r="DS24">
        <v>1</v>
      </c>
      <c r="DT24">
        <v>0.39121019108793997</v>
      </c>
      <c r="DU24">
        <v>1.3072362193589201E-2</v>
      </c>
      <c r="DV24">
        <v>2.9105199839179899E-3</v>
      </c>
      <c r="DW24">
        <v>1</v>
      </c>
      <c r="DX24">
        <v>2</v>
      </c>
      <c r="DY24">
        <v>2</v>
      </c>
      <c r="DZ24" t="s">
        <v>293</v>
      </c>
      <c r="EA24">
        <v>1.86737</v>
      </c>
      <c r="EB24">
        <v>1.8638399999999999</v>
      </c>
      <c r="EC24">
        <v>1.8694900000000001</v>
      </c>
      <c r="ED24">
        <v>1.8673900000000001</v>
      </c>
      <c r="EE24">
        <v>1.8721000000000001</v>
      </c>
      <c r="EF24">
        <v>1.8645700000000001</v>
      </c>
      <c r="EG24">
        <v>1.86609</v>
      </c>
      <c r="EH24">
        <v>1.86602</v>
      </c>
      <c r="EI24" t="s">
        <v>284</v>
      </c>
      <c r="EJ24" t="s">
        <v>19</v>
      </c>
      <c r="EK24" t="s">
        <v>19</v>
      </c>
      <c r="EL24" t="s">
        <v>19</v>
      </c>
      <c r="EM24" t="s">
        <v>285</v>
      </c>
      <c r="EN24" t="s">
        <v>286</v>
      </c>
      <c r="EO24" t="s">
        <v>287</v>
      </c>
      <c r="EP24" t="s">
        <v>287</v>
      </c>
      <c r="EQ24" t="s">
        <v>287</v>
      </c>
      <c r="ER24" t="s">
        <v>287</v>
      </c>
      <c r="ES24">
        <v>0</v>
      </c>
      <c r="ET24">
        <v>100</v>
      </c>
      <c r="EU24">
        <v>100</v>
      </c>
      <c r="EV24">
        <v>0.128</v>
      </c>
      <c r="EW24">
        <v>6.0999999999999999E-2</v>
      </c>
      <c r="EX24">
        <v>2</v>
      </c>
      <c r="EY24">
        <v>340.97300000000001</v>
      </c>
      <c r="EZ24">
        <v>486.80099999999999</v>
      </c>
      <c r="FA24">
        <v>21.602699999999999</v>
      </c>
      <c r="FB24">
        <v>32.907899999999998</v>
      </c>
      <c r="FC24">
        <v>29.999300000000002</v>
      </c>
      <c r="FD24">
        <v>32.805399999999999</v>
      </c>
      <c r="FE24">
        <v>32.799700000000001</v>
      </c>
      <c r="FF24">
        <v>21.954599999999999</v>
      </c>
      <c r="FG24">
        <v>67.558400000000006</v>
      </c>
      <c r="FH24">
        <v>0</v>
      </c>
      <c r="FI24">
        <v>21.603200000000001</v>
      </c>
      <c r="FJ24">
        <v>400</v>
      </c>
      <c r="FK24">
        <v>11.817</v>
      </c>
      <c r="FL24">
        <v>100.82</v>
      </c>
      <c r="FM24">
        <v>101.319</v>
      </c>
    </row>
    <row r="25" spans="1:169" x14ac:dyDescent="0.35">
      <c r="A25">
        <v>9</v>
      </c>
      <c r="B25">
        <v>1566145510.8</v>
      </c>
      <c r="C25">
        <v>926.09999990463302</v>
      </c>
      <c r="D25" t="s">
        <v>324</v>
      </c>
      <c r="E25" t="s">
        <v>325</v>
      </c>
      <c r="G25">
        <v>1566145510.8</v>
      </c>
      <c r="H25">
        <f t="shared" si="0"/>
        <v>5.9334582036521142E-3</v>
      </c>
      <c r="I25">
        <f t="shared" si="1"/>
        <v>32.275877238901842</v>
      </c>
      <c r="J25">
        <f t="shared" si="2"/>
        <v>458.25396286476217</v>
      </c>
      <c r="K25">
        <f t="shared" si="3"/>
        <v>297.38635739301839</v>
      </c>
      <c r="L25">
        <f t="shared" si="4"/>
        <v>29.439833822847628</v>
      </c>
      <c r="M25">
        <f t="shared" si="5"/>
        <v>45.364961034748212</v>
      </c>
      <c r="N25">
        <f t="shared" si="6"/>
        <v>0.37015792875334813</v>
      </c>
      <c r="O25">
        <f t="shared" si="7"/>
        <v>2.2387126154953321</v>
      </c>
      <c r="P25">
        <f t="shared" si="8"/>
        <v>0.33921195596172637</v>
      </c>
      <c r="Q25">
        <f t="shared" si="9"/>
        <v>0.21457183543138364</v>
      </c>
      <c r="R25">
        <f t="shared" si="10"/>
        <v>281.53961985940276</v>
      </c>
      <c r="S25">
        <f t="shared" si="11"/>
        <v>26.426983253729642</v>
      </c>
      <c r="T25">
        <f t="shared" si="12"/>
        <v>26.9772</v>
      </c>
      <c r="U25">
        <f t="shared" si="13"/>
        <v>3.5743696388092308</v>
      </c>
      <c r="V25">
        <f t="shared" si="14"/>
        <v>55.119689822296344</v>
      </c>
      <c r="W25">
        <f t="shared" si="15"/>
        <v>1.8905516963759998</v>
      </c>
      <c r="X25">
        <f t="shared" si="16"/>
        <v>3.4299026400022607</v>
      </c>
      <c r="Y25">
        <f t="shared" si="17"/>
        <v>1.6838179424332309</v>
      </c>
      <c r="Z25">
        <f t="shared" si="18"/>
        <v>-261.66550678105824</v>
      </c>
      <c r="AA25">
        <f t="shared" si="19"/>
        <v>-84.545778905872112</v>
      </c>
      <c r="AB25">
        <f t="shared" si="20"/>
        <v>-8.1198499661819987</v>
      </c>
      <c r="AC25">
        <f t="shared" si="21"/>
        <v>-72.791515793709607</v>
      </c>
      <c r="AD25">
        <v>-4.0880560733470003E-2</v>
      </c>
      <c r="AE25">
        <v>4.58920107571371E-2</v>
      </c>
      <c r="AF25">
        <v>3.4350607373574298</v>
      </c>
      <c r="AG25">
        <v>141</v>
      </c>
      <c r="AH25">
        <v>28</v>
      </c>
      <c r="AI25">
        <f t="shared" si="22"/>
        <v>1.0054254030686842</v>
      </c>
      <c r="AJ25">
        <f t="shared" si="23"/>
        <v>0.54254030686842203</v>
      </c>
      <c r="AK25">
        <f t="shared" si="24"/>
        <v>52259.704961263313</v>
      </c>
      <c r="AL25" t="s">
        <v>278</v>
      </c>
      <c r="AM25">
        <v>520.33192307692298</v>
      </c>
      <c r="AN25">
        <v>3330.63</v>
      </c>
      <c r="AO25">
        <f t="shared" si="25"/>
        <v>2810.2980769230771</v>
      </c>
      <c r="AP25">
        <f t="shared" si="26"/>
        <v>0.84377372356673574</v>
      </c>
      <c r="AQ25">
        <v>-1.3252759154356599</v>
      </c>
      <c r="AR25" t="s">
        <v>326</v>
      </c>
      <c r="AS25">
        <v>783.94061538461494</v>
      </c>
      <c r="AT25">
        <v>1228.18</v>
      </c>
      <c r="AU25">
        <f t="shared" si="27"/>
        <v>0.36170543781480324</v>
      </c>
      <c r="AV25">
        <v>0.5</v>
      </c>
      <c r="AW25">
        <f t="shared" si="28"/>
        <v>1471.1364000962924</v>
      </c>
      <c r="AX25">
        <f t="shared" si="29"/>
        <v>32.275877238901842</v>
      </c>
      <c r="AY25">
        <f t="shared" si="30"/>
        <v>266.05901784106152</v>
      </c>
      <c r="AZ25">
        <f t="shared" si="31"/>
        <v>0.57007930433649789</v>
      </c>
      <c r="BA25">
        <f t="shared" si="32"/>
        <v>2.2840270386986657E-2</v>
      </c>
      <c r="BB25">
        <f t="shared" si="33"/>
        <v>1.7118419124232602</v>
      </c>
      <c r="BC25" t="s">
        <v>327</v>
      </c>
      <c r="BD25">
        <v>528.02</v>
      </c>
      <c r="BE25">
        <f t="shared" si="34"/>
        <v>700.16000000000008</v>
      </c>
      <c r="BF25">
        <f t="shared" si="35"/>
        <v>0.63448266769793338</v>
      </c>
      <c r="BG25">
        <f t="shared" si="36"/>
        <v>0.75017572905256158</v>
      </c>
      <c r="BH25">
        <f t="shared" si="37"/>
        <v>0.6275914268870173</v>
      </c>
      <c r="BI25">
        <f t="shared" si="38"/>
        <v>0.74812348813258911</v>
      </c>
      <c r="BJ25">
        <v>1381</v>
      </c>
      <c r="BK25">
        <v>300</v>
      </c>
      <c r="BL25">
        <v>300</v>
      </c>
      <c r="BM25">
        <v>300</v>
      </c>
      <c r="BN25">
        <v>10286.4</v>
      </c>
      <c r="BO25">
        <v>1121.4000000000001</v>
      </c>
      <c r="BP25">
        <v>-7.0639800000000001E-3</v>
      </c>
      <c r="BQ25">
        <v>2.24438</v>
      </c>
      <c r="BR25">
        <f t="shared" si="39"/>
        <v>1749.92</v>
      </c>
      <c r="BS25">
        <f t="shared" si="40"/>
        <v>1471.1364000962924</v>
      </c>
      <c r="BT25">
        <f t="shared" si="41"/>
        <v>0.84068780292601508</v>
      </c>
      <c r="BU25">
        <f t="shared" si="42"/>
        <v>0.19137560585203028</v>
      </c>
      <c r="BV25" t="s">
        <v>281</v>
      </c>
      <c r="BW25">
        <v>1566145510.8</v>
      </c>
      <c r="BX25">
        <v>458.25400000000002</v>
      </c>
      <c r="BY25">
        <v>500.04700000000003</v>
      </c>
      <c r="BZ25">
        <v>19.0974</v>
      </c>
      <c r="CA25">
        <v>12.1503</v>
      </c>
      <c r="CB25">
        <v>499.90300000000002</v>
      </c>
      <c r="CC25">
        <v>98.795400000000001</v>
      </c>
      <c r="CD25">
        <v>0.19983999999999999</v>
      </c>
      <c r="CE25">
        <v>26.276700000000002</v>
      </c>
      <c r="CF25">
        <v>26.9772</v>
      </c>
      <c r="CG25">
        <v>999.9</v>
      </c>
      <c r="CH25">
        <v>9978.75</v>
      </c>
      <c r="CI25">
        <v>0</v>
      </c>
      <c r="CJ25">
        <v>1724.47</v>
      </c>
      <c r="CK25">
        <v>1749.92</v>
      </c>
      <c r="CL25">
        <v>0.97700600000000004</v>
      </c>
      <c r="CM25">
        <v>2.2994500000000001E-2</v>
      </c>
      <c r="CN25">
        <v>0</v>
      </c>
      <c r="CO25">
        <v>783.24099999999999</v>
      </c>
      <c r="CP25">
        <v>4.99986</v>
      </c>
      <c r="CQ25">
        <v>18571.5</v>
      </c>
      <c r="CR25">
        <v>14220.1</v>
      </c>
      <c r="CS25">
        <v>45.936999999999998</v>
      </c>
      <c r="CT25">
        <v>48.25</v>
      </c>
      <c r="CU25">
        <v>46.936999999999998</v>
      </c>
      <c r="CV25">
        <v>47</v>
      </c>
      <c r="CW25">
        <v>47.561999999999998</v>
      </c>
      <c r="CX25">
        <v>1704.8</v>
      </c>
      <c r="CY25">
        <v>40.119999999999997</v>
      </c>
      <c r="CZ25">
        <v>0</v>
      </c>
      <c r="DA25">
        <v>131.60000014305101</v>
      </c>
      <c r="DB25">
        <v>783.94061538461494</v>
      </c>
      <c r="DC25">
        <v>-3.6419145464292901</v>
      </c>
      <c r="DD25">
        <v>-81.124786475346397</v>
      </c>
      <c r="DE25">
        <v>18560.126923076899</v>
      </c>
      <c r="DF25">
        <v>15</v>
      </c>
      <c r="DG25">
        <v>1566145543.8</v>
      </c>
      <c r="DH25" t="s">
        <v>328</v>
      </c>
      <c r="DI25">
        <v>54</v>
      </c>
      <c r="DJ25">
        <v>0.14399999999999999</v>
      </c>
      <c r="DK25">
        <v>5.7000000000000002E-2</v>
      </c>
      <c r="DL25">
        <v>500</v>
      </c>
      <c r="DM25">
        <v>12</v>
      </c>
      <c r="DN25">
        <v>0.03</v>
      </c>
      <c r="DO25">
        <v>0.01</v>
      </c>
      <c r="DP25">
        <v>32.441892634405697</v>
      </c>
      <c r="DQ25">
        <v>-0.417373174345051</v>
      </c>
      <c r="DR25">
        <v>9.1607223369281607E-2</v>
      </c>
      <c r="DS25">
        <v>0</v>
      </c>
      <c r="DT25">
        <v>0.37187526904562801</v>
      </c>
      <c r="DU25">
        <v>-7.7355160968746199E-3</v>
      </c>
      <c r="DV25">
        <v>1.75724072077405E-3</v>
      </c>
      <c r="DW25">
        <v>1</v>
      </c>
      <c r="DX25">
        <v>1</v>
      </c>
      <c r="DY25">
        <v>2</v>
      </c>
      <c r="DZ25" t="s">
        <v>283</v>
      </c>
      <c r="EA25">
        <v>1.8673299999999999</v>
      </c>
      <c r="EB25">
        <v>1.8637999999999999</v>
      </c>
      <c r="EC25">
        <v>1.8694500000000001</v>
      </c>
      <c r="ED25">
        <v>1.86737</v>
      </c>
      <c r="EE25">
        <v>1.8721000000000001</v>
      </c>
      <c r="EF25">
        <v>1.86449</v>
      </c>
      <c r="EG25">
        <v>1.86602</v>
      </c>
      <c r="EH25">
        <v>1.8660000000000001</v>
      </c>
      <c r="EI25" t="s">
        <v>284</v>
      </c>
      <c r="EJ25" t="s">
        <v>19</v>
      </c>
      <c r="EK25" t="s">
        <v>19</v>
      </c>
      <c r="EL25" t="s">
        <v>19</v>
      </c>
      <c r="EM25" t="s">
        <v>285</v>
      </c>
      <c r="EN25" t="s">
        <v>286</v>
      </c>
      <c r="EO25" t="s">
        <v>287</v>
      </c>
      <c r="EP25" t="s">
        <v>287</v>
      </c>
      <c r="EQ25" t="s">
        <v>287</v>
      </c>
      <c r="ER25" t="s">
        <v>287</v>
      </c>
      <c r="ES25">
        <v>0</v>
      </c>
      <c r="ET25">
        <v>100</v>
      </c>
      <c r="EU25">
        <v>100</v>
      </c>
      <c r="EV25">
        <v>0.14399999999999999</v>
      </c>
      <c r="EW25">
        <v>5.7000000000000002E-2</v>
      </c>
      <c r="EX25">
        <v>2</v>
      </c>
      <c r="EY25">
        <v>339.23</v>
      </c>
      <c r="EZ25">
        <v>485.23700000000002</v>
      </c>
      <c r="FA25">
        <v>21.416599999999999</v>
      </c>
      <c r="FB25">
        <v>33.273200000000003</v>
      </c>
      <c r="FC25">
        <v>30.001300000000001</v>
      </c>
      <c r="FD25">
        <v>33.104700000000001</v>
      </c>
      <c r="FE25">
        <v>33.0884</v>
      </c>
      <c r="FF25">
        <v>26.225200000000001</v>
      </c>
      <c r="FG25">
        <v>66.915899999999993</v>
      </c>
      <c r="FH25">
        <v>0</v>
      </c>
      <c r="FI25">
        <v>21.373899999999999</v>
      </c>
      <c r="FJ25">
        <v>500</v>
      </c>
      <c r="FK25">
        <v>12.12</v>
      </c>
      <c r="FL25">
        <v>100.76300000000001</v>
      </c>
      <c r="FM25">
        <v>101.251</v>
      </c>
    </row>
    <row r="26" spans="1:169" x14ac:dyDescent="0.35">
      <c r="A26">
        <v>10</v>
      </c>
      <c r="B26">
        <v>1566145635.3</v>
      </c>
      <c r="C26">
        <v>1050.5999999046301</v>
      </c>
      <c r="D26" t="s">
        <v>329</v>
      </c>
      <c r="E26" t="s">
        <v>330</v>
      </c>
      <c r="G26">
        <v>1566145635.3</v>
      </c>
      <c r="H26">
        <f t="shared" si="0"/>
        <v>5.3479321933598972E-3</v>
      </c>
      <c r="I26">
        <f t="shared" si="1"/>
        <v>36.392772918314762</v>
      </c>
      <c r="J26">
        <f t="shared" si="2"/>
        <v>552.95795939490131</v>
      </c>
      <c r="K26">
        <f t="shared" si="3"/>
        <v>350.33675193404861</v>
      </c>
      <c r="L26">
        <f t="shared" si="4"/>
        <v>34.684288554742061</v>
      </c>
      <c r="M26">
        <f t="shared" si="5"/>
        <v>54.74433760208111</v>
      </c>
      <c r="N26">
        <f t="shared" si="6"/>
        <v>0.32743868688072142</v>
      </c>
      <c r="O26">
        <f t="shared" si="7"/>
        <v>2.2622187411450669</v>
      </c>
      <c r="P26">
        <f t="shared" si="8"/>
        <v>0.30320464650497275</v>
      </c>
      <c r="Q26">
        <f t="shared" si="9"/>
        <v>0.19153055515778905</v>
      </c>
      <c r="R26">
        <f t="shared" si="10"/>
        <v>281.56675169855617</v>
      </c>
      <c r="S26">
        <f t="shared" si="11"/>
        <v>26.40572750326244</v>
      </c>
      <c r="T26">
        <f t="shared" si="12"/>
        <v>26.978100000000001</v>
      </c>
      <c r="U26">
        <f t="shared" si="13"/>
        <v>3.5745586137441081</v>
      </c>
      <c r="V26">
        <f t="shared" si="14"/>
        <v>55.402265592662467</v>
      </c>
      <c r="W26">
        <f t="shared" si="15"/>
        <v>1.8764182010784001</v>
      </c>
      <c r="X26">
        <f t="shared" si="16"/>
        <v>3.3868979562577937</v>
      </c>
      <c r="Y26">
        <f t="shared" si="17"/>
        <v>1.698140412665708</v>
      </c>
      <c r="Z26">
        <f t="shared" si="18"/>
        <v>-235.84380972717148</v>
      </c>
      <c r="AA26">
        <f t="shared" si="19"/>
        <v>-111.58187807326385</v>
      </c>
      <c r="AB26">
        <f t="shared" si="20"/>
        <v>-10.593795871477653</v>
      </c>
      <c r="AC26">
        <f t="shared" si="21"/>
        <v>-76.452731973356805</v>
      </c>
      <c r="AD26">
        <v>-4.15135050531752E-2</v>
      </c>
      <c r="AE26">
        <v>4.6602546204973998E-2</v>
      </c>
      <c r="AF26">
        <v>3.4770896458295302</v>
      </c>
      <c r="AG26">
        <v>141</v>
      </c>
      <c r="AH26">
        <v>28</v>
      </c>
      <c r="AI26">
        <f t="shared" si="22"/>
        <v>1.0053418743120479</v>
      </c>
      <c r="AJ26">
        <f t="shared" si="23"/>
        <v>0.53418743120479117</v>
      </c>
      <c r="AK26">
        <f t="shared" si="24"/>
        <v>53072.459589059705</v>
      </c>
      <c r="AL26" t="s">
        <v>278</v>
      </c>
      <c r="AM26">
        <v>520.33192307692298</v>
      </c>
      <c r="AN26">
        <v>3330.63</v>
      </c>
      <c r="AO26">
        <f t="shared" si="25"/>
        <v>2810.2980769230771</v>
      </c>
      <c r="AP26">
        <f t="shared" si="26"/>
        <v>0.84377372356673574</v>
      </c>
      <c r="AQ26">
        <v>-1.3252759154356599</v>
      </c>
      <c r="AR26" t="s">
        <v>331</v>
      </c>
      <c r="AS26">
        <v>801.68380769230805</v>
      </c>
      <c r="AT26">
        <v>1294.6099999999999</v>
      </c>
      <c r="AU26">
        <f t="shared" si="27"/>
        <v>0.38075265316017326</v>
      </c>
      <c r="AV26">
        <v>0.5</v>
      </c>
      <c r="AW26">
        <f t="shared" si="28"/>
        <v>1471.2792000962831</v>
      </c>
      <c r="AX26">
        <f t="shared" si="29"/>
        <v>36.392772918314762</v>
      </c>
      <c r="AY26">
        <f t="shared" si="30"/>
        <v>280.09672948801864</v>
      </c>
      <c r="AZ26">
        <f t="shared" si="31"/>
        <v>0.59142907902766073</v>
      </c>
      <c r="BA26">
        <f t="shared" si="32"/>
        <v>2.5636227869789831E-2</v>
      </c>
      <c r="BB26">
        <f t="shared" si="33"/>
        <v>1.5726898448181308</v>
      </c>
      <c r="BC26" t="s">
        <v>332</v>
      </c>
      <c r="BD26">
        <v>528.94000000000005</v>
      </c>
      <c r="BE26">
        <f t="shared" si="34"/>
        <v>765.66999999999985</v>
      </c>
      <c r="BF26">
        <f t="shared" si="35"/>
        <v>0.64378412672259844</v>
      </c>
      <c r="BG26">
        <f t="shared" si="36"/>
        <v>0.72671137777555694</v>
      </c>
      <c r="BH26">
        <f t="shared" si="37"/>
        <v>0.63662682310022722</v>
      </c>
      <c r="BI26">
        <f t="shared" si="38"/>
        <v>0.72448542619692002</v>
      </c>
      <c r="BJ26">
        <v>1383</v>
      </c>
      <c r="BK26">
        <v>300</v>
      </c>
      <c r="BL26">
        <v>300</v>
      </c>
      <c r="BM26">
        <v>300</v>
      </c>
      <c r="BN26">
        <v>10285.700000000001</v>
      </c>
      <c r="BO26">
        <v>1177.55</v>
      </c>
      <c r="BP26">
        <v>-7.0634499999999998E-3</v>
      </c>
      <c r="BQ26">
        <v>2.3990499999999999</v>
      </c>
      <c r="BR26">
        <f t="shared" si="39"/>
        <v>1750.09</v>
      </c>
      <c r="BS26">
        <f t="shared" si="40"/>
        <v>1471.2792000962831</v>
      </c>
      <c r="BT26">
        <f t="shared" si="41"/>
        <v>0.84068773611430447</v>
      </c>
      <c r="BU26">
        <f t="shared" si="42"/>
        <v>0.1913754722286089</v>
      </c>
      <c r="BV26" t="s">
        <v>281</v>
      </c>
      <c r="BW26">
        <v>1566145635.3</v>
      </c>
      <c r="BX26">
        <v>552.95799999999997</v>
      </c>
      <c r="BY26">
        <v>599.94899999999996</v>
      </c>
      <c r="BZ26">
        <v>18.953199999999999</v>
      </c>
      <c r="CA26">
        <v>12.691000000000001</v>
      </c>
      <c r="CB26">
        <v>499.96699999999998</v>
      </c>
      <c r="CC26">
        <v>98.802700000000002</v>
      </c>
      <c r="CD26">
        <v>0.200012</v>
      </c>
      <c r="CE26">
        <v>26.063199999999998</v>
      </c>
      <c r="CF26">
        <v>26.978100000000001</v>
      </c>
      <c r="CG26">
        <v>999.9</v>
      </c>
      <c r="CH26">
        <v>10132.5</v>
      </c>
      <c r="CI26">
        <v>0</v>
      </c>
      <c r="CJ26">
        <v>1715.11</v>
      </c>
      <c r="CK26">
        <v>1750.09</v>
      </c>
      <c r="CL26">
        <v>0.97701000000000005</v>
      </c>
      <c r="CM26">
        <v>2.2990400000000001E-2</v>
      </c>
      <c r="CN26">
        <v>0</v>
      </c>
      <c r="CO26">
        <v>801.52800000000002</v>
      </c>
      <c r="CP26">
        <v>4.99986</v>
      </c>
      <c r="CQ26">
        <v>18793.3</v>
      </c>
      <c r="CR26">
        <v>14221.6</v>
      </c>
      <c r="CS26">
        <v>46.186999999999998</v>
      </c>
      <c r="CT26">
        <v>48.5</v>
      </c>
      <c r="CU26">
        <v>47.186999999999998</v>
      </c>
      <c r="CV26">
        <v>47.186999999999998</v>
      </c>
      <c r="CW26">
        <v>47.811999999999998</v>
      </c>
      <c r="CX26">
        <v>1704.97</v>
      </c>
      <c r="CY26">
        <v>40.119999999999997</v>
      </c>
      <c r="CZ26">
        <v>0</v>
      </c>
      <c r="DA26">
        <v>123.90000009536701</v>
      </c>
      <c r="DB26">
        <v>801.68380769230805</v>
      </c>
      <c r="DC26">
        <v>-2.3311111102394402</v>
      </c>
      <c r="DD26">
        <v>27.4324785530615</v>
      </c>
      <c r="DE26">
        <v>18794.9153846154</v>
      </c>
      <c r="DF26">
        <v>15</v>
      </c>
      <c r="DG26">
        <v>1566145675.3</v>
      </c>
      <c r="DH26" t="s">
        <v>333</v>
      </c>
      <c r="DI26">
        <v>55</v>
      </c>
      <c r="DJ26">
        <v>0.26600000000000001</v>
      </c>
      <c r="DK26">
        <v>6.6000000000000003E-2</v>
      </c>
      <c r="DL26">
        <v>600</v>
      </c>
      <c r="DM26">
        <v>13</v>
      </c>
      <c r="DN26">
        <v>0.02</v>
      </c>
      <c r="DO26">
        <v>0.01</v>
      </c>
      <c r="DP26">
        <v>36.806998958317699</v>
      </c>
      <c r="DQ26">
        <v>-0.76695986029590102</v>
      </c>
      <c r="DR26">
        <v>0.163772285743913</v>
      </c>
      <c r="DS26">
        <v>0</v>
      </c>
      <c r="DT26">
        <v>0.32883528000199003</v>
      </c>
      <c r="DU26">
        <v>-5.4151289948043101E-3</v>
      </c>
      <c r="DV26">
        <v>1.94085559490425E-3</v>
      </c>
      <c r="DW26">
        <v>1</v>
      </c>
      <c r="DX26">
        <v>1</v>
      </c>
      <c r="DY26">
        <v>2</v>
      </c>
      <c r="DZ26" t="s">
        <v>283</v>
      </c>
      <c r="EA26">
        <v>1.8673599999999999</v>
      </c>
      <c r="EB26">
        <v>1.86385</v>
      </c>
      <c r="EC26">
        <v>1.8694900000000001</v>
      </c>
      <c r="ED26">
        <v>1.86737</v>
      </c>
      <c r="EE26">
        <v>1.8721000000000001</v>
      </c>
      <c r="EF26">
        <v>1.8645499999999999</v>
      </c>
      <c r="EG26">
        <v>1.8660600000000001</v>
      </c>
      <c r="EH26">
        <v>1.8660099999999999</v>
      </c>
      <c r="EI26" t="s">
        <v>284</v>
      </c>
      <c r="EJ26" t="s">
        <v>19</v>
      </c>
      <c r="EK26" t="s">
        <v>19</v>
      </c>
      <c r="EL26" t="s">
        <v>19</v>
      </c>
      <c r="EM26" t="s">
        <v>285</v>
      </c>
      <c r="EN26" t="s">
        <v>286</v>
      </c>
      <c r="EO26" t="s">
        <v>287</v>
      </c>
      <c r="EP26" t="s">
        <v>287</v>
      </c>
      <c r="EQ26" t="s">
        <v>287</v>
      </c>
      <c r="ER26" t="s">
        <v>287</v>
      </c>
      <c r="ES26">
        <v>0</v>
      </c>
      <c r="ET26">
        <v>100</v>
      </c>
      <c r="EU26">
        <v>100</v>
      </c>
      <c r="EV26">
        <v>0.26600000000000001</v>
      </c>
      <c r="EW26">
        <v>6.6000000000000003E-2</v>
      </c>
      <c r="EX26">
        <v>2</v>
      </c>
      <c r="EY26">
        <v>339.46499999999997</v>
      </c>
      <c r="EZ26">
        <v>484.17700000000002</v>
      </c>
      <c r="FA26">
        <v>20.554600000000001</v>
      </c>
      <c r="FB26">
        <v>33.579799999999999</v>
      </c>
      <c r="FC26">
        <v>29.995999999999999</v>
      </c>
      <c r="FD26">
        <v>33.382800000000003</v>
      </c>
      <c r="FE26">
        <v>33.360399999999998</v>
      </c>
      <c r="FF26">
        <v>30.366</v>
      </c>
      <c r="FG26">
        <v>65.974699999999999</v>
      </c>
      <c r="FH26">
        <v>0</v>
      </c>
      <c r="FI26">
        <v>20.9923</v>
      </c>
      <c r="FJ26">
        <v>600</v>
      </c>
      <c r="FK26">
        <v>12.5558</v>
      </c>
      <c r="FL26">
        <v>100.709</v>
      </c>
      <c r="FM26">
        <v>101.18600000000001</v>
      </c>
    </row>
    <row r="27" spans="1:169" x14ac:dyDescent="0.35">
      <c r="A27">
        <v>11</v>
      </c>
      <c r="B27">
        <v>1566145766.9000001</v>
      </c>
      <c r="C27">
        <v>1182.2000000476801</v>
      </c>
      <c r="D27" t="s">
        <v>334</v>
      </c>
      <c r="E27" t="s">
        <v>335</v>
      </c>
      <c r="G27">
        <v>1566145766.9000001</v>
      </c>
      <c r="H27">
        <f t="shared" si="0"/>
        <v>4.8212189066128459E-3</v>
      </c>
      <c r="I27">
        <f t="shared" si="1"/>
        <v>42.231846583597743</v>
      </c>
      <c r="J27">
        <f t="shared" si="2"/>
        <v>745.17295153333657</v>
      </c>
      <c r="K27">
        <f t="shared" si="3"/>
        <v>478.152875102059</v>
      </c>
      <c r="L27">
        <f t="shared" si="4"/>
        <v>47.341535554166285</v>
      </c>
      <c r="M27">
        <f t="shared" si="5"/>
        <v>73.778980773646239</v>
      </c>
      <c r="N27">
        <f t="shared" si="6"/>
        <v>0.28715813161693926</v>
      </c>
      <c r="O27">
        <f t="shared" si="7"/>
        <v>2.2400719527045214</v>
      </c>
      <c r="P27">
        <f t="shared" si="8"/>
        <v>0.26816316797197348</v>
      </c>
      <c r="Q27">
        <f t="shared" si="9"/>
        <v>0.16920378418581955</v>
      </c>
      <c r="R27">
        <f t="shared" si="10"/>
        <v>281.54609330812445</v>
      </c>
      <c r="S27">
        <f t="shared" si="11"/>
        <v>26.51877302819392</v>
      </c>
      <c r="T27">
        <f t="shared" si="12"/>
        <v>27.0443</v>
      </c>
      <c r="U27">
        <f t="shared" si="13"/>
        <v>3.5884827066351517</v>
      </c>
      <c r="V27">
        <f t="shared" si="14"/>
        <v>55.053156257070256</v>
      </c>
      <c r="W27">
        <f t="shared" si="15"/>
        <v>1.8573829642788</v>
      </c>
      <c r="X27">
        <f t="shared" si="16"/>
        <v>3.3737992343359311</v>
      </c>
      <c r="Y27">
        <f t="shared" si="17"/>
        <v>1.7310997423563517</v>
      </c>
      <c r="Z27">
        <f t="shared" si="18"/>
        <v>-212.61575378162649</v>
      </c>
      <c r="AA27">
        <f t="shared" si="19"/>
        <v>-126.39449008892835</v>
      </c>
      <c r="AB27">
        <f t="shared" si="20"/>
        <v>-12.118825673796868</v>
      </c>
      <c r="AC27">
        <f t="shared" si="21"/>
        <v>-69.582976236227282</v>
      </c>
      <c r="AD27">
        <v>-4.0917001041707098E-2</v>
      </c>
      <c r="AE27">
        <v>4.5932918195479497E-2</v>
      </c>
      <c r="AF27">
        <v>3.4374864810330998</v>
      </c>
      <c r="AG27">
        <v>133</v>
      </c>
      <c r="AH27">
        <v>27</v>
      </c>
      <c r="AI27">
        <f t="shared" si="22"/>
        <v>1.0051067909407241</v>
      </c>
      <c r="AJ27">
        <f t="shared" si="23"/>
        <v>0.51067909407240819</v>
      </c>
      <c r="AK27">
        <f t="shared" si="24"/>
        <v>52353.505262606799</v>
      </c>
      <c r="AL27" t="s">
        <v>278</v>
      </c>
      <c r="AM27">
        <v>520.33192307692298</v>
      </c>
      <c r="AN27">
        <v>3330.63</v>
      </c>
      <c r="AO27">
        <f t="shared" si="25"/>
        <v>2810.2980769230771</v>
      </c>
      <c r="AP27">
        <f t="shared" si="26"/>
        <v>0.84377372356673574</v>
      </c>
      <c r="AQ27">
        <v>-1.3252759154356599</v>
      </c>
      <c r="AR27" t="s">
        <v>336</v>
      </c>
      <c r="AS27">
        <v>826.098730769231</v>
      </c>
      <c r="AT27">
        <v>1366.7</v>
      </c>
      <c r="AU27">
        <f t="shared" si="27"/>
        <v>0.39555225669917982</v>
      </c>
      <c r="AV27">
        <v>0.5</v>
      </c>
      <c r="AW27">
        <f t="shared" si="28"/>
        <v>1471.1625000963629</v>
      </c>
      <c r="AX27">
        <f t="shared" si="29"/>
        <v>42.231846583597743</v>
      </c>
      <c r="AY27">
        <f t="shared" si="30"/>
        <v>290.96082344216182</v>
      </c>
      <c r="AZ27">
        <f t="shared" si="31"/>
        <v>0.6085461330211458</v>
      </c>
      <c r="BA27">
        <f t="shared" si="32"/>
        <v>2.9607281653916791E-2</v>
      </c>
      <c r="BB27">
        <f t="shared" si="33"/>
        <v>1.4369869027584694</v>
      </c>
      <c r="BC27" t="s">
        <v>337</v>
      </c>
      <c r="BD27">
        <v>535</v>
      </c>
      <c r="BE27">
        <f t="shared" si="34"/>
        <v>831.7</v>
      </c>
      <c r="BF27">
        <f t="shared" si="35"/>
        <v>0.64999551428492131</v>
      </c>
      <c r="BG27">
        <f t="shared" si="36"/>
        <v>0.70249997317241553</v>
      </c>
      <c r="BH27">
        <f t="shared" si="37"/>
        <v>0.63873069409244987</v>
      </c>
      <c r="BI27">
        <f t="shared" si="38"/>
        <v>0.69883334302753264</v>
      </c>
      <c r="BJ27">
        <v>1385</v>
      </c>
      <c r="BK27">
        <v>300</v>
      </c>
      <c r="BL27">
        <v>300</v>
      </c>
      <c r="BM27">
        <v>300</v>
      </c>
      <c r="BN27">
        <v>10285</v>
      </c>
      <c r="BO27">
        <v>1239.04</v>
      </c>
      <c r="BP27">
        <v>-7.0630399999999996E-3</v>
      </c>
      <c r="BQ27">
        <v>4.2868700000000004</v>
      </c>
      <c r="BR27">
        <f t="shared" si="39"/>
        <v>1749.95</v>
      </c>
      <c r="BS27">
        <f t="shared" si="40"/>
        <v>1471.1625000963629</v>
      </c>
      <c r="BT27">
        <f t="shared" si="41"/>
        <v>0.84068830543521977</v>
      </c>
      <c r="BU27">
        <f t="shared" si="42"/>
        <v>0.19137661087043945</v>
      </c>
      <c r="BV27" t="s">
        <v>281</v>
      </c>
      <c r="BW27">
        <v>1566145766.9000001</v>
      </c>
      <c r="BX27">
        <v>745.173</v>
      </c>
      <c r="BY27">
        <v>799.89099999999996</v>
      </c>
      <c r="BZ27">
        <v>18.759699999999999</v>
      </c>
      <c r="CA27">
        <v>13.1136</v>
      </c>
      <c r="CB27">
        <v>500.12700000000001</v>
      </c>
      <c r="CC27">
        <v>98.809200000000004</v>
      </c>
      <c r="CD27">
        <v>0.20000399999999999</v>
      </c>
      <c r="CE27">
        <v>25.997699999999998</v>
      </c>
      <c r="CF27">
        <v>27.0443</v>
      </c>
      <c r="CG27">
        <v>999.9</v>
      </c>
      <c r="CH27">
        <v>9986.25</v>
      </c>
      <c r="CI27">
        <v>0</v>
      </c>
      <c r="CJ27">
        <v>1716.21</v>
      </c>
      <c r="CK27">
        <v>1749.95</v>
      </c>
      <c r="CL27">
        <v>0.97699100000000005</v>
      </c>
      <c r="CM27">
        <v>2.30093E-2</v>
      </c>
      <c r="CN27">
        <v>0</v>
      </c>
      <c r="CO27">
        <v>824.08100000000002</v>
      </c>
      <c r="CP27">
        <v>4.99986</v>
      </c>
      <c r="CQ27">
        <v>19143.599999999999</v>
      </c>
      <c r="CR27">
        <v>14220.3</v>
      </c>
      <c r="CS27">
        <v>46.561999999999998</v>
      </c>
      <c r="CT27">
        <v>48.875</v>
      </c>
      <c r="CU27">
        <v>47.5</v>
      </c>
      <c r="CV27">
        <v>47.625</v>
      </c>
      <c r="CW27">
        <v>48.125</v>
      </c>
      <c r="CX27">
        <v>1704.8</v>
      </c>
      <c r="CY27">
        <v>40.15</v>
      </c>
      <c r="CZ27">
        <v>0</v>
      </c>
      <c r="DA27">
        <v>130.799999952316</v>
      </c>
      <c r="DB27">
        <v>826.098730769231</v>
      </c>
      <c r="DC27">
        <v>-15.099999959862799</v>
      </c>
      <c r="DD27">
        <v>-62.823931172781599</v>
      </c>
      <c r="DE27">
        <v>19160.0769230769</v>
      </c>
      <c r="DF27">
        <v>15</v>
      </c>
      <c r="DG27">
        <v>1566145799.4000001</v>
      </c>
      <c r="DH27" t="s">
        <v>338</v>
      </c>
      <c r="DI27">
        <v>56</v>
      </c>
      <c r="DJ27">
        <v>0.26</v>
      </c>
      <c r="DK27">
        <v>7.1999999999999995E-2</v>
      </c>
      <c r="DL27">
        <v>800</v>
      </c>
      <c r="DM27">
        <v>13</v>
      </c>
      <c r="DN27">
        <v>0.04</v>
      </c>
      <c r="DO27">
        <v>0.02</v>
      </c>
      <c r="DP27">
        <v>42.818392759286297</v>
      </c>
      <c r="DQ27">
        <v>-1.6424219059127201</v>
      </c>
      <c r="DR27">
        <v>0.33200776974771601</v>
      </c>
      <c r="DS27">
        <v>0</v>
      </c>
      <c r="DT27">
        <v>0.29161679949811797</v>
      </c>
      <c r="DU27">
        <v>-1.90277326241232E-2</v>
      </c>
      <c r="DV27">
        <v>3.9634652724158696E-3</v>
      </c>
      <c r="DW27">
        <v>1</v>
      </c>
      <c r="DX27">
        <v>1</v>
      </c>
      <c r="DY27">
        <v>2</v>
      </c>
      <c r="DZ27" t="s">
        <v>283</v>
      </c>
      <c r="EA27">
        <v>1.8673500000000001</v>
      </c>
      <c r="EB27">
        <v>1.86382</v>
      </c>
      <c r="EC27">
        <v>1.8694599999999999</v>
      </c>
      <c r="ED27">
        <v>1.86737</v>
      </c>
      <c r="EE27">
        <v>1.87208</v>
      </c>
      <c r="EF27">
        <v>1.86453</v>
      </c>
      <c r="EG27">
        <v>1.8660099999999999</v>
      </c>
      <c r="EH27">
        <v>1.8660000000000001</v>
      </c>
      <c r="EI27" t="s">
        <v>284</v>
      </c>
      <c r="EJ27" t="s">
        <v>19</v>
      </c>
      <c r="EK27" t="s">
        <v>19</v>
      </c>
      <c r="EL27" t="s">
        <v>19</v>
      </c>
      <c r="EM27" t="s">
        <v>285</v>
      </c>
      <c r="EN27" t="s">
        <v>286</v>
      </c>
      <c r="EO27" t="s">
        <v>287</v>
      </c>
      <c r="EP27" t="s">
        <v>287</v>
      </c>
      <c r="EQ27" t="s">
        <v>287</v>
      </c>
      <c r="ER27" t="s">
        <v>287</v>
      </c>
      <c r="ES27">
        <v>0</v>
      </c>
      <c r="ET27">
        <v>100</v>
      </c>
      <c r="EU27">
        <v>100</v>
      </c>
      <c r="EV27">
        <v>0.26</v>
      </c>
      <c r="EW27">
        <v>7.1999999999999995E-2</v>
      </c>
      <c r="EX27">
        <v>2</v>
      </c>
      <c r="EY27">
        <v>347.98099999999999</v>
      </c>
      <c r="EZ27">
        <v>483.79599999999999</v>
      </c>
      <c r="FA27">
        <v>20.362100000000002</v>
      </c>
      <c r="FB27">
        <v>33.912199999999999</v>
      </c>
      <c r="FC27">
        <v>30.0015</v>
      </c>
      <c r="FD27">
        <v>33.692399999999999</v>
      </c>
      <c r="FE27">
        <v>33.668799999999997</v>
      </c>
      <c r="FF27">
        <v>38.3232</v>
      </c>
      <c r="FG27">
        <v>64.808800000000005</v>
      </c>
      <c r="FH27">
        <v>0</v>
      </c>
      <c r="FI27">
        <v>20.3185</v>
      </c>
      <c r="FJ27">
        <v>800</v>
      </c>
      <c r="FK27">
        <v>13.0878</v>
      </c>
      <c r="FL27">
        <v>100.654</v>
      </c>
      <c r="FM27">
        <v>101.11799999999999</v>
      </c>
    </row>
    <row r="28" spans="1:169" x14ac:dyDescent="0.35">
      <c r="A28">
        <v>12</v>
      </c>
      <c r="B28">
        <v>1566145891</v>
      </c>
      <c r="C28">
        <v>1306.2999999523199</v>
      </c>
      <c r="D28" t="s">
        <v>339</v>
      </c>
      <c r="E28" t="s">
        <v>340</v>
      </c>
      <c r="G28">
        <v>1566145891</v>
      </c>
      <c r="H28">
        <f t="shared" si="0"/>
        <v>4.4589666528941189E-3</v>
      </c>
      <c r="I28">
        <f t="shared" si="1"/>
        <v>45.361564360626943</v>
      </c>
      <c r="J28">
        <f t="shared" si="2"/>
        <v>940.90494835685172</v>
      </c>
      <c r="K28">
        <f t="shared" si="3"/>
        <v>625.76948962601784</v>
      </c>
      <c r="L28">
        <f t="shared" si="4"/>
        <v>61.957756310311744</v>
      </c>
      <c r="M28">
        <f t="shared" si="5"/>
        <v>93.15947879833557</v>
      </c>
      <c r="N28">
        <f t="shared" si="6"/>
        <v>0.26173571944283269</v>
      </c>
      <c r="O28">
        <f t="shared" si="7"/>
        <v>2.2458232085428245</v>
      </c>
      <c r="P28">
        <f t="shared" si="8"/>
        <v>0.24589343390537691</v>
      </c>
      <c r="Q28">
        <f t="shared" si="9"/>
        <v>0.15502679100230529</v>
      </c>
      <c r="R28">
        <f t="shared" si="10"/>
        <v>281.5636363145133</v>
      </c>
      <c r="S28">
        <f t="shared" si="11"/>
        <v>26.445875916598514</v>
      </c>
      <c r="T28">
        <f t="shared" si="12"/>
        <v>26.991</v>
      </c>
      <c r="U28">
        <f t="shared" si="13"/>
        <v>3.5772682130307056</v>
      </c>
      <c r="V28">
        <f t="shared" si="14"/>
        <v>54.889208677697496</v>
      </c>
      <c r="W28">
        <f t="shared" si="15"/>
        <v>1.8308726477670005</v>
      </c>
      <c r="X28">
        <f t="shared" si="16"/>
        <v>3.3355785078222819</v>
      </c>
      <c r="Y28">
        <f t="shared" si="17"/>
        <v>1.7463955652637051</v>
      </c>
      <c r="Z28">
        <f t="shared" si="18"/>
        <v>-196.64042939263064</v>
      </c>
      <c r="AA28">
        <f t="shared" si="19"/>
        <v>-143.56078644504186</v>
      </c>
      <c r="AB28">
        <f t="shared" si="20"/>
        <v>-13.712622216336541</v>
      </c>
      <c r="AC28">
        <f t="shared" si="21"/>
        <v>-72.350201739495759</v>
      </c>
      <c r="AD28">
        <v>-4.1071396286774101E-2</v>
      </c>
      <c r="AE28">
        <v>4.6106240383833701E-2</v>
      </c>
      <c r="AF28">
        <v>3.44775603256369</v>
      </c>
      <c r="AG28">
        <v>142</v>
      </c>
      <c r="AH28">
        <v>28</v>
      </c>
      <c r="AI28">
        <f t="shared" si="22"/>
        <v>1.0054309577257667</v>
      </c>
      <c r="AJ28">
        <f t="shared" si="23"/>
        <v>0.54309577257667385</v>
      </c>
      <c r="AK28">
        <f t="shared" si="24"/>
        <v>52576.802547988838</v>
      </c>
      <c r="AL28" t="s">
        <v>278</v>
      </c>
      <c r="AM28">
        <v>520.33192307692298</v>
      </c>
      <c r="AN28">
        <v>3330.63</v>
      </c>
      <c r="AO28">
        <f t="shared" si="25"/>
        <v>2810.2980769230771</v>
      </c>
      <c r="AP28">
        <f t="shared" si="26"/>
        <v>0.84377372356673574</v>
      </c>
      <c r="AQ28">
        <v>-1.3252759154356599</v>
      </c>
      <c r="AR28" t="s">
        <v>341</v>
      </c>
      <c r="AS28">
        <v>821.14884615384597</v>
      </c>
      <c r="AT28">
        <v>1360.38</v>
      </c>
      <c r="AU28">
        <f t="shared" si="27"/>
        <v>0.39638274147381913</v>
      </c>
      <c r="AV28">
        <v>0.5</v>
      </c>
      <c r="AW28">
        <f t="shared" si="28"/>
        <v>1471.2548932137736</v>
      </c>
      <c r="AX28">
        <f t="shared" si="29"/>
        <v>45.361564360626943</v>
      </c>
      <c r="AY28">
        <f t="shared" si="30"/>
        <v>291.59002398942329</v>
      </c>
      <c r="AZ28">
        <f t="shared" si="31"/>
        <v>0.61132918743292319</v>
      </c>
      <c r="BA28">
        <f t="shared" si="32"/>
        <v>3.1732666101168233E-2</v>
      </c>
      <c r="BB28">
        <f t="shared" si="33"/>
        <v>1.4483085608432937</v>
      </c>
      <c r="BC28" t="s">
        <v>342</v>
      </c>
      <c r="BD28">
        <v>528.74</v>
      </c>
      <c r="BE28">
        <f t="shared" si="34"/>
        <v>831.6400000000001</v>
      </c>
      <c r="BF28">
        <f t="shared" si="35"/>
        <v>0.64839492309912228</v>
      </c>
      <c r="BG28">
        <f t="shared" si="36"/>
        <v>0.70318606369272163</v>
      </c>
      <c r="BH28">
        <f t="shared" si="37"/>
        <v>0.64190511074228829</v>
      </c>
      <c r="BI28">
        <f t="shared" si="38"/>
        <v>0.70108221479380428</v>
      </c>
      <c r="BJ28">
        <v>1387</v>
      </c>
      <c r="BK28">
        <v>300</v>
      </c>
      <c r="BL28">
        <v>300</v>
      </c>
      <c r="BM28">
        <v>300</v>
      </c>
      <c r="BN28">
        <v>10283.6</v>
      </c>
      <c r="BO28">
        <v>1233.45</v>
      </c>
      <c r="BP28">
        <v>-7.0619200000000002E-3</v>
      </c>
      <c r="BQ28">
        <v>4.21387</v>
      </c>
      <c r="BR28">
        <f t="shared" si="39"/>
        <v>1750.06</v>
      </c>
      <c r="BS28">
        <f t="shared" si="40"/>
        <v>1471.2548932137736</v>
      </c>
      <c r="BT28">
        <f t="shared" si="41"/>
        <v>0.84068825823901672</v>
      </c>
      <c r="BU28">
        <f t="shared" si="42"/>
        <v>0.19137651647803361</v>
      </c>
      <c r="BV28" t="s">
        <v>281</v>
      </c>
      <c r="BW28">
        <v>1566145891</v>
      </c>
      <c r="BX28">
        <v>940.90499999999997</v>
      </c>
      <c r="BY28">
        <v>1000.06</v>
      </c>
      <c r="BZ28">
        <v>18.491700000000002</v>
      </c>
      <c r="CA28">
        <v>13.2705</v>
      </c>
      <c r="CB28">
        <v>500.16399999999999</v>
      </c>
      <c r="CC28">
        <v>98.810500000000005</v>
      </c>
      <c r="CD28">
        <v>0.20000999999999999</v>
      </c>
      <c r="CE28">
        <v>25.805299999999999</v>
      </c>
      <c r="CF28">
        <v>26.991</v>
      </c>
      <c r="CG28">
        <v>999.9</v>
      </c>
      <c r="CH28">
        <v>10023.799999999999</v>
      </c>
      <c r="CI28">
        <v>0</v>
      </c>
      <c r="CJ28">
        <v>1725.57</v>
      </c>
      <c r="CK28">
        <v>1750.06</v>
      </c>
      <c r="CL28">
        <v>0.97699499999999995</v>
      </c>
      <c r="CM28">
        <v>2.3005299999999999E-2</v>
      </c>
      <c r="CN28">
        <v>0</v>
      </c>
      <c r="CO28">
        <v>819.15599999999995</v>
      </c>
      <c r="CP28">
        <v>4.99986</v>
      </c>
      <c r="CQ28">
        <v>19023.400000000001</v>
      </c>
      <c r="CR28">
        <v>14221.2</v>
      </c>
      <c r="CS28">
        <v>46.936999999999998</v>
      </c>
      <c r="CT28">
        <v>49.25</v>
      </c>
      <c r="CU28">
        <v>47.875</v>
      </c>
      <c r="CV28">
        <v>47.936999999999998</v>
      </c>
      <c r="CW28">
        <v>48.375</v>
      </c>
      <c r="CX28">
        <v>1704.92</v>
      </c>
      <c r="CY28">
        <v>40.15</v>
      </c>
      <c r="CZ28">
        <v>0</v>
      </c>
      <c r="DA28">
        <v>123.89999985694899</v>
      </c>
      <c r="DB28">
        <v>821.14884615384597</v>
      </c>
      <c r="DC28">
        <v>-15.575931627522399</v>
      </c>
      <c r="DD28">
        <v>93.066667249726393</v>
      </c>
      <c r="DE28">
        <v>19018.7</v>
      </c>
      <c r="DF28">
        <v>15</v>
      </c>
      <c r="DG28">
        <v>1566145924.5</v>
      </c>
      <c r="DH28" t="s">
        <v>343</v>
      </c>
      <c r="DI28">
        <v>57</v>
      </c>
      <c r="DJ28">
        <v>0.61</v>
      </c>
      <c r="DK28">
        <v>7.8E-2</v>
      </c>
      <c r="DL28">
        <v>1000</v>
      </c>
      <c r="DM28">
        <v>14</v>
      </c>
      <c r="DN28">
        <v>0.02</v>
      </c>
      <c r="DO28">
        <v>0.02</v>
      </c>
      <c r="DP28">
        <v>45.839517987086197</v>
      </c>
      <c r="DQ28">
        <v>-1.2788049729455</v>
      </c>
      <c r="DR28">
        <v>0.26874838842282001</v>
      </c>
      <c r="DS28">
        <v>0</v>
      </c>
      <c r="DT28">
        <v>0.26674327902291001</v>
      </c>
      <c r="DU28">
        <v>-1.30821161617036E-2</v>
      </c>
      <c r="DV28">
        <v>2.6178813454993E-3</v>
      </c>
      <c r="DW28">
        <v>1</v>
      </c>
      <c r="DX28">
        <v>1</v>
      </c>
      <c r="DY28">
        <v>2</v>
      </c>
      <c r="DZ28" t="s">
        <v>283</v>
      </c>
      <c r="EA28">
        <v>1.86734</v>
      </c>
      <c r="EB28">
        <v>1.86381</v>
      </c>
      <c r="EC28">
        <v>1.86948</v>
      </c>
      <c r="ED28">
        <v>1.86737</v>
      </c>
      <c r="EE28">
        <v>1.8721000000000001</v>
      </c>
      <c r="EF28">
        <v>1.86453</v>
      </c>
      <c r="EG28">
        <v>1.86602</v>
      </c>
      <c r="EH28">
        <v>1.86599</v>
      </c>
      <c r="EI28" t="s">
        <v>284</v>
      </c>
      <c r="EJ28" t="s">
        <v>19</v>
      </c>
      <c r="EK28" t="s">
        <v>19</v>
      </c>
      <c r="EL28" t="s">
        <v>19</v>
      </c>
      <c r="EM28" t="s">
        <v>285</v>
      </c>
      <c r="EN28" t="s">
        <v>286</v>
      </c>
      <c r="EO28" t="s">
        <v>287</v>
      </c>
      <c r="EP28" t="s">
        <v>287</v>
      </c>
      <c r="EQ28" t="s">
        <v>287</v>
      </c>
      <c r="ER28" t="s">
        <v>287</v>
      </c>
      <c r="ES28">
        <v>0</v>
      </c>
      <c r="ET28">
        <v>100</v>
      </c>
      <c r="EU28">
        <v>100</v>
      </c>
      <c r="EV28">
        <v>0.61</v>
      </c>
      <c r="EW28">
        <v>7.8E-2</v>
      </c>
      <c r="EX28">
        <v>2</v>
      </c>
      <c r="EY28">
        <v>338.91500000000002</v>
      </c>
      <c r="EZ28">
        <v>482.72500000000002</v>
      </c>
      <c r="FA28">
        <v>20.3977</v>
      </c>
      <c r="FB28">
        <v>34.206099999999999</v>
      </c>
      <c r="FC28">
        <v>30.001200000000001</v>
      </c>
      <c r="FD28">
        <v>33.979399999999998</v>
      </c>
      <c r="FE28">
        <v>33.950899999999997</v>
      </c>
      <c r="FF28">
        <v>45.875599999999999</v>
      </c>
      <c r="FG28">
        <v>64.411600000000007</v>
      </c>
      <c r="FH28">
        <v>0</v>
      </c>
      <c r="FI28">
        <v>20.398</v>
      </c>
      <c r="FJ28">
        <v>1000</v>
      </c>
      <c r="FK28">
        <v>13.3894</v>
      </c>
      <c r="FL28">
        <v>100.604</v>
      </c>
      <c r="FM28">
        <v>101.063</v>
      </c>
    </row>
    <row r="29" spans="1:169" x14ac:dyDescent="0.35">
      <c r="A29">
        <v>13</v>
      </c>
      <c r="B29">
        <v>1566146016</v>
      </c>
      <c r="C29">
        <v>1431.2999999523199</v>
      </c>
      <c r="D29" t="s">
        <v>344</v>
      </c>
      <c r="E29" t="s">
        <v>345</v>
      </c>
      <c r="G29">
        <v>1566146016</v>
      </c>
      <c r="H29">
        <f t="shared" si="0"/>
        <v>3.9444560169595022E-3</v>
      </c>
      <c r="I29">
        <f t="shared" si="1"/>
        <v>46.262804430642532</v>
      </c>
      <c r="J29">
        <f t="shared" si="2"/>
        <v>1139.3589471476839</v>
      </c>
      <c r="K29">
        <f t="shared" si="3"/>
        <v>773.34711907240819</v>
      </c>
      <c r="L29">
        <f t="shared" si="4"/>
        <v>76.576451243767281</v>
      </c>
      <c r="M29">
        <f t="shared" si="5"/>
        <v>112.81876238196168</v>
      </c>
      <c r="N29">
        <f t="shared" si="6"/>
        <v>0.22932581634355359</v>
      </c>
      <c r="O29">
        <f t="shared" si="7"/>
        <v>2.2425175435085465</v>
      </c>
      <c r="P29">
        <f t="shared" si="8"/>
        <v>0.21704834585176264</v>
      </c>
      <c r="Q29">
        <f t="shared" si="9"/>
        <v>0.13670349717807601</v>
      </c>
      <c r="R29">
        <f t="shared" si="10"/>
        <v>281.58918505230332</v>
      </c>
      <c r="S29">
        <f t="shared" si="11"/>
        <v>26.362393053832658</v>
      </c>
      <c r="T29">
        <f t="shared" si="12"/>
        <v>26.967500000000001</v>
      </c>
      <c r="U29">
        <f t="shared" si="13"/>
        <v>3.5723334624049192</v>
      </c>
      <c r="V29">
        <f t="shared" si="14"/>
        <v>55.454758707572836</v>
      </c>
      <c r="W29">
        <f t="shared" si="15"/>
        <v>1.8218500257412003</v>
      </c>
      <c r="X29">
        <f t="shared" si="16"/>
        <v>3.2852906913693065</v>
      </c>
      <c r="Y29">
        <f t="shared" si="17"/>
        <v>1.750483436663719</v>
      </c>
      <c r="Z29">
        <f t="shared" si="18"/>
        <v>-173.95051034791405</v>
      </c>
      <c r="AA29">
        <f t="shared" si="19"/>
        <v>-171.4704926141292</v>
      </c>
      <c r="AB29">
        <f t="shared" si="20"/>
        <v>-16.379703046644586</v>
      </c>
      <c r="AC29">
        <f t="shared" si="21"/>
        <v>-80.211520956384504</v>
      </c>
      <c r="AD29">
        <v>-4.0982610755217599E-2</v>
      </c>
      <c r="AE29">
        <v>4.60065708466217E-2</v>
      </c>
      <c r="AF29">
        <v>3.44185210561665</v>
      </c>
      <c r="AG29">
        <v>139</v>
      </c>
      <c r="AH29">
        <v>28</v>
      </c>
      <c r="AI29">
        <f t="shared" si="22"/>
        <v>1.0053220990702081</v>
      </c>
      <c r="AJ29">
        <f t="shared" si="23"/>
        <v>0.53220990702080861</v>
      </c>
      <c r="AK29">
        <f t="shared" si="24"/>
        <v>52513.029136563127</v>
      </c>
      <c r="AL29" t="s">
        <v>278</v>
      </c>
      <c r="AM29">
        <v>520.33192307692298</v>
      </c>
      <c r="AN29">
        <v>3330.63</v>
      </c>
      <c r="AO29">
        <f t="shared" si="25"/>
        <v>2810.2980769230771</v>
      </c>
      <c r="AP29">
        <f t="shared" si="26"/>
        <v>0.84377372356673574</v>
      </c>
      <c r="AQ29">
        <v>-1.3252759154356599</v>
      </c>
      <c r="AR29" t="s">
        <v>346</v>
      </c>
      <c r="AS29">
        <v>810.72176923076904</v>
      </c>
      <c r="AT29">
        <v>1334.75</v>
      </c>
      <c r="AU29">
        <f t="shared" si="27"/>
        <v>0.39260403129367372</v>
      </c>
      <c r="AV29">
        <v>0.5</v>
      </c>
      <c r="AW29">
        <f t="shared" si="28"/>
        <v>1471.3893000963478</v>
      </c>
      <c r="AX29">
        <f t="shared" si="29"/>
        <v>46.262804430642532</v>
      </c>
      <c r="AY29">
        <f t="shared" si="30"/>
        <v>288.83668541010161</v>
      </c>
      <c r="AZ29">
        <f t="shared" si="31"/>
        <v>0.60657801086345753</v>
      </c>
      <c r="BA29">
        <f t="shared" si="32"/>
        <v>3.2342277018707483E-2</v>
      </c>
      <c r="BB29">
        <f t="shared" si="33"/>
        <v>1.4953212212024725</v>
      </c>
      <c r="BC29" t="s">
        <v>347</v>
      </c>
      <c r="BD29">
        <v>525.12</v>
      </c>
      <c r="BE29">
        <f t="shared" si="34"/>
        <v>809.63</v>
      </c>
      <c r="BF29">
        <f t="shared" si="35"/>
        <v>0.6472440877551856</v>
      </c>
      <c r="BG29">
        <f t="shared" si="36"/>
        <v>0.71141432395535931</v>
      </c>
      <c r="BH29">
        <f t="shared" si="37"/>
        <v>0.64343884991973987</v>
      </c>
      <c r="BI29">
        <f t="shared" si="38"/>
        <v>0.7102022438079727</v>
      </c>
      <c r="BJ29">
        <v>1389</v>
      </c>
      <c r="BK29">
        <v>300</v>
      </c>
      <c r="BL29">
        <v>300</v>
      </c>
      <c r="BM29">
        <v>300</v>
      </c>
      <c r="BN29">
        <v>10282.299999999999</v>
      </c>
      <c r="BO29">
        <v>1210.8800000000001</v>
      </c>
      <c r="BP29">
        <v>-7.0608700000000003E-3</v>
      </c>
      <c r="BQ29">
        <v>3.69495</v>
      </c>
      <c r="BR29">
        <f t="shared" si="39"/>
        <v>1750.22</v>
      </c>
      <c r="BS29">
        <f t="shared" si="40"/>
        <v>1471.3893000963478</v>
      </c>
      <c r="BT29">
        <f t="shared" si="41"/>
        <v>0.84068819925286409</v>
      </c>
      <c r="BU29">
        <f t="shared" si="42"/>
        <v>0.1913763985057283</v>
      </c>
      <c r="BV29" t="s">
        <v>281</v>
      </c>
      <c r="BW29">
        <v>1566146016</v>
      </c>
      <c r="BX29">
        <v>1139.3589999999999</v>
      </c>
      <c r="BY29">
        <v>1199.98</v>
      </c>
      <c r="BZ29">
        <v>18.398900000000001</v>
      </c>
      <c r="CA29">
        <v>13.777200000000001</v>
      </c>
      <c r="CB29">
        <v>499.94600000000003</v>
      </c>
      <c r="CC29">
        <v>98.819699999999997</v>
      </c>
      <c r="CD29">
        <v>0.19980800000000001</v>
      </c>
      <c r="CE29">
        <v>25.549199999999999</v>
      </c>
      <c r="CF29">
        <v>26.967500000000001</v>
      </c>
      <c r="CG29">
        <v>999.9</v>
      </c>
      <c r="CH29">
        <v>10001.200000000001</v>
      </c>
      <c r="CI29">
        <v>0</v>
      </c>
      <c r="CJ29">
        <v>1761.44</v>
      </c>
      <c r="CK29">
        <v>1750.22</v>
      </c>
      <c r="CL29">
        <v>0.97699499999999995</v>
      </c>
      <c r="CM29">
        <v>2.3005299999999999E-2</v>
      </c>
      <c r="CN29">
        <v>0</v>
      </c>
      <c r="CO29">
        <v>809.72199999999998</v>
      </c>
      <c r="CP29">
        <v>4.99986</v>
      </c>
      <c r="CQ29">
        <v>18909.099999999999</v>
      </c>
      <c r="CR29">
        <v>14222.5</v>
      </c>
      <c r="CS29">
        <v>47.311999999999998</v>
      </c>
      <c r="CT29">
        <v>49.561999999999998</v>
      </c>
      <c r="CU29">
        <v>48.25</v>
      </c>
      <c r="CV29">
        <v>48.311999999999998</v>
      </c>
      <c r="CW29">
        <v>48.75</v>
      </c>
      <c r="CX29">
        <v>1705.07</v>
      </c>
      <c r="CY29">
        <v>40.15</v>
      </c>
      <c r="CZ29">
        <v>0</v>
      </c>
      <c r="DA29">
        <v>124.40000009536701</v>
      </c>
      <c r="DB29">
        <v>810.72176923076904</v>
      </c>
      <c r="DC29">
        <v>-7.9653333417335004</v>
      </c>
      <c r="DD29">
        <v>-177.17948773982499</v>
      </c>
      <c r="DE29">
        <v>18946.726923076902</v>
      </c>
      <c r="DF29">
        <v>15</v>
      </c>
      <c r="DG29">
        <v>1566146046.9000001</v>
      </c>
      <c r="DH29" t="s">
        <v>348</v>
      </c>
      <c r="DI29">
        <v>58</v>
      </c>
      <c r="DJ29">
        <v>0.61899999999999999</v>
      </c>
      <c r="DK29">
        <v>0.08</v>
      </c>
      <c r="DL29">
        <v>1200</v>
      </c>
      <c r="DM29">
        <v>14</v>
      </c>
      <c r="DN29">
        <v>0.04</v>
      </c>
      <c r="DO29">
        <v>0.02</v>
      </c>
      <c r="DP29">
        <v>46.712159821816201</v>
      </c>
      <c r="DQ29">
        <v>-1.11264186544265</v>
      </c>
      <c r="DR29">
        <v>0.242941637793812</v>
      </c>
      <c r="DS29">
        <v>0</v>
      </c>
      <c r="DT29">
        <v>0.23031030555267301</v>
      </c>
      <c r="DU29">
        <v>-3.1928598522449302E-3</v>
      </c>
      <c r="DV29">
        <v>6.7527422722556997E-4</v>
      </c>
      <c r="DW29">
        <v>1</v>
      </c>
      <c r="DX29">
        <v>1</v>
      </c>
      <c r="DY29">
        <v>2</v>
      </c>
      <c r="DZ29" t="s">
        <v>283</v>
      </c>
      <c r="EA29">
        <v>1.8673</v>
      </c>
      <c r="EB29">
        <v>1.86378</v>
      </c>
      <c r="EC29">
        <v>1.8694299999999999</v>
      </c>
      <c r="ED29">
        <v>1.86737</v>
      </c>
      <c r="EE29">
        <v>1.87209</v>
      </c>
      <c r="EF29">
        <v>1.8644799999999999</v>
      </c>
      <c r="EG29">
        <v>1.8660099999999999</v>
      </c>
      <c r="EH29">
        <v>1.8660000000000001</v>
      </c>
      <c r="EI29" t="s">
        <v>284</v>
      </c>
      <c r="EJ29" t="s">
        <v>19</v>
      </c>
      <c r="EK29" t="s">
        <v>19</v>
      </c>
      <c r="EL29" t="s">
        <v>19</v>
      </c>
      <c r="EM29" t="s">
        <v>285</v>
      </c>
      <c r="EN29" t="s">
        <v>286</v>
      </c>
      <c r="EO29" t="s">
        <v>287</v>
      </c>
      <c r="EP29" t="s">
        <v>287</v>
      </c>
      <c r="EQ29" t="s">
        <v>287</v>
      </c>
      <c r="ER29" t="s">
        <v>287</v>
      </c>
      <c r="ES29">
        <v>0</v>
      </c>
      <c r="ET29">
        <v>100</v>
      </c>
      <c r="EU29">
        <v>100</v>
      </c>
      <c r="EV29">
        <v>0.61899999999999999</v>
      </c>
      <c r="EW29">
        <v>0.08</v>
      </c>
      <c r="EX29">
        <v>2</v>
      </c>
      <c r="EY29">
        <v>341.40100000000001</v>
      </c>
      <c r="EZ29">
        <v>481.49400000000003</v>
      </c>
      <c r="FA29">
        <v>19.328199999999999</v>
      </c>
      <c r="FB29">
        <v>34.493200000000002</v>
      </c>
      <c r="FC29">
        <v>29.9984</v>
      </c>
      <c r="FD29">
        <v>34.259099999999997</v>
      </c>
      <c r="FE29">
        <v>34.231099999999998</v>
      </c>
      <c r="FF29">
        <v>53.127899999999997</v>
      </c>
      <c r="FG29">
        <v>64.192300000000003</v>
      </c>
      <c r="FH29">
        <v>0</v>
      </c>
      <c r="FI29">
        <v>19.935099999999998</v>
      </c>
      <c r="FJ29">
        <v>1200</v>
      </c>
      <c r="FK29">
        <v>13.640700000000001</v>
      </c>
      <c r="FL29">
        <v>100.556</v>
      </c>
      <c r="FM29">
        <v>101.004</v>
      </c>
    </row>
    <row r="30" spans="1:169" x14ac:dyDescent="0.35">
      <c r="A30">
        <v>14</v>
      </c>
      <c r="B30">
        <v>1566146138.5</v>
      </c>
      <c r="C30">
        <v>1553.7999999523199</v>
      </c>
      <c r="D30" t="s">
        <v>349</v>
      </c>
      <c r="E30" t="s">
        <v>350</v>
      </c>
      <c r="G30">
        <v>1566146138.5</v>
      </c>
      <c r="H30">
        <f t="shared" si="0"/>
        <v>3.630277932578961E-3</v>
      </c>
      <c r="I30">
        <f t="shared" si="1"/>
        <v>46.807347371469547</v>
      </c>
      <c r="J30">
        <f t="shared" si="2"/>
        <v>1537.1919465325677</v>
      </c>
      <c r="K30">
        <f t="shared" si="3"/>
        <v>1119.19612479072</v>
      </c>
      <c r="L30">
        <f t="shared" si="4"/>
        <v>110.82359714441795</v>
      </c>
      <c r="M30">
        <f t="shared" si="5"/>
        <v>152.21384102632078</v>
      </c>
      <c r="N30">
        <f t="shared" si="6"/>
        <v>0.20624179220196751</v>
      </c>
      <c r="O30">
        <f t="shared" si="7"/>
        <v>2.2425345396748262</v>
      </c>
      <c r="P30">
        <f t="shared" si="8"/>
        <v>0.19625388549546668</v>
      </c>
      <c r="Q30">
        <f t="shared" si="9"/>
        <v>0.12351573432999743</v>
      </c>
      <c r="R30">
        <f t="shared" si="10"/>
        <v>281.57266332121429</v>
      </c>
      <c r="S30">
        <f t="shared" si="11"/>
        <v>26.431264634732152</v>
      </c>
      <c r="T30">
        <f t="shared" si="12"/>
        <v>27.006900000000002</v>
      </c>
      <c r="U30">
        <f t="shared" si="13"/>
        <v>3.5806104184249672</v>
      </c>
      <c r="V30">
        <f t="shared" si="14"/>
        <v>54.866029531298011</v>
      </c>
      <c r="W30">
        <f t="shared" si="15"/>
        <v>1.7986914293376002</v>
      </c>
      <c r="X30">
        <f t="shared" si="16"/>
        <v>3.2783335056376681</v>
      </c>
      <c r="Y30">
        <f t="shared" si="17"/>
        <v>1.781918989087367</v>
      </c>
      <c r="Z30">
        <f t="shared" si="18"/>
        <v>-160.09525682673217</v>
      </c>
      <c r="AA30">
        <f t="shared" si="19"/>
        <v>-180.55134630854454</v>
      </c>
      <c r="AB30">
        <f t="shared" si="20"/>
        <v>-17.247350434483849</v>
      </c>
      <c r="AC30">
        <f t="shared" si="21"/>
        <v>-76.321290248546262</v>
      </c>
      <c r="AD30">
        <v>-4.0983066948383801E-2</v>
      </c>
      <c r="AE30">
        <v>4.6007082963415498E-2</v>
      </c>
      <c r="AF30">
        <v>3.44188245203615</v>
      </c>
      <c r="AG30">
        <v>141</v>
      </c>
      <c r="AH30">
        <v>28</v>
      </c>
      <c r="AI30">
        <f t="shared" si="22"/>
        <v>1.0053983799661501</v>
      </c>
      <c r="AJ30">
        <f t="shared" si="23"/>
        <v>0.53983799661501131</v>
      </c>
      <c r="AK30">
        <f t="shared" si="24"/>
        <v>52519.893917850983</v>
      </c>
      <c r="AL30" t="s">
        <v>278</v>
      </c>
      <c r="AM30">
        <v>520.33192307692298</v>
      </c>
      <c r="AN30">
        <v>3330.63</v>
      </c>
      <c r="AO30">
        <f t="shared" si="25"/>
        <v>2810.2980769230771</v>
      </c>
      <c r="AP30">
        <f t="shared" si="26"/>
        <v>0.84377372356673574</v>
      </c>
      <c r="AQ30">
        <v>-1.3252759154356599</v>
      </c>
      <c r="AR30" t="s">
        <v>351</v>
      </c>
      <c r="AS30">
        <v>802.50461538461502</v>
      </c>
      <c r="AT30">
        <v>1290.82</v>
      </c>
      <c r="AU30">
        <f t="shared" si="27"/>
        <v>0.37829858897087509</v>
      </c>
      <c r="AV30">
        <v>0.5</v>
      </c>
      <c r="AW30">
        <f t="shared" si="28"/>
        <v>1471.3050000963292</v>
      </c>
      <c r="AX30">
        <f t="shared" si="29"/>
        <v>46.807347371469547</v>
      </c>
      <c r="AY30">
        <f t="shared" si="30"/>
        <v>278.2963027411173</v>
      </c>
      <c r="AZ30">
        <f t="shared" si="31"/>
        <v>0.59853426504082674</v>
      </c>
      <c r="BA30">
        <f t="shared" si="32"/>
        <v>3.2714238912906479E-2</v>
      </c>
      <c r="BB30">
        <f t="shared" si="33"/>
        <v>1.5802435661052667</v>
      </c>
      <c r="BC30" t="s">
        <v>352</v>
      </c>
      <c r="BD30">
        <v>518.22</v>
      </c>
      <c r="BE30">
        <f t="shared" si="34"/>
        <v>772.59999999999991</v>
      </c>
      <c r="BF30">
        <f t="shared" si="35"/>
        <v>0.63204165753997532</v>
      </c>
      <c r="BG30">
        <f t="shared" si="36"/>
        <v>0.72528898702536271</v>
      </c>
      <c r="BH30">
        <f t="shared" si="37"/>
        <v>0.6337740962396966</v>
      </c>
      <c r="BI30">
        <f t="shared" si="38"/>
        <v>0.72583403758840259</v>
      </c>
      <c r="BJ30">
        <v>1391</v>
      </c>
      <c r="BK30">
        <v>300</v>
      </c>
      <c r="BL30">
        <v>300</v>
      </c>
      <c r="BM30">
        <v>300</v>
      </c>
      <c r="BN30">
        <v>10281.4</v>
      </c>
      <c r="BO30">
        <v>1173.1600000000001</v>
      </c>
      <c r="BP30">
        <v>-7.0599900000000004E-3</v>
      </c>
      <c r="BQ30">
        <v>3.04053</v>
      </c>
      <c r="BR30">
        <f t="shared" si="39"/>
        <v>1750.12</v>
      </c>
      <c r="BS30">
        <f t="shared" si="40"/>
        <v>1471.3050000963292</v>
      </c>
      <c r="BT30">
        <f t="shared" si="41"/>
        <v>0.84068806715901157</v>
      </c>
      <c r="BU30">
        <f t="shared" si="42"/>
        <v>0.19137613431802322</v>
      </c>
      <c r="BV30" t="s">
        <v>281</v>
      </c>
      <c r="BW30">
        <v>1566146138.5</v>
      </c>
      <c r="BX30">
        <v>1537.192</v>
      </c>
      <c r="BY30">
        <v>1599.76</v>
      </c>
      <c r="BZ30">
        <v>18.1648</v>
      </c>
      <c r="CA30">
        <v>13.9107</v>
      </c>
      <c r="CB30">
        <v>499.96600000000001</v>
      </c>
      <c r="CC30">
        <v>98.820800000000006</v>
      </c>
      <c r="CD30">
        <v>0.19991200000000001</v>
      </c>
      <c r="CE30">
        <v>25.513500000000001</v>
      </c>
      <c r="CF30">
        <v>27.006900000000002</v>
      </c>
      <c r="CG30">
        <v>999.9</v>
      </c>
      <c r="CH30">
        <v>10001.200000000001</v>
      </c>
      <c r="CI30">
        <v>0</v>
      </c>
      <c r="CJ30">
        <v>1757.55</v>
      </c>
      <c r="CK30">
        <v>1750.12</v>
      </c>
      <c r="CL30">
        <v>0.97699899999999995</v>
      </c>
      <c r="CM30">
        <v>2.3001199999999999E-2</v>
      </c>
      <c r="CN30">
        <v>0</v>
      </c>
      <c r="CO30">
        <v>800.62800000000004</v>
      </c>
      <c r="CP30">
        <v>4.99986</v>
      </c>
      <c r="CQ30">
        <v>18701.3</v>
      </c>
      <c r="CR30">
        <v>14221.7</v>
      </c>
      <c r="CS30">
        <v>47.375</v>
      </c>
      <c r="CT30">
        <v>49.811999999999998</v>
      </c>
      <c r="CU30">
        <v>48.436999999999998</v>
      </c>
      <c r="CV30">
        <v>48.561999999999998</v>
      </c>
      <c r="CW30">
        <v>48.875</v>
      </c>
      <c r="CX30">
        <v>1704.98</v>
      </c>
      <c r="CY30">
        <v>40.14</v>
      </c>
      <c r="CZ30">
        <v>0</v>
      </c>
      <c r="DA30">
        <v>122</v>
      </c>
      <c r="DB30">
        <v>802.50461538461502</v>
      </c>
      <c r="DC30">
        <v>-13.8324102783371</v>
      </c>
      <c r="DD30">
        <v>-212.99145311717899</v>
      </c>
      <c r="DE30">
        <v>18760.184615384602</v>
      </c>
      <c r="DF30">
        <v>15</v>
      </c>
      <c r="DG30">
        <v>1566146167.4000001</v>
      </c>
      <c r="DH30" t="s">
        <v>353</v>
      </c>
      <c r="DI30">
        <v>59</v>
      </c>
      <c r="DJ30">
        <v>0.45100000000000001</v>
      </c>
      <c r="DK30">
        <v>8.4000000000000005E-2</v>
      </c>
      <c r="DL30">
        <v>1600</v>
      </c>
      <c r="DM30">
        <v>14</v>
      </c>
      <c r="DN30">
        <v>0.06</v>
      </c>
      <c r="DO30">
        <v>0.02</v>
      </c>
      <c r="DP30">
        <v>46.863911425816298</v>
      </c>
      <c r="DQ30">
        <v>-0.74387660482044704</v>
      </c>
      <c r="DR30">
        <v>0.20129821191690001</v>
      </c>
      <c r="DS30">
        <v>0</v>
      </c>
      <c r="DT30">
        <v>0.21110211049828501</v>
      </c>
      <c r="DU30">
        <v>-4.9488822810782604E-3</v>
      </c>
      <c r="DV30">
        <v>1.35987849210855E-3</v>
      </c>
      <c r="DW30">
        <v>1</v>
      </c>
      <c r="DX30">
        <v>1</v>
      </c>
      <c r="DY30">
        <v>2</v>
      </c>
      <c r="DZ30" t="s">
        <v>283</v>
      </c>
      <c r="EA30">
        <v>1.8672500000000001</v>
      </c>
      <c r="EB30">
        <v>1.86381</v>
      </c>
      <c r="EC30">
        <v>1.8694</v>
      </c>
      <c r="ED30">
        <v>1.86737</v>
      </c>
      <c r="EE30">
        <v>1.8720300000000001</v>
      </c>
      <c r="EF30">
        <v>1.8644799999999999</v>
      </c>
      <c r="EG30">
        <v>1.8660099999999999</v>
      </c>
      <c r="EH30">
        <v>1.8660000000000001</v>
      </c>
      <c r="EI30" t="s">
        <v>284</v>
      </c>
      <c r="EJ30" t="s">
        <v>19</v>
      </c>
      <c r="EK30" t="s">
        <v>19</v>
      </c>
      <c r="EL30" t="s">
        <v>19</v>
      </c>
      <c r="EM30" t="s">
        <v>285</v>
      </c>
      <c r="EN30" t="s">
        <v>286</v>
      </c>
      <c r="EO30" t="s">
        <v>287</v>
      </c>
      <c r="EP30" t="s">
        <v>287</v>
      </c>
      <c r="EQ30" t="s">
        <v>287</v>
      </c>
      <c r="ER30" t="s">
        <v>287</v>
      </c>
      <c r="ES30">
        <v>0</v>
      </c>
      <c r="ET30">
        <v>100</v>
      </c>
      <c r="EU30">
        <v>100</v>
      </c>
      <c r="EV30">
        <v>0.45100000000000001</v>
      </c>
      <c r="EW30">
        <v>8.4000000000000005E-2</v>
      </c>
      <c r="EX30">
        <v>2</v>
      </c>
      <c r="EY30">
        <v>339.47300000000001</v>
      </c>
      <c r="EZ30">
        <v>481.32900000000001</v>
      </c>
      <c r="FA30">
        <v>19.735700000000001</v>
      </c>
      <c r="FB30">
        <v>34.7652</v>
      </c>
      <c r="FC30">
        <v>30.000900000000001</v>
      </c>
      <c r="FD30">
        <v>34.5197</v>
      </c>
      <c r="FE30">
        <v>34.4893</v>
      </c>
      <c r="FF30">
        <v>66.805199999999999</v>
      </c>
      <c r="FG30">
        <v>64.1965</v>
      </c>
      <c r="FH30">
        <v>0</v>
      </c>
      <c r="FI30">
        <v>19.7194</v>
      </c>
      <c r="FJ30">
        <v>1600</v>
      </c>
      <c r="FK30">
        <v>13.985799999999999</v>
      </c>
      <c r="FL30">
        <v>100.512</v>
      </c>
      <c r="FM30">
        <v>100.956</v>
      </c>
    </row>
  </sheetData>
  <sortState ref="J34:L47">
    <sortCondition ref="J3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Jiang, Chongya</cp:lastModifiedBy>
  <dcterms:created xsi:type="dcterms:W3CDTF">2019-08-18T11:40:35Z</dcterms:created>
  <dcterms:modified xsi:type="dcterms:W3CDTF">2019-08-28T02:40:23Z</dcterms:modified>
</cp:coreProperties>
</file>