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ongya\Documents\Guapi\A-Ci\raw20190818\"/>
    </mc:Choice>
  </mc:AlternateContent>
  <bookViews>
    <workbookView xWindow="0" yWindow="0" windowWidth="15530" windowHeight="7050"/>
  </bookViews>
  <sheets>
    <sheet name="Measurements" sheetId="1" r:id="rId1"/>
    <sheet name="Remarks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U31" i="1" l="1"/>
  <c r="BT31" i="1"/>
  <c r="BR31" i="1"/>
  <c r="BI31" i="1"/>
  <c r="BH31" i="1"/>
  <c r="BG31" i="1"/>
  <c r="BF31" i="1"/>
  <c r="BE31" i="1"/>
  <c r="BB31" i="1"/>
  <c r="AZ31" i="1"/>
  <c r="AU31" i="1"/>
  <c r="AO31" i="1"/>
  <c r="AP31" i="1" s="1"/>
  <c r="AK31" i="1"/>
  <c r="AI31" i="1" s="1"/>
  <c r="AJ31" i="1" s="1"/>
  <c r="X31" i="1"/>
  <c r="W31" i="1"/>
  <c r="O31" i="1"/>
  <c r="H31" i="1"/>
  <c r="Z31" i="1" s="1"/>
  <c r="BU30" i="1"/>
  <c r="BT30" i="1"/>
  <c r="BR30" i="1"/>
  <c r="BI30" i="1"/>
  <c r="BH30" i="1"/>
  <c r="BG30" i="1"/>
  <c r="BF30" i="1"/>
  <c r="BE30" i="1"/>
  <c r="BB30" i="1"/>
  <c r="AZ30" i="1"/>
  <c r="AU30" i="1"/>
  <c r="AP30" i="1"/>
  <c r="AO30" i="1"/>
  <c r="AK30" i="1"/>
  <c r="AI30" i="1" s="1"/>
  <c r="X30" i="1"/>
  <c r="W30" i="1"/>
  <c r="V30" i="1"/>
  <c r="O30" i="1"/>
  <c r="BU29" i="1"/>
  <c r="BT29" i="1"/>
  <c r="BR29" i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I29" i="1" s="1"/>
  <c r="X29" i="1"/>
  <c r="V29" i="1" s="1"/>
  <c r="W29" i="1"/>
  <c r="O29" i="1"/>
  <c r="BU28" i="1"/>
  <c r="BT28" i="1"/>
  <c r="BR28" i="1"/>
  <c r="BS28" i="1" s="1"/>
  <c r="BI28" i="1"/>
  <c r="BH28" i="1"/>
  <c r="BG28" i="1"/>
  <c r="BF28" i="1"/>
  <c r="BE28" i="1"/>
  <c r="BB28" i="1"/>
  <c r="AZ28" i="1"/>
  <c r="AU28" i="1"/>
  <c r="AO28" i="1"/>
  <c r="AP28" i="1" s="1"/>
  <c r="AK28" i="1"/>
  <c r="AI28" i="1" s="1"/>
  <c r="X28" i="1"/>
  <c r="V28" i="1" s="1"/>
  <c r="W28" i="1"/>
  <c r="O28" i="1"/>
  <c r="BU27" i="1"/>
  <c r="BT27" i="1"/>
  <c r="BR27" i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H27" i="1" s="1"/>
  <c r="X27" i="1"/>
  <c r="W27" i="1"/>
  <c r="O27" i="1"/>
  <c r="BU26" i="1"/>
  <c r="BT26" i="1"/>
  <c r="BR26" i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/>
  <c r="X26" i="1"/>
  <c r="W26" i="1"/>
  <c r="V26" i="1" s="1"/>
  <c r="O26" i="1"/>
  <c r="BU25" i="1"/>
  <c r="BT25" i="1"/>
  <c r="BR25" i="1"/>
  <c r="BI25" i="1"/>
  <c r="BH25" i="1"/>
  <c r="BG25" i="1"/>
  <c r="BF25" i="1"/>
  <c r="BE25" i="1"/>
  <c r="AZ25" i="1" s="1"/>
  <c r="BB25" i="1"/>
  <c r="AU25" i="1"/>
  <c r="AO25" i="1"/>
  <c r="AP25" i="1" s="1"/>
  <c r="AK25" i="1"/>
  <c r="AI25" i="1"/>
  <c r="X25" i="1"/>
  <c r="W25" i="1"/>
  <c r="V25" i="1" s="1"/>
  <c r="O25" i="1"/>
  <c r="BU24" i="1"/>
  <c r="BT24" i="1"/>
  <c r="BR24" i="1"/>
  <c r="BS24" i="1" s="1"/>
  <c r="R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 s="1"/>
  <c r="H24" i="1" s="1"/>
  <c r="Z24" i="1" s="1"/>
  <c r="X24" i="1"/>
  <c r="W24" i="1"/>
  <c r="O24" i="1"/>
  <c r="I24" i="1"/>
  <c r="AX24" i="1" s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 s="1"/>
  <c r="AJ23" i="1"/>
  <c r="X23" i="1"/>
  <c r="W23" i="1"/>
  <c r="V23" i="1" s="1"/>
  <c r="O23" i="1"/>
  <c r="H23" i="1"/>
  <c r="Z23" i="1" s="1"/>
  <c r="BU22" i="1"/>
  <c r="BT22" i="1"/>
  <c r="BR22" i="1"/>
  <c r="BI22" i="1"/>
  <c r="BH22" i="1"/>
  <c r="BG22" i="1"/>
  <c r="BF22" i="1"/>
  <c r="BE22" i="1"/>
  <c r="BB22" i="1"/>
  <c r="AZ22" i="1"/>
  <c r="AU22" i="1"/>
  <c r="AP22" i="1"/>
  <c r="AO22" i="1"/>
  <c r="AK22" i="1"/>
  <c r="AI22" i="1" s="1"/>
  <c r="X22" i="1"/>
  <c r="W22" i="1"/>
  <c r="V22" i="1"/>
  <c r="O22" i="1"/>
  <c r="BU21" i="1"/>
  <c r="BT21" i="1"/>
  <c r="BR21" i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 s="1"/>
  <c r="I21" i="1" s="1"/>
  <c r="X21" i="1"/>
  <c r="V21" i="1" s="1"/>
  <c r="W21" i="1"/>
  <c r="O21" i="1"/>
  <c r="BU20" i="1"/>
  <c r="BT20" i="1"/>
  <c r="BR20" i="1"/>
  <c r="BS20" i="1" s="1"/>
  <c r="R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 s="1"/>
  <c r="X20" i="1"/>
  <c r="W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 s="1"/>
  <c r="AJ19" i="1"/>
  <c r="X19" i="1"/>
  <c r="W19" i="1"/>
  <c r="V19" i="1" s="1"/>
  <c r="O19" i="1"/>
  <c r="BU18" i="1"/>
  <c r="R18" i="1" s="1"/>
  <c r="BT18" i="1"/>
  <c r="BR18" i="1"/>
  <c r="BS18" i="1" s="1"/>
  <c r="AW18" i="1" s="1"/>
  <c r="AY18" i="1" s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/>
  <c r="H18" i="1" s="1"/>
  <c r="X18" i="1"/>
  <c r="W18" i="1"/>
  <c r="V18" i="1" s="1"/>
  <c r="O18" i="1"/>
  <c r="BU17" i="1"/>
  <c r="BT17" i="1"/>
  <c r="BS17" i="1"/>
  <c r="R17" i="1" s="1"/>
  <c r="BR17" i="1"/>
  <c r="BI17" i="1"/>
  <c r="BH17" i="1"/>
  <c r="BG17" i="1"/>
  <c r="BF17" i="1"/>
  <c r="BE17" i="1"/>
  <c r="AZ17" i="1" s="1"/>
  <c r="BB17" i="1"/>
  <c r="AW17" i="1"/>
  <c r="AY17" i="1" s="1"/>
  <c r="AU17" i="1"/>
  <c r="AO17" i="1"/>
  <c r="AP17" i="1" s="1"/>
  <c r="AK17" i="1"/>
  <c r="AI17" i="1" s="1"/>
  <c r="X17" i="1"/>
  <c r="V17" i="1" s="1"/>
  <c r="W17" i="1"/>
  <c r="O17" i="1"/>
  <c r="M21" i="1" l="1"/>
  <c r="AX21" i="1"/>
  <c r="M29" i="1"/>
  <c r="AX29" i="1"/>
  <c r="BA29" i="1" s="1"/>
  <c r="R28" i="1"/>
  <c r="AW28" i="1"/>
  <c r="AY28" i="1" s="1"/>
  <c r="V20" i="1"/>
  <c r="BS21" i="1"/>
  <c r="AW21" i="1" s="1"/>
  <c r="AY21" i="1" s="1"/>
  <c r="V24" i="1"/>
  <c r="BS25" i="1"/>
  <c r="AW25" i="1" s="1"/>
  <c r="AY25" i="1" s="1"/>
  <c r="BS26" i="1"/>
  <c r="AW26" i="1" s="1"/>
  <c r="V27" i="1"/>
  <c r="BS29" i="1"/>
  <c r="AW29" i="1" s="1"/>
  <c r="AY29" i="1" s="1"/>
  <c r="BS31" i="1"/>
  <c r="R31" i="1" s="1"/>
  <c r="AY26" i="1"/>
  <c r="I18" i="1"/>
  <c r="J18" i="1" s="1"/>
  <c r="BS22" i="1"/>
  <c r="AW22" i="1" s="1"/>
  <c r="AY22" i="1" s="1"/>
  <c r="R26" i="1"/>
  <c r="AJ27" i="1"/>
  <c r="BS27" i="1"/>
  <c r="BS30" i="1"/>
  <c r="AW30" i="1" s="1"/>
  <c r="AY30" i="1" s="1"/>
  <c r="Z27" i="1"/>
  <c r="AJ17" i="1"/>
  <c r="I17" i="1"/>
  <c r="AX17" i="1" s="1"/>
  <c r="BA17" i="1" s="1"/>
  <c r="J17" i="1"/>
  <c r="H17" i="1"/>
  <c r="R23" i="1"/>
  <c r="AW23" i="1"/>
  <c r="Z18" i="1"/>
  <c r="S18" i="1"/>
  <c r="T18" i="1" s="1"/>
  <c r="R19" i="1"/>
  <c r="AW19" i="1"/>
  <c r="AY19" i="1" s="1"/>
  <c r="R27" i="1"/>
  <c r="AW27" i="1"/>
  <c r="AY27" i="1" s="1"/>
  <c r="M18" i="1"/>
  <c r="AX18" i="1"/>
  <c r="BA18" i="1" s="1"/>
  <c r="AJ20" i="1"/>
  <c r="S24" i="1"/>
  <c r="T24" i="1" s="1"/>
  <c r="I26" i="1"/>
  <c r="AX26" i="1" s="1"/>
  <c r="BA26" i="1" s="1"/>
  <c r="H26" i="1"/>
  <c r="AJ28" i="1"/>
  <c r="I19" i="1"/>
  <c r="AX19" i="1" s="1"/>
  <c r="BA19" i="1" s="1"/>
  <c r="AW24" i="1"/>
  <c r="AY24" i="1" s="1"/>
  <c r="H25" i="1"/>
  <c r="AJ25" i="1"/>
  <c r="AJ26" i="1"/>
  <c r="AJ18" i="1"/>
  <c r="H20" i="1"/>
  <c r="J21" i="1"/>
  <c r="I22" i="1"/>
  <c r="AX22" i="1" s="1"/>
  <c r="H22" i="1"/>
  <c r="AY23" i="1"/>
  <c r="AJ24" i="1"/>
  <c r="J24" i="1"/>
  <c r="H28" i="1"/>
  <c r="S28" i="1" s="1"/>
  <c r="T28" i="1" s="1"/>
  <c r="J29" i="1"/>
  <c r="I30" i="1"/>
  <c r="AX30" i="1" s="1"/>
  <c r="BA30" i="1" s="1"/>
  <c r="H30" i="1"/>
  <c r="V31" i="1"/>
  <c r="H19" i="1"/>
  <c r="J27" i="1"/>
  <c r="M27" i="1"/>
  <c r="I27" i="1"/>
  <c r="AX27" i="1" s="1"/>
  <c r="I20" i="1"/>
  <c r="AX20" i="1" s="1"/>
  <c r="AW20" i="1"/>
  <c r="AY20" i="1" s="1"/>
  <c r="R21" i="1"/>
  <c r="H21" i="1"/>
  <c r="AJ21" i="1"/>
  <c r="AJ22" i="1"/>
  <c r="I23" i="1"/>
  <c r="AX23" i="1" s="1"/>
  <c r="BA23" i="1" s="1"/>
  <c r="M24" i="1"/>
  <c r="I25" i="1"/>
  <c r="I28" i="1"/>
  <c r="AX28" i="1" s="1"/>
  <c r="BA28" i="1" s="1"/>
  <c r="R29" i="1"/>
  <c r="H29" i="1"/>
  <c r="AJ29" i="1"/>
  <c r="J30" i="1"/>
  <c r="AJ30" i="1"/>
  <c r="I31" i="1"/>
  <c r="AX31" i="1" s="1"/>
  <c r="BA22" i="1" l="1"/>
  <c r="R30" i="1"/>
  <c r="M20" i="1"/>
  <c r="R25" i="1"/>
  <c r="S25" i="1" s="1"/>
  <c r="T25" i="1" s="1"/>
  <c r="R22" i="1"/>
  <c r="M30" i="1"/>
  <c r="AW31" i="1"/>
  <c r="AY31" i="1" s="1"/>
  <c r="BA21" i="1"/>
  <c r="BA31" i="1"/>
  <c r="BA20" i="1"/>
  <c r="J26" i="1"/>
  <c r="Z20" i="1"/>
  <c r="AB18" i="1"/>
  <c r="U18" i="1"/>
  <c r="Y18" i="1" s="1"/>
  <c r="M31" i="1"/>
  <c r="S30" i="1"/>
  <c r="T30" i="1" s="1"/>
  <c r="P30" i="1" s="1"/>
  <c r="N30" i="1" s="1"/>
  <c r="Q30" i="1" s="1"/>
  <c r="K30" i="1" s="1"/>
  <c r="L30" i="1" s="1"/>
  <c r="S29" i="1"/>
  <c r="T29" i="1" s="1"/>
  <c r="Z19" i="1"/>
  <c r="M22" i="1"/>
  <c r="M19" i="1"/>
  <c r="J20" i="1"/>
  <c r="BA24" i="1"/>
  <c r="S31" i="1"/>
  <c r="T31" i="1" s="1"/>
  <c r="AA18" i="1"/>
  <c r="J31" i="1"/>
  <c r="M23" i="1"/>
  <c r="S21" i="1"/>
  <c r="T21" i="1" s="1"/>
  <c r="P21" i="1" s="1"/>
  <c r="N21" i="1" s="1"/>
  <c r="Q21" i="1" s="1"/>
  <c r="K21" i="1" s="1"/>
  <c r="L21" i="1" s="1"/>
  <c r="M28" i="1"/>
  <c r="Z30" i="1"/>
  <c r="AA28" i="1"/>
  <c r="AB28" i="1"/>
  <c r="U28" i="1"/>
  <c r="Y28" i="1" s="1"/>
  <c r="J19" i="1"/>
  <c r="S27" i="1"/>
  <c r="T27" i="1" s="1"/>
  <c r="S19" i="1"/>
  <c r="T19" i="1" s="1"/>
  <c r="P19" i="1" s="1"/>
  <c r="N19" i="1" s="1"/>
  <c r="Q19" i="1" s="1"/>
  <c r="K19" i="1" s="1"/>
  <c r="L19" i="1" s="1"/>
  <c r="P18" i="1"/>
  <c r="N18" i="1" s="1"/>
  <c r="Q18" i="1" s="1"/>
  <c r="K18" i="1" s="1"/>
  <c r="L18" i="1" s="1"/>
  <c r="Z17" i="1"/>
  <c r="P17" i="1"/>
  <c r="N17" i="1" s="1"/>
  <c r="Q17" i="1" s="1"/>
  <c r="K17" i="1" s="1"/>
  <c r="L17" i="1" s="1"/>
  <c r="Z29" i="1"/>
  <c r="Z25" i="1"/>
  <c r="AA24" i="1"/>
  <c r="AB24" i="1"/>
  <c r="AC24" i="1" s="1"/>
  <c r="U24" i="1"/>
  <c r="Y24" i="1" s="1"/>
  <c r="Z21" i="1"/>
  <c r="Z26" i="1"/>
  <c r="S22" i="1"/>
  <c r="T22" i="1" s="1"/>
  <c r="J25" i="1"/>
  <c r="AX25" i="1"/>
  <c r="BA25" i="1" s="1"/>
  <c r="J23" i="1"/>
  <c r="J22" i="1"/>
  <c r="BA27" i="1"/>
  <c r="M25" i="1"/>
  <c r="Z28" i="1"/>
  <c r="P28" i="1"/>
  <c r="N28" i="1" s="1"/>
  <c r="Q28" i="1" s="1"/>
  <c r="P22" i="1"/>
  <c r="N22" i="1" s="1"/>
  <c r="Q22" i="1" s="1"/>
  <c r="K22" i="1" s="1"/>
  <c r="L22" i="1" s="1"/>
  <c r="Z22" i="1"/>
  <c r="S20" i="1"/>
  <c r="T20" i="1" s="1"/>
  <c r="P20" i="1" s="1"/>
  <c r="N20" i="1" s="1"/>
  <c r="Q20" i="1" s="1"/>
  <c r="K20" i="1" s="1"/>
  <c r="L20" i="1" s="1"/>
  <c r="P24" i="1"/>
  <c r="N24" i="1" s="1"/>
  <c r="Q24" i="1" s="1"/>
  <c r="K24" i="1" s="1"/>
  <c r="L24" i="1" s="1"/>
  <c r="J28" i="1"/>
  <c r="M26" i="1"/>
  <c r="S26" i="1"/>
  <c r="T26" i="1" s="1"/>
  <c r="P26" i="1" s="1"/>
  <c r="N26" i="1" s="1"/>
  <c r="Q26" i="1" s="1"/>
  <c r="K26" i="1" s="1"/>
  <c r="L26" i="1" s="1"/>
  <c r="S23" i="1"/>
  <c r="T23" i="1" s="1"/>
  <c r="M17" i="1"/>
  <c r="S17" i="1"/>
  <c r="T17" i="1" s="1"/>
  <c r="AC28" i="1" l="1"/>
  <c r="AC18" i="1"/>
  <c r="AB25" i="1"/>
  <c r="AA25" i="1"/>
  <c r="U25" i="1"/>
  <c r="Y25" i="1" s="1"/>
  <c r="U23" i="1"/>
  <c r="Y23" i="1" s="1"/>
  <c r="AB23" i="1"/>
  <c r="AA23" i="1"/>
  <c r="P23" i="1"/>
  <c r="N23" i="1" s="1"/>
  <c r="Q23" i="1" s="1"/>
  <c r="K23" i="1" s="1"/>
  <c r="L23" i="1" s="1"/>
  <c r="P25" i="1"/>
  <c r="N25" i="1" s="1"/>
  <c r="Q25" i="1" s="1"/>
  <c r="K25" i="1" s="1"/>
  <c r="L25" i="1" s="1"/>
  <c r="U27" i="1"/>
  <c r="Y27" i="1" s="1"/>
  <c r="AB27" i="1"/>
  <c r="P27" i="1"/>
  <c r="N27" i="1" s="1"/>
  <c r="Q27" i="1" s="1"/>
  <c r="K27" i="1" s="1"/>
  <c r="L27" i="1" s="1"/>
  <c r="AA27" i="1"/>
  <c r="K28" i="1"/>
  <c r="L28" i="1" s="1"/>
  <c r="U22" i="1"/>
  <c r="Y22" i="1" s="1"/>
  <c r="AB22" i="1"/>
  <c r="AA22" i="1"/>
  <c r="AB29" i="1"/>
  <c r="AA29" i="1"/>
  <c r="U29" i="1"/>
  <c r="Y29" i="1" s="1"/>
  <c r="U30" i="1"/>
  <c r="Y30" i="1" s="1"/>
  <c r="AB30" i="1"/>
  <c r="AA30" i="1"/>
  <c r="U17" i="1"/>
  <c r="Y17" i="1" s="1"/>
  <c r="AB17" i="1"/>
  <c r="AC17" i="1" s="1"/>
  <c r="AA17" i="1"/>
  <c r="U26" i="1"/>
  <c r="Y26" i="1" s="1"/>
  <c r="AB26" i="1"/>
  <c r="AA26" i="1"/>
  <c r="AA20" i="1"/>
  <c r="AB20" i="1"/>
  <c r="U20" i="1"/>
  <c r="Y20" i="1" s="1"/>
  <c r="P29" i="1"/>
  <c r="N29" i="1" s="1"/>
  <c r="Q29" i="1" s="1"/>
  <c r="K29" i="1" s="1"/>
  <c r="L29" i="1" s="1"/>
  <c r="U19" i="1"/>
  <c r="Y19" i="1" s="1"/>
  <c r="AB19" i="1"/>
  <c r="AA19" i="1"/>
  <c r="AB21" i="1"/>
  <c r="AC21" i="1" s="1"/>
  <c r="AA21" i="1"/>
  <c r="U21" i="1"/>
  <c r="Y21" i="1" s="1"/>
  <c r="U31" i="1"/>
  <c r="Y31" i="1" s="1"/>
  <c r="AB31" i="1"/>
  <c r="AC31" i="1" s="1"/>
  <c r="AA31" i="1"/>
  <c r="P31" i="1"/>
  <c r="N31" i="1" s="1"/>
  <c r="Q31" i="1" s="1"/>
  <c r="K31" i="1" s="1"/>
  <c r="L31" i="1" s="1"/>
  <c r="AC30" i="1" l="1"/>
  <c r="AC29" i="1"/>
  <c r="AC19" i="1"/>
  <c r="AC20" i="1"/>
  <c r="AC27" i="1"/>
  <c r="AC26" i="1"/>
  <c r="AC22" i="1"/>
  <c r="AC23" i="1"/>
  <c r="AC25" i="1"/>
</calcChain>
</file>

<file path=xl/sharedStrings.xml><?xml version="1.0" encoding="utf-8"?>
<sst xmlns="http://schemas.openxmlformats.org/spreadsheetml/2006/main" count="802" uniqueCount="359">
  <si>
    <t>File opened</t>
  </si>
  <si>
    <t>2019-08-18 10:02:45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</si>
  <si>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</si>
  <si>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</si>
  <si>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</si>
  <si>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</si>
  <si>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</si>
  <si>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</si>
  <si>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</si>
  <si>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</si>
  <si>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</si>
  <si>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</si>
  <si>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</si>
  <si>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{"tbzero": "0.197721", "h2obspan1": "0.998578", "co2aspan1": "0.992625", "co2aspan2a": "0.164928", "h2oaspanconc1": "12.19", "h2obspan2a": "0.0975941", "co2aspan2": "0", "co2bspan1": "0.992131", "co2aspan2b": "0.163711", "co2aspanconc1": "1002", "h2oaspan2": "0", "co2bspan2b": "0.162103", "ssa_ref": "36614.9", "h2obspanconc2": "0", "h2obzero": "1.01783", "flowbzero": "0.20796", "h2oaspan2b": "0.0662632", "oxygen": "21", "h2obspan2": "0", "co2bzero": "0.880288", "co2bspan2": "0", "chamberpressurezero": "2.57337", "ssb_ref": "36526.8", "co2bspanconc1": "1002", "h2oaspanconc2": "0", "flowmeterzero": "0.991801", "co2aspanconc2": "0", "h2oaspan1": "1.00223", "h2oaspan2a": "0.0661155", "co2bspanconc2": "0", "tazero": "0.00774765", "h2obspanconc1": "20", "h2obspan2b": "0.0963575", "flowazero": "0.4286", "co2azero": "0.869071", "co2bspan2a": "0.163389",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</si>
  <si>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</si>
  <si>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</si>
  <si>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</si>
  <si>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</si>
  <si>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</si>
  <si>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</si>
  <si>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</si>
  <si>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</si>
  <si>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</si>
  <si>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10:02:45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</si>
  <si>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</si>
  <si>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</si>
  <si>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</si>
  <si>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</si>
  <si>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</si>
  <si>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</si>
  <si>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</si>
  <si>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</si>
  <si>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</si>
  <si>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</si>
  <si>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</si>
  <si>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</si>
  <si>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</si>
  <si>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</si>
  <si>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</si>
  <si>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</si>
  <si>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</si>
  <si>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</si>
  <si>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</si>
  <si>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</si>
  <si>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</si>
  <si>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</si>
  <si>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</si>
  <si>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</si>
  <si>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</si>
  <si>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</si>
  <si>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</si>
  <si>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</si>
  <si>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</si>
  <si>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</si>
  <si>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</si>
  <si>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</si>
  <si>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</si>
  <si>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</si>
  <si>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</si>
  <si>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</si>
  <si>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</si>
  <si>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</si>
  <si>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</si>
  <si>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</si>
  <si>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</si>
  <si>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</si>
  <si>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</si>
  <si>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</si>
  <si>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</si>
  <si>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</si>
  <si>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</si>
  <si>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0.570593 73.8588 386.38 619.433 848.611 1051.49 1232.95 1389.7</t>
  </si>
  <si>
    <t>Fs_true</t>
  </si>
  <si>
    <t>0.0938281 100.298 404.41 600.711 801.999 1000.17 1200.83 1401.26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</si>
  <si>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</si>
  <si>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</si>
  <si>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</si>
  <si>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</si>
  <si>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</si>
  <si>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</si>
  <si>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</si>
  <si>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</si>
  <si>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</si>
  <si>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</si>
  <si>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</si>
  <si>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</si>
  <si>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</si>
  <si>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</si>
  <si>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</si>
  <si>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</si>
  <si>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</si>
  <si>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</si>
  <si>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</si>
  <si>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</si>
  <si>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</si>
  <si>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</si>
  <si>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</si>
  <si>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</si>
  <si>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</si>
  <si>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</si>
  <si>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</si>
  <si>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</si>
  <si>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</si>
  <si>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</si>
  <si>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</si>
  <si>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</si>
  <si>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</si>
  <si>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</si>
  <si>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</si>
  <si>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</si>
  <si>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</si>
  <si>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</si>
  <si>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</si>
  <si>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</si>
  <si>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</si>
  <si>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</si>
  <si>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</si>
  <si>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</si>
  <si>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</si>
  <si>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</si>
  <si>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</si>
  <si>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</si>
  <si>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</si>
  <si>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</si>
  <si>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</si>
  <si>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</si>
  <si>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</si>
  <si>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</si>
  <si>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</si>
  <si>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</si>
  <si>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</si>
  <si>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</si>
  <si>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</si>
  <si>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</si>
  <si>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</si>
  <si>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</si>
  <si>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</si>
  <si>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</si>
  <si>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</si>
  <si>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</si>
  <si>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</si>
  <si>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</si>
  <si>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</si>
  <si>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</si>
  <si>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</si>
  <si>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</si>
  <si>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</si>
  <si>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</si>
  <si>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</si>
  <si>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</si>
  <si>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</si>
  <si>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</si>
  <si>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</si>
  <si>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</si>
  <si>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</si>
  <si>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</si>
  <si>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</si>
  <si>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</si>
  <si>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</si>
  <si>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</si>
  <si>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</si>
  <si>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</si>
  <si>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</si>
  <si>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</si>
  <si>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</si>
  <si>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</si>
  <si>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</si>
  <si>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</si>
  <si>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</si>
  <si>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</si>
  <si>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</si>
  <si>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</si>
  <si>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</si>
  <si>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</si>
  <si>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</si>
  <si>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</si>
  <si>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</si>
  <si>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</si>
  <si>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</si>
  <si>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</si>
  <si>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</si>
  <si>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</si>
  <si>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</si>
  <si>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</si>
  <si>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</si>
  <si>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</si>
  <si>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</si>
  <si>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</si>
  <si>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</si>
  <si>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</si>
  <si>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</si>
  <si>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</si>
  <si>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</si>
  <si>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</si>
  <si>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</si>
  <si>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</si>
  <si>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</si>
  <si>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</si>
  <si>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</si>
  <si>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</si>
  <si>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</si>
  <si>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</si>
  <si>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</si>
  <si>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</si>
  <si>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</si>
  <si>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</si>
  <si>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</si>
  <si>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</si>
  <si>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</si>
  <si>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</si>
  <si>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</si>
  <si>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</si>
  <si>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</si>
  <si>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</si>
  <si>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</si>
  <si>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</si>
  <si>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</si>
  <si>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</si>
  <si>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</si>
  <si>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</si>
  <si>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</si>
  <si>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</si>
  <si>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</si>
  <si>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</si>
  <si>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</si>
  <si>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</si>
  <si>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</si>
  <si>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</si>
  <si>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</si>
  <si>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</si>
  <si>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</si>
  <si>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</si>
  <si>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</si>
  <si>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</si>
  <si>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</si>
  <si>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</si>
  <si>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</si>
  <si>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</si>
  <si>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</si>
  <si>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</si>
  <si>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</si>
  <si>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</si>
  <si>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</si>
  <si>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</si>
  <si>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</si>
  <si>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</si>
  <si>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</si>
  <si>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</si>
  <si>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</si>
  <si>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</si>
  <si>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</si>
  <si>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</si>
  <si>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</si>
  <si>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</si>
  <si>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</si>
  <si>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</si>
  <si>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</si>
  <si>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</si>
  <si>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</si>
  <si>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</si>
  <si>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</si>
  <si>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</si>
  <si>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</si>
  <si>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</si>
  <si>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</si>
  <si>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</si>
  <si>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</si>
  <si>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</si>
  <si>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</si>
  <si>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</si>
  <si>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</si>
  <si>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</si>
  <si>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</si>
  <si>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</si>
  <si>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</si>
  <si>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</si>
  <si>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20190818 10:04:03</t>
  </si>
  <si>
    <t>10:04:03</t>
  </si>
  <si>
    <t>RECT-1274-20190818-05_20_45</t>
  </si>
  <si>
    <t>MPF-1307-20190818-10_04_04</t>
  </si>
  <si>
    <t>DARK-1308-20190818-10_04_12</t>
  </si>
  <si>
    <t>0: Broadleaf</t>
  </si>
  <si>
    <t>10:04:33</t>
  </si>
  <si>
    <t>2/2</t>
  </si>
  <si>
    <t>5</t>
  </si>
  <si>
    <t>11111111</t>
  </si>
  <si>
    <t>oooooooo</t>
  </si>
  <si>
    <t>off</t>
  </si>
  <si>
    <t>20190818 10:06:03</t>
  </si>
  <si>
    <t>10:06:03</t>
  </si>
  <si>
    <t>MPF-1309-20190818-10_06_04</t>
  </si>
  <si>
    <t>DARK-1310-20190818-10_06_12</t>
  </si>
  <si>
    <t>10:06:34</t>
  </si>
  <si>
    <t>20190818 10:08:02</t>
  </si>
  <si>
    <t>10:08:02</t>
  </si>
  <si>
    <t>MPF-1311-20190818-10_08_03</t>
  </si>
  <si>
    <t>DARK-1312-20190818-10_08_11</t>
  </si>
  <si>
    <t>10:08:34</t>
  </si>
  <si>
    <t>20190818 10:10:00</t>
  </si>
  <si>
    <t>10:10:00</t>
  </si>
  <si>
    <t>MPF-1313-20190818-10_10_01</t>
  </si>
  <si>
    <t>DARK-1314-20190818-10_10_09</t>
  </si>
  <si>
    <t>10:10:26</t>
  </si>
  <si>
    <t>20190818 10:11:48</t>
  </si>
  <si>
    <t>10:11:48</t>
  </si>
  <si>
    <t>MPF-1315-20190818-10_11_50</t>
  </si>
  <si>
    <t>DARK-1316-20190818-10_11_58</t>
  </si>
  <si>
    <t>10:12:20</t>
  </si>
  <si>
    <t>20190818 10:13:41</t>
  </si>
  <si>
    <t>10:13:41</t>
  </si>
  <si>
    <t>MPF-1317-20190818-10_13_42</t>
  </si>
  <si>
    <t>DARK-1318-20190818-10_13_50</t>
  </si>
  <si>
    <t>10:14:10</t>
  </si>
  <si>
    <t>20190818 10:15:38</t>
  </si>
  <si>
    <t>10:15:38</t>
  </si>
  <si>
    <t>MPF-1319-20190818-10_15_39</t>
  </si>
  <si>
    <t>DARK-1320-20190818-10_15_47</t>
  </si>
  <si>
    <t>10:16:06</t>
  </si>
  <si>
    <t>20190818 10:17:14</t>
  </si>
  <si>
    <t>10:17:14</t>
  </si>
  <si>
    <t>MPF-1321-20190818-10_17_16</t>
  </si>
  <si>
    <t>DARK-1322-20190818-10_17_24</t>
  </si>
  <si>
    <t>10:17:46</t>
  </si>
  <si>
    <t>20190818 10:19:09</t>
  </si>
  <si>
    <t>10:19:09</t>
  </si>
  <si>
    <t>MPF-1323-20190818-10_19_10</t>
  </si>
  <si>
    <t>DARK-1324-20190818-10_19_18</t>
  </si>
  <si>
    <t>10:19:38</t>
  </si>
  <si>
    <t>20190818 10:21:10</t>
  </si>
  <si>
    <t>10:21:10</t>
  </si>
  <si>
    <t>MPF-1325-20190818-10_21_11</t>
  </si>
  <si>
    <t>DARK-1326-20190818-10_21_19</t>
  </si>
  <si>
    <t>10:21:40</t>
  </si>
  <si>
    <t>1/2</t>
  </si>
  <si>
    <t>20190818 10:23:12</t>
  </si>
  <si>
    <t>10:23:12</t>
  </si>
  <si>
    <t>MPF-1327-20190818-10_23_13</t>
  </si>
  <si>
    <t>DARK-1328-20190818-10_23_21</t>
  </si>
  <si>
    <t>10:23:43</t>
  </si>
  <si>
    <t>20190818 10:25:15</t>
  </si>
  <si>
    <t>10:25:15</t>
  </si>
  <si>
    <t>MPF-1329-20190818-10_25_16</t>
  </si>
  <si>
    <t>DARK-1330-20190818-10_25_24</t>
  </si>
  <si>
    <t>10:25:40</t>
  </si>
  <si>
    <t>20190818 10:27:05</t>
  </si>
  <si>
    <t>10:27:05</t>
  </si>
  <si>
    <t>MPF-1331-20190818-10_27_06</t>
  </si>
  <si>
    <t>DARK-1332-20190818-10_27_14</t>
  </si>
  <si>
    <t>10:27:32</t>
  </si>
  <si>
    <t>20190818 10:29:03</t>
  </si>
  <si>
    <t>10:29:03</t>
  </si>
  <si>
    <t>MPF-1333-20190818-10_29_04</t>
  </si>
  <si>
    <t>DARK-1334-20190818-10_29_12</t>
  </si>
  <si>
    <t>10:29:38</t>
  </si>
  <si>
    <t>20190818 10:31:09</t>
  </si>
  <si>
    <t>10:31:09</t>
  </si>
  <si>
    <t>MPF-1335-20190818-10_31_10</t>
  </si>
  <si>
    <t>DARK-1336-20190818-10_31_18</t>
  </si>
  <si>
    <t>10:31:49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</si>
</sst>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M31"/>
  <sheetViews>
    <sheetView tabSelected="1" topLeftCell="A31" workbookViewId="0">
      <selection activeCell="I33" sqref="I33"/>
    </sheetView>
  </sheetViews>
  <sheetFormatPr defaultRowHeight="14.5" x14ac:dyDescent="0.35"/>
  <sheetData>
    <row r="2" spans="1:169" x14ac:dyDescent="0.35">
      <c r="A2" t="s">
        <v>25</v>
      </c>
      <c r="B2" t="s">
        <v>26</v>
      </c>
      <c r="C2" t="s">
        <v>28</v>
      </c>
      <c r="D2" t="s">
        <v>30</v>
      </c>
    </row>
    <row r="3" spans="1:169" x14ac:dyDescent="0.35">
      <c r="B3" t="s">
        <v>27</v>
      </c>
      <c r="C3" t="s">
        <v>29</v>
      </c>
      <c r="D3" t="s">
        <v>15</v>
      </c>
    </row>
    <row r="4" spans="1:169" x14ac:dyDescent="0.35">
      <c r="A4" t="s">
        <v>31</v>
      </c>
      <c r="B4" t="s">
        <v>32</v>
      </c>
      <c r="C4" t="s">
        <v>33</v>
      </c>
      <c r="D4" t="s">
        <v>34</v>
      </c>
    </row>
    <row r="5" spans="1:169" x14ac:dyDescent="0.35">
      <c r="B5">
        <v>6</v>
      </c>
      <c r="C5">
        <v>0.5</v>
      </c>
      <c r="D5">
        <v>2</v>
      </c>
    </row>
    <row r="6" spans="1:169" x14ac:dyDescent="0.3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69" x14ac:dyDescent="0.35">
      <c r="B7">
        <v>0</v>
      </c>
      <c r="C7">
        <v>1</v>
      </c>
      <c r="D7">
        <v>0</v>
      </c>
      <c r="E7">
        <v>0</v>
      </c>
    </row>
    <row r="8" spans="1:169" x14ac:dyDescent="0.3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69" x14ac:dyDescent="0.3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9" x14ac:dyDescent="0.3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6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9" x14ac:dyDescent="0.3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69" x14ac:dyDescent="0.3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2</v>
      </c>
    </row>
    <row r="14" spans="1:169" x14ac:dyDescent="0.3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31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83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84</v>
      </c>
      <c r="DC14" t="s">
        <v>84</v>
      </c>
      <c r="DD14" t="s">
        <v>84</v>
      </c>
      <c r="DE14" t="s">
        <v>84</v>
      </c>
      <c r="DF14" t="s">
        <v>84</v>
      </c>
      <c r="DG14" t="s">
        <v>85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87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88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</row>
    <row r="15" spans="1:169" x14ac:dyDescent="0.3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95</v>
      </c>
      <c r="BX15" t="s">
        <v>162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90</v>
      </c>
      <c r="DH15" t="s">
        <v>93</v>
      </c>
      <c r="DI15" t="s">
        <v>197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</row>
    <row r="16" spans="1:169" x14ac:dyDescent="0.35">
      <c r="B16" t="s">
        <v>254</v>
      </c>
      <c r="C16" t="s">
        <v>254</v>
      </c>
      <c r="G16" t="s">
        <v>254</v>
      </c>
      <c r="H16" t="s">
        <v>255</v>
      </c>
      <c r="I16" t="s">
        <v>256</v>
      </c>
      <c r="J16" t="s">
        <v>257</v>
      </c>
      <c r="K16" t="s">
        <v>257</v>
      </c>
      <c r="L16" t="s">
        <v>167</v>
      </c>
      <c r="M16" t="s">
        <v>167</v>
      </c>
      <c r="N16" t="s">
        <v>255</v>
      </c>
      <c r="O16" t="s">
        <v>255</v>
      </c>
      <c r="P16" t="s">
        <v>255</v>
      </c>
      <c r="Q16" t="s">
        <v>255</v>
      </c>
      <c r="R16" t="s">
        <v>258</v>
      </c>
      <c r="S16" t="s">
        <v>259</v>
      </c>
      <c r="T16" t="s">
        <v>259</v>
      </c>
      <c r="U16" t="s">
        <v>260</v>
      </c>
      <c r="V16" t="s">
        <v>261</v>
      </c>
      <c r="W16" t="s">
        <v>260</v>
      </c>
      <c r="X16" t="s">
        <v>260</v>
      </c>
      <c r="Y16" t="s">
        <v>260</v>
      </c>
      <c r="Z16" t="s">
        <v>258</v>
      </c>
      <c r="AA16" t="s">
        <v>258</v>
      </c>
      <c r="AB16" t="s">
        <v>258</v>
      </c>
      <c r="AC16" t="s">
        <v>258</v>
      </c>
      <c r="AG16" t="s">
        <v>262</v>
      </c>
      <c r="AH16" t="s">
        <v>261</v>
      </c>
      <c r="AJ16" t="s">
        <v>261</v>
      </c>
      <c r="AK16" t="s">
        <v>262</v>
      </c>
      <c r="AQ16" t="s">
        <v>256</v>
      </c>
      <c r="AW16" t="s">
        <v>256</v>
      </c>
      <c r="AX16" t="s">
        <v>256</v>
      </c>
      <c r="AY16" t="s">
        <v>256</v>
      </c>
      <c r="BA16" t="s">
        <v>263</v>
      </c>
      <c r="BK16" t="s">
        <v>264</v>
      </c>
      <c r="BL16" t="s">
        <v>264</v>
      </c>
      <c r="BM16" t="s">
        <v>264</v>
      </c>
      <c r="BN16" t="s">
        <v>256</v>
      </c>
      <c r="BP16" t="s">
        <v>265</v>
      </c>
      <c r="BR16" t="s">
        <v>256</v>
      </c>
      <c r="BS16" t="s">
        <v>256</v>
      </c>
      <c r="BU16" t="s">
        <v>266</v>
      </c>
      <c r="BW16" t="s">
        <v>254</v>
      </c>
      <c r="BX16" t="s">
        <v>257</v>
      </c>
      <c r="BY16" t="s">
        <v>257</v>
      </c>
      <c r="BZ16" t="s">
        <v>267</v>
      </c>
      <c r="CA16" t="s">
        <v>267</v>
      </c>
      <c r="CB16" t="s">
        <v>262</v>
      </c>
      <c r="CC16" t="s">
        <v>260</v>
      </c>
      <c r="CD16" t="s">
        <v>260</v>
      </c>
      <c r="CE16" t="s">
        <v>259</v>
      </c>
      <c r="CF16" t="s">
        <v>259</v>
      </c>
      <c r="CG16" t="s">
        <v>259</v>
      </c>
      <c r="CH16" t="s">
        <v>268</v>
      </c>
      <c r="CI16" t="s">
        <v>256</v>
      </c>
      <c r="CJ16" t="s">
        <v>256</v>
      </c>
      <c r="CK16" t="s">
        <v>256</v>
      </c>
      <c r="CP16" t="s">
        <v>256</v>
      </c>
      <c r="CS16" t="s">
        <v>259</v>
      </c>
      <c r="CT16" t="s">
        <v>259</v>
      </c>
      <c r="CU16" t="s">
        <v>259</v>
      </c>
      <c r="CV16" t="s">
        <v>259</v>
      </c>
      <c r="CW16" t="s">
        <v>259</v>
      </c>
      <c r="CX16" t="s">
        <v>256</v>
      </c>
      <c r="CY16" t="s">
        <v>256</v>
      </c>
      <c r="CZ16" t="s">
        <v>256</v>
      </c>
      <c r="DA16" t="s">
        <v>254</v>
      </c>
      <c r="DC16" t="s">
        <v>269</v>
      </c>
      <c r="DD16" t="s">
        <v>269</v>
      </c>
      <c r="DF16" t="s">
        <v>254</v>
      </c>
      <c r="DG16" t="s">
        <v>270</v>
      </c>
      <c r="DJ16" t="s">
        <v>271</v>
      </c>
      <c r="DK16" t="s">
        <v>272</v>
      </c>
      <c r="DL16" t="s">
        <v>271</v>
      </c>
      <c r="DM16" t="s">
        <v>272</v>
      </c>
      <c r="DN16" t="s">
        <v>261</v>
      </c>
      <c r="DO16" t="s">
        <v>261</v>
      </c>
      <c r="DP16" t="s">
        <v>256</v>
      </c>
      <c r="DQ16" t="s">
        <v>273</v>
      </c>
      <c r="DR16" t="s">
        <v>256</v>
      </c>
      <c r="DT16" t="s">
        <v>255</v>
      </c>
      <c r="DU16" t="s">
        <v>274</v>
      </c>
      <c r="DV16" t="s">
        <v>255</v>
      </c>
      <c r="EA16" t="s">
        <v>275</v>
      </c>
      <c r="EB16" t="s">
        <v>275</v>
      </c>
      <c r="EC16" t="s">
        <v>275</v>
      </c>
      <c r="ED16" t="s">
        <v>275</v>
      </c>
      <c r="EE16" t="s">
        <v>275</v>
      </c>
      <c r="EF16" t="s">
        <v>275</v>
      </c>
      <c r="EG16" t="s">
        <v>275</v>
      </c>
      <c r="EH16" t="s">
        <v>275</v>
      </c>
      <c r="EI16" t="s">
        <v>275</v>
      </c>
      <c r="EJ16" t="s">
        <v>275</v>
      </c>
      <c r="EK16" t="s">
        <v>275</v>
      </c>
      <c r="EL16" t="s">
        <v>275</v>
      </c>
      <c r="ES16" t="s">
        <v>275</v>
      </c>
      <c r="ET16" t="s">
        <v>261</v>
      </c>
      <c r="EU16" t="s">
        <v>261</v>
      </c>
      <c r="EV16" t="s">
        <v>271</v>
      </c>
      <c r="EW16" t="s">
        <v>272</v>
      </c>
      <c r="EY16" t="s">
        <v>262</v>
      </c>
      <c r="EZ16" t="s">
        <v>262</v>
      </c>
      <c r="FA16" t="s">
        <v>259</v>
      </c>
      <c r="FB16" t="s">
        <v>259</v>
      </c>
      <c r="FC16" t="s">
        <v>259</v>
      </c>
      <c r="FD16" t="s">
        <v>259</v>
      </c>
      <c r="FE16" t="s">
        <v>259</v>
      </c>
      <c r="FF16" t="s">
        <v>261</v>
      </c>
      <c r="FG16" t="s">
        <v>261</v>
      </c>
      <c r="FH16" t="s">
        <v>261</v>
      </c>
      <c r="FI16" t="s">
        <v>259</v>
      </c>
      <c r="FJ16" t="s">
        <v>257</v>
      </c>
      <c r="FK16" t="s">
        <v>267</v>
      </c>
      <c r="FL16" t="s">
        <v>261</v>
      </c>
      <c r="FM16" t="s">
        <v>261</v>
      </c>
    </row>
    <row r="17" spans="1:169" x14ac:dyDescent="0.35">
      <c r="A17">
        <v>1</v>
      </c>
      <c r="B17">
        <v>1566140643.4000001</v>
      </c>
      <c r="C17">
        <v>0</v>
      </c>
      <c r="D17" t="s">
        <v>276</v>
      </c>
      <c r="E17" t="s">
        <v>277</v>
      </c>
      <c r="G17">
        <v>1566140643.4000001</v>
      </c>
      <c r="H17">
        <f t="shared" ref="H17:H31" si="0">CB17*AI17*(BZ17-CA17)/(100*$B$5*(1000-AI17*BZ17))</f>
        <v>3.4060082606074266E-3</v>
      </c>
      <c r="I17">
        <f t="shared" ref="I17:I31" si="1">CB17*AI17*(BY17-BX17*(1000-AI17*CA17)/(1000-AI17*BZ17))/(100*$B$5)</f>
        <v>22.293936110997713</v>
      </c>
      <c r="J17">
        <f t="shared" ref="J17:J31" si="2">BX17 - IF(AI17&gt;1, I17*$B$5*100/(AK17*CH17), 0)</f>
        <v>371.83497451351138</v>
      </c>
      <c r="K17">
        <f t="shared" ref="K17:K31" si="3">((Q17-H17/2)*J17-I17)/(Q17+H17/2)</f>
        <v>172.78283657354166</v>
      </c>
      <c r="L17">
        <f t="shared" ref="L17:L31" si="4">K17*(CC17+CD17)/1000</f>
        <v>17.099759592686958</v>
      </c>
      <c r="M17">
        <f t="shared" ref="M17:M31" si="5">(BX17 - IF(AI17&gt;1, I17*$B$5*100/(AK17*CH17), 0))*(CC17+CD17)/1000</f>
        <v>36.7993071443045</v>
      </c>
      <c r="N17">
        <f t="shared" ref="N17:N31" si="6">2/((1/P17-1/O17)+SIGN(P17)*SQRT((1/P17-1/O17)*(1/P17-1/O17) + 4*$C$5/(($C$5+1)*($C$5+1))*(2*1/P17*1/O17-1/O17*1/O17)))</f>
        <v>0.19433259696691932</v>
      </c>
      <c r="O17">
        <f t="shared" ref="O17:O31" si="7">AF17+AE17*$B$5+AD17*$B$5*$B$5</f>
        <v>2.2405626409179211</v>
      </c>
      <c r="P17">
        <f t="shared" ref="P17:P31" si="8">H17*(1000-(1000*0.61365*EXP(17.502*T17/(240.97+T17))/(CC17+CD17)+BZ17)/2)/(1000*0.61365*EXP(17.502*T17/(240.97+T17))/(CC17+CD17)-BZ17)</f>
        <v>0.18543069726934192</v>
      </c>
      <c r="Q17">
        <f t="shared" ref="Q17:Q31" si="9">1/(($C$5+1)/(N17/1.6)+1/(O17/1.37)) + $C$5/(($C$5+1)/(N17/1.6) + $C$5/(O17/1.37))</f>
        <v>0.11666000040511532</v>
      </c>
      <c r="R17">
        <f t="shared" ref="R17:R31" si="10">(BS17*BU17)</f>
        <v>281.52900975118712</v>
      </c>
      <c r="S17">
        <f t="shared" ref="S17:S31" si="11">(CE17+(R17+2*0.95*0.0000000567*(((CE17+$B$7)+273)^4-(CE17+273)^4)-44100*H17)/(1.84*29.3*O17+8*0.95*0.0000000567*(CE17+273)^3))</f>
        <v>26.147164465325513</v>
      </c>
      <c r="T17">
        <f t="shared" ref="T17:T31" si="12">($C$7*CF17+$D$7*CG17+$E$7*S17)</f>
        <v>26.926200000000001</v>
      </c>
      <c r="U17">
        <f t="shared" ref="U17:U31" si="13">0.61365*EXP(17.502*T17/(240.97+T17))</f>
        <v>3.5636752981547475</v>
      </c>
      <c r="V17">
        <f t="shared" ref="V17:V31" si="14">(W17/X17*100)</f>
        <v>55.938807643950206</v>
      </c>
      <c r="W17">
        <f t="shared" ref="W17:W31" si="15">BZ17*(CC17+CD17)/1000</f>
        <v>1.7950593105360004</v>
      </c>
      <c r="X17">
        <f t="shared" ref="X17:X31" si="16">0.61365*EXP(17.502*CE17/(240.97+CE17))</f>
        <v>3.2089695618139196</v>
      </c>
      <c r="Y17">
        <f t="shared" ref="Y17:Y31" si="17">(U17-BZ17*(CC17+CD17)/1000)</f>
        <v>1.7686159876187471</v>
      </c>
      <c r="Z17">
        <f t="shared" ref="Z17:Z31" si="18">(-H17*44100)</f>
        <v>-150.20496429278751</v>
      </c>
      <c r="AA17">
        <f t="shared" ref="AA17:AA31" si="19">2*29.3*O17*0.92*(CE17-T17)</f>
        <v>-214.08181157210919</v>
      </c>
      <c r="AB17">
        <f t="shared" ref="AB17:AB31" si="20">2*0.95*0.0000000567*(((CE17+$B$7)+273)^4-(T17+273)^4)</f>
        <v>-20.423293201845834</v>
      </c>
      <c r="AC17">
        <f t="shared" ref="AC17:AC31" si="21">R17+AB17+Z17+AA17</f>
        <v>-103.18105931555539</v>
      </c>
      <c r="AD17">
        <v>-4.0930159971927997E-2</v>
      </c>
      <c r="AE17">
        <v>4.5947690247438201E-2</v>
      </c>
      <c r="AF17">
        <v>3.4383622584226998</v>
      </c>
      <c r="AG17">
        <v>139</v>
      </c>
      <c r="AH17">
        <v>28</v>
      </c>
      <c r="AI17">
        <f t="shared" ref="AI17:AI31" si="22">IF(AG17*$H$13&gt;=AK17,1,(AK17/(AK17-AG17*$H$13)))</f>
        <v>1.0053216993558072</v>
      </c>
      <c r="AJ17">
        <f t="shared" ref="AJ17:AJ31" si="23">(AI17-1)*100</f>
        <v>0.53216993558071746</v>
      </c>
      <c r="AK17">
        <f t="shared" ref="AK17:AK31" si="24">MAX(0,($B$13+$C$13*CH17)/(1+$D$13*CH17)*CC17/(CE17+273)*$E$13)</f>
        <v>52516.952524937413</v>
      </c>
      <c r="AL17" t="s">
        <v>278</v>
      </c>
      <c r="AM17">
        <v>520.33192307692298</v>
      </c>
      <c r="AN17">
        <v>3330.63</v>
      </c>
      <c r="AO17">
        <f t="shared" ref="AO17:AO31" si="25">AN17-AM17</f>
        <v>2810.2980769230771</v>
      </c>
      <c r="AP17">
        <f t="shared" ref="AP17:AP31" si="26">AO17/AN17</f>
        <v>0.84377372356673574</v>
      </c>
      <c r="AQ17">
        <v>-1.3252759154356599</v>
      </c>
      <c r="AR17" t="s">
        <v>279</v>
      </c>
      <c r="AS17">
        <v>726.40469230769202</v>
      </c>
      <c r="AT17">
        <v>1171.6600000000001</v>
      </c>
      <c r="AU17">
        <f t="shared" ref="AU17:AU31" si="27">1-AS17/AT17</f>
        <v>0.38002091706835428</v>
      </c>
      <c r="AV17">
        <v>0.5</v>
      </c>
      <c r="AW17">
        <f t="shared" ref="AW17:AW31" si="28">BS17</f>
        <v>1471.07790009632</v>
      </c>
      <c r="AX17">
        <f t="shared" ref="AX17:AX31" si="29">I17</f>
        <v>22.293936110997713</v>
      </c>
      <c r="AY17">
        <f t="shared" ref="AY17:AY31" si="30">AU17*AV17*AW17</f>
        <v>279.5201863367962</v>
      </c>
      <c r="AZ17">
        <f t="shared" ref="AZ17:AZ31" si="31">BE17/AT17</f>
        <v>0.55017667241349888</v>
      </c>
      <c r="BA17">
        <f t="shared" ref="BA17:BA31" si="32">(AX17-AQ17)/AW17</f>
        <v>1.605571807236509E-2</v>
      </c>
      <c r="BB17">
        <f t="shared" ref="BB17:BB31" si="33">(AN17-AT17)/AT17</f>
        <v>1.842659133195637</v>
      </c>
      <c r="BC17" t="s">
        <v>280</v>
      </c>
      <c r="BD17">
        <v>527.04</v>
      </c>
      <c r="BE17">
        <f t="shared" ref="BE17:BE31" si="34">AT17-BD17</f>
        <v>644.62000000000012</v>
      </c>
      <c r="BF17">
        <f t="shared" ref="BF17:BF31" si="35">(AT17-AS17)/(AT17-BD17)</f>
        <v>0.69072524540397129</v>
      </c>
      <c r="BG17">
        <f t="shared" ref="BG17:BG31" si="36">(AN17-AT17)/(AN17-BD17)</f>
        <v>0.77007337021461775</v>
      </c>
      <c r="BH17">
        <f t="shared" ref="BH17:BH31" si="37">(AT17-AS17)/(AT17-AM17)</f>
        <v>0.68361141407526549</v>
      </c>
      <c r="BI17">
        <f t="shared" ref="BI17:BI31" si="38">(AN17-AT17)/(AN17-AM17)</f>
        <v>0.76823523373855085</v>
      </c>
      <c r="BJ17">
        <v>1307</v>
      </c>
      <c r="BK17">
        <v>300</v>
      </c>
      <c r="BL17">
        <v>300</v>
      </c>
      <c r="BM17">
        <v>300</v>
      </c>
      <c r="BN17">
        <v>10278.700000000001</v>
      </c>
      <c r="BO17">
        <v>1054.8599999999999</v>
      </c>
      <c r="BP17">
        <v>-7.0587100000000002E-3</v>
      </c>
      <c r="BQ17">
        <v>5.4844999999999997</v>
      </c>
      <c r="BR17">
        <f t="shared" ref="BR17:BR31" si="39">$B$11*CI17+$C$11*CJ17+$F$11*CK17</f>
        <v>1749.85</v>
      </c>
      <c r="BS17">
        <f t="shared" ref="BS17:BS31" si="40">BR17*BT17</f>
        <v>1471.07790009632</v>
      </c>
      <c r="BT17">
        <f t="shared" ref="BT17:BT31" si="41">($B$11*$D$9+$C$11*$D$9+$F$11*((CX17+CP17)/MAX(CX17+CP17+CY17, 0.1)*$I$9+CY17/MAX(CX17+CP17+CY17, 0.1)*$J$9))/($B$11+$C$11+$F$11)</f>
        <v>0.84068800188377291</v>
      </c>
      <c r="BU17">
        <f t="shared" ref="BU17:BU31" si="42">($B$11*$K$9+$C$11*$K$9+$F$11*((CX17+CP17)/MAX(CX17+CP17+CY17, 0.1)*$P$9+CY17/MAX(CX17+CP17+CY17, 0.1)*$Q$9))/($B$11+$C$11+$F$11)</f>
        <v>0.19137600376754607</v>
      </c>
      <c r="BV17" t="s">
        <v>281</v>
      </c>
      <c r="BW17">
        <v>1566140643.4000001</v>
      </c>
      <c r="BX17">
        <v>371.83499999999998</v>
      </c>
      <c r="BY17">
        <v>399.96699999999998</v>
      </c>
      <c r="BZ17">
        <v>18.138000000000002</v>
      </c>
      <c r="CA17">
        <v>14.1464</v>
      </c>
      <c r="CB17">
        <v>499.98</v>
      </c>
      <c r="CC17">
        <v>98.766800000000003</v>
      </c>
      <c r="CD17">
        <v>0.19997200000000001</v>
      </c>
      <c r="CE17">
        <v>25.1539</v>
      </c>
      <c r="CF17">
        <v>26.926200000000001</v>
      </c>
      <c r="CG17">
        <v>999.9</v>
      </c>
      <c r="CH17">
        <v>9993.75</v>
      </c>
      <c r="CI17">
        <v>0</v>
      </c>
      <c r="CJ17">
        <v>740.3</v>
      </c>
      <c r="CK17">
        <v>1749.85</v>
      </c>
      <c r="CL17">
        <v>0.97700299999999995</v>
      </c>
      <c r="CM17">
        <v>2.2997099999999999E-2</v>
      </c>
      <c r="CN17">
        <v>0</v>
      </c>
      <c r="CO17">
        <v>726.42</v>
      </c>
      <c r="CP17">
        <v>4.99986</v>
      </c>
      <c r="CQ17">
        <v>16211.9</v>
      </c>
      <c r="CR17">
        <v>14219.6</v>
      </c>
      <c r="CS17">
        <v>46.061999999999998</v>
      </c>
      <c r="CT17">
        <v>47.811999999999998</v>
      </c>
      <c r="CU17">
        <v>47</v>
      </c>
      <c r="CV17">
        <v>46.686999999999998</v>
      </c>
      <c r="CW17">
        <v>47.5</v>
      </c>
      <c r="CX17">
        <v>1704.72</v>
      </c>
      <c r="CY17">
        <v>40.130000000000003</v>
      </c>
      <c r="CZ17">
        <v>0</v>
      </c>
      <c r="DA17">
        <v>241.80000019073501</v>
      </c>
      <c r="DB17">
        <v>726.40469230769202</v>
      </c>
      <c r="DC17">
        <v>-0.80663246750043704</v>
      </c>
      <c r="DD17">
        <v>73.384615647971401</v>
      </c>
      <c r="DE17">
        <v>16208.6192307692</v>
      </c>
      <c r="DF17">
        <v>15</v>
      </c>
      <c r="DG17">
        <v>1566140673.9000001</v>
      </c>
      <c r="DH17" t="s">
        <v>282</v>
      </c>
      <c r="DI17">
        <v>17</v>
      </c>
      <c r="DJ17">
        <v>0.156</v>
      </c>
      <c r="DK17">
        <v>8.5000000000000006E-2</v>
      </c>
      <c r="DL17">
        <v>400</v>
      </c>
      <c r="DM17">
        <v>14</v>
      </c>
      <c r="DN17">
        <v>0.04</v>
      </c>
      <c r="DO17">
        <v>0.02</v>
      </c>
      <c r="DP17">
        <v>22.331047140701301</v>
      </c>
      <c r="DQ17">
        <v>0.2017760263566</v>
      </c>
      <c r="DR17">
        <v>0.11701545975649599</v>
      </c>
      <c r="DS17">
        <v>1</v>
      </c>
      <c r="DT17">
        <v>0.187055959773163</v>
      </c>
      <c r="DU17">
        <v>1.9749913718546699E-2</v>
      </c>
      <c r="DV17">
        <v>4.3870547114802198E-3</v>
      </c>
      <c r="DW17">
        <v>1</v>
      </c>
      <c r="DX17">
        <v>2</v>
      </c>
      <c r="DY17">
        <v>2</v>
      </c>
      <c r="DZ17" t="s">
        <v>283</v>
      </c>
      <c r="EA17">
        <v>1.8673500000000001</v>
      </c>
      <c r="EB17">
        <v>1.8638399999999999</v>
      </c>
      <c r="EC17">
        <v>1.86951</v>
      </c>
      <c r="ED17">
        <v>1.8674299999999999</v>
      </c>
      <c r="EE17">
        <v>1.8721000000000001</v>
      </c>
      <c r="EF17">
        <v>1.8646100000000001</v>
      </c>
      <c r="EG17">
        <v>1.86615</v>
      </c>
      <c r="EH17">
        <v>1.8661099999999999</v>
      </c>
      <c r="EI17" t="s">
        <v>284</v>
      </c>
      <c r="EJ17" t="s">
        <v>19</v>
      </c>
      <c r="EK17" t="s">
        <v>19</v>
      </c>
      <c r="EL17" t="s">
        <v>19</v>
      </c>
      <c r="EM17" t="s">
        <v>285</v>
      </c>
      <c r="EN17" t="s">
        <v>286</v>
      </c>
      <c r="EO17" t="s">
        <v>287</v>
      </c>
      <c r="EP17" t="s">
        <v>287</v>
      </c>
      <c r="EQ17" t="s">
        <v>287</v>
      </c>
      <c r="ER17" t="s">
        <v>287</v>
      </c>
      <c r="ES17">
        <v>0</v>
      </c>
      <c r="ET17">
        <v>100</v>
      </c>
      <c r="EU17">
        <v>100</v>
      </c>
      <c r="EV17">
        <v>0.156</v>
      </c>
      <c r="EW17">
        <v>8.5000000000000006E-2</v>
      </c>
      <c r="EX17">
        <v>2</v>
      </c>
      <c r="EY17">
        <v>341.93900000000002</v>
      </c>
      <c r="EZ17">
        <v>499.91300000000001</v>
      </c>
      <c r="FA17">
        <v>19.5166</v>
      </c>
      <c r="FB17">
        <v>33.130400000000002</v>
      </c>
      <c r="FC17">
        <v>29.991599999999998</v>
      </c>
      <c r="FD17">
        <v>33.147799999999997</v>
      </c>
      <c r="FE17">
        <v>33.145000000000003</v>
      </c>
      <c r="FF17">
        <v>21.949000000000002</v>
      </c>
      <c r="FG17">
        <v>60.514699999999998</v>
      </c>
      <c r="FH17">
        <v>0</v>
      </c>
      <c r="FI17">
        <v>19.7057</v>
      </c>
      <c r="FJ17">
        <v>400</v>
      </c>
      <c r="FK17">
        <v>13.899699999999999</v>
      </c>
      <c r="FL17">
        <v>100.809</v>
      </c>
      <c r="FM17">
        <v>101.255</v>
      </c>
    </row>
    <row r="18" spans="1:169" x14ac:dyDescent="0.35">
      <c r="A18">
        <v>2</v>
      </c>
      <c r="B18">
        <v>1566140763.4000001</v>
      </c>
      <c r="C18">
        <v>120</v>
      </c>
      <c r="D18" t="s">
        <v>288</v>
      </c>
      <c r="E18" t="s">
        <v>289</v>
      </c>
      <c r="G18">
        <v>1566140763.4000001</v>
      </c>
      <c r="H18">
        <f t="shared" si="0"/>
        <v>3.2279560285113323E-3</v>
      </c>
      <c r="I18">
        <f t="shared" si="1"/>
        <v>15.881627988381137</v>
      </c>
      <c r="J18">
        <f t="shared" si="2"/>
        <v>279.9369818811831</v>
      </c>
      <c r="K18">
        <f t="shared" si="3"/>
        <v>127.99861047124637</v>
      </c>
      <c r="L18">
        <f t="shared" si="4"/>
        <v>12.667912911528688</v>
      </c>
      <c r="M18">
        <f t="shared" si="5"/>
        <v>27.7051234707242</v>
      </c>
      <c r="N18">
        <f t="shared" si="6"/>
        <v>0.18083832915535014</v>
      </c>
      <c r="O18">
        <f t="shared" si="7"/>
        <v>2.2423171004468974</v>
      </c>
      <c r="P18">
        <f t="shared" si="8"/>
        <v>0.17310911259033865</v>
      </c>
      <c r="Q18">
        <f t="shared" si="9"/>
        <v>0.10886010500299864</v>
      </c>
      <c r="R18">
        <f t="shared" si="10"/>
        <v>281.54232661403739</v>
      </c>
      <c r="S18">
        <f t="shared" si="11"/>
        <v>26.26035186636328</v>
      </c>
      <c r="T18">
        <f t="shared" si="12"/>
        <v>27.0075</v>
      </c>
      <c r="U18">
        <f t="shared" si="13"/>
        <v>3.5807365927355042</v>
      </c>
      <c r="V18">
        <f t="shared" si="14"/>
        <v>55.454278652791203</v>
      </c>
      <c r="W18">
        <f t="shared" si="15"/>
        <v>1.7852944917016003</v>
      </c>
      <c r="X18">
        <f t="shared" si="16"/>
        <v>3.2193989987312555</v>
      </c>
      <c r="Y18">
        <f t="shared" si="17"/>
        <v>1.7954421010339039</v>
      </c>
      <c r="Z18">
        <f t="shared" si="18"/>
        <v>-142.35286085734975</v>
      </c>
      <c r="AA18">
        <f t="shared" si="19"/>
        <v>-217.48924011516019</v>
      </c>
      <c r="AB18">
        <f t="shared" si="20"/>
        <v>-20.74625691313204</v>
      </c>
      <c r="AC18">
        <f t="shared" si="21"/>
        <v>-99.046031271604562</v>
      </c>
      <c r="AD18">
        <v>-4.09772309076381E-2</v>
      </c>
      <c r="AE18">
        <v>4.6000531496413102E-2</v>
      </c>
      <c r="AF18">
        <v>3.4414942241433901</v>
      </c>
      <c r="AG18">
        <v>137</v>
      </c>
      <c r="AH18">
        <v>27</v>
      </c>
      <c r="AI18">
        <f t="shared" si="22"/>
        <v>1.0052398750417133</v>
      </c>
      <c r="AJ18">
        <f t="shared" si="23"/>
        <v>0.52398750417133044</v>
      </c>
      <c r="AK18">
        <f t="shared" si="24"/>
        <v>52565.323327132348</v>
      </c>
      <c r="AL18" t="s">
        <v>278</v>
      </c>
      <c r="AM18">
        <v>520.33192307692298</v>
      </c>
      <c r="AN18">
        <v>3330.63</v>
      </c>
      <c r="AO18">
        <f t="shared" si="25"/>
        <v>2810.2980769230771</v>
      </c>
      <c r="AP18">
        <f t="shared" si="26"/>
        <v>0.84377372356673574</v>
      </c>
      <c r="AQ18">
        <v>-1.3252759154356599</v>
      </c>
      <c r="AR18" t="s">
        <v>290</v>
      </c>
      <c r="AS18">
        <v>723.09673076923104</v>
      </c>
      <c r="AT18">
        <v>1122.51</v>
      </c>
      <c r="AU18">
        <f t="shared" si="27"/>
        <v>0.35582156883303395</v>
      </c>
      <c r="AV18">
        <v>0.5</v>
      </c>
      <c r="AW18">
        <f t="shared" si="28"/>
        <v>1471.1453932149598</v>
      </c>
      <c r="AX18">
        <f t="shared" si="29"/>
        <v>15.881627988381137</v>
      </c>
      <c r="AY18">
        <f t="shared" si="30"/>
        <v>261.73263089761878</v>
      </c>
      <c r="AZ18">
        <f t="shared" si="31"/>
        <v>0.5236211704127357</v>
      </c>
      <c r="BA18">
        <f t="shared" si="32"/>
        <v>1.1696263321882673E-2</v>
      </c>
      <c r="BB18">
        <f t="shared" si="33"/>
        <v>1.9671272416281369</v>
      </c>
      <c r="BC18" t="s">
        <v>291</v>
      </c>
      <c r="BD18">
        <v>534.74</v>
      </c>
      <c r="BE18">
        <f t="shared" si="34"/>
        <v>587.77</v>
      </c>
      <c r="BF18">
        <f t="shared" si="35"/>
        <v>0.67954007389075477</v>
      </c>
      <c r="BG18">
        <f t="shared" si="36"/>
        <v>0.78977356047627034</v>
      </c>
      <c r="BH18">
        <f t="shared" si="37"/>
        <v>0.66328098703233018</v>
      </c>
      <c r="BI18">
        <f t="shared" si="38"/>
        <v>0.78572448173099618</v>
      </c>
      <c r="BJ18">
        <v>1309</v>
      </c>
      <c r="BK18">
        <v>300</v>
      </c>
      <c r="BL18">
        <v>300</v>
      </c>
      <c r="BM18">
        <v>300</v>
      </c>
      <c r="BN18">
        <v>10279.700000000001</v>
      </c>
      <c r="BO18">
        <v>1025.4000000000001</v>
      </c>
      <c r="BP18">
        <v>-7.0584799999999998E-3</v>
      </c>
      <c r="BQ18">
        <v>8.3072499999999998</v>
      </c>
      <c r="BR18">
        <f t="shared" si="39"/>
        <v>1749.93</v>
      </c>
      <c r="BS18">
        <f t="shared" si="40"/>
        <v>1471.1453932149598</v>
      </c>
      <c r="BT18">
        <f t="shared" si="41"/>
        <v>0.84068813793406572</v>
      </c>
      <c r="BU18">
        <f t="shared" si="42"/>
        <v>0.1913762758681318</v>
      </c>
      <c r="BV18" t="s">
        <v>281</v>
      </c>
      <c r="BW18">
        <v>1566140763.4000001</v>
      </c>
      <c r="BX18">
        <v>279.93700000000001</v>
      </c>
      <c r="BY18">
        <v>299.97899999999998</v>
      </c>
      <c r="BZ18">
        <v>18.038900000000002</v>
      </c>
      <c r="CA18">
        <v>14.255599999999999</v>
      </c>
      <c r="CB18">
        <v>500.024</v>
      </c>
      <c r="CC18">
        <v>98.769199999999998</v>
      </c>
      <c r="CD18">
        <v>0.19994400000000001</v>
      </c>
      <c r="CE18">
        <v>25.208400000000001</v>
      </c>
      <c r="CF18">
        <v>27.0075</v>
      </c>
      <c r="CG18">
        <v>999.9</v>
      </c>
      <c r="CH18">
        <v>10005</v>
      </c>
      <c r="CI18">
        <v>0</v>
      </c>
      <c r="CJ18">
        <v>964.82600000000002</v>
      </c>
      <c r="CK18">
        <v>1749.93</v>
      </c>
      <c r="CL18">
        <v>0.97699899999999995</v>
      </c>
      <c r="CM18">
        <v>2.3001199999999999E-2</v>
      </c>
      <c r="CN18">
        <v>0</v>
      </c>
      <c r="CO18">
        <v>722.74099999999999</v>
      </c>
      <c r="CP18">
        <v>4.99986</v>
      </c>
      <c r="CQ18">
        <v>16773.2</v>
      </c>
      <c r="CR18">
        <v>14220.1</v>
      </c>
      <c r="CS18">
        <v>45.811999999999998</v>
      </c>
      <c r="CT18">
        <v>47.686999999999998</v>
      </c>
      <c r="CU18">
        <v>46.811999999999998</v>
      </c>
      <c r="CV18">
        <v>46.375</v>
      </c>
      <c r="CW18">
        <v>47.375</v>
      </c>
      <c r="CX18">
        <v>1704.8</v>
      </c>
      <c r="CY18">
        <v>40.14</v>
      </c>
      <c r="CZ18">
        <v>0</v>
      </c>
      <c r="DA18">
        <v>119.60000014305101</v>
      </c>
      <c r="DB18">
        <v>723.09673076923104</v>
      </c>
      <c r="DC18">
        <v>-1.6399658237987</v>
      </c>
      <c r="DD18">
        <v>510.24615417764102</v>
      </c>
      <c r="DE18">
        <v>16705.926923076899</v>
      </c>
      <c r="DF18">
        <v>15</v>
      </c>
      <c r="DG18">
        <v>1566140794.9000001</v>
      </c>
      <c r="DH18" t="s">
        <v>292</v>
      </c>
      <c r="DI18">
        <v>18</v>
      </c>
      <c r="DJ18">
        <v>3.4000000000000002E-2</v>
      </c>
      <c r="DK18">
        <v>9.1999999999999998E-2</v>
      </c>
      <c r="DL18">
        <v>300</v>
      </c>
      <c r="DM18">
        <v>14</v>
      </c>
      <c r="DN18">
        <v>0.11</v>
      </c>
      <c r="DO18">
        <v>0.02</v>
      </c>
      <c r="DP18">
        <v>15.711632804827699</v>
      </c>
      <c r="DQ18">
        <v>0.29899852739826899</v>
      </c>
      <c r="DR18">
        <v>6.9809148164702198E-2</v>
      </c>
      <c r="DS18">
        <v>1</v>
      </c>
      <c r="DT18">
        <v>0.18010528496591999</v>
      </c>
      <c r="DU18">
        <v>-1.68654927021406E-3</v>
      </c>
      <c r="DV18">
        <v>7.8706936228918601E-4</v>
      </c>
      <c r="DW18">
        <v>1</v>
      </c>
      <c r="DX18">
        <v>2</v>
      </c>
      <c r="DY18">
        <v>2</v>
      </c>
      <c r="DZ18" t="s">
        <v>283</v>
      </c>
      <c r="EA18">
        <v>1.86734</v>
      </c>
      <c r="EB18">
        <v>1.8638600000000001</v>
      </c>
      <c r="EC18">
        <v>1.86951</v>
      </c>
      <c r="ED18">
        <v>1.8673900000000001</v>
      </c>
      <c r="EE18">
        <v>1.8721000000000001</v>
      </c>
      <c r="EF18">
        <v>1.8645700000000001</v>
      </c>
      <c r="EG18">
        <v>1.86615</v>
      </c>
      <c r="EH18">
        <v>1.8660600000000001</v>
      </c>
      <c r="EI18" t="s">
        <v>284</v>
      </c>
      <c r="EJ18" t="s">
        <v>19</v>
      </c>
      <c r="EK18" t="s">
        <v>19</v>
      </c>
      <c r="EL18" t="s">
        <v>19</v>
      </c>
      <c r="EM18" t="s">
        <v>285</v>
      </c>
      <c r="EN18" t="s">
        <v>286</v>
      </c>
      <c r="EO18" t="s">
        <v>287</v>
      </c>
      <c r="EP18" t="s">
        <v>287</v>
      </c>
      <c r="EQ18" t="s">
        <v>287</v>
      </c>
      <c r="ER18" t="s">
        <v>287</v>
      </c>
      <c r="ES18">
        <v>0</v>
      </c>
      <c r="ET18">
        <v>100</v>
      </c>
      <c r="EU18">
        <v>100</v>
      </c>
      <c r="EV18">
        <v>3.4000000000000002E-2</v>
      </c>
      <c r="EW18">
        <v>9.1999999999999998E-2</v>
      </c>
      <c r="EX18">
        <v>2</v>
      </c>
      <c r="EY18">
        <v>344.25900000000001</v>
      </c>
      <c r="EZ18">
        <v>499.12</v>
      </c>
      <c r="FA18">
        <v>19.2727</v>
      </c>
      <c r="FB18">
        <v>33.069200000000002</v>
      </c>
      <c r="FC18">
        <v>29.999600000000001</v>
      </c>
      <c r="FD18">
        <v>33.090800000000002</v>
      </c>
      <c r="FE18">
        <v>33.0871</v>
      </c>
      <c r="FF18">
        <v>17.509499999999999</v>
      </c>
      <c r="FG18">
        <v>59.788699999999999</v>
      </c>
      <c r="FH18">
        <v>0</v>
      </c>
      <c r="FI18">
        <v>19.280999999999999</v>
      </c>
      <c r="FJ18">
        <v>300</v>
      </c>
      <c r="FK18">
        <v>14.111599999999999</v>
      </c>
      <c r="FL18">
        <v>100.813</v>
      </c>
      <c r="FM18">
        <v>101.265</v>
      </c>
    </row>
    <row r="19" spans="1:169" x14ac:dyDescent="0.35">
      <c r="A19">
        <v>3</v>
      </c>
      <c r="B19">
        <v>1566140882.4000001</v>
      </c>
      <c r="C19">
        <v>239</v>
      </c>
      <c r="D19" t="s">
        <v>293</v>
      </c>
      <c r="E19" t="s">
        <v>294</v>
      </c>
      <c r="G19">
        <v>1566140882.4000001</v>
      </c>
      <c r="H19">
        <f t="shared" si="0"/>
        <v>3.5301435434649301E-3</v>
      </c>
      <c r="I19">
        <f t="shared" si="1"/>
        <v>10.132335690568333</v>
      </c>
      <c r="J19">
        <f t="shared" si="2"/>
        <v>187.17598841946605</v>
      </c>
      <c r="K19">
        <f t="shared" si="3"/>
        <v>97.341275134287045</v>
      </c>
      <c r="L19">
        <f t="shared" si="4"/>
        <v>9.6339016269470878</v>
      </c>
      <c r="M19">
        <f t="shared" si="5"/>
        <v>18.524876080286319</v>
      </c>
      <c r="N19">
        <f t="shared" si="6"/>
        <v>0.19731271417329138</v>
      </c>
      <c r="O19">
        <f t="shared" si="7"/>
        <v>2.2411908583878066</v>
      </c>
      <c r="P19">
        <f t="shared" si="8"/>
        <v>0.18814506218482172</v>
      </c>
      <c r="Q19">
        <f t="shared" si="9"/>
        <v>0.11837883922753187</v>
      </c>
      <c r="R19">
        <f t="shared" si="10"/>
        <v>281.54553148221589</v>
      </c>
      <c r="S19">
        <f t="shared" si="11"/>
        <v>26.264009328132165</v>
      </c>
      <c r="T19">
        <f t="shared" si="12"/>
        <v>27.007000000000001</v>
      </c>
      <c r="U19">
        <f t="shared" si="13"/>
        <v>3.5806314472072067</v>
      </c>
      <c r="V19">
        <f t="shared" si="14"/>
        <v>54.760280444897091</v>
      </c>
      <c r="W19">
        <f t="shared" si="15"/>
        <v>1.7738953550010002</v>
      </c>
      <c r="X19">
        <f t="shared" si="16"/>
        <v>3.2393832547771453</v>
      </c>
      <c r="Y19">
        <f t="shared" si="17"/>
        <v>1.8067360922062066</v>
      </c>
      <c r="Z19">
        <f t="shared" si="18"/>
        <v>-155.67933026680342</v>
      </c>
      <c r="AA19">
        <f t="shared" si="19"/>
        <v>-204.75357240717599</v>
      </c>
      <c r="AB19">
        <f t="shared" si="20"/>
        <v>-19.551343418094142</v>
      </c>
      <c r="AC19">
        <f t="shared" si="21"/>
        <v>-98.438714609857641</v>
      </c>
      <c r="AD19">
        <v>-4.0947010824397799E-2</v>
      </c>
      <c r="AE19">
        <v>4.5966606805551202E-2</v>
      </c>
      <c r="AF19">
        <v>3.4394836072328201</v>
      </c>
      <c r="AG19">
        <v>138</v>
      </c>
      <c r="AH19">
        <v>28</v>
      </c>
      <c r="AI19">
        <f t="shared" si="22"/>
        <v>1.0052839292981559</v>
      </c>
      <c r="AJ19">
        <f t="shared" si="23"/>
        <v>0.52839292981559094</v>
      </c>
      <c r="AK19">
        <f t="shared" si="24"/>
        <v>52509.855607477344</v>
      </c>
      <c r="AL19" t="s">
        <v>278</v>
      </c>
      <c r="AM19">
        <v>520.33192307692298</v>
      </c>
      <c r="AN19">
        <v>3330.63</v>
      </c>
      <c r="AO19">
        <f t="shared" si="25"/>
        <v>2810.2980769230771</v>
      </c>
      <c r="AP19">
        <f t="shared" si="26"/>
        <v>0.84377372356673574</v>
      </c>
      <c r="AQ19">
        <v>-1.3252759154356599</v>
      </c>
      <c r="AR19" t="s">
        <v>295</v>
      </c>
      <c r="AS19">
        <v>725.63315384615396</v>
      </c>
      <c r="AT19">
        <v>1081.6199999999999</v>
      </c>
      <c r="AU19">
        <f t="shared" si="27"/>
        <v>0.32912376449570646</v>
      </c>
      <c r="AV19">
        <v>0.5</v>
      </c>
      <c r="AW19">
        <f t="shared" si="28"/>
        <v>1471.1622000963389</v>
      </c>
      <c r="AX19">
        <f t="shared" si="29"/>
        <v>10.132335690568333</v>
      </c>
      <c r="AY19">
        <f t="shared" si="30"/>
        <v>242.0972207397464</v>
      </c>
      <c r="AZ19">
        <f t="shared" si="31"/>
        <v>0.49997226382648241</v>
      </c>
      <c r="BA19">
        <f t="shared" si="32"/>
        <v>7.7881362131610584E-3</v>
      </c>
      <c r="BB19">
        <f t="shared" si="33"/>
        <v>2.0792977200865375</v>
      </c>
      <c r="BC19" t="s">
        <v>296</v>
      </c>
      <c r="BD19">
        <v>540.84</v>
      </c>
      <c r="BE19">
        <f t="shared" si="34"/>
        <v>540.77999999999986</v>
      </c>
      <c r="BF19">
        <f t="shared" si="35"/>
        <v>0.65828404555243547</v>
      </c>
      <c r="BG19">
        <f t="shared" si="36"/>
        <v>0.80615745271149453</v>
      </c>
      <c r="BH19">
        <f t="shared" si="37"/>
        <v>0.63423197603863057</v>
      </c>
      <c r="BI19">
        <f t="shared" si="38"/>
        <v>0.80027453972511819</v>
      </c>
      <c r="BJ19">
        <v>1311</v>
      </c>
      <c r="BK19">
        <v>300</v>
      </c>
      <c r="BL19">
        <v>300</v>
      </c>
      <c r="BM19">
        <v>300</v>
      </c>
      <c r="BN19">
        <v>10280.700000000001</v>
      </c>
      <c r="BO19">
        <v>1001.93</v>
      </c>
      <c r="BP19">
        <v>-7.0605499999999996E-3</v>
      </c>
      <c r="BQ19">
        <v>10.145</v>
      </c>
      <c r="BR19">
        <f t="shared" si="39"/>
        <v>1749.95</v>
      </c>
      <c r="BS19">
        <f t="shared" si="40"/>
        <v>1471.1622000963389</v>
      </c>
      <c r="BT19">
        <f t="shared" si="41"/>
        <v>0.84068813400173648</v>
      </c>
      <c r="BU19">
        <f t="shared" si="42"/>
        <v>0.19137626800347296</v>
      </c>
      <c r="BV19" t="s">
        <v>281</v>
      </c>
      <c r="BW19">
        <v>1566140882.4000001</v>
      </c>
      <c r="BX19">
        <v>187.17599999999999</v>
      </c>
      <c r="BY19">
        <v>200.06200000000001</v>
      </c>
      <c r="BZ19">
        <v>17.923500000000001</v>
      </c>
      <c r="CA19">
        <v>13.786099999999999</v>
      </c>
      <c r="CB19">
        <v>500.07</v>
      </c>
      <c r="CC19">
        <v>98.770399999999995</v>
      </c>
      <c r="CD19">
        <v>0.199966</v>
      </c>
      <c r="CE19">
        <v>25.3124</v>
      </c>
      <c r="CF19">
        <v>27.007000000000001</v>
      </c>
      <c r="CG19">
        <v>999.9</v>
      </c>
      <c r="CH19">
        <v>9997.5</v>
      </c>
      <c r="CI19">
        <v>0</v>
      </c>
      <c r="CJ19">
        <v>711.18499999999995</v>
      </c>
      <c r="CK19">
        <v>1749.95</v>
      </c>
      <c r="CL19">
        <v>0.97699899999999995</v>
      </c>
      <c r="CM19">
        <v>2.3001199999999999E-2</v>
      </c>
      <c r="CN19">
        <v>0</v>
      </c>
      <c r="CO19">
        <v>725.45299999999997</v>
      </c>
      <c r="CP19">
        <v>4.99986</v>
      </c>
      <c r="CQ19">
        <v>16258.5</v>
      </c>
      <c r="CR19">
        <v>14220.3</v>
      </c>
      <c r="CS19">
        <v>45.5</v>
      </c>
      <c r="CT19">
        <v>47.436999999999998</v>
      </c>
      <c r="CU19">
        <v>46.561999999999998</v>
      </c>
      <c r="CV19">
        <v>46.186999999999998</v>
      </c>
      <c r="CW19">
        <v>47.061999999999998</v>
      </c>
      <c r="CX19">
        <v>1704.81</v>
      </c>
      <c r="CY19">
        <v>40.14</v>
      </c>
      <c r="CZ19">
        <v>0</v>
      </c>
      <c r="DA19">
        <v>118.30000019073501</v>
      </c>
      <c r="DB19">
        <v>725.63315384615396</v>
      </c>
      <c r="DC19">
        <v>-1.69873503376608</v>
      </c>
      <c r="DD19">
        <v>-352.22564195224498</v>
      </c>
      <c r="DE19">
        <v>16308.407692307699</v>
      </c>
      <c r="DF19">
        <v>15</v>
      </c>
      <c r="DG19">
        <v>1566140914.4000001</v>
      </c>
      <c r="DH19" t="s">
        <v>297</v>
      </c>
      <c r="DI19">
        <v>19</v>
      </c>
      <c r="DJ19">
        <v>1.7000000000000001E-2</v>
      </c>
      <c r="DK19">
        <v>8.4000000000000005E-2</v>
      </c>
      <c r="DL19">
        <v>200</v>
      </c>
      <c r="DM19">
        <v>14</v>
      </c>
      <c r="DN19">
        <v>0.09</v>
      </c>
      <c r="DO19">
        <v>0.02</v>
      </c>
      <c r="DP19">
        <v>10.0105333539467</v>
      </c>
      <c r="DQ19">
        <v>0.29041705157181003</v>
      </c>
      <c r="DR19">
        <v>7.14430624451034E-2</v>
      </c>
      <c r="DS19">
        <v>1</v>
      </c>
      <c r="DT19">
        <v>0.19780961273188599</v>
      </c>
      <c r="DU19">
        <v>-5.8309554213295501E-4</v>
      </c>
      <c r="DV19">
        <v>1.5799222357664101E-4</v>
      </c>
      <c r="DW19">
        <v>1</v>
      </c>
      <c r="DX19">
        <v>2</v>
      </c>
      <c r="DY19">
        <v>2</v>
      </c>
      <c r="DZ19" t="s">
        <v>283</v>
      </c>
      <c r="EA19">
        <v>1.86727</v>
      </c>
      <c r="EB19">
        <v>1.8638600000000001</v>
      </c>
      <c r="EC19">
        <v>1.86948</v>
      </c>
      <c r="ED19">
        <v>1.86737</v>
      </c>
      <c r="EE19">
        <v>1.8721000000000001</v>
      </c>
      <c r="EF19">
        <v>1.8645799999999999</v>
      </c>
      <c r="EG19">
        <v>1.86612</v>
      </c>
      <c r="EH19">
        <v>1.8660300000000001</v>
      </c>
      <c r="EI19" t="s">
        <v>284</v>
      </c>
      <c r="EJ19" t="s">
        <v>19</v>
      </c>
      <c r="EK19" t="s">
        <v>19</v>
      </c>
      <c r="EL19" t="s">
        <v>19</v>
      </c>
      <c r="EM19" t="s">
        <v>285</v>
      </c>
      <c r="EN19" t="s">
        <v>286</v>
      </c>
      <c r="EO19" t="s">
        <v>287</v>
      </c>
      <c r="EP19" t="s">
        <v>287</v>
      </c>
      <c r="EQ19" t="s">
        <v>287</v>
      </c>
      <c r="ER19" t="s">
        <v>287</v>
      </c>
      <c r="ES19">
        <v>0</v>
      </c>
      <c r="ET19">
        <v>100</v>
      </c>
      <c r="EU19">
        <v>100</v>
      </c>
      <c r="EV19">
        <v>1.7000000000000001E-2</v>
      </c>
      <c r="EW19">
        <v>8.4000000000000005E-2</v>
      </c>
      <c r="EX19">
        <v>2</v>
      </c>
      <c r="EY19">
        <v>343.07400000000001</v>
      </c>
      <c r="EZ19">
        <v>498.05599999999998</v>
      </c>
      <c r="FA19">
        <v>20.009799999999998</v>
      </c>
      <c r="FB19">
        <v>32.991199999999999</v>
      </c>
      <c r="FC19">
        <v>30.003599999999999</v>
      </c>
      <c r="FD19">
        <v>33.029800000000002</v>
      </c>
      <c r="FE19">
        <v>33.026400000000002</v>
      </c>
      <c r="FF19">
        <v>12.8833</v>
      </c>
      <c r="FG19">
        <v>61.610799999999998</v>
      </c>
      <c r="FH19">
        <v>0</v>
      </c>
      <c r="FI19">
        <v>19.748200000000001</v>
      </c>
      <c r="FJ19">
        <v>200</v>
      </c>
      <c r="FK19">
        <v>13.7523</v>
      </c>
      <c r="FL19">
        <v>100.825</v>
      </c>
      <c r="FM19">
        <v>101.279</v>
      </c>
    </row>
    <row r="20" spans="1:169" x14ac:dyDescent="0.35">
      <c r="A20">
        <v>4</v>
      </c>
      <c r="B20">
        <v>1566141000.4000001</v>
      </c>
      <c r="C20">
        <v>357</v>
      </c>
      <c r="D20" t="s">
        <v>298</v>
      </c>
      <c r="E20" t="s">
        <v>299</v>
      </c>
      <c r="G20">
        <v>1566141000.4000001</v>
      </c>
      <c r="H20">
        <f t="shared" si="0"/>
        <v>3.5427445717240939E-3</v>
      </c>
      <c r="I20">
        <f t="shared" si="1"/>
        <v>3.7395258199955097</v>
      </c>
      <c r="J20">
        <f t="shared" si="2"/>
        <v>95.151195729658255</v>
      </c>
      <c r="K20">
        <f t="shared" si="3"/>
        <v>61.666707710077077</v>
      </c>
      <c r="L20">
        <f t="shared" si="4"/>
        <v>6.1037776358146925</v>
      </c>
      <c r="M20">
        <f t="shared" si="5"/>
        <v>9.4180760102554935</v>
      </c>
      <c r="N20">
        <f t="shared" si="6"/>
        <v>0.20008310439051166</v>
      </c>
      <c r="O20">
        <f t="shared" si="7"/>
        <v>2.2419071501587657</v>
      </c>
      <c r="P20">
        <f t="shared" si="8"/>
        <v>0.19066566785943184</v>
      </c>
      <c r="Q20">
        <f t="shared" si="9"/>
        <v>0.11997521675488641</v>
      </c>
      <c r="R20">
        <f t="shared" si="10"/>
        <v>281.5258177701233</v>
      </c>
      <c r="S20">
        <f t="shared" si="11"/>
        <v>26.249090880952131</v>
      </c>
      <c r="T20">
        <f t="shared" si="12"/>
        <v>26.9833</v>
      </c>
      <c r="U20">
        <f t="shared" si="13"/>
        <v>3.575650639701601</v>
      </c>
      <c r="V20">
        <f t="shared" si="14"/>
        <v>55.177741555673762</v>
      </c>
      <c r="W20">
        <f t="shared" si="15"/>
        <v>1.7863237752976</v>
      </c>
      <c r="X20">
        <f t="shared" si="16"/>
        <v>3.2373992210159925</v>
      </c>
      <c r="Y20">
        <f t="shared" si="17"/>
        <v>1.789326864404001</v>
      </c>
      <c r="Z20">
        <f t="shared" si="18"/>
        <v>-156.23503561303255</v>
      </c>
      <c r="AA20">
        <f t="shared" si="19"/>
        <v>-203.19941194725908</v>
      </c>
      <c r="AB20">
        <f t="shared" si="20"/>
        <v>-19.393432787672552</v>
      </c>
      <c r="AC20">
        <f t="shared" si="21"/>
        <v>-97.3020625778409</v>
      </c>
      <c r="AD20">
        <v>-4.0966229273338602E-2</v>
      </c>
      <c r="AE20">
        <v>4.5988181198115902E-2</v>
      </c>
      <c r="AF20">
        <v>3.4407623168102601</v>
      </c>
      <c r="AG20">
        <v>138</v>
      </c>
      <c r="AH20">
        <v>28</v>
      </c>
      <c r="AI20">
        <f t="shared" si="22"/>
        <v>1.0052813343080338</v>
      </c>
      <c r="AJ20">
        <f t="shared" si="23"/>
        <v>0.52813343080337916</v>
      </c>
      <c r="AK20">
        <f t="shared" si="24"/>
        <v>52535.520776816273</v>
      </c>
      <c r="AL20" t="s">
        <v>278</v>
      </c>
      <c r="AM20">
        <v>520.33192307692298</v>
      </c>
      <c r="AN20">
        <v>3330.63</v>
      </c>
      <c r="AO20">
        <f t="shared" si="25"/>
        <v>2810.2980769230771</v>
      </c>
      <c r="AP20">
        <f t="shared" si="26"/>
        <v>0.84377372356673574</v>
      </c>
      <c r="AQ20">
        <v>-1.3252759154356599</v>
      </c>
      <c r="AR20" t="s">
        <v>300</v>
      </c>
      <c r="AS20">
        <v>732.96773076923103</v>
      </c>
      <c r="AT20">
        <v>1047.0999999999999</v>
      </c>
      <c r="AU20">
        <f t="shared" si="27"/>
        <v>0.30000216715764394</v>
      </c>
      <c r="AV20">
        <v>0.5</v>
      </c>
      <c r="AW20">
        <f t="shared" si="28"/>
        <v>1471.0611000963213</v>
      </c>
      <c r="AX20">
        <f t="shared" si="29"/>
        <v>3.7395258199955097</v>
      </c>
      <c r="AY20">
        <f t="shared" si="30"/>
        <v>220.6607590251021</v>
      </c>
      <c r="AZ20">
        <f t="shared" si="31"/>
        <v>0.47410944513418007</v>
      </c>
      <c r="BA20">
        <f t="shared" si="32"/>
        <v>3.4429581035753981E-3</v>
      </c>
      <c r="BB20">
        <f t="shared" si="33"/>
        <v>2.1808136758666796</v>
      </c>
      <c r="BC20" t="s">
        <v>301</v>
      </c>
      <c r="BD20">
        <v>550.66</v>
      </c>
      <c r="BE20">
        <f t="shared" si="34"/>
        <v>496.43999999999994</v>
      </c>
      <c r="BF20">
        <f t="shared" si="35"/>
        <v>0.63276985986376788</v>
      </c>
      <c r="BG20">
        <f t="shared" si="36"/>
        <v>0.82142253333669069</v>
      </c>
      <c r="BH20">
        <f t="shared" si="37"/>
        <v>0.59633885004128884</v>
      </c>
      <c r="BI20">
        <f t="shared" si="38"/>
        <v>0.81255793424595668</v>
      </c>
      <c r="BJ20">
        <v>1313</v>
      </c>
      <c r="BK20">
        <v>300</v>
      </c>
      <c r="BL20">
        <v>300</v>
      </c>
      <c r="BM20">
        <v>300</v>
      </c>
      <c r="BN20">
        <v>10280.799999999999</v>
      </c>
      <c r="BO20">
        <v>978.76599999999996</v>
      </c>
      <c r="BP20">
        <v>-7.0600999999999997E-3</v>
      </c>
      <c r="BQ20">
        <v>8.4468999999999994</v>
      </c>
      <c r="BR20">
        <f t="shared" si="39"/>
        <v>1749.83</v>
      </c>
      <c r="BS20">
        <f t="shared" si="40"/>
        <v>1471.0611000963213</v>
      </c>
      <c r="BT20">
        <f t="shared" si="41"/>
        <v>0.8406880097474162</v>
      </c>
      <c r="BU20">
        <f t="shared" si="42"/>
        <v>0.19137601949483246</v>
      </c>
      <c r="BV20" t="s">
        <v>281</v>
      </c>
      <c r="BW20">
        <v>1566141000.4000001</v>
      </c>
      <c r="BX20">
        <v>95.151200000000003</v>
      </c>
      <c r="BY20">
        <v>100.02</v>
      </c>
      <c r="BZ20">
        <v>18.0473</v>
      </c>
      <c r="CA20">
        <v>13.8947</v>
      </c>
      <c r="CB20">
        <v>499.95600000000002</v>
      </c>
      <c r="CC20">
        <v>98.780199999999994</v>
      </c>
      <c r="CD20">
        <v>0.19991200000000001</v>
      </c>
      <c r="CE20">
        <v>25.302099999999999</v>
      </c>
      <c r="CF20">
        <v>26.9833</v>
      </c>
      <c r="CG20">
        <v>999.9</v>
      </c>
      <c r="CH20">
        <v>10001.200000000001</v>
      </c>
      <c r="CI20">
        <v>0</v>
      </c>
      <c r="CJ20">
        <v>386.67399999999998</v>
      </c>
      <c r="CK20">
        <v>1749.83</v>
      </c>
      <c r="CL20">
        <v>0.97699899999999995</v>
      </c>
      <c r="CM20">
        <v>2.3001199999999999E-2</v>
      </c>
      <c r="CN20">
        <v>0</v>
      </c>
      <c r="CO20">
        <v>733.24800000000005</v>
      </c>
      <c r="CP20">
        <v>4.99986</v>
      </c>
      <c r="CQ20">
        <v>15359.4</v>
      </c>
      <c r="CR20">
        <v>14219.4</v>
      </c>
      <c r="CS20">
        <v>45.375</v>
      </c>
      <c r="CT20">
        <v>47.186999999999998</v>
      </c>
      <c r="CU20">
        <v>46.311999999999998</v>
      </c>
      <c r="CV20">
        <v>46.061999999999998</v>
      </c>
      <c r="CW20">
        <v>46.875</v>
      </c>
      <c r="CX20">
        <v>1704.7</v>
      </c>
      <c r="CY20">
        <v>40.130000000000003</v>
      </c>
      <c r="CZ20">
        <v>0</v>
      </c>
      <c r="DA20">
        <v>117.700000047684</v>
      </c>
      <c r="DB20">
        <v>732.96773076923103</v>
      </c>
      <c r="DC20">
        <v>-0.309504274079759</v>
      </c>
      <c r="DD20">
        <v>-575.98290635347701</v>
      </c>
      <c r="DE20">
        <v>15429.5115384615</v>
      </c>
      <c r="DF20">
        <v>15</v>
      </c>
      <c r="DG20">
        <v>1566141026.9000001</v>
      </c>
      <c r="DH20" t="s">
        <v>302</v>
      </c>
      <c r="DI20">
        <v>20</v>
      </c>
      <c r="DJ20">
        <v>7.0000000000000001E-3</v>
      </c>
      <c r="DK20">
        <v>8.5000000000000006E-2</v>
      </c>
      <c r="DL20">
        <v>100</v>
      </c>
      <c r="DM20">
        <v>14</v>
      </c>
      <c r="DN20">
        <v>0.26</v>
      </c>
      <c r="DO20">
        <v>0.02</v>
      </c>
      <c r="DP20">
        <v>3.6757649357795801</v>
      </c>
      <c r="DQ20">
        <v>0.28888416414861401</v>
      </c>
      <c r="DR20">
        <v>7.8077667939667098E-2</v>
      </c>
      <c r="DS20">
        <v>1</v>
      </c>
      <c r="DT20">
        <v>0.19815022800594501</v>
      </c>
      <c r="DU20">
        <v>6.4370918831521502E-3</v>
      </c>
      <c r="DV20">
        <v>1.46037830537067E-3</v>
      </c>
      <c r="DW20">
        <v>1</v>
      </c>
      <c r="DX20">
        <v>2</v>
      </c>
      <c r="DY20">
        <v>2</v>
      </c>
      <c r="DZ20" t="s">
        <v>283</v>
      </c>
      <c r="EA20">
        <v>1.8673599999999999</v>
      </c>
      <c r="EB20">
        <v>1.86385</v>
      </c>
      <c r="EC20">
        <v>1.86951</v>
      </c>
      <c r="ED20">
        <v>1.8673999999999999</v>
      </c>
      <c r="EE20">
        <v>1.8721000000000001</v>
      </c>
      <c r="EF20">
        <v>1.86459</v>
      </c>
      <c r="EG20">
        <v>1.8661399999999999</v>
      </c>
      <c r="EH20">
        <v>1.8661000000000001</v>
      </c>
      <c r="EI20" t="s">
        <v>284</v>
      </c>
      <c r="EJ20" t="s">
        <v>19</v>
      </c>
      <c r="EK20" t="s">
        <v>19</v>
      </c>
      <c r="EL20" t="s">
        <v>19</v>
      </c>
      <c r="EM20" t="s">
        <v>285</v>
      </c>
      <c r="EN20" t="s">
        <v>286</v>
      </c>
      <c r="EO20" t="s">
        <v>287</v>
      </c>
      <c r="EP20" t="s">
        <v>287</v>
      </c>
      <c r="EQ20" t="s">
        <v>287</v>
      </c>
      <c r="ER20" t="s">
        <v>287</v>
      </c>
      <c r="ES20">
        <v>0</v>
      </c>
      <c r="ET20">
        <v>100</v>
      </c>
      <c r="EU20">
        <v>100</v>
      </c>
      <c r="EV20">
        <v>7.0000000000000001E-3</v>
      </c>
      <c r="EW20">
        <v>8.5000000000000006E-2</v>
      </c>
      <c r="EX20">
        <v>2</v>
      </c>
      <c r="EY20">
        <v>343</v>
      </c>
      <c r="EZ20">
        <v>497.77300000000002</v>
      </c>
      <c r="FA20">
        <v>20.3735</v>
      </c>
      <c r="FB20">
        <v>32.851300000000002</v>
      </c>
      <c r="FC20">
        <v>29.999199999999998</v>
      </c>
      <c r="FD20">
        <v>32.927</v>
      </c>
      <c r="FE20">
        <v>32.926200000000001</v>
      </c>
      <c r="FF20">
        <v>8.0812799999999996</v>
      </c>
      <c r="FG20">
        <v>61.122700000000002</v>
      </c>
      <c r="FH20">
        <v>0</v>
      </c>
      <c r="FI20">
        <v>20.384899999999998</v>
      </c>
      <c r="FJ20">
        <v>100</v>
      </c>
      <c r="FK20">
        <v>13.8568</v>
      </c>
      <c r="FL20">
        <v>100.84399999999999</v>
      </c>
      <c r="FM20">
        <v>101.307</v>
      </c>
    </row>
    <row r="21" spans="1:169" x14ac:dyDescent="0.35">
      <c r="A21">
        <v>5</v>
      </c>
      <c r="B21">
        <v>1566141108.9000001</v>
      </c>
      <c r="C21">
        <v>465.5</v>
      </c>
      <c r="D21" t="s">
        <v>303</v>
      </c>
      <c r="E21" t="s">
        <v>304</v>
      </c>
      <c r="G21">
        <v>1566141108.9000001</v>
      </c>
      <c r="H21">
        <f t="shared" si="0"/>
        <v>3.5904604989078393E-3</v>
      </c>
      <c r="I21">
        <f t="shared" si="1"/>
        <v>0.55695433696516616</v>
      </c>
      <c r="J21">
        <f t="shared" si="2"/>
        <v>49.134099364034427</v>
      </c>
      <c r="K21">
        <f t="shared" si="3"/>
        <v>43.20809444943734</v>
      </c>
      <c r="L21">
        <f t="shared" si="4"/>
        <v>4.2768972745952434</v>
      </c>
      <c r="M21">
        <f t="shared" si="5"/>
        <v>4.8634751968902714</v>
      </c>
      <c r="N21">
        <f t="shared" si="6"/>
        <v>0.20353246299058717</v>
      </c>
      <c r="O21">
        <f t="shared" si="7"/>
        <v>2.2421612209507464</v>
      </c>
      <c r="P21">
        <f t="shared" si="8"/>
        <v>0.19379705720076371</v>
      </c>
      <c r="Q21">
        <f t="shared" si="9"/>
        <v>0.12195903429303637</v>
      </c>
      <c r="R21">
        <f t="shared" si="10"/>
        <v>281.53539371331624</v>
      </c>
      <c r="S21">
        <f t="shared" si="11"/>
        <v>26.297909589916653</v>
      </c>
      <c r="T21">
        <f t="shared" si="12"/>
        <v>26.9758</v>
      </c>
      <c r="U21">
        <f t="shared" si="13"/>
        <v>3.5740756951337955</v>
      </c>
      <c r="V21">
        <f t="shared" si="14"/>
        <v>55.075636081502509</v>
      </c>
      <c r="W21">
        <f t="shared" si="15"/>
        <v>1.7899025407739999</v>
      </c>
      <c r="X21">
        <f t="shared" si="16"/>
        <v>3.2498989900457085</v>
      </c>
      <c r="Y21">
        <f t="shared" si="17"/>
        <v>1.7841731543597956</v>
      </c>
      <c r="Z21">
        <f t="shared" si="18"/>
        <v>-158.33930800183572</v>
      </c>
      <c r="AA21">
        <f t="shared" si="19"/>
        <v>-194.48285981235514</v>
      </c>
      <c r="AB21">
        <f t="shared" si="20"/>
        <v>-18.564738939557447</v>
      </c>
      <c r="AC21">
        <f t="shared" si="21"/>
        <v>-89.851513040432081</v>
      </c>
      <c r="AD21">
        <v>-4.0973047434030602E-2</v>
      </c>
      <c r="AE21">
        <v>4.5995835180796397E-2</v>
      </c>
      <c r="AF21">
        <v>3.4412159174910699</v>
      </c>
      <c r="AG21">
        <v>137</v>
      </c>
      <c r="AH21">
        <v>27</v>
      </c>
      <c r="AI21">
        <f t="shared" si="22"/>
        <v>1.0052431588199571</v>
      </c>
      <c r="AJ21">
        <f t="shared" si="23"/>
        <v>0.52431588199570722</v>
      </c>
      <c r="AK21">
        <f t="shared" si="24"/>
        <v>52532.573392258993</v>
      </c>
      <c r="AL21" t="s">
        <v>278</v>
      </c>
      <c r="AM21">
        <v>520.33192307692298</v>
      </c>
      <c r="AN21">
        <v>3330.63</v>
      </c>
      <c r="AO21">
        <f t="shared" si="25"/>
        <v>2810.2980769230771</v>
      </c>
      <c r="AP21">
        <f t="shared" si="26"/>
        <v>0.84377372356673574</v>
      </c>
      <c r="AQ21">
        <v>-1.3252759154356599</v>
      </c>
      <c r="AR21" t="s">
        <v>305</v>
      </c>
      <c r="AS21">
        <v>738.59392307692303</v>
      </c>
      <c r="AT21">
        <v>1019.83</v>
      </c>
      <c r="AU21">
        <f t="shared" si="27"/>
        <v>0.27576760530978395</v>
      </c>
      <c r="AV21">
        <v>0.5</v>
      </c>
      <c r="AW21">
        <f t="shared" si="28"/>
        <v>1471.1115000963182</v>
      </c>
      <c r="AX21">
        <f t="shared" si="29"/>
        <v>0.55695433696516616</v>
      </c>
      <c r="AY21">
        <f t="shared" si="30"/>
        <v>202.84244776262284</v>
      </c>
      <c r="AZ21">
        <f t="shared" si="31"/>
        <v>0.45292842924801197</v>
      </c>
      <c r="BA21">
        <f t="shared" si="32"/>
        <v>1.2794613136241479E-3</v>
      </c>
      <c r="BB21">
        <f t="shared" si="33"/>
        <v>2.2658678407185513</v>
      </c>
      <c r="BC21" t="s">
        <v>306</v>
      </c>
      <c r="BD21">
        <v>557.91999999999996</v>
      </c>
      <c r="BE21">
        <f t="shared" si="34"/>
        <v>461.91000000000008</v>
      </c>
      <c r="BF21">
        <f t="shared" si="35"/>
        <v>0.60885470529557051</v>
      </c>
      <c r="BG21">
        <f t="shared" si="36"/>
        <v>0.83340847041342225</v>
      </c>
      <c r="BH21">
        <f t="shared" si="37"/>
        <v>0.56303735673118016</v>
      </c>
      <c r="BI21">
        <f t="shared" si="38"/>
        <v>0.82226153125010693</v>
      </c>
      <c r="BJ21">
        <v>1315</v>
      </c>
      <c r="BK21">
        <v>300</v>
      </c>
      <c r="BL21">
        <v>300</v>
      </c>
      <c r="BM21">
        <v>300</v>
      </c>
      <c r="BN21">
        <v>10281.4</v>
      </c>
      <c r="BO21">
        <v>960.94899999999996</v>
      </c>
      <c r="BP21">
        <v>-7.06035E-3</v>
      </c>
      <c r="BQ21">
        <v>6.0939300000000003</v>
      </c>
      <c r="BR21">
        <f t="shared" si="39"/>
        <v>1749.89</v>
      </c>
      <c r="BS21">
        <f t="shared" si="40"/>
        <v>1471.1115000963182</v>
      </c>
      <c r="BT21">
        <f t="shared" si="41"/>
        <v>0.84068798615702589</v>
      </c>
      <c r="BU21">
        <f t="shared" si="42"/>
        <v>0.19137597231405182</v>
      </c>
      <c r="BV21" t="s">
        <v>281</v>
      </c>
      <c r="BW21">
        <v>1566141108.9000001</v>
      </c>
      <c r="BX21">
        <v>49.134099999999997</v>
      </c>
      <c r="BY21">
        <v>50.010599999999997</v>
      </c>
      <c r="BZ21">
        <v>18.082799999999999</v>
      </c>
      <c r="CA21">
        <v>13.8749</v>
      </c>
      <c r="CB21">
        <v>500.03199999999998</v>
      </c>
      <c r="CC21">
        <v>98.783799999999999</v>
      </c>
      <c r="CD21">
        <v>0.199905</v>
      </c>
      <c r="CE21">
        <v>25.366900000000001</v>
      </c>
      <c r="CF21">
        <v>26.9758</v>
      </c>
      <c r="CG21">
        <v>999.9</v>
      </c>
      <c r="CH21">
        <v>10002.5</v>
      </c>
      <c r="CI21">
        <v>0</v>
      </c>
      <c r="CJ21">
        <v>246.358</v>
      </c>
      <c r="CK21">
        <v>1749.89</v>
      </c>
      <c r="CL21">
        <v>0.97699899999999995</v>
      </c>
      <c r="CM21">
        <v>2.3001199999999999E-2</v>
      </c>
      <c r="CN21">
        <v>0</v>
      </c>
      <c r="CO21">
        <v>738.56500000000005</v>
      </c>
      <c r="CP21">
        <v>4.99986</v>
      </c>
      <c r="CQ21">
        <v>14876.3</v>
      </c>
      <c r="CR21">
        <v>14219.8</v>
      </c>
      <c r="CS21">
        <v>45.061999999999998</v>
      </c>
      <c r="CT21">
        <v>46.75</v>
      </c>
      <c r="CU21">
        <v>46</v>
      </c>
      <c r="CV21">
        <v>45.75</v>
      </c>
      <c r="CW21">
        <v>46.561999999999998</v>
      </c>
      <c r="CX21">
        <v>1704.76</v>
      </c>
      <c r="CY21">
        <v>40.130000000000003</v>
      </c>
      <c r="CZ21">
        <v>0</v>
      </c>
      <c r="DA21">
        <v>108.299999952316</v>
      </c>
      <c r="DB21">
        <v>738.59392307692303</v>
      </c>
      <c r="DC21">
        <v>7.9247868021866993E-2</v>
      </c>
      <c r="DD21">
        <v>-130.67350483893301</v>
      </c>
      <c r="DE21">
        <v>14899.623076923101</v>
      </c>
      <c r="DF21">
        <v>15</v>
      </c>
      <c r="DG21">
        <v>1566141140.9000001</v>
      </c>
      <c r="DH21" t="s">
        <v>307</v>
      </c>
      <c r="DI21">
        <v>21</v>
      </c>
      <c r="DJ21">
        <v>-4.8000000000000001E-2</v>
      </c>
      <c r="DK21">
        <v>8.6999999999999994E-2</v>
      </c>
      <c r="DL21">
        <v>50</v>
      </c>
      <c r="DM21">
        <v>14</v>
      </c>
      <c r="DN21">
        <v>0.31</v>
      </c>
      <c r="DO21">
        <v>0.01</v>
      </c>
      <c r="DP21">
        <v>0.44426975126312301</v>
      </c>
      <c r="DQ21">
        <v>0.28014022903869201</v>
      </c>
      <c r="DR21">
        <v>7.5147991791329097E-2</v>
      </c>
      <c r="DS21">
        <v>1</v>
      </c>
      <c r="DT21">
        <v>0.20245367689034</v>
      </c>
      <c r="DU21">
        <v>5.4402812989428695E-4</v>
      </c>
      <c r="DV21">
        <v>1.0183369864416E-3</v>
      </c>
      <c r="DW21">
        <v>1</v>
      </c>
      <c r="DX21">
        <v>2</v>
      </c>
      <c r="DY21">
        <v>2</v>
      </c>
      <c r="DZ21" t="s">
        <v>283</v>
      </c>
      <c r="EA21">
        <v>1.8673299999999999</v>
      </c>
      <c r="EB21">
        <v>1.8638600000000001</v>
      </c>
      <c r="EC21">
        <v>1.86951</v>
      </c>
      <c r="ED21">
        <v>1.86738</v>
      </c>
      <c r="EE21">
        <v>1.8721000000000001</v>
      </c>
      <c r="EF21">
        <v>1.8645799999999999</v>
      </c>
      <c r="EG21">
        <v>1.86615</v>
      </c>
      <c r="EH21">
        <v>1.8661000000000001</v>
      </c>
      <c r="EI21" t="s">
        <v>284</v>
      </c>
      <c r="EJ21" t="s">
        <v>19</v>
      </c>
      <c r="EK21" t="s">
        <v>19</v>
      </c>
      <c r="EL21" t="s">
        <v>19</v>
      </c>
      <c r="EM21" t="s">
        <v>285</v>
      </c>
      <c r="EN21" t="s">
        <v>286</v>
      </c>
      <c r="EO21" t="s">
        <v>287</v>
      </c>
      <c r="EP21" t="s">
        <v>287</v>
      </c>
      <c r="EQ21" t="s">
        <v>287</v>
      </c>
      <c r="ER21" t="s">
        <v>287</v>
      </c>
      <c r="ES21">
        <v>0</v>
      </c>
      <c r="ET21">
        <v>100</v>
      </c>
      <c r="EU21">
        <v>100</v>
      </c>
      <c r="EV21">
        <v>-4.8000000000000001E-2</v>
      </c>
      <c r="EW21">
        <v>8.6999999999999994E-2</v>
      </c>
      <c r="EX21">
        <v>2</v>
      </c>
      <c r="EY21">
        <v>343.87599999999998</v>
      </c>
      <c r="EZ21">
        <v>498.11799999999999</v>
      </c>
      <c r="FA21">
        <v>20.8477</v>
      </c>
      <c r="FB21">
        <v>32.627499999999998</v>
      </c>
      <c r="FC21">
        <v>29.999099999999999</v>
      </c>
      <c r="FD21">
        <v>32.758899999999997</v>
      </c>
      <c r="FE21">
        <v>32.761699999999998</v>
      </c>
      <c r="FF21">
        <v>5.6552499999999997</v>
      </c>
      <c r="FG21">
        <v>61.147300000000001</v>
      </c>
      <c r="FH21">
        <v>0</v>
      </c>
      <c r="FI21">
        <v>20.852699999999999</v>
      </c>
      <c r="FJ21">
        <v>50</v>
      </c>
      <c r="FK21">
        <v>13.8696</v>
      </c>
      <c r="FL21">
        <v>100.877</v>
      </c>
      <c r="FM21">
        <v>101.352</v>
      </c>
    </row>
    <row r="22" spans="1:169" x14ac:dyDescent="0.35">
      <c r="A22">
        <v>6</v>
      </c>
      <c r="B22">
        <v>1566141221.4000001</v>
      </c>
      <c r="C22">
        <v>578</v>
      </c>
      <c r="D22" t="s">
        <v>308</v>
      </c>
      <c r="E22" t="s">
        <v>309</v>
      </c>
      <c r="G22">
        <v>1566141221.4000001</v>
      </c>
      <c r="H22">
        <f t="shared" si="0"/>
        <v>3.5857720240086168E-3</v>
      </c>
      <c r="I22">
        <f t="shared" si="1"/>
        <v>-1.9896430105867444</v>
      </c>
      <c r="J22">
        <f t="shared" si="2"/>
        <v>14.789002272032244</v>
      </c>
      <c r="K22">
        <f t="shared" si="3"/>
        <v>30.424258499714497</v>
      </c>
      <c r="L22">
        <f t="shared" si="4"/>
        <v>3.0116880086393789</v>
      </c>
      <c r="M22">
        <f t="shared" si="5"/>
        <v>1.4639587946847743</v>
      </c>
      <c r="N22">
        <f t="shared" si="6"/>
        <v>0.20372279482386477</v>
      </c>
      <c r="O22">
        <f t="shared" si="7"/>
        <v>2.2424539195315818</v>
      </c>
      <c r="P22">
        <f t="shared" si="8"/>
        <v>0.19397084885610422</v>
      </c>
      <c r="Q22">
        <f t="shared" si="9"/>
        <v>0.1220690444722505</v>
      </c>
      <c r="R22">
        <f t="shared" si="10"/>
        <v>281.56787534962399</v>
      </c>
      <c r="S22">
        <f t="shared" si="11"/>
        <v>26.411315653073952</v>
      </c>
      <c r="T22">
        <f t="shared" si="12"/>
        <v>27.009599999999999</v>
      </c>
      <c r="U22">
        <f t="shared" si="13"/>
        <v>3.5811782333868818</v>
      </c>
      <c r="V22">
        <f t="shared" si="14"/>
        <v>55.049778048454058</v>
      </c>
      <c r="W22">
        <f t="shared" si="15"/>
        <v>1.8009887775341</v>
      </c>
      <c r="X22">
        <f t="shared" si="16"/>
        <v>3.2715641032174454</v>
      </c>
      <c r="Y22">
        <f t="shared" si="17"/>
        <v>1.7801894558527818</v>
      </c>
      <c r="Z22">
        <f t="shared" si="18"/>
        <v>-158.13254625878</v>
      </c>
      <c r="AA22">
        <f t="shared" si="19"/>
        <v>-185.07842449411226</v>
      </c>
      <c r="AB22">
        <f t="shared" si="20"/>
        <v>-17.677600824325104</v>
      </c>
      <c r="AC22">
        <f t="shared" si="21"/>
        <v>-79.320696227593373</v>
      </c>
      <c r="AD22">
        <v>-4.0980903055041901E-2</v>
      </c>
      <c r="AE22">
        <v>4.6004653803571702E-2</v>
      </c>
      <c r="AF22">
        <v>3.4417385066916601</v>
      </c>
      <c r="AG22">
        <v>136</v>
      </c>
      <c r="AH22">
        <v>27</v>
      </c>
      <c r="AI22">
        <f t="shared" si="22"/>
        <v>1.0052056733721249</v>
      </c>
      <c r="AJ22">
        <f t="shared" si="23"/>
        <v>0.52056733721248527</v>
      </c>
      <c r="AK22">
        <f t="shared" si="24"/>
        <v>52522.685080721814</v>
      </c>
      <c r="AL22" t="s">
        <v>278</v>
      </c>
      <c r="AM22">
        <v>520.33192307692298</v>
      </c>
      <c r="AN22">
        <v>3330.63</v>
      </c>
      <c r="AO22">
        <f t="shared" si="25"/>
        <v>2810.2980769230771</v>
      </c>
      <c r="AP22">
        <f t="shared" si="26"/>
        <v>0.84377372356673574</v>
      </c>
      <c r="AQ22">
        <v>-1.3252759154356599</v>
      </c>
      <c r="AR22" t="s">
        <v>310</v>
      </c>
      <c r="AS22">
        <v>744.75657692307698</v>
      </c>
      <c r="AT22">
        <v>993.79499999999996</v>
      </c>
      <c r="AU22">
        <f t="shared" si="27"/>
        <v>0.25059335484372836</v>
      </c>
      <c r="AV22">
        <v>0.5</v>
      </c>
      <c r="AW22">
        <f t="shared" si="28"/>
        <v>1471.2798000963307</v>
      </c>
      <c r="AX22">
        <f t="shared" si="29"/>
        <v>-1.9896430105867444</v>
      </c>
      <c r="AY22">
        <f t="shared" si="30"/>
        <v>184.34647050997478</v>
      </c>
      <c r="AZ22">
        <f t="shared" si="31"/>
        <v>0.43642300474443918</v>
      </c>
      <c r="BA22">
        <f t="shared" si="32"/>
        <v>-4.515572735434726E-4</v>
      </c>
      <c r="BB22">
        <f t="shared" si="33"/>
        <v>2.351425595822076</v>
      </c>
      <c r="BC22" t="s">
        <v>311</v>
      </c>
      <c r="BD22">
        <v>560.08000000000004</v>
      </c>
      <c r="BE22">
        <f t="shared" si="34"/>
        <v>433.71499999999992</v>
      </c>
      <c r="BF22">
        <f t="shared" si="35"/>
        <v>0.57419831704442559</v>
      </c>
      <c r="BG22">
        <f t="shared" si="36"/>
        <v>0.84345527061413794</v>
      </c>
      <c r="BH22">
        <f t="shared" si="37"/>
        <v>0.52599333552124905</v>
      </c>
      <c r="BI22">
        <f t="shared" si="38"/>
        <v>0.83152567309106951</v>
      </c>
      <c r="BJ22">
        <v>1317</v>
      </c>
      <c r="BK22">
        <v>300</v>
      </c>
      <c r="BL22">
        <v>300</v>
      </c>
      <c r="BM22">
        <v>300</v>
      </c>
      <c r="BN22">
        <v>10282.5</v>
      </c>
      <c r="BO22">
        <v>944.57399999999996</v>
      </c>
      <c r="BP22">
        <v>-7.0611399999999996E-3</v>
      </c>
      <c r="BQ22">
        <v>6.4299900000000001</v>
      </c>
      <c r="BR22">
        <f t="shared" si="39"/>
        <v>1750.09</v>
      </c>
      <c r="BS22">
        <f t="shared" si="40"/>
        <v>1471.2798000963307</v>
      </c>
      <c r="BT22">
        <f t="shared" si="41"/>
        <v>0.8406880789538429</v>
      </c>
      <c r="BU22">
        <f t="shared" si="42"/>
        <v>0.19137615790768592</v>
      </c>
      <c r="BV22" t="s">
        <v>281</v>
      </c>
      <c r="BW22">
        <v>1566141221.4000001</v>
      </c>
      <c r="BX22">
        <v>14.789</v>
      </c>
      <c r="BY22">
        <v>12.476800000000001</v>
      </c>
      <c r="BZ22">
        <v>18.1937</v>
      </c>
      <c r="CA22">
        <v>13.9902</v>
      </c>
      <c r="CB22">
        <v>499.86399999999998</v>
      </c>
      <c r="CC22">
        <v>98.789900000000003</v>
      </c>
      <c r="CD22">
        <v>0.199793</v>
      </c>
      <c r="CE22">
        <v>25.4787</v>
      </c>
      <c r="CF22">
        <v>27.009599999999999</v>
      </c>
      <c r="CG22">
        <v>999.9</v>
      </c>
      <c r="CH22">
        <v>10003.799999999999</v>
      </c>
      <c r="CI22">
        <v>0</v>
      </c>
      <c r="CJ22">
        <v>363.97800000000001</v>
      </c>
      <c r="CK22">
        <v>1750.09</v>
      </c>
      <c r="CL22">
        <v>0.97699899999999995</v>
      </c>
      <c r="CM22">
        <v>2.3001199999999999E-2</v>
      </c>
      <c r="CN22">
        <v>0</v>
      </c>
      <c r="CO22">
        <v>745.18799999999999</v>
      </c>
      <c r="CP22">
        <v>4.99986</v>
      </c>
      <c r="CQ22">
        <v>15038.4</v>
      </c>
      <c r="CR22">
        <v>14221.5</v>
      </c>
      <c r="CS22">
        <v>44.686999999999998</v>
      </c>
      <c r="CT22">
        <v>46.25</v>
      </c>
      <c r="CU22">
        <v>45.625</v>
      </c>
      <c r="CV22">
        <v>45.186999999999998</v>
      </c>
      <c r="CW22">
        <v>46.25</v>
      </c>
      <c r="CX22">
        <v>1704.95</v>
      </c>
      <c r="CY22">
        <v>40.14</v>
      </c>
      <c r="CZ22">
        <v>0</v>
      </c>
      <c r="DA22">
        <v>111.799999952316</v>
      </c>
      <c r="DB22">
        <v>744.75657692307698</v>
      </c>
      <c r="DC22">
        <v>2.3596923003535601</v>
      </c>
      <c r="DD22">
        <v>-35.367520204160598</v>
      </c>
      <c r="DE22">
        <v>15028.1423076923</v>
      </c>
      <c r="DF22">
        <v>15</v>
      </c>
      <c r="DG22">
        <v>1566141250.4000001</v>
      </c>
      <c r="DH22" t="s">
        <v>312</v>
      </c>
      <c r="DI22">
        <v>22</v>
      </c>
      <c r="DJ22">
        <v>-0.11600000000000001</v>
      </c>
      <c r="DK22">
        <v>8.7999999999999995E-2</v>
      </c>
      <c r="DL22">
        <v>12</v>
      </c>
      <c r="DM22">
        <v>14</v>
      </c>
      <c r="DN22">
        <v>0.24</v>
      </c>
      <c r="DO22">
        <v>0.02</v>
      </c>
      <c r="DP22">
        <v>-2.0687431445078701</v>
      </c>
      <c r="DQ22">
        <v>0.25397577113438502</v>
      </c>
      <c r="DR22">
        <v>7.5352020042651E-2</v>
      </c>
      <c r="DS22">
        <v>1</v>
      </c>
      <c r="DT22">
        <v>0.20352112869519301</v>
      </c>
      <c r="DU22">
        <v>1.9029304173412199E-3</v>
      </c>
      <c r="DV22">
        <v>8.3200534086653999E-4</v>
      </c>
      <c r="DW22">
        <v>1</v>
      </c>
      <c r="DX22">
        <v>2</v>
      </c>
      <c r="DY22">
        <v>2</v>
      </c>
      <c r="DZ22" t="s">
        <v>283</v>
      </c>
      <c r="EA22">
        <v>1.8673500000000001</v>
      </c>
      <c r="EB22">
        <v>1.86385</v>
      </c>
      <c r="EC22">
        <v>1.8694999999999999</v>
      </c>
      <c r="ED22">
        <v>1.86737</v>
      </c>
      <c r="EE22">
        <v>1.8721000000000001</v>
      </c>
      <c r="EF22">
        <v>1.8645700000000001</v>
      </c>
      <c r="EG22">
        <v>1.86615</v>
      </c>
      <c r="EH22">
        <v>1.8660399999999999</v>
      </c>
      <c r="EI22" t="s">
        <v>284</v>
      </c>
      <c r="EJ22" t="s">
        <v>19</v>
      </c>
      <c r="EK22" t="s">
        <v>19</v>
      </c>
      <c r="EL22" t="s">
        <v>19</v>
      </c>
      <c r="EM22" t="s">
        <v>285</v>
      </c>
      <c r="EN22" t="s">
        <v>286</v>
      </c>
      <c r="EO22" t="s">
        <v>287</v>
      </c>
      <c r="EP22" t="s">
        <v>287</v>
      </c>
      <c r="EQ22" t="s">
        <v>287</v>
      </c>
      <c r="ER22" t="s">
        <v>287</v>
      </c>
      <c r="ES22">
        <v>0</v>
      </c>
      <c r="ET22">
        <v>100</v>
      </c>
      <c r="EU22">
        <v>100</v>
      </c>
      <c r="EV22">
        <v>-0.11600000000000001</v>
      </c>
      <c r="EW22">
        <v>8.7999999999999995E-2</v>
      </c>
      <c r="EX22">
        <v>2</v>
      </c>
      <c r="EY22">
        <v>344.745</v>
      </c>
      <c r="EZ22">
        <v>498.99299999999999</v>
      </c>
      <c r="FA22">
        <v>21.084800000000001</v>
      </c>
      <c r="FB22">
        <v>32.341099999999997</v>
      </c>
      <c r="FC22">
        <v>29.999099999999999</v>
      </c>
      <c r="FD22">
        <v>32.529000000000003</v>
      </c>
      <c r="FE22">
        <v>32.539900000000003</v>
      </c>
      <c r="FF22">
        <v>3.8682500000000002</v>
      </c>
      <c r="FG22">
        <v>60.436900000000001</v>
      </c>
      <c r="FH22">
        <v>0</v>
      </c>
      <c r="FI22">
        <v>21.08</v>
      </c>
      <c r="FJ22">
        <v>12.5</v>
      </c>
      <c r="FK22">
        <v>14.017799999999999</v>
      </c>
      <c r="FL22">
        <v>100.92100000000001</v>
      </c>
      <c r="FM22">
        <v>101.408</v>
      </c>
    </row>
    <row r="23" spans="1:169" x14ac:dyDescent="0.35">
      <c r="A23">
        <v>7</v>
      </c>
      <c r="B23">
        <v>1566141338.4000001</v>
      </c>
      <c r="C23">
        <v>695</v>
      </c>
      <c r="D23" t="s">
        <v>313</v>
      </c>
      <c r="E23" t="s">
        <v>314</v>
      </c>
      <c r="G23">
        <v>1566141338.4000001</v>
      </c>
      <c r="H23">
        <f t="shared" si="0"/>
        <v>3.8072232532024887E-3</v>
      </c>
      <c r="I23">
        <f t="shared" si="1"/>
        <v>23.671595862809941</v>
      </c>
      <c r="J23">
        <f t="shared" si="2"/>
        <v>370.04297311967844</v>
      </c>
      <c r="K23">
        <f t="shared" si="3"/>
        <v>181.75460437283661</v>
      </c>
      <c r="L23">
        <f t="shared" si="4"/>
        <v>17.993521715496595</v>
      </c>
      <c r="M23">
        <f t="shared" si="5"/>
        <v>36.633879485316392</v>
      </c>
      <c r="N23">
        <f t="shared" si="6"/>
        <v>0.21981731765665746</v>
      </c>
      <c r="O23">
        <f t="shared" si="7"/>
        <v>2.2473537103993229</v>
      </c>
      <c r="P23">
        <f t="shared" si="8"/>
        <v>0.20853289222577362</v>
      </c>
      <c r="Q23">
        <f t="shared" si="9"/>
        <v>0.13129862620507596</v>
      </c>
      <c r="R23">
        <f t="shared" si="10"/>
        <v>281.57106733068406</v>
      </c>
      <c r="S23">
        <f t="shared" si="11"/>
        <v>26.512310525761524</v>
      </c>
      <c r="T23">
        <f t="shared" si="12"/>
        <v>26.972300000000001</v>
      </c>
      <c r="U23">
        <f t="shared" si="13"/>
        <v>3.5733409282618682</v>
      </c>
      <c r="V23">
        <f t="shared" si="14"/>
        <v>54.902090538258378</v>
      </c>
      <c r="W23">
        <f t="shared" si="15"/>
        <v>1.8150870272527997</v>
      </c>
      <c r="X23">
        <f t="shared" si="16"/>
        <v>3.3060435576455163</v>
      </c>
      <c r="Y23">
        <f t="shared" si="17"/>
        <v>1.7582539010090685</v>
      </c>
      <c r="Z23">
        <f t="shared" si="18"/>
        <v>-167.89854546622976</v>
      </c>
      <c r="AA23">
        <f t="shared" si="19"/>
        <v>-159.56684187055862</v>
      </c>
      <c r="AB23">
        <f t="shared" si="20"/>
        <v>-15.218251256682292</v>
      </c>
      <c r="AC23">
        <f t="shared" si="21"/>
        <v>-61.112571262786588</v>
      </c>
      <c r="AD23">
        <v>-4.1112543232443802E-2</v>
      </c>
      <c r="AE23">
        <v>4.61524314350183E-2</v>
      </c>
      <c r="AF23">
        <v>3.4504906781571898</v>
      </c>
      <c r="AG23">
        <v>135</v>
      </c>
      <c r="AH23">
        <v>27</v>
      </c>
      <c r="AI23">
        <f t="shared" si="22"/>
        <v>1.0051542982707573</v>
      </c>
      <c r="AJ23">
        <f t="shared" si="23"/>
        <v>0.51542982707573071</v>
      </c>
      <c r="AK23">
        <f t="shared" si="24"/>
        <v>52653.46440520016</v>
      </c>
      <c r="AL23" t="s">
        <v>278</v>
      </c>
      <c r="AM23">
        <v>520.33192307692298</v>
      </c>
      <c r="AN23">
        <v>3330.63</v>
      </c>
      <c r="AO23">
        <f t="shared" si="25"/>
        <v>2810.2980769230771</v>
      </c>
      <c r="AP23">
        <f t="shared" si="26"/>
        <v>0.84377372356673574</v>
      </c>
      <c r="AQ23">
        <v>-1.3252759154356599</v>
      </c>
      <c r="AR23" t="s">
        <v>315</v>
      </c>
      <c r="AS23">
        <v>704.014461538462</v>
      </c>
      <c r="AT23">
        <v>1098.05</v>
      </c>
      <c r="AU23">
        <f t="shared" si="27"/>
        <v>0.35885026953375343</v>
      </c>
      <c r="AV23">
        <v>0.5</v>
      </c>
      <c r="AW23">
        <f t="shared" si="28"/>
        <v>1471.2966000963297</v>
      </c>
      <c r="AX23">
        <f t="shared" si="29"/>
        <v>23.671595862809941</v>
      </c>
      <c r="AY23">
        <f t="shared" si="30"/>
        <v>263.98759075433145</v>
      </c>
      <c r="AZ23">
        <f t="shared" si="31"/>
        <v>0.53743454305359495</v>
      </c>
      <c r="BA23">
        <f t="shared" si="32"/>
        <v>1.6989689078741151E-2</v>
      </c>
      <c r="BB23">
        <f t="shared" si="33"/>
        <v>2.0332225308501433</v>
      </c>
      <c r="BC23" t="s">
        <v>316</v>
      </c>
      <c r="BD23">
        <v>507.92</v>
      </c>
      <c r="BE23">
        <f t="shared" si="34"/>
        <v>590.12999999999988</v>
      </c>
      <c r="BF23">
        <f t="shared" si="35"/>
        <v>0.6677097223688645</v>
      </c>
      <c r="BG23">
        <f t="shared" si="36"/>
        <v>0.7909349525810303</v>
      </c>
      <c r="BH23">
        <f t="shared" si="37"/>
        <v>0.68205506145864236</v>
      </c>
      <c r="BI23">
        <f t="shared" si="38"/>
        <v>0.79442818480109201</v>
      </c>
      <c r="BJ23">
        <v>1319</v>
      </c>
      <c r="BK23">
        <v>300</v>
      </c>
      <c r="BL23">
        <v>300</v>
      </c>
      <c r="BM23">
        <v>300</v>
      </c>
      <c r="BN23">
        <v>10283.4</v>
      </c>
      <c r="BO23">
        <v>996.33600000000001</v>
      </c>
      <c r="BP23">
        <v>-7.06282E-3</v>
      </c>
      <c r="BQ23">
        <v>5.0760500000000004</v>
      </c>
      <c r="BR23">
        <f t="shared" si="39"/>
        <v>1750.11</v>
      </c>
      <c r="BS23">
        <f t="shared" si="40"/>
        <v>1471.2966000963297</v>
      </c>
      <c r="BT23">
        <f t="shared" si="41"/>
        <v>0.84068807109057708</v>
      </c>
      <c r="BU23">
        <f t="shared" si="42"/>
        <v>0.19137614218115426</v>
      </c>
      <c r="BV23" t="s">
        <v>281</v>
      </c>
      <c r="BW23">
        <v>1566141338.4000001</v>
      </c>
      <c r="BX23">
        <v>370.04300000000001</v>
      </c>
      <c r="BY23">
        <v>399.99200000000002</v>
      </c>
      <c r="BZ23">
        <v>18.334399999999999</v>
      </c>
      <c r="CA23">
        <v>13.873200000000001</v>
      </c>
      <c r="CB23">
        <v>500.03100000000001</v>
      </c>
      <c r="CC23">
        <v>98.799099999999996</v>
      </c>
      <c r="CD23">
        <v>0.19988700000000001</v>
      </c>
      <c r="CE23">
        <v>25.6553</v>
      </c>
      <c r="CF23">
        <v>26.972300000000001</v>
      </c>
      <c r="CG23">
        <v>999.9</v>
      </c>
      <c r="CH23">
        <v>10035</v>
      </c>
      <c r="CI23">
        <v>0</v>
      </c>
      <c r="CJ23">
        <v>449.89299999999997</v>
      </c>
      <c r="CK23">
        <v>1750.11</v>
      </c>
      <c r="CL23">
        <v>0.97699899999999995</v>
      </c>
      <c r="CM23">
        <v>2.3001199999999999E-2</v>
      </c>
      <c r="CN23">
        <v>0</v>
      </c>
      <c r="CO23">
        <v>704.08600000000001</v>
      </c>
      <c r="CP23">
        <v>4.99986</v>
      </c>
      <c r="CQ23">
        <v>14405.4</v>
      </c>
      <c r="CR23">
        <v>14221.6</v>
      </c>
      <c r="CS23">
        <v>44.375</v>
      </c>
      <c r="CT23">
        <v>45.875</v>
      </c>
      <c r="CU23">
        <v>45.25</v>
      </c>
      <c r="CV23">
        <v>44.936999999999998</v>
      </c>
      <c r="CW23">
        <v>45.936999999999998</v>
      </c>
      <c r="CX23">
        <v>1704.97</v>
      </c>
      <c r="CY23">
        <v>40.14</v>
      </c>
      <c r="CZ23">
        <v>0</v>
      </c>
      <c r="DA23">
        <v>116.40000009536701</v>
      </c>
      <c r="DB23">
        <v>704.014461538462</v>
      </c>
      <c r="DC23">
        <v>-2.46844443517901</v>
      </c>
      <c r="DD23">
        <v>109.839316205507</v>
      </c>
      <c r="DE23">
        <v>14387.961538461501</v>
      </c>
      <c r="DF23">
        <v>15</v>
      </c>
      <c r="DG23">
        <v>1566141366.4000001</v>
      </c>
      <c r="DH23" t="s">
        <v>317</v>
      </c>
      <c r="DI23">
        <v>23</v>
      </c>
      <c r="DJ23">
        <v>0.17299999999999999</v>
      </c>
      <c r="DK23">
        <v>8.5000000000000006E-2</v>
      </c>
      <c r="DL23">
        <v>400</v>
      </c>
      <c r="DM23">
        <v>14</v>
      </c>
      <c r="DN23">
        <v>0.06</v>
      </c>
      <c r="DO23">
        <v>0.02</v>
      </c>
      <c r="DP23">
        <v>23.8566239116563</v>
      </c>
      <c r="DQ23">
        <v>-0.18352254515925001</v>
      </c>
      <c r="DR23">
        <v>0.106252710616797</v>
      </c>
      <c r="DS23">
        <v>1</v>
      </c>
      <c r="DT23">
        <v>0.21693329832413</v>
      </c>
      <c r="DU23">
        <v>8.0710863453747894E-3</v>
      </c>
      <c r="DV23">
        <v>1.59936553417934E-3</v>
      </c>
      <c r="DW23">
        <v>1</v>
      </c>
      <c r="DX23">
        <v>2</v>
      </c>
      <c r="DY23">
        <v>2</v>
      </c>
      <c r="DZ23" t="s">
        <v>283</v>
      </c>
      <c r="EA23">
        <v>1.86731</v>
      </c>
      <c r="EB23">
        <v>1.86385</v>
      </c>
      <c r="EC23">
        <v>1.8694999999999999</v>
      </c>
      <c r="ED23">
        <v>1.86737</v>
      </c>
      <c r="EE23">
        <v>1.8721000000000001</v>
      </c>
      <c r="EF23">
        <v>1.8645799999999999</v>
      </c>
      <c r="EG23">
        <v>1.8661399999999999</v>
      </c>
      <c r="EH23">
        <v>1.8661000000000001</v>
      </c>
      <c r="EI23" t="s">
        <v>284</v>
      </c>
      <c r="EJ23" t="s">
        <v>19</v>
      </c>
      <c r="EK23" t="s">
        <v>19</v>
      </c>
      <c r="EL23" t="s">
        <v>19</v>
      </c>
      <c r="EM23" t="s">
        <v>285</v>
      </c>
      <c r="EN23" t="s">
        <v>286</v>
      </c>
      <c r="EO23" t="s">
        <v>287</v>
      </c>
      <c r="EP23" t="s">
        <v>287</v>
      </c>
      <c r="EQ23" t="s">
        <v>287</v>
      </c>
      <c r="ER23" t="s">
        <v>287</v>
      </c>
      <c r="ES23">
        <v>0</v>
      </c>
      <c r="ET23">
        <v>100</v>
      </c>
      <c r="EU23">
        <v>100</v>
      </c>
      <c r="EV23">
        <v>0.17299999999999999</v>
      </c>
      <c r="EW23">
        <v>8.5000000000000006E-2</v>
      </c>
      <c r="EX23">
        <v>2</v>
      </c>
      <c r="EY23">
        <v>346.34</v>
      </c>
      <c r="EZ23">
        <v>500.113</v>
      </c>
      <c r="FA23">
        <v>21.8123</v>
      </c>
      <c r="FB23">
        <v>32.062399999999997</v>
      </c>
      <c r="FC23">
        <v>29.999199999999998</v>
      </c>
      <c r="FD23">
        <v>32.281700000000001</v>
      </c>
      <c r="FE23">
        <v>32.2988</v>
      </c>
      <c r="FF23">
        <v>21.976400000000002</v>
      </c>
      <c r="FG23">
        <v>61.067100000000003</v>
      </c>
      <c r="FH23">
        <v>0</v>
      </c>
      <c r="FI23">
        <v>21.823699999999999</v>
      </c>
      <c r="FJ23">
        <v>400</v>
      </c>
      <c r="FK23">
        <v>13.8712</v>
      </c>
      <c r="FL23">
        <v>100.967</v>
      </c>
      <c r="FM23">
        <v>101.462</v>
      </c>
    </row>
    <row r="24" spans="1:169" x14ac:dyDescent="0.35">
      <c r="A24">
        <v>8</v>
      </c>
      <c r="B24">
        <v>1566141434.9000001</v>
      </c>
      <c r="C24">
        <v>791.5</v>
      </c>
      <c r="D24" t="s">
        <v>318</v>
      </c>
      <c r="E24" t="s">
        <v>319</v>
      </c>
      <c r="G24">
        <v>1566141434.9000001</v>
      </c>
      <c r="H24">
        <f t="shared" si="0"/>
        <v>3.9540495824149239E-3</v>
      </c>
      <c r="I24">
        <f t="shared" si="1"/>
        <v>24.148781475449155</v>
      </c>
      <c r="J24">
        <f t="shared" si="2"/>
        <v>369.34597238129504</v>
      </c>
      <c r="K24">
        <f t="shared" si="3"/>
        <v>184.33140495103947</v>
      </c>
      <c r="L24">
        <f t="shared" si="4"/>
        <v>18.249333881662807</v>
      </c>
      <c r="M24">
        <f t="shared" si="5"/>
        <v>36.56630279373158</v>
      </c>
      <c r="N24">
        <f t="shared" si="6"/>
        <v>0.22886403926377669</v>
      </c>
      <c r="O24">
        <f t="shared" si="7"/>
        <v>2.242256406084973</v>
      </c>
      <c r="P24">
        <f t="shared" si="8"/>
        <v>0.21663320525249974</v>
      </c>
      <c r="Q24">
        <f t="shared" si="9"/>
        <v>0.13644015023996336</v>
      </c>
      <c r="R24">
        <f t="shared" si="10"/>
        <v>281.54233950115929</v>
      </c>
      <c r="S24">
        <f t="shared" si="11"/>
        <v>26.635034080361478</v>
      </c>
      <c r="T24">
        <f t="shared" si="12"/>
        <v>27.075399999999998</v>
      </c>
      <c r="U24">
        <f t="shared" si="13"/>
        <v>3.5950404149987119</v>
      </c>
      <c r="V24">
        <f t="shared" si="14"/>
        <v>55.024747266980611</v>
      </c>
      <c r="W24">
        <f t="shared" si="15"/>
        <v>1.837591843167</v>
      </c>
      <c r="X24">
        <f t="shared" si="16"/>
        <v>3.339573436386698</v>
      </c>
      <c r="Y24">
        <f t="shared" si="17"/>
        <v>1.7574485718317119</v>
      </c>
      <c r="Z24">
        <f t="shared" si="18"/>
        <v>-174.37358658449816</v>
      </c>
      <c r="AA24">
        <f t="shared" si="19"/>
        <v>-151.09357075332943</v>
      </c>
      <c r="AB24">
        <f t="shared" si="20"/>
        <v>-14.462678129685651</v>
      </c>
      <c r="AC24">
        <f t="shared" si="21"/>
        <v>-58.387495966353924</v>
      </c>
      <c r="AD24">
        <v>-4.0975601969299703E-2</v>
      </c>
      <c r="AE24">
        <v>4.5998702870425498E-2</v>
      </c>
      <c r="AF24">
        <v>3.4413858597572098</v>
      </c>
      <c r="AG24">
        <v>134</v>
      </c>
      <c r="AH24">
        <v>27</v>
      </c>
      <c r="AI24">
        <f t="shared" si="22"/>
        <v>1.0051353291299412</v>
      </c>
      <c r="AJ24">
        <f t="shared" si="23"/>
        <v>0.51353291299411907</v>
      </c>
      <c r="AK24">
        <f t="shared" si="24"/>
        <v>52455.5021480996</v>
      </c>
      <c r="AL24" t="s">
        <v>278</v>
      </c>
      <c r="AM24">
        <v>520.33192307692298</v>
      </c>
      <c r="AN24">
        <v>3330.63</v>
      </c>
      <c r="AO24">
        <f t="shared" si="25"/>
        <v>2810.2980769230771</v>
      </c>
      <c r="AP24">
        <f t="shared" si="26"/>
        <v>0.84377372356673574</v>
      </c>
      <c r="AQ24">
        <v>-1.3252759154356599</v>
      </c>
      <c r="AR24" t="s">
        <v>320</v>
      </c>
      <c r="AS24">
        <v>709.04250000000002</v>
      </c>
      <c r="AT24">
        <v>1129.5899999999999</v>
      </c>
      <c r="AU24">
        <f t="shared" si="27"/>
        <v>0.37230101187156395</v>
      </c>
      <c r="AV24">
        <v>0.5</v>
      </c>
      <c r="AW24">
        <f t="shared" si="28"/>
        <v>1471.1454000963399</v>
      </c>
      <c r="AX24">
        <f t="shared" si="29"/>
        <v>24.148781475449155</v>
      </c>
      <c r="AY24">
        <f t="shared" si="30"/>
        <v>273.85446053303207</v>
      </c>
      <c r="AZ24">
        <f t="shared" si="31"/>
        <v>0.54827857895342558</v>
      </c>
      <c r="BA24">
        <f t="shared" si="32"/>
        <v>1.7315798553437758E-2</v>
      </c>
      <c r="BB24">
        <f t="shared" si="33"/>
        <v>1.9485299976097523</v>
      </c>
      <c r="BC24" t="s">
        <v>321</v>
      </c>
      <c r="BD24">
        <v>510.26</v>
      </c>
      <c r="BE24">
        <f t="shared" si="34"/>
        <v>619.32999999999993</v>
      </c>
      <c r="BF24">
        <f t="shared" si="35"/>
        <v>0.6790362165566014</v>
      </c>
      <c r="BG24">
        <f t="shared" si="36"/>
        <v>0.78040824430837086</v>
      </c>
      <c r="BH24">
        <f t="shared" si="37"/>
        <v>0.69026167387699144</v>
      </c>
      <c r="BI24">
        <f t="shared" si="38"/>
        <v>0.78320517601814743</v>
      </c>
      <c r="BJ24">
        <v>1321</v>
      </c>
      <c r="BK24">
        <v>300</v>
      </c>
      <c r="BL24">
        <v>300</v>
      </c>
      <c r="BM24">
        <v>300</v>
      </c>
      <c r="BN24">
        <v>10284.200000000001</v>
      </c>
      <c r="BO24">
        <v>1017.8</v>
      </c>
      <c r="BP24">
        <v>-7.0633199999999997E-3</v>
      </c>
      <c r="BQ24">
        <v>5.7124600000000001</v>
      </c>
      <c r="BR24">
        <f t="shared" si="39"/>
        <v>1749.93</v>
      </c>
      <c r="BS24">
        <f t="shared" si="40"/>
        <v>1471.1454000963399</v>
      </c>
      <c r="BT24">
        <f t="shared" si="41"/>
        <v>0.84068814186644025</v>
      </c>
      <c r="BU24">
        <f t="shared" si="42"/>
        <v>0.1913762837328806</v>
      </c>
      <c r="BV24" t="s">
        <v>281</v>
      </c>
      <c r="BW24">
        <v>1566141434.9000001</v>
      </c>
      <c r="BX24">
        <v>369.346</v>
      </c>
      <c r="BY24">
        <v>399.928</v>
      </c>
      <c r="BZ24">
        <v>18.561</v>
      </c>
      <c r="CA24">
        <v>13.928599999999999</v>
      </c>
      <c r="CB24">
        <v>500.01600000000002</v>
      </c>
      <c r="CC24">
        <v>98.802800000000005</v>
      </c>
      <c r="CD24">
        <v>0.200047</v>
      </c>
      <c r="CE24">
        <v>25.825500000000002</v>
      </c>
      <c r="CF24">
        <v>27.075399999999998</v>
      </c>
      <c r="CG24">
        <v>999.9</v>
      </c>
      <c r="CH24">
        <v>10001.200000000001</v>
      </c>
      <c r="CI24">
        <v>0</v>
      </c>
      <c r="CJ24">
        <v>712.36800000000005</v>
      </c>
      <c r="CK24">
        <v>1749.93</v>
      </c>
      <c r="CL24">
        <v>0.97699499999999995</v>
      </c>
      <c r="CM24">
        <v>2.3005299999999999E-2</v>
      </c>
      <c r="CN24">
        <v>0</v>
      </c>
      <c r="CO24">
        <v>709.78899999999999</v>
      </c>
      <c r="CP24">
        <v>4.99986</v>
      </c>
      <c r="CQ24">
        <v>15230.4</v>
      </c>
      <c r="CR24">
        <v>14220.1</v>
      </c>
      <c r="CS24">
        <v>44.186999999999998</v>
      </c>
      <c r="CT24">
        <v>45.686999999999998</v>
      </c>
      <c r="CU24">
        <v>45</v>
      </c>
      <c r="CV24">
        <v>44.811999999999998</v>
      </c>
      <c r="CW24">
        <v>45.811999999999998</v>
      </c>
      <c r="CX24">
        <v>1704.79</v>
      </c>
      <c r="CY24">
        <v>40.14</v>
      </c>
      <c r="CZ24">
        <v>0</v>
      </c>
      <c r="DA24">
        <v>96.099999904632597</v>
      </c>
      <c r="DB24">
        <v>709.04250000000002</v>
      </c>
      <c r="DC24">
        <v>6.2872136769202198</v>
      </c>
      <c r="DD24">
        <v>547.53162399176802</v>
      </c>
      <c r="DE24">
        <v>15152.342307692301</v>
      </c>
      <c r="DF24">
        <v>15</v>
      </c>
      <c r="DG24">
        <v>1566141466</v>
      </c>
      <c r="DH24" t="s">
        <v>322</v>
      </c>
      <c r="DI24">
        <v>24</v>
      </c>
      <c r="DJ24">
        <v>0.193</v>
      </c>
      <c r="DK24">
        <v>8.6999999999999994E-2</v>
      </c>
      <c r="DL24">
        <v>400</v>
      </c>
      <c r="DM24">
        <v>14</v>
      </c>
      <c r="DN24">
        <v>7.0000000000000007E-2</v>
      </c>
      <c r="DO24">
        <v>0.02</v>
      </c>
      <c r="DP24">
        <v>24.099678601083301</v>
      </c>
      <c r="DQ24">
        <v>0.29952681942556503</v>
      </c>
      <c r="DR24">
        <v>6.4585421640059301E-2</v>
      </c>
      <c r="DS24">
        <v>1</v>
      </c>
      <c r="DT24">
        <v>0.22756911634468399</v>
      </c>
      <c r="DU24">
        <v>2.1580904607134098E-3</v>
      </c>
      <c r="DV24">
        <v>4.8560779189880498E-4</v>
      </c>
      <c r="DW24">
        <v>1</v>
      </c>
      <c r="DX24">
        <v>2</v>
      </c>
      <c r="DY24">
        <v>2</v>
      </c>
      <c r="DZ24" t="s">
        <v>283</v>
      </c>
      <c r="EA24">
        <v>1.8673299999999999</v>
      </c>
      <c r="EB24">
        <v>1.8638600000000001</v>
      </c>
      <c r="EC24">
        <v>1.86947</v>
      </c>
      <c r="ED24">
        <v>1.8673900000000001</v>
      </c>
      <c r="EE24">
        <v>1.8721000000000001</v>
      </c>
      <c r="EF24">
        <v>1.8646</v>
      </c>
      <c r="EG24">
        <v>1.8661399999999999</v>
      </c>
      <c r="EH24">
        <v>1.8660600000000001</v>
      </c>
      <c r="EI24" t="s">
        <v>284</v>
      </c>
      <c r="EJ24" t="s">
        <v>19</v>
      </c>
      <c r="EK24" t="s">
        <v>19</v>
      </c>
      <c r="EL24" t="s">
        <v>19</v>
      </c>
      <c r="EM24" t="s">
        <v>285</v>
      </c>
      <c r="EN24" t="s">
        <v>286</v>
      </c>
      <c r="EO24" t="s">
        <v>287</v>
      </c>
      <c r="EP24" t="s">
        <v>287</v>
      </c>
      <c r="EQ24" t="s">
        <v>287</v>
      </c>
      <c r="ER24" t="s">
        <v>287</v>
      </c>
      <c r="ES24">
        <v>0</v>
      </c>
      <c r="ET24">
        <v>100</v>
      </c>
      <c r="EU24">
        <v>100</v>
      </c>
      <c r="EV24">
        <v>0.193</v>
      </c>
      <c r="EW24">
        <v>8.6999999999999994E-2</v>
      </c>
      <c r="EX24">
        <v>2</v>
      </c>
      <c r="EY24">
        <v>346.70600000000002</v>
      </c>
      <c r="EZ24">
        <v>500.291</v>
      </c>
      <c r="FA24">
        <v>21.363399999999999</v>
      </c>
      <c r="FB24">
        <v>31.868500000000001</v>
      </c>
      <c r="FC24">
        <v>29.9999</v>
      </c>
      <c r="FD24">
        <v>32.094099999999997</v>
      </c>
      <c r="FE24">
        <v>32.1145</v>
      </c>
      <c r="FF24">
        <v>21.9785</v>
      </c>
      <c r="FG24">
        <v>60.799500000000002</v>
      </c>
      <c r="FH24">
        <v>0</v>
      </c>
      <c r="FI24">
        <v>21.3018</v>
      </c>
      <c r="FJ24">
        <v>400</v>
      </c>
      <c r="FK24">
        <v>13.9613</v>
      </c>
      <c r="FL24">
        <v>100.997</v>
      </c>
      <c r="FM24">
        <v>101.498</v>
      </c>
    </row>
    <row r="25" spans="1:169" x14ac:dyDescent="0.35">
      <c r="A25">
        <v>9</v>
      </c>
      <c r="B25">
        <v>1566141549</v>
      </c>
      <c r="C25">
        <v>905.59999990463302</v>
      </c>
      <c r="D25" t="s">
        <v>323</v>
      </c>
      <c r="E25" t="s">
        <v>324</v>
      </c>
      <c r="G25">
        <v>1566141549</v>
      </c>
      <c r="H25">
        <f t="shared" si="0"/>
        <v>4.0088217062547882E-3</v>
      </c>
      <c r="I25">
        <f t="shared" si="1"/>
        <v>30.733573507852157</v>
      </c>
      <c r="J25">
        <f t="shared" si="2"/>
        <v>461.05396483479433</v>
      </c>
      <c r="K25">
        <f t="shared" si="3"/>
        <v>228.46908610902898</v>
      </c>
      <c r="L25">
        <f t="shared" si="4"/>
        <v>22.619046110217489</v>
      </c>
      <c r="M25">
        <f t="shared" si="5"/>
        <v>45.645566616921279</v>
      </c>
      <c r="N25">
        <f t="shared" si="6"/>
        <v>0.23175436919494216</v>
      </c>
      <c r="O25">
        <f t="shared" si="7"/>
        <v>2.2416899593041077</v>
      </c>
      <c r="P25">
        <f t="shared" si="8"/>
        <v>0.21921875727600115</v>
      </c>
      <c r="Q25">
        <f t="shared" si="9"/>
        <v>0.13808146587428061</v>
      </c>
      <c r="R25">
        <f t="shared" si="10"/>
        <v>281.530133402893</v>
      </c>
      <c r="S25">
        <f t="shared" si="11"/>
        <v>26.532137060874305</v>
      </c>
      <c r="T25">
        <f t="shared" si="12"/>
        <v>27.052800000000001</v>
      </c>
      <c r="U25">
        <f t="shared" si="13"/>
        <v>3.5902739686021592</v>
      </c>
      <c r="V25">
        <f t="shared" si="14"/>
        <v>55.054895954611005</v>
      </c>
      <c r="W25">
        <f t="shared" si="15"/>
        <v>1.8293809593555002</v>
      </c>
      <c r="X25">
        <f t="shared" si="16"/>
        <v>3.322830654086967</v>
      </c>
      <c r="Y25">
        <f t="shared" si="17"/>
        <v>1.760893009246659</v>
      </c>
      <c r="Z25">
        <f t="shared" si="18"/>
        <v>-176.78903724583617</v>
      </c>
      <c r="AA25">
        <f t="shared" si="19"/>
        <v>-158.57251907974472</v>
      </c>
      <c r="AB25">
        <f t="shared" si="20"/>
        <v>-15.174238893173385</v>
      </c>
      <c r="AC25">
        <f t="shared" si="21"/>
        <v>-69.005661815861259</v>
      </c>
      <c r="AD25">
        <v>-4.0960401358906301E-2</v>
      </c>
      <c r="AE25">
        <v>4.5981638853612401E-2</v>
      </c>
      <c r="AF25">
        <v>3.4403745751030601</v>
      </c>
      <c r="AG25">
        <v>134</v>
      </c>
      <c r="AH25">
        <v>27</v>
      </c>
      <c r="AI25">
        <f t="shared" si="22"/>
        <v>1.0051357013028854</v>
      </c>
      <c r="AJ25">
        <f t="shared" si="23"/>
        <v>0.51357013028854315</v>
      </c>
      <c r="AK25">
        <f t="shared" si="24"/>
        <v>52451.720234942564</v>
      </c>
      <c r="AL25" t="s">
        <v>278</v>
      </c>
      <c r="AM25">
        <v>520.33192307692298</v>
      </c>
      <c r="AN25">
        <v>3330.63</v>
      </c>
      <c r="AO25">
        <f t="shared" si="25"/>
        <v>2810.2980769230771</v>
      </c>
      <c r="AP25">
        <f t="shared" si="26"/>
        <v>0.84377372356673574</v>
      </c>
      <c r="AQ25">
        <v>-1.3252759154356599</v>
      </c>
      <c r="AR25" t="s">
        <v>325</v>
      </c>
      <c r="AS25">
        <v>724.87492307692298</v>
      </c>
      <c r="AT25">
        <v>1212.02</v>
      </c>
      <c r="AU25">
        <f t="shared" si="27"/>
        <v>0.40192824947036931</v>
      </c>
      <c r="AV25">
        <v>0.5</v>
      </c>
      <c r="AW25">
        <f t="shared" si="28"/>
        <v>1471.0785000963681</v>
      </c>
      <c r="AX25">
        <f t="shared" si="29"/>
        <v>30.733573507852157</v>
      </c>
      <c r="AY25">
        <f t="shared" si="30"/>
        <v>295.63400318861488</v>
      </c>
      <c r="AZ25">
        <f t="shared" si="31"/>
        <v>0.57406643454728468</v>
      </c>
      <c r="BA25">
        <f t="shared" si="32"/>
        <v>2.1792752338632978E-2</v>
      </c>
      <c r="BB25">
        <f t="shared" si="33"/>
        <v>1.7479992079338627</v>
      </c>
      <c r="BC25" t="s">
        <v>326</v>
      </c>
      <c r="BD25">
        <v>516.24</v>
      </c>
      <c r="BE25">
        <f t="shared" si="34"/>
        <v>695.78</v>
      </c>
      <c r="BF25">
        <f t="shared" si="35"/>
        <v>0.70014239691149072</v>
      </c>
      <c r="BG25">
        <f t="shared" si="36"/>
        <v>0.7527776889485821</v>
      </c>
      <c r="BH25">
        <f t="shared" si="37"/>
        <v>0.70428433447935901</v>
      </c>
      <c r="BI25">
        <f t="shared" si="38"/>
        <v>0.75387376783875237</v>
      </c>
      <c r="BJ25">
        <v>1323</v>
      </c>
      <c r="BK25">
        <v>300</v>
      </c>
      <c r="BL25">
        <v>300</v>
      </c>
      <c r="BM25">
        <v>300</v>
      </c>
      <c r="BN25">
        <v>10285.200000000001</v>
      </c>
      <c r="BO25">
        <v>1078.79</v>
      </c>
      <c r="BP25">
        <v>-7.06428E-3</v>
      </c>
      <c r="BQ25">
        <v>3.6408700000000001</v>
      </c>
      <c r="BR25">
        <f t="shared" si="39"/>
        <v>1749.85</v>
      </c>
      <c r="BS25">
        <f t="shared" si="40"/>
        <v>1471.0785000963681</v>
      </c>
      <c r="BT25">
        <f t="shared" si="41"/>
        <v>0.8406883447703335</v>
      </c>
      <c r="BU25">
        <f t="shared" si="42"/>
        <v>0.19137668954066719</v>
      </c>
      <c r="BV25" t="s">
        <v>281</v>
      </c>
      <c r="BW25">
        <v>1566141549</v>
      </c>
      <c r="BX25">
        <v>461.05399999999997</v>
      </c>
      <c r="BY25">
        <v>499.96199999999999</v>
      </c>
      <c r="BZ25">
        <v>18.478100000000001</v>
      </c>
      <c r="CA25">
        <v>13.7812</v>
      </c>
      <c r="CB25">
        <v>500.02300000000002</v>
      </c>
      <c r="CC25">
        <v>98.802700000000002</v>
      </c>
      <c r="CD25">
        <v>0.19995499999999999</v>
      </c>
      <c r="CE25">
        <v>25.7407</v>
      </c>
      <c r="CF25">
        <v>27.052800000000001</v>
      </c>
      <c r="CG25">
        <v>999.9</v>
      </c>
      <c r="CH25">
        <v>9997.5</v>
      </c>
      <c r="CI25">
        <v>0</v>
      </c>
      <c r="CJ25">
        <v>1117.02</v>
      </c>
      <c r="CK25">
        <v>1749.85</v>
      </c>
      <c r="CL25">
        <v>0.97699100000000005</v>
      </c>
      <c r="CM25">
        <v>2.30093E-2</v>
      </c>
      <c r="CN25">
        <v>0</v>
      </c>
      <c r="CO25">
        <v>725.21100000000001</v>
      </c>
      <c r="CP25">
        <v>4.99986</v>
      </c>
      <c r="CQ25">
        <v>17105.400000000001</v>
      </c>
      <c r="CR25">
        <v>14219.5</v>
      </c>
      <c r="CS25">
        <v>44.25</v>
      </c>
      <c r="CT25">
        <v>45.811999999999998</v>
      </c>
      <c r="CU25">
        <v>45</v>
      </c>
      <c r="CV25">
        <v>44.936999999999998</v>
      </c>
      <c r="CW25">
        <v>45.811999999999998</v>
      </c>
      <c r="CX25">
        <v>1704.7</v>
      </c>
      <c r="CY25">
        <v>40.15</v>
      </c>
      <c r="CZ25">
        <v>0</v>
      </c>
      <c r="DA25">
        <v>113.59999990463299</v>
      </c>
      <c r="DB25">
        <v>724.87492307692298</v>
      </c>
      <c r="DC25">
        <v>3.8778803291967598</v>
      </c>
      <c r="DD25">
        <v>-3934.69401884543</v>
      </c>
      <c r="DE25">
        <v>17773.4538461538</v>
      </c>
      <c r="DF25">
        <v>15</v>
      </c>
      <c r="DG25">
        <v>1566141578.4000001</v>
      </c>
      <c r="DH25" t="s">
        <v>327</v>
      </c>
      <c r="DI25">
        <v>25</v>
      </c>
      <c r="DJ25">
        <v>0.23100000000000001</v>
      </c>
      <c r="DK25">
        <v>8.3000000000000004E-2</v>
      </c>
      <c r="DL25">
        <v>500</v>
      </c>
      <c r="DM25">
        <v>14</v>
      </c>
      <c r="DN25">
        <v>0.06</v>
      </c>
      <c r="DO25">
        <v>0.02</v>
      </c>
      <c r="DP25">
        <v>30.796680728765299</v>
      </c>
      <c r="DQ25">
        <v>-0.27401767554858503</v>
      </c>
      <c r="DR25">
        <v>8.65917621043608E-2</v>
      </c>
      <c r="DS25">
        <v>1</v>
      </c>
      <c r="DT25">
        <v>0.23255868799150001</v>
      </c>
      <c r="DU25">
        <v>-2.9737749558771398E-3</v>
      </c>
      <c r="DV25">
        <v>6.1711611636382604E-4</v>
      </c>
      <c r="DW25">
        <v>1</v>
      </c>
      <c r="DX25">
        <v>2</v>
      </c>
      <c r="DY25">
        <v>2</v>
      </c>
      <c r="DZ25" t="s">
        <v>283</v>
      </c>
      <c r="EA25">
        <v>1.86734</v>
      </c>
      <c r="EB25">
        <v>1.8638600000000001</v>
      </c>
      <c r="EC25">
        <v>1.8694999999999999</v>
      </c>
      <c r="ED25">
        <v>1.86738</v>
      </c>
      <c r="EE25">
        <v>1.8721000000000001</v>
      </c>
      <c r="EF25">
        <v>1.8645700000000001</v>
      </c>
      <c r="EG25">
        <v>1.8661399999999999</v>
      </c>
      <c r="EH25">
        <v>1.86612</v>
      </c>
      <c r="EI25" t="s">
        <v>284</v>
      </c>
      <c r="EJ25" t="s">
        <v>19</v>
      </c>
      <c r="EK25" t="s">
        <v>19</v>
      </c>
      <c r="EL25" t="s">
        <v>19</v>
      </c>
      <c r="EM25" t="s">
        <v>285</v>
      </c>
      <c r="EN25" t="s">
        <v>286</v>
      </c>
      <c r="EO25" t="s">
        <v>287</v>
      </c>
      <c r="EP25" t="s">
        <v>287</v>
      </c>
      <c r="EQ25" t="s">
        <v>287</v>
      </c>
      <c r="ER25" t="s">
        <v>287</v>
      </c>
      <c r="ES25">
        <v>0</v>
      </c>
      <c r="ET25">
        <v>100</v>
      </c>
      <c r="EU25">
        <v>100</v>
      </c>
      <c r="EV25">
        <v>0.23100000000000001</v>
      </c>
      <c r="EW25">
        <v>8.3000000000000004E-2</v>
      </c>
      <c r="EX25">
        <v>2</v>
      </c>
      <c r="EY25">
        <v>347.06299999999999</v>
      </c>
      <c r="EZ25">
        <v>499.83300000000003</v>
      </c>
      <c r="FA25">
        <v>20.924299999999999</v>
      </c>
      <c r="FB25">
        <v>31.7742</v>
      </c>
      <c r="FC25">
        <v>30.000599999999999</v>
      </c>
      <c r="FD25">
        <v>31.954000000000001</v>
      </c>
      <c r="FE25">
        <v>31.977499999999999</v>
      </c>
      <c r="FF25">
        <v>26.253</v>
      </c>
      <c r="FG25">
        <v>61.2699</v>
      </c>
      <c r="FH25">
        <v>0</v>
      </c>
      <c r="FI25">
        <v>20.859100000000002</v>
      </c>
      <c r="FJ25">
        <v>500</v>
      </c>
      <c r="FK25">
        <v>13.8269</v>
      </c>
      <c r="FL25">
        <v>101.015</v>
      </c>
      <c r="FM25">
        <v>101.51900000000001</v>
      </c>
    </row>
    <row r="26" spans="1:169" x14ac:dyDescent="0.35">
      <c r="A26">
        <v>10</v>
      </c>
      <c r="B26">
        <v>1566141670</v>
      </c>
      <c r="C26">
        <v>1026.5999999046301</v>
      </c>
      <c r="D26" t="s">
        <v>328</v>
      </c>
      <c r="E26" t="s">
        <v>329</v>
      </c>
      <c r="G26">
        <v>1566141670</v>
      </c>
      <c r="H26">
        <f t="shared" si="0"/>
        <v>3.7038821166443018E-3</v>
      </c>
      <c r="I26">
        <f t="shared" si="1"/>
        <v>35.445928053534914</v>
      </c>
      <c r="J26">
        <f t="shared" si="2"/>
        <v>555.20195965873188</v>
      </c>
      <c r="K26">
        <f t="shared" si="3"/>
        <v>264.40383864126085</v>
      </c>
      <c r="L26">
        <f t="shared" si="4"/>
        <v>26.175879023218464</v>
      </c>
      <c r="M26">
        <f t="shared" si="5"/>
        <v>54.964781919065864</v>
      </c>
      <c r="N26">
        <f t="shared" si="6"/>
        <v>0.21250314355097019</v>
      </c>
      <c r="O26">
        <f t="shared" si="7"/>
        <v>2.2452582354149584</v>
      </c>
      <c r="P26">
        <f t="shared" si="8"/>
        <v>0.20192845854061447</v>
      </c>
      <c r="Q26">
        <f t="shared" si="9"/>
        <v>0.12711151486712943</v>
      </c>
      <c r="R26">
        <f t="shared" si="10"/>
        <v>281.55351143485916</v>
      </c>
      <c r="S26">
        <f t="shared" si="11"/>
        <v>26.415399470044722</v>
      </c>
      <c r="T26">
        <f t="shared" si="12"/>
        <v>26.983799999999999</v>
      </c>
      <c r="U26">
        <f t="shared" si="13"/>
        <v>3.5757556575431706</v>
      </c>
      <c r="V26">
        <f t="shared" si="14"/>
        <v>55.155619544667864</v>
      </c>
      <c r="W26">
        <f t="shared" si="15"/>
        <v>1.8092378188736002</v>
      </c>
      <c r="X26">
        <f t="shared" si="16"/>
        <v>3.2802420384533733</v>
      </c>
      <c r="Y26">
        <f t="shared" si="17"/>
        <v>1.7665178386695704</v>
      </c>
      <c r="Z26">
        <f t="shared" si="18"/>
        <v>-163.34120134401371</v>
      </c>
      <c r="AA26">
        <f t="shared" si="19"/>
        <v>-176.78821168302301</v>
      </c>
      <c r="AB26">
        <f t="shared" si="20"/>
        <v>-16.866257707601306</v>
      </c>
      <c r="AC26">
        <f t="shared" si="21"/>
        <v>-75.442159299778893</v>
      </c>
      <c r="AD26">
        <v>-4.1056213578984799E-2</v>
      </c>
      <c r="AE26">
        <v>4.6089196464261899E-2</v>
      </c>
      <c r="AF26">
        <v>3.44674674547284</v>
      </c>
      <c r="AG26">
        <v>135</v>
      </c>
      <c r="AH26">
        <v>27</v>
      </c>
      <c r="AI26">
        <f t="shared" si="22"/>
        <v>1.005158817031959</v>
      </c>
      <c r="AJ26">
        <f t="shared" si="23"/>
        <v>0.51588170319589732</v>
      </c>
      <c r="AK26">
        <f t="shared" si="24"/>
        <v>52607.580171451926</v>
      </c>
      <c r="AL26" t="s">
        <v>278</v>
      </c>
      <c r="AM26">
        <v>520.33192307692298</v>
      </c>
      <c r="AN26">
        <v>3330.63</v>
      </c>
      <c r="AO26">
        <f t="shared" si="25"/>
        <v>2810.2980769230771</v>
      </c>
      <c r="AP26">
        <f t="shared" si="26"/>
        <v>0.84377372356673574</v>
      </c>
      <c r="AQ26">
        <v>-1.3252759154356599</v>
      </c>
      <c r="AR26" t="s">
        <v>330</v>
      </c>
      <c r="AS26">
        <v>737.81211538461503</v>
      </c>
      <c r="AT26">
        <v>1270.8699999999999</v>
      </c>
      <c r="AU26">
        <f t="shared" si="27"/>
        <v>0.41944328264526265</v>
      </c>
      <c r="AV26">
        <v>0.5</v>
      </c>
      <c r="AW26">
        <f t="shared" si="28"/>
        <v>1471.2042000963359</v>
      </c>
      <c r="AX26">
        <f t="shared" si="29"/>
        <v>35.445928053534914</v>
      </c>
      <c r="AY26">
        <f t="shared" si="30"/>
        <v>308.54335956495248</v>
      </c>
      <c r="AZ26">
        <f t="shared" si="31"/>
        <v>0.58980855634329243</v>
      </c>
      <c r="BA26">
        <f t="shared" si="32"/>
        <v>2.4993949831412093E-2</v>
      </c>
      <c r="BB26">
        <f t="shared" si="33"/>
        <v>1.6207479915333594</v>
      </c>
      <c r="BC26" t="s">
        <v>331</v>
      </c>
      <c r="BD26">
        <v>521.29999999999995</v>
      </c>
      <c r="BE26">
        <f t="shared" si="34"/>
        <v>749.56999999999994</v>
      </c>
      <c r="BF26">
        <f t="shared" si="35"/>
        <v>0.71115157305573184</v>
      </c>
      <c r="BG26">
        <f t="shared" si="36"/>
        <v>0.73318549262635579</v>
      </c>
      <c r="BH26">
        <f t="shared" si="37"/>
        <v>0.71023429857246045</v>
      </c>
      <c r="BI26">
        <f t="shared" si="38"/>
        <v>0.7329329286860482</v>
      </c>
      <c r="BJ26">
        <v>1325</v>
      </c>
      <c r="BK26">
        <v>300</v>
      </c>
      <c r="BL26">
        <v>300</v>
      </c>
      <c r="BM26">
        <v>300</v>
      </c>
      <c r="BN26">
        <v>10285</v>
      </c>
      <c r="BO26">
        <v>1125.67</v>
      </c>
      <c r="BP26">
        <v>-7.0642099999999996E-3</v>
      </c>
      <c r="BQ26">
        <v>4.8891600000000004</v>
      </c>
      <c r="BR26">
        <f t="shared" si="39"/>
        <v>1750</v>
      </c>
      <c r="BS26">
        <f t="shared" si="40"/>
        <v>1471.2042000963359</v>
      </c>
      <c r="BT26">
        <f t="shared" si="41"/>
        <v>0.8406881143407634</v>
      </c>
      <c r="BU26">
        <f t="shared" si="42"/>
        <v>0.19137622868152684</v>
      </c>
      <c r="BV26" t="s">
        <v>281</v>
      </c>
      <c r="BW26">
        <v>1566141670</v>
      </c>
      <c r="BX26">
        <v>555.202</v>
      </c>
      <c r="BY26">
        <v>599.97699999999998</v>
      </c>
      <c r="BZ26">
        <v>18.275200000000002</v>
      </c>
      <c r="CA26">
        <v>13.935499999999999</v>
      </c>
      <c r="CB26">
        <v>500.10599999999999</v>
      </c>
      <c r="CC26">
        <v>98.799599999999998</v>
      </c>
      <c r="CD26">
        <v>0.200018</v>
      </c>
      <c r="CE26">
        <v>25.523299999999999</v>
      </c>
      <c r="CF26">
        <v>26.983799999999999</v>
      </c>
      <c r="CG26">
        <v>999.9</v>
      </c>
      <c r="CH26">
        <v>10021.200000000001</v>
      </c>
      <c r="CI26">
        <v>0</v>
      </c>
      <c r="CJ26">
        <v>707.322</v>
      </c>
      <c r="CK26">
        <v>1750</v>
      </c>
      <c r="CL26">
        <v>0.97699499999999995</v>
      </c>
      <c r="CM26">
        <v>2.3005299999999999E-2</v>
      </c>
      <c r="CN26">
        <v>0</v>
      </c>
      <c r="CO26">
        <v>737.99199999999996</v>
      </c>
      <c r="CP26">
        <v>4.99986</v>
      </c>
      <c r="CQ26">
        <v>15899.6</v>
      </c>
      <c r="CR26">
        <v>14220.7</v>
      </c>
      <c r="CS26">
        <v>44.25</v>
      </c>
      <c r="CT26">
        <v>46.061999999999998</v>
      </c>
      <c r="CU26">
        <v>45.125</v>
      </c>
      <c r="CV26">
        <v>45.125</v>
      </c>
      <c r="CW26">
        <v>45.936999999999998</v>
      </c>
      <c r="CX26">
        <v>1704.86</v>
      </c>
      <c r="CY26">
        <v>40.14</v>
      </c>
      <c r="CZ26">
        <v>0</v>
      </c>
      <c r="DA26">
        <v>120.90000009536701</v>
      </c>
      <c r="DB26">
        <v>737.81211538461503</v>
      </c>
      <c r="DC26">
        <v>0.412410255745423</v>
      </c>
      <c r="DD26">
        <v>-64.502564335579805</v>
      </c>
      <c r="DE26">
        <v>15913.4884615385</v>
      </c>
      <c r="DF26">
        <v>15</v>
      </c>
      <c r="DG26">
        <v>1566141700.5</v>
      </c>
      <c r="DH26" t="s">
        <v>332</v>
      </c>
      <c r="DI26">
        <v>26</v>
      </c>
      <c r="DJ26">
        <v>0.32</v>
      </c>
      <c r="DK26">
        <v>8.5000000000000006E-2</v>
      </c>
      <c r="DL26">
        <v>600</v>
      </c>
      <c r="DM26">
        <v>14</v>
      </c>
      <c r="DN26">
        <v>0.03</v>
      </c>
      <c r="DO26">
        <v>0.02</v>
      </c>
      <c r="DP26">
        <v>35.914891602107701</v>
      </c>
      <c r="DQ26">
        <v>-1.00720876044139</v>
      </c>
      <c r="DR26">
        <v>0.20334418798679699</v>
      </c>
      <c r="DS26">
        <v>0</v>
      </c>
      <c r="DT26">
        <v>0.21563191931697201</v>
      </c>
      <c r="DU26">
        <v>-1.44134334115045E-2</v>
      </c>
      <c r="DV26">
        <v>3.2344481969062699E-3</v>
      </c>
      <c r="DW26">
        <v>1</v>
      </c>
      <c r="DX26">
        <v>1</v>
      </c>
      <c r="DY26">
        <v>2</v>
      </c>
      <c r="DZ26" t="s">
        <v>333</v>
      </c>
      <c r="EA26">
        <v>1.8673299999999999</v>
      </c>
      <c r="EB26">
        <v>1.8638600000000001</v>
      </c>
      <c r="EC26">
        <v>1.8694900000000001</v>
      </c>
      <c r="ED26">
        <v>1.86738</v>
      </c>
      <c r="EE26">
        <v>1.8721000000000001</v>
      </c>
      <c r="EF26">
        <v>1.8645700000000001</v>
      </c>
      <c r="EG26">
        <v>1.8661099999999999</v>
      </c>
      <c r="EH26">
        <v>1.8660600000000001</v>
      </c>
      <c r="EI26" t="s">
        <v>284</v>
      </c>
      <c r="EJ26" t="s">
        <v>19</v>
      </c>
      <c r="EK26" t="s">
        <v>19</v>
      </c>
      <c r="EL26" t="s">
        <v>19</v>
      </c>
      <c r="EM26" t="s">
        <v>285</v>
      </c>
      <c r="EN26" t="s">
        <v>286</v>
      </c>
      <c r="EO26" t="s">
        <v>287</v>
      </c>
      <c r="EP26" t="s">
        <v>287</v>
      </c>
      <c r="EQ26" t="s">
        <v>287</v>
      </c>
      <c r="ER26" t="s">
        <v>287</v>
      </c>
      <c r="ES26">
        <v>0</v>
      </c>
      <c r="ET26">
        <v>100</v>
      </c>
      <c r="EU26">
        <v>100</v>
      </c>
      <c r="EV26">
        <v>0.32</v>
      </c>
      <c r="EW26">
        <v>8.5000000000000006E-2</v>
      </c>
      <c r="EX26">
        <v>2</v>
      </c>
      <c r="EY26">
        <v>346.38400000000001</v>
      </c>
      <c r="EZ26">
        <v>499.19799999999998</v>
      </c>
      <c r="FA26">
        <v>20.8004</v>
      </c>
      <c r="FB26">
        <v>31.848600000000001</v>
      </c>
      <c r="FC26">
        <v>29.9984</v>
      </c>
      <c r="FD26">
        <v>31.944500000000001</v>
      </c>
      <c r="FE26">
        <v>31.957899999999999</v>
      </c>
      <c r="FF26">
        <v>30.401599999999998</v>
      </c>
      <c r="FG26">
        <v>60.7166</v>
      </c>
      <c r="FH26">
        <v>0</v>
      </c>
      <c r="FI26">
        <v>20.8506</v>
      </c>
      <c r="FJ26">
        <v>600</v>
      </c>
      <c r="FK26">
        <v>13.893599999999999</v>
      </c>
      <c r="FL26">
        <v>101.005</v>
      </c>
      <c r="FM26">
        <v>101.503</v>
      </c>
    </row>
    <row r="27" spans="1:169" x14ac:dyDescent="0.35">
      <c r="A27">
        <v>11</v>
      </c>
      <c r="B27">
        <v>1566141792</v>
      </c>
      <c r="C27">
        <v>1148.5999999046301</v>
      </c>
      <c r="D27" t="s">
        <v>334</v>
      </c>
      <c r="E27" t="s">
        <v>335</v>
      </c>
      <c r="G27">
        <v>1566141792</v>
      </c>
      <c r="H27">
        <f t="shared" si="0"/>
        <v>3.1819813104174638E-3</v>
      </c>
      <c r="I27">
        <f t="shared" si="1"/>
        <v>42.293050558997905</v>
      </c>
      <c r="J27">
        <f t="shared" si="2"/>
        <v>746.62495192676931</v>
      </c>
      <c r="K27">
        <f t="shared" si="3"/>
        <v>337.48230087203785</v>
      </c>
      <c r="L27">
        <f t="shared" si="4"/>
        <v>33.412201660083902</v>
      </c>
      <c r="M27">
        <f t="shared" si="5"/>
        <v>73.919086701043057</v>
      </c>
      <c r="N27">
        <f t="shared" si="6"/>
        <v>0.17863058906706802</v>
      </c>
      <c r="O27">
        <f t="shared" si="7"/>
        <v>2.2459087061760701</v>
      </c>
      <c r="P27">
        <f t="shared" si="8"/>
        <v>0.17109622950730766</v>
      </c>
      <c r="Q27">
        <f t="shared" si="9"/>
        <v>0.10758559381176935</v>
      </c>
      <c r="R27">
        <f t="shared" si="10"/>
        <v>281.54712747274431</v>
      </c>
      <c r="S27">
        <f t="shared" si="11"/>
        <v>26.447191430644999</v>
      </c>
      <c r="T27">
        <f t="shared" si="12"/>
        <v>27.009</v>
      </c>
      <c r="U27">
        <f t="shared" si="13"/>
        <v>3.5810520454919779</v>
      </c>
      <c r="V27">
        <f t="shared" si="14"/>
        <v>55.022846346165245</v>
      </c>
      <c r="W27">
        <f t="shared" si="15"/>
        <v>1.7897503778699999</v>
      </c>
      <c r="X27">
        <f t="shared" si="16"/>
        <v>3.2527404464141005</v>
      </c>
      <c r="Y27">
        <f t="shared" si="17"/>
        <v>1.791301667621978</v>
      </c>
      <c r="Z27">
        <f t="shared" si="18"/>
        <v>-140.32537578941015</v>
      </c>
      <c r="AA27">
        <f t="shared" si="19"/>
        <v>-197.04791945436884</v>
      </c>
      <c r="AB27">
        <f t="shared" si="20"/>
        <v>-18.78271963842705</v>
      </c>
      <c r="AC27">
        <f t="shared" si="21"/>
        <v>-74.608887409461744</v>
      </c>
      <c r="AD27">
        <v>-4.1073694191928002E-2</v>
      </c>
      <c r="AE27">
        <v>4.61088199836764E-2</v>
      </c>
      <c r="AF27">
        <v>3.4479087771834198</v>
      </c>
      <c r="AG27">
        <v>134</v>
      </c>
      <c r="AH27">
        <v>27</v>
      </c>
      <c r="AI27">
        <f t="shared" si="22"/>
        <v>1.0051158564187113</v>
      </c>
      <c r="AJ27">
        <f t="shared" si="23"/>
        <v>0.51158564187112621</v>
      </c>
      <c r="AK27">
        <f t="shared" si="24"/>
        <v>52654.145752602461</v>
      </c>
      <c r="AL27" t="s">
        <v>278</v>
      </c>
      <c r="AM27">
        <v>520.33192307692298</v>
      </c>
      <c r="AN27">
        <v>3330.63</v>
      </c>
      <c r="AO27">
        <f t="shared" si="25"/>
        <v>2810.2980769230771</v>
      </c>
      <c r="AP27">
        <f t="shared" si="26"/>
        <v>0.84377372356673574</v>
      </c>
      <c r="AQ27">
        <v>-1.3252759154356599</v>
      </c>
      <c r="AR27" t="s">
        <v>336</v>
      </c>
      <c r="AS27">
        <v>750.11703846153796</v>
      </c>
      <c r="AT27">
        <v>1339.52</v>
      </c>
      <c r="AU27">
        <f t="shared" si="27"/>
        <v>0.44001057209930572</v>
      </c>
      <c r="AV27">
        <v>0.5</v>
      </c>
      <c r="AW27">
        <f t="shared" si="28"/>
        <v>1471.1706000963381</v>
      </c>
      <c r="AX27">
        <f t="shared" si="29"/>
        <v>42.293050558997905</v>
      </c>
      <c r="AY27">
        <f t="shared" si="30"/>
        <v>323.66530870203434</v>
      </c>
      <c r="AZ27">
        <f t="shared" si="31"/>
        <v>0.61135332059245096</v>
      </c>
      <c r="BA27">
        <f t="shared" si="32"/>
        <v>2.9648720870018245E-2</v>
      </c>
      <c r="BB27">
        <f t="shared" si="33"/>
        <v>1.4864354395604398</v>
      </c>
      <c r="BC27" t="s">
        <v>337</v>
      </c>
      <c r="BD27">
        <v>520.6</v>
      </c>
      <c r="BE27">
        <f t="shared" si="34"/>
        <v>818.92</v>
      </c>
      <c r="BF27">
        <f t="shared" si="35"/>
        <v>0.71973203919609008</v>
      </c>
      <c r="BG27">
        <f t="shared" si="36"/>
        <v>0.70857250634334867</v>
      </c>
      <c r="BH27">
        <f t="shared" si="37"/>
        <v>0.71949650897300332</v>
      </c>
      <c r="BI27">
        <f t="shared" si="38"/>
        <v>0.70850491495906198</v>
      </c>
      <c r="BJ27">
        <v>1327</v>
      </c>
      <c r="BK27">
        <v>300</v>
      </c>
      <c r="BL27">
        <v>300</v>
      </c>
      <c r="BM27">
        <v>300</v>
      </c>
      <c r="BN27">
        <v>10285.299999999999</v>
      </c>
      <c r="BO27">
        <v>1179.06</v>
      </c>
      <c r="BP27">
        <v>-7.0649199999999997E-3</v>
      </c>
      <c r="BQ27">
        <v>5.0638399999999999</v>
      </c>
      <c r="BR27">
        <f t="shared" si="39"/>
        <v>1749.96</v>
      </c>
      <c r="BS27">
        <f t="shared" si="40"/>
        <v>1471.1706000963381</v>
      </c>
      <c r="BT27">
        <f t="shared" si="41"/>
        <v>0.84068813006945198</v>
      </c>
      <c r="BU27">
        <f t="shared" si="42"/>
        <v>0.19137626013890399</v>
      </c>
      <c r="BV27" t="s">
        <v>281</v>
      </c>
      <c r="BW27">
        <v>1566141792</v>
      </c>
      <c r="BX27">
        <v>746.625</v>
      </c>
      <c r="BY27">
        <v>799.95899999999995</v>
      </c>
      <c r="BZ27">
        <v>18.077500000000001</v>
      </c>
      <c r="CA27">
        <v>14.3483</v>
      </c>
      <c r="CB27">
        <v>500.096</v>
      </c>
      <c r="CC27">
        <v>98.804199999999994</v>
      </c>
      <c r="CD27">
        <v>0.20010800000000001</v>
      </c>
      <c r="CE27">
        <v>25.381599999999999</v>
      </c>
      <c r="CF27">
        <v>27.009</v>
      </c>
      <c r="CG27">
        <v>999.9</v>
      </c>
      <c r="CH27">
        <v>10025</v>
      </c>
      <c r="CI27">
        <v>0</v>
      </c>
      <c r="CJ27">
        <v>553.04600000000005</v>
      </c>
      <c r="CK27">
        <v>1749.96</v>
      </c>
      <c r="CL27">
        <v>0.97699499999999995</v>
      </c>
      <c r="CM27">
        <v>2.3005299999999999E-2</v>
      </c>
      <c r="CN27">
        <v>0</v>
      </c>
      <c r="CO27">
        <v>749.30799999999999</v>
      </c>
      <c r="CP27">
        <v>4.99986</v>
      </c>
      <c r="CQ27">
        <v>15626.9</v>
      </c>
      <c r="CR27">
        <v>14220.4</v>
      </c>
      <c r="CS27">
        <v>44.25</v>
      </c>
      <c r="CT27">
        <v>46</v>
      </c>
      <c r="CU27">
        <v>45.125</v>
      </c>
      <c r="CV27">
        <v>45.125</v>
      </c>
      <c r="CW27">
        <v>45.875</v>
      </c>
      <c r="CX27">
        <v>1704.82</v>
      </c>
      <c r="CY27">
        <v>40.14</v>
      </c>
      <c r="CZ27">
        <v>0</v>
      </c>
      <c r="DA27">
        <v>121.40000009536701</v>
      </c>
      <c r="DB27">
        <v>750.11703846153796</v>
      </c>
      <c r="DC27">
        <v>-5.7588034144984297</v>
      </c>
      <c r="DD27">
        <v>-6.0068377054657498</v>
      </c>
      <c r="DE27">
        <v>15629.6730769231</v>
      </c>
      <c r="DF27">
        <v>15</v>
      </c>
      <c r="DG27">
        <v>1566141823.5</v>
      </c>
      <c r="DH27" t="s">
        <v>338</v>
      </c>
      <c r="DI27">
        <v>27</v>
      </c>
      <c r="DJ27">
        <v>0.36599999999999999</v>
      </c>
      <c r="DK27">
        <v>9.4E-2</v>
      </c>
      <c r="DL27">
        <v>800</v>
      </c>
      <c r="DM27">
        <v>14</v>
      </c>
      <c r="DN27">
        <v>0.04</v>
      </c>
      <c r="DO27">
        <v>0.03</v>
      </c>
      <c r="DP27">
        <v>43.197645858927103</v>
      </c>
      <c r="DQ27">
        <v>-2.2962781259412899</v>
      </c>
      <c r="DR27">
        <v>0.45710985425829798</v>
      </c>
      <c r="DS27">
        <v>0</v>
      </c>
      <c r="DT27">
        <v>0.183422769931262</v>
      </c>
      <c r="DU27">
        <v>-1.48330456662584E-2</v>
      </c>
      <c r="DV27">
        <v>2.9462613000876799E-3</v>
      </c>
      <c r="DW27">
        <v>1</v>
      </c>
      <c r="DX27">
        <v>1</v>
      </c>
      <c r="DY27">
        <v>2</v>
      </c>
      <c r="DZ27" t="s">
        <v>333</v>
      </c>
      <c r="EA27">
        <v>1.86734</v>
      </c>
      <c r="EB27">
        <v>1.8638600000000001</v>
      </c>
      <c r="EC27">
        <v>1.8694999999999999</v>
      </c>
      <c r="ED27">
        <v>1.86737</v>
      </c>
      <c r="EE27">
        <v>1.8721000000000001</v>
      </c>
      <c r="EF27">
        <v>1.8646</v>
      </c>
      <c r="EG27">
        <v>1.8661399999999999</v>
      </c>
      <c r="EH27">
        <v>1.86605</v>
      </c>
      <c r="EI27" t="s">
        <v>284</v>
      </c>
      <c r="EJ27" t="s">
        <v>19</v>
      </c>
      <c r="EK27" t="s">
        <v>19</v>
      </c>
      <c r="EL27" t="s">
        <v>19</v>
      </c>
      <c r="EM27" t="s">
        <v>285</v>
      </c>
      <c r="EN27" t="s">
        <v>286</v>
      </c>
      <c r="EO27" t="s">
        <v>287</v>
      </c>
      <c r="EP27" t="s">
        <v>287</v>
      </c>
      <c r="EQ27" t="s">
        <v>287</v>
      </c>
      <c r="ER27" t="s">
        <v>287</v>
      </c>
      <c r="ES27">
        <v>0</v>
      </c>
      <c r="ET27">
        <v>100</v>
      </c>
      <c r="EU27">
        <v>100</v>
      </c>
      <c r="EV27">
        <v>0.36599999999999999</v>
      </c>
      <c r="EW27">
        <v>9.4E-2</v>
      </c>
      <c r="EX27">
        <v>2</v>
      </c>
      <c r="EY27">
        <v>346.60599999999999</v>
      </c>
      <c r="EZ27">
        <v>499.154</v>
      </c>
      <c r="FA27">
        <v>20.372199999999999</v>
      </c>
      <c r="FB27">
        <v>31.880600000000001</v>
      </c>
      <c r="FC27">
        <v>29.9999</v>
      </c>
      <c r="FD27">
        <v>31.9361</v>
      </c>
      <c r="FE27">
        <v>31.941199999999998</v>
      </c>
      <c r="FF27">
        <v>38.351799999999997</v>
      </c>
      <c r="FG27">
        <v>58.502800000000001</v>
      </c>
      <c r="FH27">
        <v>0</v>
      </c>
      <c r="FI27">
        <v>20.372399999999999</v>
      </c>
      <c r="FJ27">
        <v>800</v>
      </c>
      <c r="FK27">
        <v>14.458600000000001</v>
      </c>
      <c r="FL27">
        <v>101</v>
      </c>
      <c r="FM27">
        <v>101.497</v>
      </c>
    </row>
    <row r="28" spans="1:169" x14ac:dyDescent="0.35">
      <c r="A28">
        <v>12</v>
      </c>
      <c r="B28">
        <v>1566141915</v>
      </c>
      <c r="C28">
        <v>1271.5999999046301</v>
      </c>
      <c r="D28" t="s">
        <v>339</v>
      </c>
      <c r="E28" t="s">
        <v>340</v>
      </c>
      <c r="G28">
        <v>1566141915</v>
      </c>
      <c r="H28">
        <f t="shared" si="0"/>
        <v>2.4335167914577792E-3</v>
      </c>
      <c r="I28">
        <f t="shared" si="1"/>
        <v>43.757734594598809</v>
      </c>
      <c r="J28">
        <f t="shared" si="2"/>
        <v>945.04795000773436</v>
      </c>
      <c r="K28">
        <f t="shared" si="3"/>
        <v>382.09830612136176</v>
      </c>
      <c r="L28">
        <f t="shared" si="4"/>
        <v>37.829006603865722</v>
      </c>
      <c r="M28">
        <f t="shared" si="5"/>
        <v>93.562898785678982</v>
      </c>
      <c r="N28">
        <f t="shared" si="6"/>
        <v>0.13257752921943211</v>
      </c>
      <c r="O28">
        <f t="shared" si="7"/>
        <v>2.2411265629037698</v>
      </c>
      <c r="P28">
        <f t="shared" si="8"/>
        <v>0.1283694988751477</v>
      </c>
      <c r="Q28">
        <f t="shared" si="9"/>
        <v>8.0597885506900113E-2</v>
      </c>
      <c r="R28">
        <f t="shared" si="10"/>
        <v>281.54872346327278</v>
      </c>
      <c r="S28">
        <f t="shared" si="11"/>
        <v>26.392674072091744</v>
      </c>
      <c r="T28">
        <f t="shared" si="12"/>
        <v>27.038699999999999</v>
      </c>
      <c r="U28">
        <f t="shared" si="13"/>
        <v>3.5873030074294379</v>
      </c>
      <c r="V28">
        <f t="shared" si="14"/>
        <v>55.141268969372057</v>
      </c>
      <c r="W28">
        <f t="shared" si="15"/>
        <v>1.7611802266484999</v>
      </c>
      <c r="X28">
        <f t="shared" si="16"/>
        <v>3.1939421409157971</v>
      </c>
      <c r="Y28">
        <f t="shared" si="17"/>
        <v>1.8261227807809379</v>
      </c>
      <c r="Z28">
        <f t="shared" si="18"/>
        <v>-107.31809050328806</v>
      </c>
      <c r="AA28">
        <f t="shared" si="19"/>
        <v>-237.24925092309869</v>
      </c>
      <c r="AB28">
        <f t="shared" si="20"/>
        <v>-22.63163013043658</v>
      </c>
      <c r="AC28">
        <f t="shared" si="21"/>
        <v>-85.650248093550545</v>
      </c>
      <c r="AD28">
        <v>-4.0945286014676903E-2</v>
      </c>
      <c r="AE28">
        <v>4.5964670555537997E-2</v>
      </c>
      <c r="AF28">
        <v>3.4393688360989101</v>
      </c>
      <c r="AG28">
        <v>134</v>
      </c>
      <c r="AH28">
        <v>27</v>
      </c>
      <c r="AI28">
        <f t="shared" si="22"/>
        <v>1.0051260227708554</v>
      </c>
      <c r="AJ28">
        <f t="shared" si="23"/>
        <v>0.51260227708553874</v>
      </c>
      <c r="AK28">
        <f t="shared" si="24"/>
        <v>52550.249217413075</v>
      </c>
      <c r="AL28" t="s">
        <v>278</v>
      </c>
      <c r="AM28">
        <v>520.33192307692298</v>
      </c>
      <c r="AN28">
        <v>3330.63</v>
      </c>
      <c r="AO28">
        <f t="shared" si="25"/>
        <v>2810.2980769230771</v>
      </c>
      <c r="AP28">
        <f t="shared" si="26"/>
        <v>0.84377372356673574</v>
      </c>
      <c r="AQ28">
        <v>-1.3252759154356599</v>
      </c>
      <c r="AR28" t="s">
        <v>341</v>
      </c>
      <c r="AS28">
        <v>750.75407692307704</v>
      </c>
      <c r="AT28">
        <v>1344.44</v>
      </c>
      <c r="AU28">
        <f t="shared" si="27"/>
        <v>0.44158603067219293</v>
      </c>
      <c r="AV28">
        <v>0.5</v>
      </c>
      <c r="AW28">
        <f t="shared" si="28"/>
        <v>1471.1790000963374</v>
      </c>
      <c r="AX28">
        <f t="shared" si="29"/>
        <v>43.757734594598809</v>
      </c>
      <c r="AY28">
        <f t="shared" si="30"/>
        <v>324.82604753041369</v>
      </c>
      <c r="AZ28">
        <f t="shared" si="31"/>
        <v>0.61139210377554964</v>
      </c>
      <c r="BA28">
        <f t="shared" si="32"/>
        <v>3.064413678218782E-2</v>
      </c>
      <c r="BB28">
        <f t="shared" si="33"/>
        <v>1.4773362887150039</v>
      </c>
      <c r="BC28" t="s">
        <v>342</v>
      </c>
      <c r="BD28">
        <v>522.46</v>
      </c>
      <c r="BE28">
        <f t="shared" si="34"/>
        <v>821.98</v>
      </c>
      <c r="BF28">
        <f t="shared" si="35"/>
        <v>0.7222632218264714</v>
      </c>
      <c r="BG28">
        <f t="shared" si="36"/>
        <v>0.70728980083114623</v>
      </c>
      <c r="BH28">
        <f t="shared" si="37"/>
        <v>0.72039813672683872</v>
      </c>
      <c r="BI28">
        <f t="shared" si="38"/>
        <v>0.70675421098911628</v>
      </c>
      <c r="BJ28">
        <v>1329</v>
      </c>
      <c r="BK28">
        <v>300</v>
      </c>
      <c r="BL28">
        <v>300</v>
      </c>
      <c r="BM28">
        <v>300</v>
      </c>
      <c r="BN28">
        <v>10285.299999999999</v>
      </c>
      <c r="BO28">
        <v>1191.43</v>
      </c>
      <c r="BP28">
        <v>-7.0653499999999998E-3</v>
      </c>
      <c r="BQ28">
        <v>8.6698000000000004</v>
      </c>
      <c r="BR28">
        <f t="shared" si="39"/>
        <v>1749.97</v>
      </c>
      <c r="BS28">
        <f t="shared" si="40"/>
        <v>1471.1790000963374</v>
      </c>
      <c r="BT28">
        <f t="shared" si="41"/>
        <v>0.84068812613721233</v>
      </c>
      <c r="BU28">
        <f t="shared" si="42"/>
        <v>0.19137625227442487</v>
      </c>
      <c r="BV28" t="s">
        <v>281</v>
      </c>
      <c r="BW28">
        <v>1566141915</v>
      </c>
      <c r="BX28">
        <v>945.048</v>
      </c>
      <c r="BY28">
        <v>1000.04</v>
      </c>
      <c r="BZ28">
        <v>17.789100000000001</v>
      </c>
      <c r="CA28">
        <v>14.936199999999999</v>
      </c>
      <c r="CB28">
        <v>500.084</v>
      </c>
      <c r="CC28">
        <v>98.803299999999993</v>
      </c>
      <c r="CD28">
        <v>0.20003499999999999</v>
      </c>
      <c r="CE28">
        <v>25.075099999999999</v>
      </c>
      <c r="CF28">
        <v>27.038699999999999</v>
      </c>
      <c r="CG28">
        <v>999.9</v>
      </c>
      <c r="CH28">
        <v>9993.75</v>
      </c>
      <c r="CI28">
        <v>0</v>
      </c>
      <c r="CJ28">
        <v>647.90499999999997</v>
      </c>
      <c r="CK28">
        <v>1749.97</v>
      </c>
      <c r="CL28">
        <v>0.97699499999999995</v>
      </c>
      <c r="CM28">
        <v>2.3005299999999999E-2</v>
      </c>
      <c r="CN28">
        <v>0</v>
      </c>
      <c r="CO28">
        <v>750.24</v>
      </c>
      <c r="CP28">
        <v>4.99986</v>
      </c>
      <c r="CQ28">
        <v>15966.2</v>
      </c>
      <c r="CR28">
        <v>14220.5</v>
      </c>
      <c r="CS28">
        <v>44.186999999999998</v>
      </c>
      <c r="CT28">
        <v>45.936999999999998</v>
      </c>
      <c r="CU28">
        <v>45.125</v>
      </c>
      <c r="CV28">
        <v>45</v>
      </c>
      <c r="CW28">
        <v>45.875</v>
      </c>
      <c r="CX28">
        <v>1704.83</v>
      </c>
      <c r="CY28">
        <v>40.14</v>
      </c>
      <c r="CZ28">
        <v>0</v>
      </c>
      <c r="DA28">
        <v>122.40000009536701</v>
      </c>
      <c r="DB28">
        <v>750.75407692307704</v>
      </c>
      <c r="DC28">
        <v>-3.8175726532255898</v>
      </c>
      <c r="DD28">
        <v>306.23931608655198</v>
      </c>
      <c r="DE28">
        <v>15927.757692307699</v>
      </c>
      <c r="DF28">
        <v>15</v>
      </c>
      <c r="DG28">
        <v>1566141940</v>
      </c>
      <c r="DH28" t="s">
        <v>343</v>
      </c>
      <c r="DI28">
        <v>28</v>
      </c>
      <c r="DJ28">
        <v>0.85499999999999998</v>
      </c>
      <c r="DK28">
        <v>0.10100000000000001</v>
      </c>
      <c r="DL28">
        <v>1000</v>
      </c>
      <c r="DM28">
        <v>15</v>
      </c>
      <c r="DN28">
        <v>0.03</v>
      </c>
      <c r="DO28">
        <v>0.03</v>
      </c>
      <c r="DP28">
        <v>45.341991303486097</v>
      </c>
      <c r="DQ28">
        <v>-3.63798292538673</v>
      </c>
      <c r="DR28">
        <v>0.72416536326302094</v>
      </c>
      <c r="DS28">
        <v>0</v>
      </c>
      <c r="DT28">
        <v>0.135809278208956</v>
      </c>
      <c r="DU28">
        <v>-1.0373133168454601E-2</v>
      </c>
      <c r="DV28">
        <v>2.2866263573658699E-3</v>
      </c>
      <c r="DW28">
        <v>1</v>
      </c>
      <c r="DX28">
        <v>1</v>
      </c>
      <c r="DY28">
        <v>2</v>
      </c>
      <c r="DZ28" t="s">
        <v>333</v>
      </c>
      <c r="EA28">
        <v>1.8673200000000001</v>
      </c>
      <c r="EB28">
        <v>1.8638399999999999</v>
      </c>
      <c r="EC28">
        <v>1.86951</v>
      </c>
      <c r="ED28">
        <v>1.86738</v>
      </c>
      <c r="EE28">
        <v>1.8721000000000001</v>
      </c>
      <c r="EF28">
        <v>1.8645799999999999</v>
      </c>
      <c r="EG28">
        <v>1.8661399999999999</v>
      </c>
      <c r="EH28">
        <v>1.8660399999999999</v>
      </c>
      <c r="EI28" t="s">
        <v>284</v>
      </c>
      <c r="EJ28" t="s">
        <v>19</v>
      </c>
      <c r="EK28" t="s">
        <v>19</v>
      </c>
      <c r="EL28" t="s">
        <v>19</v>
      </c>
      <c r="EM28" t="s">
        <v>285</v>
      </c>
      <c r="EN28" t="s">
        <v>286</v>
      </c>
      <c r="EO28" t="s">
        <v>287</v>
      </c>
      <c r="EP28" t="s">
        <v>287</v>
      </c>
      <c r="EQ28" t="s">
        <v>287</v>
      </c>
      <c r="ER28" t="s">
        <v>287</v>
      </c>
      <c r="ES28">
        <v>0</v>
      </c>
      <c r="ET28">
        <v>100</v>
      </c>
      <c r="EU28">
        <v>100</v>
      </c>
      <c r="EV28">
        <v>0.85499999999999998</v>
      </c>
      <c r="EW28">
        <v>0.10100000000000001</v>
      </c>
      <c r="EX28">
        <v>2</v>
      </c>
      <c r="EY28">
        <v>347.38499999999999</v>
      </c>
      <c r="EZ28">
        <v>499.65100000000001</v>
      </c>
      <c r="FA28">
        <v>19.909099999999999</v>
      </c>
      <c r="FB28">
        <v>31.860900000000001</v>
      </c>
      <c r="FC28">
        <v>30</v>
      </c>
      <c r="FD28">
        <v>31.9071</v>
      </c>
      <c r="FE28">
        <v>31.907800000000002</v>
      </c>
      <c r="FF28">
        <v>45.9268</v>
      </c>
      <c r="FG28">
        <v>57.012700000000002</v>
      </c>
      <c r="FH28">
        <v>0</v>
      </c>
      <c r="FI28">
        <v>19.895700000000001</v>
      </c>
      <c r="FJ28">
        <v>1000</v>
      </c>
      <c r="FK28">
        <v>14.8742</v>
      </c>
      <c r="FL28">
        <v>101.003</v>
      </c>
      <c r="FM28">
        <v>101.504</v>
      </c>
    </row>
    <row r="29" spans="1:169" x14ac:dyDescent="0.35">
      <c r="A29">
        <v>13</v>
      </c>
      <c r="B29">
        <v>1566142025.5</v>
      </c>
      <c r="C29">
        <v>1382.0999999046301</v>
      </c>
      <c r="D29" t="s">
        <v>344</v>
      </c>
      <c r="E29" t="s">
        <v>345</v>
      </c>
      <c r="G29">
        <v>1566142025.5</v>
      </c>
      <c r="H29">
        <f t="shared" si="0"/>
        <v>2.2415087311466902E-3</v>
      </c>
      <c r="I29">
        <f t="shared" si="1"/>
        <v>47.803103009147009</v>
      </c>
      <c r="J29">
        <f t="shared" si="2"/>
        <v>1139.8569456065563</v>
      </c>
      <c r="K29">
        <f t="shared" si="3"/>
        <v>457.2788492555718</v>
      </c>
      <c r="L29">
        <f t="shared" si="4"/>
        <v>45.270998878833126</v>
      </c>
      <c r="M29">
        <f t="shared" si="5"/>
        <v>112.84681675216537</v>
      </c>
      <c r="N29">
        <f t="shared" si="6"/>
        <v>0.11918023663447111</v>
      </c>
      <c r="O29">
        <f t="shared" si="7"/>
        <v>2.2438599511890782</v>
      </c>
      <c r="P29">
        <f t="shared" si="8"/>
        <v>0.11577194610988567</v>
      </c>
      <c r="Q29">
        <f t="shared" si="9"/>
        <v>7.2655568921378366E-2</v>
      </c>
      <c r="R29">
        <f t="shared" si="10"/>
        <v>281.53163990671663</v>
      </c>
      <c r="S29">
        <f t="shared" si="11"/>
        <v>26.301324977612847</v>
      </c>
      <c r="T29">
        <f t="shared" si="12"/>
        <v>27.129899999999999</v>
      </c>
      <c r="U29">
        <f t="shared" si="13"/>
        <v>3.6065574490199439</v>
      </c>
      <c r="V29">
        <f t="shared" si="14"/>
        <v>55.028767724286844</v>
      </c>
      <c r="W29">
        <f t="shared" si="15"/>
        <v>1.7415340107549002</v>
      </c>
      <c r="X29">
        <f t="shared" si="16"/>
        <v>3.1647701425563222</v>
      </c>
      <c r="Y29">
        <f t="shared" si="17"/>
        <v>1.8650234382650437</v>
      </c>
      <c r="Z29">
        <f t="shared" si="18"/>
        <v>-98.850535043569039</v>
      </c>
      <c r="AA29">
        <f t="shared" si="19"/>
        <v>-267.18859842060232</v>
      </c>
      <c r="AB29">
        <f t="shared" si="20"/>
        <v>-25.448617805601021</v>
      </c>
      <c r="AC29">
        <f t="shared" si="21"/>
        <v>-109.95611136305575</v>
      </c>
      <c r="AD29">
        <v>-4.1018651789729701E-2</v>
      </c>
      <c r="AE29">
        <v>4.6047030065229498E-2</v>
      </c>
      <c r="AF29">
        <v>3.4442492352279701</v>
      </c>
      <c r="AG29">
        <v>128</v>
      </c>
      <c r="AH29">
        <v>26</v>
      </c>
      <c r="AI29">
        <f t="shared" si="22"/>
        <v>1.0048844064047691</v>
      </c>
      <c r="AJ29">
        <f t="shared" si="23"/>
        <v>0.48844064047690594</v>
      </c>
      <c r="AK29">
        <f t="shared" si="24"/>
        <v>52667.691162726151</v>
      </c>
      <c r="AL29" t="s">
        <v>278</v>
      </c>
      <c r="AM29">
        <v>520.33192307692298</v>
      </c>
      <c r="AN29">
        <v>3330.63</v>
      </c>
      <c r="AO29">
        <f t="shared" si="25"/>
        <v>2810.2980769230771</v>
      </c>
      <c r="AP29">
        <f t="shared" si="26"/>
        <v>0.84377372356673574</v>
      </c>
      <c r="AQ29">
        <v>-1.3252759154356599</v>
      </c>
      <c r="AR29" t="s">
        <v>346</v>
      </c>
      <c r="AS29">
        <v>752.90534615384604</v>
      </c>
      <c r="AT29">
        <v>1382.86</v>
      </c>
      <c r="AU29">
        <f t="shared" si="27"/>
        <v>0.45554477954829409</v>
      </c>
      <c r="AV29">
        <v>0.5</v>
      </c>
      <c r="AW29">
        <f t="shared" si="28"/>
        <v>1471.0944000962952</v>
      </c>
      <c r="AX29">
        <f t="shared" si="29"/>
        <v>47.803103009147009</v>
      </c>
      <c r="AY29">
        <f t="shared" si="30"/>
        <v>335.07468709329839</v>
      </c>
      <c r="AZ29">
        <f t="shared" si="31"/>
        <v>0.62215987157051322</v>
      </c>
      <c r="BA29">
        <f t="shared" si="32"/>
        <v>3.3395803098269436E-2</v>
      </c>
      <c r="BB29">
        <f t="shared" si="33"/>
        <v>1.408508453494931</v>
      </c>
      <c r="BC29" t="s">
        <v>347</v>
      </c>
      <c r="BD29">
        <v>522.5</v>
      </c>
      <c r="BE29">
        <f t="shared" si="34"/>
        <v>860.3599999999999</v>
      </c>
      <c r="BF29">
        <f t="shared" si="35"/>
        <v>0.73219890957988976</v>
      </c>
      <c r="BG29">
        <f t="shared" si="36"/>
        <v>0.69361817294783368</v>
      </c>
      <c r="BH29">
        <f t="shared" si="37"/>
        <v>0.73035843203320472</v>
      </c>
      <c r="BI29">
        <f t="shared" si="38"/>
        <v>0.6930830633213696</v>
      </c>
      <c r="BJ29">
        <v>1331</v>
      </c>
      <c r="BK29">
        <v>300</v>
      </c>
      <c r="BL29">
        <v>300</v>
      </c>
      <c r="BM29">
        <v>300</v>
      </c>
      <c r="BN29">
        <v>10286.299999999999</v>
      </c>
      <c r="BO29">
        <v>1211.72</v>
      </c>
      <c r="BP29">
        <v>-7.0653799999999996E-3</v>
      </c>
      <c r="BQ29">
        <v>6.2384000000000004</v>
      </c>
      <c r="BR29">
        <f t="shared" si="39"/>
        <v>1749.87</v>
      </c>
      <c r="BS29">
        <f t="shared" si="40"/>
        <v>1471.0944000962952</v>
      </c>
      <c r="BT29">
        <f t="shared" si="41"/>
        <v>0.84068782257898889</v>
      </c>
      <c r="BU29">
        <f t="shared" si="42"/>
        <v>0.19137564515797767</v>
      </c>
      <c r="BV29" t="s">
        <v>281</v>
      </c>
      <c r="BW29">
        <v>1566142025.5</v>
      </c>
      <c r="BX29">
        <v>1139.857</v>
      </c>
      <c r="BY29">
        <v>1199.98</v>
      </c>
      <c r="BZ29">
        <v>17.591100000000001</v>
      </c>
      <c r="CA29">
        <v>14.962899999999999</v>
      </c>
      <c r="CB29">
        <v>500.23200000000003</v>
      </c>
      <c r="CC29">
        <v>98.800899999999999</v>
      </c>
      <c r="CD29">
        <v>0.199959</v>
      </c>
      <c r="CE29">
        <v>24.921199999999999</v>
      </c>
      <c r="CF29">
        <v>27.129899999999999</v>
      </c>
      <c r="CG29">
        <v>999.9</v>
      </c>
      <c r="CH29">
        <v>10011.9</v>
      </c>
      <c r="CI29">
        <v>0</v>
      </c>
      <c r="CJ29">
        <v>1626.56</v>
      </c>
      <c r="CK29">
        <v>1749.87</v>
      </c>
      <c r="CL29">
        <v>0.97700600000000004</v>
      </c>
      <c r="CM29">
        <v>2.2994500000000001E-2</v>
      </c>
      <c r="CN29">
        <v>0</v>
      </c>
      <c r="CO29">
        <v>752.39300000000003</v>
      </c>
      <c r="CP29">
        <v>4.99986</v>
      </c>
      <c r="CQ29">
        <v>19395.099999999999</v>
      </c>
      <c r="CR29">
        <v>14219.8</v>
      </c>
      <c r="CS29">
        <v>44.186999999999998</v>
      </c>
      <c r="CT29">
        <v>46.061999999999998</v>
      </c>
      <c r="CU29">
        <v>45.125</v>
      </c>
      <c r="CV29">
        <v>45.061999999999998</v>
      </c>
      <c r="CW29">
        <v>45.75</v>
      </c>
      <c r="CX29">
        <v>1704.75</v>
      </c>
      <c r="CY29">
        <v>40.119999999999997</v>
      </c>
      <c r="CZ29">
        <v>0</v>
      </c>
      <c r="DA29">
        <v>110.09999990463299</v>
      </c>
      <c r="DB29">
        <v>752.90534615384604</v>
      </c>
      <c r="DC29">
        <v>-4.5709059770798497</v>
      </c>
      <c r="DD29">
        <v>-470.88547074743798</v>
      </c>
      <c r="DE29">
        <v>19397.7153846154</v>
      </c>
      <c r="DF29">
        <v>15</v>
      </c>
      <c r="DG29">
        <v>1566142052</v>
      </c>
      <c r="DH29" t="s">
        <v>348</v>
      </c>
      <c r="DI29">
        <v>29</v>
      </c>
      <c r="DJ29">
        <v>0.81200000000000006</v>
      </c>
      <c r="DK29">
        <v>0.10199999999999999</v>
      </c>
      <c r="DL29">
        <v>1200</v>
      </c>
      <c r="DM29">
        <v>15</v>
      </c>
      <c r="DN29">
        <v>0.06</v>
      </c>
      <c r="DO29">
        <v>0.04</v>
      </c>
      <c r="DP29">
        <v>47.784199551933497</v>
      </c>
      <c r="DQ29">
        <v>-0.27791412885913502</v>
      </c>
      <c r="DR29">
        <v>0.13947916116797199</v>
      </c>
      <c r="DS29">
        <v>1</v>
      </c>
      <c r="DT29">
        <v>0.119257512348867</v>
      </c>
      <c r="DU29">
        <v>-2.6282120481595602E-4</v>
      </c>
      <c r="DV29">
        <v>1.47114568801316E-4</v>
      </c>
      <c r="DW29">
        <v>1</v>
      </c>
      <c r="DX29">
        <v>2</v>
      </c>
      <c r="DY29">
        <v>2</v>
      </c>
      <c r="DZ29" t="s">
        <v>283</v>
      </c>
      <c r="EA29">
        <v>1.8672899999999999</v>
      </c>
      <c r="EB29">
        <v>1.8637900000000001</v>
      </c>
      <c r="EC29">
        <v>1.8694599999999999</v>
      </c>
      <c r="ED29">
        <v>1.86738</v>
      </c>
      <c r="EE29">
        <v>1.8721000000000001</v>
      </c>
      <c r="EF29">
        <v>1.8645499999999999</v>
      </c>
      <c r="EG29">
        <v>1.8661099999999999</v>
      </c>
      <c r="EH29">
        <v>1.8660300000000001</v>
      </c>
      <c r="EI29" t="s">
        <v>284</v>
      </c>
      <c r="EJ29" t="s">
        <v>19</v>
      </c>
      <c r="EK29" t="s">
        <v>19</v>
      </c>
      <c r="EL29" t="s">
        <v>19</v>
      </c>
      <c r="EM29" t="s">
        <v>285</v>
      </c>
      <c r="EN29" t="s">
        <v>286</v>
      </c>
      <c r="EO29" t="s">
        <v>287</v>
      </c>
      <c r="EP29" t="s">
        <v>287</v>
      </c>
      <c r="EQ29" t="s">
        <v>287</v>
      </c>
      <c r="ER29" t="s">
        <v>287</v>
      </c>
      <c r="ES29">
        <v>0</v>
      </c>
      <c r="ET29">
        <v>100</v>
      </c>
      <c r="EU29">
        <v>100</v>
      </c>
      <c r="EV29">
        <v>0.81200000000000006</v>
      </c>
      <c r="EW29">
        <v>0.10199999999999999</v>
      </c>
      <c r="EX29">
        <v>2</v>
      </c>
      <c r="EY29">
        <v>352.81400000000002</v>
      </c>
      <c r="EZ29">
        <v>499.27699999999999</v>
      </c>
      <c r="FA29">
        <v>18.813600000000001</v>
      </c>
      <c r="FB29">
        <v>31.8584</v>
      </c>
      <c r="FC29">
        <v>30.001000000000001</v>
      </c>
      <c r="FD29">
        <v>31.888300000000001</v>
      </c>
      <c r="FE29">
        <v>31.892099999999999</v>
      </c>
      <c r="FF29">
        <v>53.165700000000001</v>
      </c>
      <c r="FG29">
        <v>57.085000000000001</v>
      </c>
      <c r="FH29">
        <v>0</v>
      </c>
      <c r="FI29">
        <v>18.704000000000001</v>
      </c>
      <c r="FJ29">
        <v>1200</v>
      </c>
      <c r="FK29">
        <v>15.0023</v>
      </c>
      <c r="FL29">
        <v>101.00700000000001</v>
      </c>
      <c r="FM29">
        <v>101.50700000000001</v>
      </c>
    </row>
    <row r="30" spans="1:169" x14ac:dyDescent="0.35">
      <c r="A30">
        <v>14</v>
      </c>
      <c r="B30">
        <v>1566142143.5</v>
      </c>
      <c r="C30">
        <v>1500.0999999046301</v>
      </c>
      <c r="D30" t="s">
        <v>349</v>
      </c>
      <c r="E30" t="s">
        <v>350</v>
      </c>
      <c r="G30">
        <v>1566142143.5</v>
      </c>
      <c r="H30">
        <f t="shared" si="0"/>
        <v>2.3987215715977599E-3</v>
      </c>
      <c r="I30">
        <f t="shared" si="1"/>
        <v>53.304735267022721</v>
      </c>
      <c r="J30">
        <f t="shared" si="2"/>
        <v>1532.1009394444739</v>
      </c>
      <c r="K30">
        <f t="shared" si="3"/>
        <v>812.57659490633705</v>
      </c>
      <c r="L30">
        <f t="shared" si="4"/>
        <v>80.449887661133047</v>
      </c>
      <c r="M30">
        <f t="shared" si="5"/>
        <v>151.68705231785782</v>
      </c>
      <c r="N30">
        <f t="shared" si="6"/>
        <v>0.12816871472702177</v>
      </c>
      <c r="O30">
        <f t="shared" si="7"/>
        <v>2.2446999363676365</v>
      </c>
      <c r="P30">
        <f t="shared" si="8"/>
        <v>0.12423749122716789</v>
      </c>
      <c r="Q30">
        <f t="shared" si="9"/>
        <v>7.7991592616769814E-2</v>
      </c>
      <c r="R30">
        <f t="shared" si="10"/>
        <v>281.52525594456961</v>
      </c>
      <c r="S30">
        <f t="shared" si="11"/>
        <v>26.073246013617922</v>
      </c>
      <c r="T30">
        <f t="shared" si="12"/>
        <v>27.0169</v>
      </c>
      <c r="U30">
        <f t="shared" si="13"/>
        <v>3.5827138303668811</v>
      </c>
      <c r="V30">
        <f t="shared" si="14"/>
        <v>54.995927328529937</v>
      </c>
      <c r="W30">
        <f t="shared" si="15"/>
        <v>1.7223662660957999</v>
      </c>
      <c r="X30">
        <f t="shared" si="16"/>
        <v>3.1318069350969875</v>
      </c>
      <c r="Y30">
        <f t="shared" si="17"/>
        <v>1.8603475642710812</v>
      </c>
      <c r="Z30">
        <f t="shared" si="18"/>
        <v>-105.78362130746122</v>
      </c>
      <c r="AA30">
        <f t="shared" si="19"/>
        <v>-274.84003482992256</v>
      </c>
      <c r="AB30">
        <f t="shared" si="20"/>
        <v>-26.129772348042501</v>
      </c>
      <c r="AC30">
        <f t="shared" si="21"/>
        <v>-125.22817254085669</v>
      </c>
      <c r="AD30">
        <v>-4.1041213599006303E-2</v>
      </c>
      <c r="AE30">
        <v>4.6072357672665598E-2</v>
      </c>
      <c r="AF30">
        <v>3.4457494798958699</v>
      </c>
      <c r="AG30">
        <v>133</v>
      </c>
      <c r="AH30">
        <v>27</v>
      </c>
      <c r="AI30">
        <f t="shared" si="22"/>
        <v>1.0050704701468096</v>
      </c>
      <c r="AJ30">
        <f t="shared" si="23"/>
        <v>0.50704701468096136</v>
      </c>
      <c r="AK30">
        <f t="shared" si="24"/>
        <v>52726.618502482037</v>
      </c>
      <c r="AL30" t="s">
        <v>278</v>
      </c>
      <c r="AM30">
        <v>520.33192307692298</v>
      </c>
      <c r="AN30">
        <v>3330.63</v>
      </c>
      <c r="AO30">
        <f t="shared" si="25"/>
        <v>2810.2980769230771</v>
      </c>
      <c r="AP30">
        <f t="shared" si="26"/>
        <v>0.84377372356673574</v>
      </c>
      <c r="AQ30">
        <v>-1.3252759154356599</v>
      </c>
      <c r="AR30" t="s">
        <v>351</v>
      </c>
      <c r="AS30">
        <v>734.67803846153799</v>
      </c>
      <c r="AT30">
        <v>1307.5899999999999</v>
      </c>
      <c r="AU30">
        <f t="shared" si="27"/>
        <v>0.43814342533857098</v>
      </c>
      <c r="AV30">
        <v>0.5</v>
      </c>
      <c r="AW30">
        <f t="shared" si="28"/>
        <v>1471.0608000962975</v>
      </c>
      <c r="AX30">
        <f t="shared" si="29"/>
        <v>53.304735267022721</v>
      </c>
      <c r="AY30">
        <f t="shared" si="30"/>
        <v>322.2678089177453</v>
      </c>
      <c r="AZ30">
        <f t="shared" si="31"/>
        <v>0.61360977064676236</v>
      </c>
      <c r="BA30">
        <f t="shared" si="32"/>
        <v>3.7136474018532907E-2</v>
      </c>
      <c r="BB30">
        <f t="shared" si="33"/>
        <v>1.5471516300981196</v>
      </c>
      <c r="BC30" t="s">
        <v>352</v>
      </c>
      <c r="BD30">
        <v>505.24</v>
      </c>
      <c r="BE30">
        <f t="shared" si="34"/>
        <v>802.34999999999991</v>
      </c>
      <c r="BF30">
        <f t="shared" si="35"/>
        <v>0.71404245221968221</v>
      </c>
      <c r="BG30">
        <f t="shared" si="36"/>
        <v>0.71602150499577044</v>
      </c>
      <c r="BH30">
        <f t="shared" si="37"/>
        <v>0.72773081449685939</v>
      </c>
      <c r="BI30">
        <f t="shared" si="38"/>
        <v>0.71986669905669742</v>
      </c>
      <c r="BJ30">
        <v>1333</v>
      </c>
      <c r="BK30">
        <v>300</v>
      </c>
      <c r="BL30">
        <v>300</v>
      </c>
      <c r="BM30">
        <v>300</v>
      </c>
      <c r="BN30">
        <v>10286.299999999999</v>
      </c>
      <c r="BO30">
        <v>1153.78</v>
      </c>
      <c r="BP30">
        <v>-7.0650799999999996E-3</v>
      </c>
      <c r="BQ30">
        <v>4.1054700000000004</v>
      </c>
      <c r="BR30">
        <f t="shared" si="39"/>
        <v>1749.83</v>
      </c>
      <c r="BS30">
        <f t="shared" si="40"/>
        <v>1471.0608000962975</v>
      </c>
      <c r="BT30">
        <f t="shared" si="41"/>
        <v>0.84068783830217653</v>
      </c>
      <c r="BU30">
        <f t="shared" si="42"/>
        <v>0.19137567660435287</v>
      </c>
      <c r="BV30" t="s">
        <v>281</v>
      </c>
      <c r="BW30">
        <v>1566142143.5</v>
      </c>
      <c r="BX30">
        <v>1532.1010000000001</v>
      </c>
      <c r="BY30">
        <v>1600.15</v>
      </c>
      <c r="BZ30">
        <v>17.396599999999999</v>
      </c>
      <c r="CA30">
        <v>14.5829</v>
      </c>
      <c r="CB30">
        <v>500.03</v>
      </c>
      <c r="CC30">
        <v>98.805899999999994</v>
      </c>
      <c r="CD30">
        <v>0.200013</v>
      </c>
      <c r="CE30">
        <v>24.745799999999999</v>
      </c>
      <c r="CF30">
        <v>27.0169</v>
      </c>
      <c r="CG30">
        <v>999.9</v>
      </c>
      <c r="CH30">
        <v>10016.9</v>
      </c>
      <c r="CI30">
        <v>0</v>
      </c>
      <c r="CJ30">
        <v>1499.3</v>
      </c>
      <c r="CK30">
        <v>1749.83</v>
      </c>
      <c r="CL30">
        <v>0.97700600000000004</v>
      </c>
      <c r="CM30">
        <v>2.2994500000000001E-2</v>
      </c>
      <c r="CN30">
        <v>0</v>
      </c>
      <c r="CO30">
        <v>732.15899999999999</v>
      </c>
      <c r="CP30">
        <v>4.99986</v>
      </c>
      <c r="CQ30">
        <v>18728.099999999999</v>
      </c>
      <c r="CR30">
        <v>14219.4</v>
      </c>
      <c r="CS30">
        <v>44.436999999999998</v>
      </c>
      <c r="CT30">
        <v>46.561999999999998</v>
      </c>
      <c r="CU30">
        <v>45.436999999999998</v>
      </c>
      <c r="CV30">
        <v>45.436999999999998</v>
      </c>
      <c r="CW30">
        <v>46.061999999999998</v>
      </c>
      <c r="CX30">
        <v>1704.71</v>
      </c>
      <c r="CY30">
        <v>40.119999999999997</v>
      </c>
      <c r="CZ30">
        <v>0</v>
      </c>
      <c r="DA30">
        <v>117.799999952316</v>
      </c>
      <c r="DB30">
        <v>734.67803846153799</v>
      </c>
      <c r="DC30">
        <v>-24.450358997942601</v>
      </c>
      <c r="DD30">
        <v>-1010.6700862059801</v>
      </c>
      <c r="DE30">
        <v>18793.396153846199</v>
      </c>
      <c r="DF30">
        <v>15</v>
      </c>
      <c r="DG30">
        <v>1566142178</v>
      </c>
      <c r="DH30" t="s">
        <v>353</v>
      </c>
      <c r="DI30">
        <v>30</v>
      </c>
      <c r="DJ30">
        <v>0.60299999999999998</v>
      </c>
      <c r="DK30">
        <v>9.4E-2</v>
      </c>
      <c r="DL30">
        <v>1600</v>
      </c>
      <c r="DM30">
        <v>15</v>
      </c>
      <c r="DN30">
        <v>0.04</v>
      </c>
      <c r="DO30">
        <v>0.03</v>
      </c>
      <c r="DP30">
        <v>53.204960707256603</v>
      </c>
      <c r="DQ30">
        <v>-1.3528540391802799</v>
      </c>
      <c r="DR30">
        <v>0.32451177243511697</v>
      </c>
      <c r="DS30">
        <v>0</v>
      </c>
      <c r="DT30">
        <v>0.129697777953865</v>
      </c>
      <c r="DU30">
        <v>-4.5854206518502203E-3</v>
      </c>
      <c r="DV30">
        <v>1.1701935820236E-3</v>
      </c>
      <c r="DW30">
        <v>1</v>
      </c>
      <c r="DX30">
        <v>1</v>
      </c>
      <c r="DY30">
        <v>2</v>
      </c>
      <c r="DZ30" t="s">
        <v>333</v>
      </c>
      <c r="EA30">
        <v>1.86734</v>
      </c>
      <c r="EB30">
        <v>1.8638399999999999</v>
      </c>
      <c r="EC30">
        <v>1.8694900000000001</v>
      </c>
      <c r="ED30">
        <v>1.86738</v>
      </c>
      <c r="EE30">
        <v>1.8721000000000001</v>
      </c>
      <c r="EF30">
        <v>1.86456</v>
      </c>
      <c r="EG30">
        <v>1.8661399999999999</v>
      </c>
      <c r="EH30">
        <v>1.8660399999999999</v>
      </c>
      <c r="EI30" t="s">
        <v>284</v>
      </c>
      <c r="EJ30" t="s">
        <v>19</v>
      </c>
      <c r="EK30" t="s">
        <v>19</v>
      </c>
      <c r="EL30" t="s">
        <v>19</v>
      </c>
      <c r="EM30" t="s">
        <v>285</v>
      </c>
      <c r="EN30" t="s">
        <v>286</v>
      </c>
      <c r="EO30" t="s">
        <v>287</v>
      </c>
      <c r="EP30" t="s">
        <v>287</v>
      </c>
      <c r="EQ30" t="s">
        <v>287</v>
      </c>
      <c r="ER30" t="s">
        <v>287</v>
      </c>
      <c r="ES30">
        <v>0</v>
      </c>
      <c r="ET30">
        <v>100</v>
      </c>
      <c r="EU30">
        <v>100</v>
      </c>
      <c r="EV30">
        <v>0.60299999999999998</v>
      </c>
      <c r="EW30">
        <v>9.4E-2</v>
      </c>
      <c r="EX30">
        <v>2</v>
      </c>
      <c r="EY30">
        <v>348.03800000000001</v>
      </c>
      <c r="EZ30">
        <v>499.26400000000001</v>
      </c>
      <c r="FA30">
        <v>18.820900000000002</v>
      </c>
      <c r="FB30">
        <v>32.086300000000001</v>
      </c>
      <c r="FC30">
        <v>30.001200000000001</v>
      </c>
      <c r="FD30">
        <v>32.023600000000002</v>
      </c>
      <c r="FE30">
        <v>32.0229</v>
      </c>
      <c r="FF30">
        <v>66.844499999999996</v>
      </c>
      <c r="FG30">
        <v>58.938200000000002</v>
      </c>
      <c r="FH30">
        <v>0</v>
      </c>
      <c r="FI30">
        <v>18.8094</v>
      </c>
      <c r="FJ30">
        <v>1600</v>
      </c>
      <c r="FK30">
        <v>14.6135</v>
      </c>
      <c r="FL30">
        <v>100.976</v>
      </c>
      <c r="FM30">
        <v>101.464</v>
      </c>
    </row>
    <row r="31" spans="1:169" x14ac:dyDescent="0.35">
      <c r="A31">
        <v>15</v>
      </c>
      <c r="B31">
        <v>1566142269.0999999</v>
      </c>
      <c r="C31">
        <v>1625.6999998092699</v>
      </c>
      <c r="D31" t="s">
        <v>354</v>
      </c>
      <c r="E31" t="s">
        <v>355</v>
      </c>
      <c r="G31">
        <v>1566142269.0999999</v>
      </c>
      <c r="H31">
        <f t="shared" si="0"/>
        <v>2.3489479226224525E-3</v>
      </c>
      <c r="I31">
        <f t="shared" si="1"/>
        <v>53.451808702916303</v>
      </c>
      <c r="J31">
        <f t="shared" si="2"/>
        <v>1930.6089391465032</v>
      </c>
      <c r="K31">
        <f t="shared" si="3"/>
        <v>1191.3354837339823</v>
      </c>
      <c r="L31">
        <f t="shared" si="4"/>
        <v>117.95401068495967</v>
      </c>
      <c r="M31">
        <f t="shared" si="5"/>
        <v>191.14940379582816</v>
      </c>
      <c r="N31">
        <f t="shared" si="6"/>
        <v>0.12694276191266282</v>
      </c>
      <c r="O31">
        <f t="shared" si="7"/>
        <v>2.2423645728193065</v>
      </c>
      <c r="P31">
        <f t="shared" si="8"/>
        <v>0.12308127986681408</v>
      </c>
      <c r="Q31">
        <f t="shared" si="9"/>
        <v>7.7262954212765078E-2</v>
      </c>
      <c r="R31">
        <f t="shared" si="10"/>
        <v>281.59237703335668</v>
      </c>
      <c r="S31">
        <f t="shared" si="11"/>
        <v>25.830017927849834</v>
      </c>
      <c r="T31">
        <f t="shared" si="12"/>
        <v>26.897300000000001</v>
      </c>
      <c r="U31">
        <f t="shared" si="13"/>
        <v>3.5576275791613301</v>
      </c>
      <c r="V31">
        <f t="shared" si="14"/>
        <v>55.735789491641377</v>
      </c>
      <c r="W31">
        <f t="shared" si="15"/>
        <v>1.718415876468</v>
      </c>
      <c r="X31">
        <f t="shared" si="16"/>
        <v>3.0831462012854569</v>
      </c>
      <c r="Y31">
        <f t="shared" si="17"/>
        <v>1.8392117026933301</v>
      </c>
      <c r="Z31">
        <f t="shared" si="18"/>
        <v>-103.58860338765015</v>
      </c>
      <c r="AA31">
        <f t="shared" si="19"/>
        <v>-291.75679204819085</v>
      </c>
      <c r="AB31">
        <f t="shared" si="20"/>
        <v>-27.713904340598617</v>
      </c>
      <c r="AC31">
        <f t="shared" si="21"/>
        <v>-141.46692274308293</v>
      </c>
      <c r="AD31">
        <v>-4.0978505016721303E-2</v>
      </c>
      <c r="AE31">
        <v>4.6001961795477199E-2</v>
      </c>
      <c r="AF31">
        <v>3.44157898264841</v>
      </c>
      <c r="AG31">
        <v>135</v>
      </c>
      <c r="AH31">
        <v>27</v>
      </c>
      <c r="AI31">
        <f t="shared" si="22"/>
        <v>1.0051501359660957</v>
      </c>
      <c r="AJ31">
        <f t="shared" si="23"/>
        <v>0.51501359660957036</v>
      </c>
      <c r="AK31">
        <f t="shared" si="24"/>
        <v>52695.800362837777</v>
      </c>
      <c r="AL31" t="s">
        <v>278</v>
      </c>
      <c r="AM31">
        <v>520.33192307692298</v>
      </c>
      <c r="AN31">
        <v>3330.63</v>
      </c>
      <c r="AO31">
        <f t="shared" si="25"/>
        <v>2810.2980769230771</v>
      </c>
      <c r="AP31">
        <f t="shared" si="26"/>
        <v>0.84377372356673574</v>
      </c>
      <c r="AQ31">
        <v>-1.3252759154356599</v>
      </c>
      <c r="AR31" t="s">
        <v>356</v>
      </c>
      <c r="AS31">
        <v>720.92142307692302</v>
      </c>
      <c r="AT31">
        <v>1238.76</v>
      </c>
      <c r="AU31">
        <f t="shared" si="27"/>
        <v>0.41802978536849511</v>
      </c>
      <c r="AV31">
        <v>0.5</v>
      </c>
      <c r="AW31">
        <f t="shared" si="28"/>
        <v>1471.4061000963466</v>
      </c>
      <c r="AX31">
        <f t="shared" si="29"/>
        <v>53.451808702916303</v>
      </c>
      <c r="AY31">
        <f t="shared" si="30"/>
        <v>307.54578810658512</v>
      </c>
      <c r="AZ31">
        <f t="shared" si="31"/>
        <v>0.59785592043656555</v>
      </c>
      <c r="BA31">
        <f t="shared" si="32"/>
        <v>3.7227713419677413E-2</v>
      </c>
      <c r="BB31">
        <f t="shared" si="33"/>
        <v>1.6886806160999708</v>
      </c>
      <c r="BC31" t="s">
        <v>357</v>
      </c>
      <c r="BD31">
        <v>498.16</v>
      </c>
      <c r="BE31">
        <f t="shared" si="34"/>
        <v>740.59999999999991</v>
      </c>
      <c r="BF31">
        <f t="shared" si="35"/>
        <v>0.69921492968279375</v>
      </c>
      <c r="BG31">
        <f t="shared" si="36"/>
        <v>0.73853209389684615</v>
      </c>
      <c r="BH31">
        <f t="shared" si="37"/>
        <v>0.72079390207145622</v>
      </c>
      <c r="BI31">
        <f t="shared" si="38"/>
        <v>0.74435876292892544</v>
      </c>
      <c r="BJ31">
        <v>1335</v>
      </c>
      <c r="BK31">
        <v>300</v>
      </c>
      <c r="BL31">
        <v>300</v>
      </c>
      <c r="BM31">
        <v>300</v>
      </c>
      <c r="BN31">
        <v>10285.299999999999</v>
      </c>
      <c r="BO31">
        <v>1099.33</v>
      </c>
      <c r="BP31">
        <v>-7.0641799999999998E-3</v>
      </c>
      <c r="BQ31">
        <v>3.8387500000000001</v>
      </c>
      <c r="BR31">
        <f t="shared" si="39"/>
        <v>1750.24</v>
      </c>
      <c r="BS31">
        <f t="shared" si="40"/>
        <v>1471.4061000963466</v>
      </c>
      <c r="BT31">
        <f t="shared" si="41"/>
        <v>0.84068819138880757</v>
      </c>
      <c r="BU31">
        <f t="shared" si="42"/>
        <v>0.1913763827776154</v>
      </c>
      <c r="BV31" t="s">
        <v>281</v>
      </c>
      <c r="BW31">
        <v>1566142269.0999999</v>
      </c>
      <c r="BX31">
        <v>1930.6089999999999</v>
      </c>
      <c r="BY31">
        <v>1999.85</v>
      </c>
      <c r="BZ31">
        <v>17.356000000000002</v>
      </c>
      <c r="CA31">
        <v>14.6012</v>
      </c>
      <c r="CB31">
        <v>500.10399999999998</v>
      </c>
      <c r="CC31">
        <v>98.809799999999996</v>
      </c>
      <c r="CD31">
        <v>0.200103</v>
      </c>
      <c r="CE31">
        <v>24.483899999999998</v>
      </c>
      <c r="CF31">
        <v>26.897300000000001</v>
      </c>
      <c r="CG31">
        <v>999.9</v>
      </c>
      <c r="CH31">
        <v>10001.200000000001</v>
      </c>
      <c r="CI31">
        <v>0</v>
      </c>
      <c r="CJ31">
        <v>988.69600000000003</v>
      </c>
      <c r="CK31">
        <v>1750.24</v>
      </c>
      <c r="CL31">
        <v>0.97699499999999995</v>
      </c>
      <c r="CM31">
        <v>2.3005299999999999E-2</v>
      </c>
      <c r="CN31">
        <v>0</v>
      </c>
      <c r="CO31">
        <v>719.90099999999995</v>
      </c>
      <c r="CP31">
        <v>4.99986</v>
      </c>
      <c r="CQ31">
        <v>17052.2</v>
      </c>
      <c r="CR31">
        <v>14222.7</v>
      </c>
      <c r="CS31">
        <v>44.75</v>
      </c>
      <c r="CT31">
        <v>47</v>
      </c>
      <c r="CU31">
        <v>45.811999999999998</v>
      </c>
      <c r="CV31">
        <v>45.811999999999998</v>
      </c>
      <c r="CW31">
        <v>46.311999999999998</v>
      </c>
      <c r="CX31">
        <v>1705.09</v>
      </c>
      <c r="CY31">
        <v>40.15</v>
      </c>
      <c r="CZ31">
        <v>0</v>
      </c>
      <c r="DA31">
        <v>125</v>
      </c>
      <c r="DB31">
        <v>720.92142307692302</v>
      </c>
      <c r="DC31">
        <v>-7.4082393175950196</v>
      </c>
      <c r="DD31">
        <v>201.95897369173801</v>
      </c>
      <c r="DE31">
        <v>17016.219230769198</v>
      </c>
      <c r="DF31">
        <v>15</v>
      </c>
      <c r="DG31">
        <v>1566142309.5999999</v>
      </c>
      <c r="DH31" t="s">
        <v>358</v>
      </c>
      <c r="DI31">
        <v>31</v>
      </c>
      <c r="DJ31">
        <v>0.78200000000000003</v>
      </c>
      <c r="DK31">
        <v>0.09</v>
      </c>
      <c r="DL31">
        <v>2000</v>
      </c>
      <c r="DM31">
        <v>14</v>
      </c>
      <c r="DN31">
        <v>0.05</v>
      </c>
      <c r="DO31">
        <v>0.03</v>
      </c>
      <c r="DP31">
        <v>54.138531899244299</v>
      </c>
      <c r="DQ31">
        <v>-1.6617217190275599</v>
      </c>
      <c r="DR31">
        <v>0.36440045087311601</v>
      </c>
      <c r="DS31">
        <v>0</v>
      </c>
      <c r="DT31">
        <v>0.123656441027565</v>
      </c>
      <c r="DU31">
        <v>2.4401686285407398E-3</v>
      </c>
      <c r="DV31">
        <v>1.32706174267872E-3</v>
      </c>
      <c r="DW31">
        <v>1</v>
      </c>
      <c r="DX31">
        <v>1</v>
      </c>
      <c r="DY31">
        <v>2</v>
      </c>
      <c r="DZ31" t="s">
        <v>333</v>
      </c>
      <c r="EA31">
        <v>1.8673200000000001</v>
      </c>
      <c r="EB31">
        <v>1.8637999999999999</v>
      </c>
      <c r="EC31">
        <v>1.86947</v>
      </c>
      <c r="ED31">
        <v>1.86737</v>
      </c>
      <c r="EE31">
        <v>1.8721000000000001</v>
      </c>
      <c r="EF31">
        <v>1.86456</v>
      </c>
      <c r="EG31">
        <v>1.8661300000000001</v>
      </c>
      <c r="EH31">
        <v>1.86605</v>
      </c>
      <c r="EI31" t="s">
        <v>284</v>
      </c>
      <c r="EJ31" t="s">
        <v>19</v>
      </c>
      <c r="EK31" t="s">
        <v>19</v>
      </c>
      <c r="EL31" t="s">
        <v>19</v>
      </c>
      <c r="EM31" t="s">
        <v>285</v>
      </c>
      <c r="EN31" t="s">
        <v>286</v>
      </c>
      <c r="EO31" t="s">
        <v>287</v>
      </c>
      <c r="EP31" t="s">
        <v>287</v>
      </c>
      <c r="EQ31" t="s">
        <v>287</v>
      </c>
      <c r="ER31" t="s">
        <v>287</v>
      </c>
      <c r="ES31">
        <v>0</v>
      </c>
      <c r="ET31">
        <v>100</v>
      </c>
      <c r="EU31">
        <v>100</v>
      </c>
      <c r="EV31">
        <v>0.78200000000000003</v>
      </c>
      <c r="EW31">
        <v>0.09</v>
      </c>
      <c r="EX31">
        <v>2</v>
      </c>
      <c r="EY31">
        <v>346.411</v>
      </c>
      <c r="EZ31">
        <v>497.60199999999998</v>
      </c>
      <c r="FA31">
        <v>18.401800000000001</v>
      </c>
      <c r="FB31">
        <v>32.442599999999999</v>
      </c>
      <c r="FC31">
        <v>29.997800000000002</v>
      </c>
      <c r="FD31">
        <v>32.282600000000002</v>
      </c>
      <c r="FE31">
        <v>32.267699999999998</v>
      </c>
      <c r="FF31">
        <v>79.474900000000005</v>
      </c>
      <c r="FG31">
        <v>59.5899</v>
      </c>
      <c r="FH31">
        <v>0</v>
      </c>
      <c r="FI31">
        <v>18.567799999999998</v>
      </c>
      <c r="FJ31">
        <v>2000</v>
      </c>
      <c r="FK31">
        <v>14.4003</v>
      </c>
      <c r="FL31">
        <v>100.92400000000001</v>
      </c>
      <c r="FM31">
        <v>101.4</v>
      </c>
    </row>
  </sheetData>
  <sortState ref="J37:L51">
    <sortCondition ref="J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Jiang, Chongya</cp:lastModifiedBy>
  <dcterms:created xsi:type="dcterms:W3CDTF">2019-08-18T10:32:21Z</dcterms:created>
  <dcterms:modified xsi:type="dcterms:W3CDTF">2019-08-28T02:37:11Z</dcterms:modified>
</cp:coreProperties>
</file>