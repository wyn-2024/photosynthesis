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hongya\Documents\Guapi\A-Ci\raw20190907SY\"/>
    </mc:Choice>
  </mc:AlternateContent>
  <bookViews>
    <workbookView xWindow="240" yWindow="20" windowWidth="16100" windowHeight="9660"/>
  </bookViews>
  <sheets>
    <sheet name="Measurements" sheetId="1" r:id="rId1"/>
    <sheet name="Remarks" sheetId="2" r:id="rId2"/>
  </sheets>
  <calcPr calcId="162913"/>
</workbook>
</file>

<file path=xl/calcChain.xml><?xml version="1.0" encoding="utf-8"?>
<calcChain xmlns="http://schemas.openxmlformats.org/spreadsheetml/2006/main">
  <c r="BM31" i="1" l="1"/>
  <c r="BL31" i="1"/>
  <c r="BJ31" i="1"/>
  <c r="BK31" i="1" s="1"/>
  <c r="BI31" i="1"/>
  <c r="BH31" i="1"/>
  <c r="BG31" i="1"/>
  <c r="BF31" i="1"/>
  <c r="BE31" i="1"/>
  <c r="BB31" i="1"/>
  <c r="AZ31" i="1"/>
  <c r="AU31" i="1"/>
  <c r="AO31" i="1"/>
  <c r="AP31" i="1" s="1"/>
  <c r="AK31" i="1"/>
  <c r="AJ31" i="1"/>
  <c r="AI31" i="1"/>
  <c r="M31" i="1" s="1"/>
  <c r="X31" i="1"/>
  <c r="W31" i="1"/>
  <c r="V31" i="1" s="1"/>
  <c r="O31" i="1"/>
  <c r="J31" i="1"/>
  <c r="H31" i="1"/>
  <c r="Z31" i="1" s="1"/>
  <c r="BM30" i="1"/>
  <c r="R30" i="1" s="1"/>
  <c r="BL30" i="1"/>
  <c r="BJ30" i="1"/>
  <c r="BK30" i="1" s="1"/>
  <c r="AW30" i="1" s="1"/>
  <c r="AY30" i="1" s="1"/>
  <c r="BI30" i="1"/>
  <c r="BH30" i="1"/>
  <c r="BG30" i="1"/>
  <c r="BF30" i="1"/>
  <c r="BE30" i="1"/>
  <c r="AZ30" i="1" s="1"/>
  <c r="BB30" i="1"/>
  <c r="AU30" i="1"/>
  <c r="AP30" i="1"/>
  <c r="AO30" i="1"/>
  <c r="AK30" i="1"/>
  <c r="AI30" i="1"/>
  <c r="X30" i="1"/>
  <c r="W30" i="1"/>
  <c r="V30" i="1"/>
  <c r="O30" i="1"/>
  <c r="J30" i="1"/>
  <c r="BM29" i="1"/>
  <c r="BL29" i="1"/>
  <c r="BK29" i="1" s="1"/>
  <c r="BJ29" i="1"/>
  <c r="BI29" i="1"/>
  <c r="BH29" i="1"/>
  <c r="BG29" i="1"/>
  <c r="BF29" i="1"/>
  <c r="BE29" i="1"/>
  <c r="AZ29" i="1" s="1"/>
  <c r="BB29" i="1"/>
  <c r="AX29" i="1"/>
  <c r="AU29" i="1"/>
  <c r="AO29" i="1"/>
  <c r="AP29" i="1" s="1"/>
  <c r="AK29" i="1"/>
  <c r="AI29" i="1"/>
  <c r="H29" i="1" s="1"/>
  <c r="X29" i="1"/>
  <c r="W29" i="1"/>
  <c r="V29" i="1"/>
  <c r="O29" i="1"/>
  <c r="M29" i="1"/>
  <c r="J29" i="1"/>
  <c r="I29" i="1"/>
  <c r="BM28" i="1"/>
  <c r="BL28" i="1"/>
  <c r="BK28" i="1"/>
  <c r="R28" i="1" s="1"/>
  <c r="BJ28" i="1"/>
  <c r="BI28" i="1"/>
  <c r="BH28" i="1"/>
  <c r="BG28" i="1"/>
  <c r="BF28" i="1"/>
  <c r="BE28" i="1"/>
  <c r="BB28" i="1"/>
  <c r="AZ28" i="1"/>
  <c r="AW28" i="1"/>
  <c r="AU28" i="1"/>
  <c r="AO28" i="1"/>
  <c r="AP28" i="1" s="1"/>
  <c r="AK28" i="1"/>
  <c r="AI28" i="1" s="1"/>
  <c r="X28" i="1"/>
  <c r="W28" i="1"/>
  <c r="V28" i="1" s="1"/>
  <c r="O28" i="1"/>
  <c r="BM27" i="1"/>
  <c r="BL27" i="1"/>
  <c r="BJ27" i="1"/>
  <c r="BK27" i="1" s="1"/>
  <c r="BI27" i="1"/>
  <c r="BH27" i="1"/>
  <c r="BG27" i="1"/>
  <c r="BF27" i="1"/>
  <c r="BE27" i="1"/>
  <c r="BB27" i="1"/>
  <c r="AZ27" i="1"/>
  <c r="AU27" i="1"/>
  <c r="AP27" i="1"/>
  <c r="AO27" i="1"/>
  <c r="AK27" i="1"/>
  <c r="AI27" i="1" s="1"/>
  <c r="AJ27" i="1"/>
  <c r="X27" i="1"/>
  <c r="W27" i="1"/>
  <c r="V27" i="1" s="1"/>
  <c r="O27" i="1"/>
  <c r="BM26" i="1"/>
  <c r="BL26" i="1"/>
  <c r="BJ26" i="1"/>
  <c r="BK26" i="1" s="1"/>
  <c r="AW26" i="1" s="1"/>
  <c r="AY26" i="1" s="1"/>
  <c r="BI26" i="1"/>
  <c r="BH26" i="1"/>
  <c r="BG26" i="1"/>
  <c r="BF26" i="1"/>
  <c r="BE26" i="1"/>
  <c r="AZ26" i="1" s="1"/>
  <c r="BB26" i="1"/>
  <c r="AU26" i="1"/>
  <c r="AP26" i="1"/>
  <c r="AO26" i="1"/>
  <c r="AK26" i="1"/>
  <c r="AI26" i="1"/>
  <c r="X26" i="1"/>
  <c r="W26" i="1"/>
  <c r="V26" i="1"/>
  <c r="R26" i="1"/>
  <c r="O26" i="1"/>
  <c r="J26" i="1"/>
  <c r="BM25" i="1"/>
  <c r="BL25" i="1"/>
  <c r="BK25" i="1" s="1"/>
  <c r="BJ25" i="1"/>
  <c r="BI25" i="1"/>
  <c r="BH25" i="1"/>
  <c r="BG25" i="1"/>
  <c r="BF25" i="1"/>
  <c r="BE25" i="1"/>
  <c r="AZ25" i="1" s="1"/>
  <c r="BB25" i="1"/>
  <c r="AU25" i="1"/>
  <c r="AO25" i="1"/>
  <c r="AP25" i="1" s="1"/>
  <c r="AK25" i="1"/>
  <c r="AI25" i="1"/>
  <c r="H25" i="1" s="1"/>
  <c r="X25" i="1"/>
  <c r="W25" i="1"/>
  <c r="V25" i="1"/>
  <c r="O25" i="1"/>
  <c r="M25" i="1"/>
  <c r="J25" i="1"/>
  <c r="I25" i="1"/>
  <c r="AX25" i="1" s="1"/>
  <c r="BM24" i="1"/>
  <c r="BL24" i="1"/>
  <c r="BK24" i="1"/>
  <c r="R24" i="1" s="1"/>
  <c r="BJ24" i="1"/>
  <c r="BI24" i="1"/>
  <c r="BH24" i="1"/>
  <c r="BG24" i="1"/>
  <c r="BF24" i="1"/>
  <c r="BE24" i="1"/>
  <c r="AZ24" i="1" s="1"/>
  <c r="BB24" i="1"/>
  <c r="AW24" i="1"/>
  <c r="AY24" i="1" s="1"/>
  <c r="AU24" i="1"/>
  <c r="AO24" i="1"/>
  <c r="AP24" i="1" s="1"/>
  <c r="AK24" i="1"/>
  <c r="AI24" i="1" s="1"/>
  <c r="X24" i="1"/>
  <c r="V24" i="1" s="1"/>
  <c r="W24" i="1"/>
  <c r="O24" i="1"/>
  <c r="BM23" i="1"/>
  <c r="BL23" i="1"/>
  <c r="BJ23" i="1"/>
  <c r="BK23" i="1" s="1"/>
  <c r="BI23" i="1"/>
  <c r="BH23" i="1"/>
  <c r="BG23" i="1"/>
  <c r="BF23" i="1"/>
  <c r="BE23" i="1"/>
  <c r="BB23" i="1"/>
  <c r="AZ23" i="1"/>
  <c r="AU23" i="1"/>
  <c r="AO23" i="1"/>
  <c r="AP23" i="1" s="1"/>
  <c r="AK23" i="1"/>
  <c r="AI23" i="1" s="1"/>
  <c r="X23" i="1"/>
  <c r="W23" i="1"/>
  <c r="V23" i="1" s="1"/>
  <c r="O23" i="1"/>
  <c r="BM22" i="1"/>
  <c r="R22" i="1" s="1"/>
  <c r="BL22" i="1"/>
  <c r="BJ22" i="1"/>
  <c r="BK22" i="1" s="1"/>
  <c r="AW22" i="1" s="1"/>
  <c r="AY22" i="1" s="1"/>
  <c r="BI22" i="1"/>
  <c r="BH22" i="1"/>
  <c r="BG22" i="1"/>
  <c r="BF22" i="1"/>
  <c r="BE22" i="1"/>
  <c r="AZ22" i="1" s="1"/>
  <c r="BB22" i="1"/>
  <c r="AU22" i="1"/>
  <c r="AP22" i="1"/>
  <c r="AO22" i="1"/>
  <c r="AK22" i="1"/>
  <c r="AI22" i="1"/>
  <c r="X22" i="1"/>
  <c r="W22" i="1"/>
  <c r="V22" i="1"/>
  <c r="O22" i="1"/>
  <c r="J22" i="1"/>
  <c r="BM21" i="1"/>
  <c r="BL21" i="1"/>
  <c r="BJ21" i="1"/>
  <c r="BI21" i="1"/>
  <c r="BH21" i="1"/>
  <c r="BG21" i="1"/>
  <c r="BF21" i="1"/>
  <c r="BE21" i="1"/>
  <c r="AZ21" i="1" s="1"/>
  <c r="BB21" i="1"/>
  <c r="AX21" i="1"/>
  <c r="AU21" i="1"/>
  <c r="AO21" i="1"/>
  <c r="AP21" i="1" s="1"/>
  <c r="AK21" i="1"/>
  <c r="AI21" i="1"/>
  <c r="AJ21" i="1" s="1"/>
  <c r="X21" i="1"/>
  <c r="W21" i="1"/>
  <c r="V21" i="1"/>
  <c r="O21" i="1"/>
  <c r="M21" i="1"/>
  <c r="J21" i="1"/>
  <c r="I21" i="1"/>
  <c r="H21" i="1"/>
  <c r="BM20" i="1"/>
  <c r="BL20" i="1"/>
  <c r="BK20" i="1"/>
  <c r="R20" i="1" s="1"/>
  <c r="BJ20" i="1"/>
  <c r="BI20" i="1"/>
  <c r="BH20" i="1"/>
  <c r="BG20" i="1"/>
  <c r="BF20" i="1"/>
  <c r="BE20" i="1"/>
  <c r="BB20" i="1"/>
  <c r="AZ20" i="1"/>
  <c r="AU20" i="1"/>
  <c r="AO20" i="1"/>
  <c r="AP20" i="1" s="1"/>
  <c r="AK20" i="1"/>
  <c r="AI20" i="1" s="1"/>
  <c r="X20" i="1"/>
  <c r="W20" i="1"/>
  <c r="V20" i="1" s="1"/>
  <c r="O20" i="1"/>
  <c r="BM19" i="1"/>
  <c r="BL19" i="1"/>
  <c r="BJ19" i="1"/>
  <c r="BK19" i="1" s="1"/>
  <c r="AW19" i="1" s="1"/>
  <c r="BI19" i="1"/>
  <c r="BH19" i="1"/>
  <c r="BG19" i="1"/>
  <c r="BF19" i="1"/>
  <c r="BE19" i="1"/>
  <c r="BB19" i="1"/>
  <c r="AZ19" i="1"/>
  <c r="AU19" i="1"/>
  <c r="AY19" i="1" s="1"/>
  <c r="AP19" i="1"/>
  <c r="AO19" i="1"/>
  <c r="AK19" i="1"/>
  <c r="AI19" i="1"/>
  <c r="I19" i="1" s="1"/>
  <c r="AX19" i="1" s="1"/>
  <c r="BA19" i="1" s="1"/>
  <c r="X19" i="1"/>
  <c r="W19" i="1"/>
  <c r="V19" i="1"/>
  <c r="R19" i="1"/>
  <c r="O19" i="1"/>
  <c r="BM18" i="1"/>
  <c r="BL18" i="1"/>
  <c r="BK18" i="1"/>
  <c r="R18" i="1" s="1"/>
  <c r="BJ18" i="1"/>
  <c r="BI18" i="1"/>
  <c r="BH18" i="1"/>
  <c r="BG18" i="1"/>
  <c r="BF18" i="1"/>
  <c r="BE18" i="1"/>
  <c r="AZ18" i="1" s="1"/>
  <c r="BB18" i="1"/>
  <c r="AW18" i="1"/>
  <c r="AY18" i="1" s="1"/>
  <c r="AU18" i="1"/>
  <c r="AO18" i="1"/>
  <c r="AP18" i="1" s="1"/>
  <c r="AK18" i="1"/>
  <c r="AI18" i="1" s="1"/>
  <c r="X18" i="1"/>
  <c r="V18" i="1" s="1"/>
  <c r="W18" i="1"/>
  <c r="O18" i="1"/>
  <c r="H18" i="1"/>
  <c r="Z18" i="1" s="1"/>
  <c r="BM17" i="1"/>
  <c r="BL17" i="1"/>
  <c r="BJ17" i="1"/>
  <c r="BK17" i="1" s="1"/>
  <c r="BI17" i="1"/>
  <c r="BH17" i="1"/>
  <c r="BG17" i="1"/>
  <c r="BF17" i="1"/>
  <c r="BE17" i="1"/>
  <c r="BB17" i="1"/>
  <c r="AZ17" i="1"/>
  <c r="AU17" i="1"/>
  <c r="AO17" i="1"/>
  <c r="AP17" i="1" s="1"/>
  <c r="AK17" i="1"/>
  <c r="AI17" i="1" s="1"/>
  <c r="AJ17" i="1"/>
  <c r="X17" i="1"/>
  <c r="W17" i="1"/>
  <c r="V17" i="1" s="1"/>
  <c r="O17" i="1"/>
  <c r="R17" i="1" l="1"/>
  <c r="AW17" i="1"/>
  <c r="AY17" i="1" s="1"/>
  <c r="AJ20" i="1"/>
  <c r="J20" i="1"/>
  <c r="M20" i="1"/>
  <c r="I20" i="1"/>
  <c r="AX20" i="1" s="1"/>
  <c r="BA20" i="1" s="1"/>
  <c r="J17" i="1"/>
  <c r="M17" i="1"/>
  <c r="I17" i="1"/>
  <c r="AX17" i="1" s="1"/>
  <c r="BA17" i="1" s="1"/>
  <c r="H17" i="1"/>
  <c r="S22" i="1"/>
  <c r="T22" i="1" s="1"/>
  <c r="H19" i="1"/>
  <c r="AJ19" i="1"/>
  <c r="J19" i="1"/>
  <c r="AA18" i="1"/>
  <c r="AJ18" i="1"/>
  <c r="M18" i="1"/>
  <c r="I18" i="1"/>
  <c r="AX18" i="1" s="1"/>
  <c r="BA18" i="1" s="1"/>
  <c r="J18" i="1"/>
  <c r="S18" i="1"/>
  <c r="T18" i="1" s="1"/>
  <c r="M19" i="1"/>
  <c r="H20" i="1"/>
  <c r="AW29" i="1"/>
  <c r="AY29" i="1" s="1"/>
  <c r="R29" i="1"/>
  <c r="AJ24" i="1"/>
  <c r="J24" i="1"/>
  <c r="M24" i="1"/>
  <c r="I24" i="1"/>
  <c r="AX24" i="1" s="1"/>
  <c r="BA24" i="1" s="1"/>
  <c r="S24" i="1"/>
  <c r="T24" i="1" s="1"/>
  <c r="AJ28" i="1"/>
  <c r="J28" i="1"/>
  <c r="M28" i="1"/>
  <c r="I28" i="1"/>
  <c r="AX28" i="1" s="1"/>
  <c r="BA28" i="1" s="1"/>
  <c r="AY20" i="1"/>
  <c r="M22" i="1"/>
  <c r="I22" i="1"/>
  <c r="AX22" i="1" s="1"/>
  <c r="BA22" i="1" s="1"/>
  <c r="H22" i="1"/>
  <c r="AJ22" i="1"/>
  <c r="R23" i="1"/>
  <c r="AW23" i="1"/>
  <c r="AY23" i="1" s="1"/>
  <c r="AY27" i="1"/>
  <c r="R27" i="1"/>
  <c r="AW27" i="1"/>
  <c r="S28" i="1"/>
  <c r="T28" i="1" s="1"/>
  <c r="M30" i="1"/>
  <c r="I30" i="1"/>
  <c r="AX30" i="1" s="1"/>
  <c r="BA30" i="1" s="1"/>
  <c r="H30" i="1"/>
  <c r="AJ30" i="1"/>
  <c r="J23" i="1"/>
  <c r="M23" i="1"/>
  <c r="I23" i="1"/>
  <c r="AX23" i="1" s="1"/>
  <c r="H23" i="1"/>
  <c r="Z29" i="1"/>
  <c r="H24" i="1"/>
  <c r="M26" i="1"/>
  <c r="I26" i="1"/>
  <c r="AX26" i="1" s="1"/>
  <c r="BA26" i="1" s="1"/>
  <c r="H26" i="1"/>
  <c r="AJ26" i="1"/>
  <c r="H28" i="1"/>
  <c r="R31" i="1"/>
  <c r="AW31" i="1"/>
  <c r="AY31" i="1" s="1"/>
  <c r="AW20" i="1"/>
  <c r="BK21" i="1"/>
  <c r="AJ23" i="1"/>
  <c r="AA24" i="1"/>
  <c r="Z25" i="1"/>
  <c r="AW25" i="1"/>
  <c r="AY25" i="1" s="1"/>
  <c r="R25" i="1"/>
  <c r="J27" i="1"/>
  <c r="M27" i="1"/>
  <c r="I27" i="1"/>
  <c r="AX27" i="1" s="1"/>
  <c r="BA27" i="1" s="1"/>
  <c r="H27" i="1"/>
  <c r="AA28" i="1"/>
  <c r="AY28" i="1"/>
  <c r="Z21" i="1"/>
  <c r="AJ25" i="1"/>
  <c r="AJ29" i="1"/>
  <c r="I31" i="1"/>
  <c r="AX31" i="1" s="1"/>
  <c r="Z20" i="1" l="1"/>
  <c r="Z19" i="1"/>
  <c r="Z17" i="1"/>
  <c r="U22" i="1"/>
  <c r="Y22" i="1" s="1"/>
  <c r="AB22" i="1"/>
  <c r="S31" i="1"/>
  <c r="T31" i="1" s="1"/>
  <c r="Z30" i="1"/>
  <c r="U24" i="1"/>
  <c r="Y24" i="1" s="1"/>
  <c r="AB24" i="1"/>
  <c r="S30" i="1"/>
  <c r="T30" i="1" s="1"/>
  <c r="Z27" i="1"/>
  <c r="AW21" i="1"/>
  <c r="R21" i="1"/>
  <c r="Z28" i="1"/>
  <c r="P28" i="1"/>
  <c r="N28" i="1" s="1"/>
  <c r="Q28" i="1" s="1"/>
  <c r="K28" i="1" s="1"/>
  <c r="L28" i="1" s="1"/>
  <c r="BA29" i="1"/>
  <c r="Z23" i="1"/>
  <c r="P23" i="1"/>
  <c r="N23" i="1" s="1"/>
  <c r="Q23" i="1" s="1"/>
  <c r="K23" i="1" s="1"/>
  <c r="L23" i="1" s="1"/>
  <c r="S23" i="1"/>
  <c r="T23" i="1" s="1"/>
  <c r="S19" i="1"/>
  <c r="T19" i="1" s="1"/>
  <c r="S17" i="1"/>
  <c r="T17" i="1" s="1"/>
  <c r="P17" i="1" s="1"/>
  <c r="N17" i="1" s="1"/>
  <c r="Q17" i="1" s="1"/>
  <c r="K17" i="1" s="1"/>
  <c r="L17" i="1" s="1"/>
  <c r="Z26" i="1"/>
  <c r="S20" i="1"/>
  <c r="T20" i="1" s="1"/>
  <c r="U28" i="1"/>
  <c r="Y28" i="1" s="1"/>
  <c r="AB28" i="1"/>
  <c r="P22" i="1"/>
  <c r="N22" i="1" s="1"/>
  <c r="Q22" i="1" s="1"/>
  <c r="K22" i="1" s="1"/>
  <c r="L22" i="1" s="1"/>
  <c r="Z22" i="1"/>
  <c r="S26" i="1"/>
  <c r="T26" i="1" s="1"/>
  <c r="P26" i="1" s="1"/>
  <c r="N26" i="1" s="1"/>
  <c r="Q26" i="1" s="1"/>
  <c r="K26" i="1" s="1"/>
  <c r="L26" i="1" s="1"/>
  <c r="BA25" i="1"/>
  <c r="BA31" i="1"/>
  <c r="S25" i="1"/>
  <c r="T25" i="1" s="1"/>
  <c r="Z24" i="1"/>
  <c r="P24" i="1"/>
  <c r="N24" i="1" s="1"/>
  <c r="Q24" i="1" s="1"/>
  <c r="K24" i="1" s="1"/>
  <c r="L24" i="1" s="1"/>
  <c r="BA23" i="1"/>
  <c r="S27" i="1"/>
  <c r="T27" i="1" s="1"/>
  <c r="S29" i="1"/>
  <c r="T29" i="1" s="1"/>
  <c r="AA22" i="1"/>
  <c r="U18" i="1"/>
  <c r="Y18" i="1" s="1"/>
  <c r="AB18" i="1"/>
  <c r="AC18" i="1" s="1"/>
  <c r="P18" i="1"/>
  <c r="N18" i="1" s="1"/>
  <c r="Q18" i="1" s="1"/>
  <c r="K18" i="1" s="1"/>
  <c r="L18" i="1" s="1"/>
  <c r="AB29" i="1" l="1"/>
  <c r="U29" i="1"/>
  <c r="Y29" i="1" s="1"/>
  <c r="AA29" i="1"/>
  <c r="P29" i="1"/>
  <c r="N29" i="1" s="1"/>
  <c r="Q29" i="1" s="1"/>
  <c r="K29" i="1" s="1"/>
  <c r="L29" i="1" s="1"/>
  <c r="AB19" i="1"/>
  <c r="U19" i="1"/>
  <c r="Y19" i="1" s="1"/>
  <c r="AA19" i="1"/>
  <c r="S21" i="1"/>
  <c r="T21" i="1" s="1"/>
  <c r="U30" i="1"/>
  <c r="Y30" i="1" s="1"/>
  <c r="AB30" i="1"/>
  <c r="AA30" i="1"/>
  <c r="P30" i="1"/>
  <c r="N30" i="1" s="1"/>
  <c r="Q30" i="1" s="1"/>
  <c r="K30" i="1" s="1"/>
  <c r="L30" i="1" s="1"/>
  <c r="P19" i="1"/>
  <c r="N19" i="1" s="1"/>
  <c r="Q19" i="1" s="1"/>
  <c r="K19" i="1" s="1"/>
  <c r="L19" i="1" s="1"/>
  <c r="U20" i="1"/>
  <c r="Y20" i="1" s="1"/>
  <c r="AB20" i="1"/>
  <c r="AC20" i="1" s="1"/>
  <c r="AA20" i="1"/>
  <c r="AC22" i="1"/>
  <c r="U27" i="1"/>
  <c r="Y27" i="1" s="1"/>
  <c r="AB27" i="1"/>
  <c r="AC27" i="1" s="1"/>
  <c r="AA27" i="1"/>
  <c r="AC28" i="1"/>
  <c r="U23" i="1"/>
  <c r="Y23" i="1" s="1"/>
  <c r="AB23" i="1"/>
  <c r="AC23" i="1" s="1"/>
  <c r="AA23" i="1"/>
  <c r="AY21" i="1"/>
  <c r="BA21" i="1"/>
  <c r="AC24" i="1"/>
  <c r="U31" i="1"/>
  <c r="Y31" i="1" s="1"/>
  <c r="AB31" i="1"/>
  <c r="AC31" i="1" s="1"/>
  <c r="AA31" i="1"/>
  <c r="P31" i="1"/>
  <c r="N31" i="1" s="1"/>
  <c r="Q31" i="1" s="1"/>
  <c r="K31" i="1" s="1"/>
  <c r="L31" i="1" s="1"/>
  <c r="P20" i="1"/>
  <c r="N20" i="1" s="1"/>
  <c r="Q20" i="1" s="1"/>
  <c r="K20" i="1" s="1"/>
  <c r="L20" i="1" s="1"/>
  <c r="AB25" i="1"/>
  <c r="U25" i="1"/>
  <c r="Y25" i="1" s="1"/>
  <c r="AA25" i="1"/>
  <c r="P25" i="1"/>
  <c r="N25" i="1" s="1"/>
  <c r="Q25" i="1" s="1"/>
  <c r="K25" i="1" s="1"/>
  <c r="L25" i="1" s="1"/>
  <c r="U26" i="1"/>
  <c r="Y26" i="1" s="1"/>
  <c r="AB26" i="1"/>
  <c r="AA26" i="1"/>
  <c r="AB17" i="1"/>
  <c r="AC17" i="1" s="1"/>
  <c r="U17" i="1"/>
  <c r="Y17" i="1" s="1"/>
  <c r="AA17" i="1"/>
  <c r="P27" i="1"/>
  <c r="N27" i="1" s="1"/>
  <c r="Q27" i="1" s="1"/>
  <c r="K27" i="1" s="1"/>
  <c r="L27" i="1" s="1"/>
  <c r="AB21" i="1" l="1"/>
  <c r="U21" i="1"/>
  <c r="Y21" i="1" s="1"/>
  <c r="AA21" i="1"/>
  <c r="P21" i="1"/>
  <c r="N21" i="1" s="1"/>
  <c r="Q21" i="1" s="1"/>
  <c r="K21" i="1" s="1"/>
  <c r="L21" i="1" s="1"/>
  <c r="AC26" i="1"/>
  <c r="AC30" i="1"/>
  <c r="AC25" i="1"/>
  <c r="AC19" i="1"/>
  <c r="AC29" i="1"/>
  <c r="AC21" i="1" l="1"/>
</calcChain>
</file>

<file path=xl/sharedStrings.xml><?xml version="1.0" encoding="utf-8"?>
<sst xmlns="http://schemas.openxmlformats.org/spreadsheetml/2006/main" count="784" uniqueCount="349">
  <si>
    <t>File opened</t>
  </si>
  <si>
    <t>2019-09-07 12:03:39</t>
  </si>
  <si>
    <t>Console s/n</t>
  </si>
  <si>
    <t>68C-571038</t>
  </si>
  <si>
    <t>Console ver</t>
  </si>
  <si>
    <t>Bluestem v.1.3.4</t>
  </si>
  <si>
    <t>Scripts ver</t>
  </si>
  <si>
    <t>2018.05  1.3.4, Mar 2018</t>
  </si>
  <si>
    <t>Head s/n</t>
  </si>
  <si>
    <t>68H-581038</t>
  </si>
  <si>
    <t>Head ver</t>
  </si>
  <si>
    <t>1.3.0</t>
  </si>
  <si>
    <t>Head cal</t>
  </si>
  <si>
    <t>{"h2oaspan2": "0", "h2obzero": "1.01783", "h2oaspan2a": "0.0661155", "flowbzero": "0.20796", "tbzero": "0.197721", "flowazero": "0.4286", "co2aspan1": "0.992625", "co2aspan2b": "0.163711", "flowmeterzero": "0.991801", "co2bspanconc2": "0", "h2oaspanconc1": "12.19", "h2obspanconc2": "0", "co2bspan1": "0.992131", "h2obspan2a": "0.0975941", "h2oaspan1": "1.00223", "ssa_ref": "36614.9", "h2oaspan2b": "0.0662632", "tazero": "0.00774765", "h2oaspanconc2": "0", "co2aspan2": "0", "co2bzero": "0.880288", "co2aspanconc1": "1002", "co2aspanconc2": "0", "h2obspan2": "0", "co2bspan2": "0", "h2obspan1": "0.998578", "ssb_ref": "36526.8", "co2bspan2a": "0.163389", "co2bspanconc1": "1002", "co2azero": "0.869071", "co2aspan2a": "0.164928", "chamberpressurezero": "2.57337", "h2obspanconc1": "20", "oxygen": "21", "co2bspan2b": "0.162103", "h2obspan2b": "0.0963575", "h2oazero": "1.00263"}</t>
  </si>
  <si>
    <t>Chamber type</t>
  </si>
  <si>
    <t>6800-01</t>
  </si>
  <si>
    <t>Chamber s/n</t>
  </si>
  <si>
    <t>MPF-551037</t>
  </si>
  <si>
    <t>Chamber rev</t>
  </si>
  <si>
    <t>0</t>
  </si>
  <si>
    <t>Chamber cal</t>
  </si>
  <si>
    <t>Fluorometer</t>
  </si>
  <si>
    <t>Flr. Version</t>
  </si>
  <si>
    <t>12:03:39</t>
  </si>
  <si>
    <t>Stability Definition:	A (GasEx): Slp&lt;0.3 Std&lt;0.5	gsw (GasEx): Slp&lt;1 Std&lt;0.5</t>
  </si>
  <si>
    <t>SysConst</t>
  </si>
  <si>
    <t>AvgTime</t>
  </si>
  <si>
    <t>4</t>
  </si>
  <si>
    <t>Oxygen</t>
  </si>
  <si>
    <t>21</t>
  </si>
  <si>
    <t>Chamber</t>
  </si>
  <si>
    <t>Const</t>
  </si>
  <si>
    <t>CustomBLC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</si>
  <si>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</si>
  <si>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</si>
  <si>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</si>
  <si>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</si>
  <si>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</si>
  <si>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</si>
  <si>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</si>
  <si>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</si>
  <si>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</si>
  <si>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</si>
  <si>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</si>
  <si>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</si>
  <si>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</si>
  <si>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</si>
  <si>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</si>
  <si>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</si>
  <si>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</si>
  <si>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</si>
  <si>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</si>
  <si>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</si>
  <si>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</si>
  <si>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</si>
  <si>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</si>
  <si>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</si>
  <si>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</si>
  <si>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</si>
  <si>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</si>
  <si>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</si>
  <si>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</si>
  <si>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</si>
  <si>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</si>
  <si>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</si>
  <si>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</si>
  <si>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</si>
  <si>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</si>
  <si>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</si>
  <si>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1.85544 75.7987 385.954 620.721 848.766 1059.6 1240.53 1415.17</t>
  </si>
  <si>
    <t>Fs_true</t>
  </si>
  <si>
    <t>-0.153406 100.826 402.933 601.172 799.981 1000.82 1200.66 1401.77</t>
  </si>
  <si>
    <t>leak_wt</t>
  </si>
  <si>
    <t>Sys</t>
  </si>
  <si>
    <t>UserDefVar</t>
  </si>
  <si>
    <t>GasEx</t>
  </si>
  <si>
    <t>Leak</t>
  </si>
  <si>
    <t>FLR</t>
  </si>
  <si>
    <t>LeafQ</t>
  </si>
  <si>
    <t>Meas</t>
  </si>
  <si>
    <t>FlrLS</t>
  </si>
  <si>
    <t>FlrStats</t>
  </si>
  <si>
    <t>Match</t>
  </si>
  <si>
    <t>Stability</t>
  </si>
  <si>
    <t>Auxiliary</t>
  </si>
  <si>
    <t>Status</t>
  </si>
  <si>
    <t>obs</t>
  </si>
  <si>
    <t>time</t>
  </si>
  <si>
    <t>elapsed</t>
  </si>
  <si>
    <t>date</t>
  </si>
  <si>
    <t>hhmmss</t>
  </si>
  <si>
    <t>plant</t>
  </si>
  <si>
    <t>TIME</t>
  </si>
  <si>
    <t>E</t>
  </si>
  <si>
    <t>A</t>
  </si>
  <si>
    <t>Ca</t>
  </si>
  <si>
    <t>Ci</t>
  </si>
  <si>
    <t>Pci</t>
  </si>
  <si>
    <t>Pca</t>
  </si>
  <si>
    <t>gsw</t>
  </si>
  <si>
    <t>gbw</t>
  </si>
  <si>
    <t>gtw</t>
  </si>
  <si>
    <t>gtc</t>
  </si>
  <si>
    <t>Rabs</t>
  </si>
  <si>
    <t>TleafEB</t>
  </si>
  <si>
    <t>TleafCnd</t>
  </si>
  <si>
    <t>SVPleaf</t>
  </si>
  <si>
    <t>RHcham</t>
  </si>
  <si>
    <t>VPcham</t>
  </si>
  <si>
    <t>SVPcham</t>
  </si>
  <si>
    <t>VPDleaf</t>
  </si>
  <si>
    <t>LatHFlux</t>
  </si>
  <si>
    <t>SenHFlux</t>
  </si>
  <si>
    <t>NetTherm</t>
  </si>
  <si>
    <t>EBSum</t>
  </si>
  <si>
    <t>blfa_1</t>
  </si>
  <si>
    <t>blfa_2</t>
  </si>
  <si>
    <t>blfa_3</t>
  </si>
  <si>
    <t>LeakPct</t>
  </si>
  <si>
    <t>CorrFact</t>
  </si>
  <si>
    <t>CorrFactPct</t>
  </si>
  <si>
    <t>Fan</t>
  </si>
  <si>
    <t>DarkAdaptedID</t>
  </si>
  <si>
    <t>Fo</t>
  </si>
  <si>
    <t>Fm</t>
  </si>
  <si>
    <t>Fv</t>
  </si>
  <si>
    <t>Fv/Fm</t>
  </si>
  <si>
    <t>Adark</t>
  </si>
  <si>
    <t>LightAdaptedID</t>
  </si>
  <si>
    <t>Fs</t>
  </si>
  <si>
    <t>Fm'</t>
  </si>
  <si>
    <t>PhiPS2</t>
  </si>
  <si>
    <t>PS2/1</t>
  </si>
  <si>
    <t>Qabs_fs</t>
  </si>
  <si>
    <t>Afs</t>
  </si>
  <si>
    <t>ETR</t>
  </si>
  <si>
    <t>Fv'/Fm'</t>
  </si>
  <si>
    <t>PhiCO2</t>
  </si>
  <si>
    <t>NPQ</t>
  </si>
  <si>
    <t>DarkPulseID</t>
  </si>
  <si>
    <t>Fo'</t>
  </si>
  <si>
    <t>Fv'</t>
  </si>
  <si>
    <t>qP</t>
  </si>
  <si>
    <t>qN</t>
  </si>
  <si>
    <t>qP_Fo</t>
  </si>
  <si>
    <t>qN_Fo</t>
  </si>
  <si>
    <t>Qin</t>
  </si>
  <si>
    <t>Qabs</t>
  </si>
  <si>
    <t>alpha</t>
  </si>
  <si>
    <t>convert</t>
  </si>
  <si>
    <t>S</t>
  </si>
  <si>
    <t>K</t>
  </si>
  <si>
    <t>Geometry</t>
  </si>
  <si>
    <t>CO2_s</t>
  </si>
  <si>
    <t>CO2_r</t>
  </si>
  <si>
    <t>H2O_s</t>
  </si>
  <si>
    <t>H2O_r</t>
  </si>
  <si>
    <t>Flow</t>
  </si>
  <si>
    <t>Pa</t>
  </si>
  <si>
    <t>ΔPcham</t>
  </si>
  <si>
    <t>Tair</t>
  </si>
  <si>
    <t>Tleaf</t>
  </si>
  <si>
    <t>Tleaf2</t>
  </si>
  <si>
    <t>Fan_speed</t>
  </si>
  <si>
    <t>Qamb_in</t>
  </si>
  <si>
    <t>Qamb_out</t>
  </si>
  <si>
    <t>Q</t>
  </si>
  <si>
    <t>f_red</t>
  </si>
  <si>
    <t>f_blue</t>
  </si>
  <si>
    <t>f_farred</t>
  </si>
  <si>
    <t>F</t>
  </si>
  <si>
    <t>Q_modavg</t>
  </si>
  <si>
    <t>F_dc</t>
  </si>
  <si>
    <t>Pc</t>
  </si>
  <si>
    <t>Tled</t>
  </si>
  <si>
    <t>TDigital</t>
  </si>
  <si>
    <t>TPreamp</t>
  </si>
  <si>
    <t>TPwrSpy</t>
  </si>
  <si>
    <t>TDrive</t>
  </si>
  <si>
    <t>Q_red</t>
  </si>
  <si>
    <t>Q_blue</t>
  </si>
  <si>
    <t>Q_farred</t>
  </si>
  <si>
    <t>TSPF</t>
  </si>
  <si>
    <t>F_avg</t>
  </si>
  <si>
    <t>dF/dt</t>
  </si>
  <si>
    <t>dF_dc/dt</t>
  </si>
  <si>
    <t>F_dc_avg</t>
  </si>
  <si>
    <t>period</t>
  </si>
  <si>
    <t>count</t>
  </si>
  <si>
    <t>co2_adj</t>
  </si>
  <si>
    <t>h2o_adj</t>
  </si>
  <si>
    <t>co2_at</t>
  </si>
  <si>
    <t>h2o_at</t>
  </si>
  <si>
    <t>co2_cv</t>
  </si>
  <si>
    <t>h2o_cv</t>
  </si>
  <si>
    <t>A:MN</t>
  </si>
  <si>
    <t>A:SLP</t>
  </si>
  <si>
    <t>A:SD</t>
  </si>
  <si>
    <t>A:OK</t>
  </si>
  <si>
    <t>gsw:MN</t>
  </si>
  <si>
    <t>gsw:SLP</t>
  </si>
  <si>
    <t>gsw:SD</t>
  </si>
  <si>
    <t>gsw:OK</t>
  </si>
  <si>
    <t>Stable</t>
  </si>
  <si>
    <t>Total</t>
  </si>
  <si>
    <t>State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</si>
  <si>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</si>
  <si>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</si>
  <si>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</si>
  <si>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</si>
  <si>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</si>
  <si>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</si>
  <si>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</si>
  <si>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</si>
  <si>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</si>
  <si>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</si>
  <si>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</si>
  <si>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</si>
  <si>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</si>
  <si>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</si>
  <si>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</si>
  <si>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</si>
  <si>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</si>
  <si>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</si>
  <si>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</si>
  <si>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</si>
  <si>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</si>
  <si>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</si>
  <si>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</si>
  <si>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</si>
  <si>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</si>
  <si>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</si>
  <si>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</si>
  <si>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</si>
  <si>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</si>
  <si>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</si>
  <si>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</si>
  <si>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</si>
  <si>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</si>
  <si>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</si>
  <si>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</si>
  <si>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</si>
  <si>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</si>
  <si>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</si>
  <si>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</si>
  <si>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s</t>
  </si>
  <si>
    <t>mol m⁻² s⁻¹</t>
  </si>
  <si>
    <t>µmol m⁻² s⁻¹</t>
  </si>
  <si>
    <t>µmol mol⁻¹</t>
  </si>
  <si>
    <t>W m⁻²</t>
  </si>
  <si>
    <t>°C</t>
  </si>
  <si>
    <t>kPa</t>
  </si>
  <si>
    <t>%</t>
  </si>
  <si>
    <t>µmol s⁻¹</t>
  </si>
  <si>
    <t>µmol µmol⁻¹</t>
  </si>
  <si>
    <t>J/µmol</t>
  </si>
  <si>
    <t>cm²</t>
  </si>
  <si>
    <t>mmol mol⁻¹</t>
  </si>
  <si>
    <t>rpm</t>
  </si>
  <si>
    <t>min⁻¹</t>
  </si>
  <si>
    <t>secs</t>
  </si>
  <si>
    <t>µmol/mol</t>
  </si>
  <si>
    <t>mmol/mol</t>
  </si>
  <si>
    <t>µmol m⁻² s⁻¹ min⁻¹</t>
  </si>
  <si>
    <t>mol m⁻² s⁻¹ min⁻¹</t>
  </si>
  <si>
    <t>V</t>
  </si>
  <si>
    <t>20190907 12:07:19</t>
  </si>
  <si>
    <t>12:07:19</t>
  </si>
  <si>
    <t>MPF-2781-20190907-06_45_39</t>
  </si>
  <si>
    <t>MPF-2874-20190907-12_07_20</t>
  </si>
  <si>
    <t>DARK-2875-20190907-12_07_28</t>
  </si>
  <si>
    <t>0: Broadleaf</t>
  </si>
  <si>
    <t>12:06:33</t>
  </si>
  <si>
    <t>2/2</t>
  </si>
  <si>
    <t>5</t>
  </si>
  <si>
    <t>11111111</t>
  </si>
  <si>
    <t>oooooooo</t>
  </si>
  <si>
    <t>off</t>
  </si>
  <si>
    <t>20190907 12:08:49</t>
  </si>
  <si>
    <t>12:08:49</t>
  </si>
  <si>
    <t>MPF-2876-20190907-12_08_50</t>
  </si>
  <si>
    <t>DARK-2877-20190907-12_08_58</t>
  </si>
  <si>
    <t>12:09:13</t>
  </si>
  <si>
    <t>20190907 12:11:14</t>
  </si>
  <si>
    <t>12:11:14</t>
  </si>
  <si>
    <t>MPF-2878-20190907-12_11_15</t>
  </si>
  <si>
    <t>DARK-2879-20190907-12_11_23</t>
  </si>
  <si>
    <t>12:10:33</t>
  </si>
  <si>
    <t>1/2</t>
  </si>
  <si>
    <t>20190907 12:13:05</t>
  </si>
  <si>
    <t>12:13:05</t>
  </si>
  <si>
    <t>MPF-2880-20190907-12_13_06</t>
  </si>
  <si>
    <t>DARK-2881-20190907-12_13_14</t>
  </si>
  <si>
    <t>12:12:20</t>
  </si>
  <si>
    <t>20190907 12:14:57</t>
  </si>
  <si>
    <t>12:14:57</t>
  </si>
  <si>
    <t>MPF-2882-20190907-12_14_58</t>
  </si>
  <si>
    <t>DARK-2883-20190907-12_15_06</t>
  </si>
  <si>
    <t>12:14:14</t>
  </si>
  <si>
    <t>20190907 12:16:57</t>
  </si>
  <si>
    <t>12:16:57</t>
  </si>
  <si>
    <t>MPF-2884-20190907-12_16_58</t>
  </si>
  <si>
    <t>DARK-2885-20190907-12_17_06</t>
  </si>
  <si>
    <t>12:16:03</t>
  </si>
  <si>
    <t>20190907 12:18:40</t>
  </si>
  <si>
    <t>12:18:40</t>
  </si>
  <si>
    <t>MPF-2886-20190907-12_18_42</t>
  </si>
  <si>
    <t>DARK-2887-20190907-12_18_49</t>
  </si>
  <si>
    <t>12:17:55</t>
  </si>
  <si>
    <t>20190907 12:20:29</t>
  </si>
  <si>
    <t>12:20:29</t>
  </si>
  <si>
    <t>MPF-2888-20190907-12_20_31</t>
  </si>
  <si>
    <t>DARK-2889-20190907-12_20_38</t>
  </si>
  <si>
    <t>12:19:45</t>
  </si>
  <si>
    <t>20190907 12:22:24</t>
  </si>
  <si>
    <t>12:22:24</t>
  </si>
  <si>
    <t>MPF-2890-20190907-12_22_25</t>
  </si>
  <si>
    <t>DARK-2891-20190907-12_22_33</t>
  </si>
  <si>
    <t>12:21:39</t>
  </si>
  <si>
    <t>20190907 12:24:08</t>
  </si>
  <si>
    <t>12:24:08</t>
  </si>
  <si>
    <t>MPF-2892-20190907-12_24_10</t>
  </si>
  <si>
    <t>DARK-2893-20190907-12_24_17</t>
  </si>
  <si>
    <t>12:23:22</t>
  </si>
  <si>
    <t>20190907 12:26:09</t>
  </si>
  <si>
    <t>12:26:09</t>
  </si>
  <si>
    <t>MPF-2894-20190907-12_26_10</t>
  </si>
  <si>
    <t>DARK-2895-20190907-12_26_18</t>
  </si>
  <si>
    <t>12:25:25</t>
  </si>
  <si>
    <t>20190907 12:28:09</t>
  </si>
  <si>
    <t>12:28:09</t>
  </si>
  <si>
    <t>MPF-2896-20190907-12_28_11</t>
  </si>
  <si>
    <t>DARK-2897-20190907-12_28_18</t>
  </si>
  <si>
    <t>12:27:09</t>
  </si>
  <si>
    <t>20190907 12:29:54</t>
  </si>
  <si>
    <t>12:29:54</t>
  </si>
  <si>
    <t>MPF-2898-20190907-12_29_55</t>
  </si>
  <si>
    <t>DARK-2899-20190907-12_30_03</t>
  </si>
  <si>
    <t>12:29:08</t>
  </si>
  <si>
    <t>20190907 12:31:54</t>
  </si>
  <si>
    <t>12:31:54</t>
  </si>
  <si>
    <t>MPF-2900-20190907-12_31_56</t>
  </si>
  <si>
    <t>DARK-2901-20190907-12_32_03</t>
  </si>
  <si>
    <t>12:31:12</t>
  </si>
  <si>
    <t>20190907 12:33:44</t>
  </si>
  <si>
    <t>12:33:44</t>
  </si>
  <si>
    <t>MPF-2902-20190907-12_33_46</t>
  </si>
  <si>
    <t>DARK-2903-20190907-12_33_53</t>
  </si>
  <si>
    <t>12:32:58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</si>
</sst>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G31"/>
  <sheetViews>
    <sheetView tabSelected="1" workbookViewId="0"/>
  </sheetViews>
  <sheetFormatPr defaultRowHeight="14.5" x14ac:dyDescent="0.35"/>
  <sheetData>
    <row r="2" spans="1:163" x14ac:dyDescent="0.35">
      <c r="A2" t="s">
        <v>25</v>
      </c>
      <c r="B2" t="s">
        <v>26</v>
      </c>
      <c r="C2" t="s">
        <v>28</v>
      </c>
      <c r="D2" t="s">
        <v>30</v>
      </c>
    </row>
    <row r="3" spans="1:163" x14ac:dyDescent="0.35">
      <c r="B3" t="s">
        <v>27</v>
      </c>
      <c r="C3" t="s">
        <v>29</v>
      </c>
      <c r="D3" t="s">
        <v>15</v>
      </c>
    </row>
    <row r="4" spans="1:163" x14ac:dyDescent="0.35">
      <c r="A4" t="s">
        <v>31</v>
      </c>
      <c r="B4" t="s">
        <v>32</v>
      </c>
    </row>
    <row r="5" spans="1:163" x14ac:dyDescent="0.35">
      <c r="B5">
        <v>2</v>
      </c>
    </row>
    <row r="6" spans="1:163" x14ac:dyDescent="0.35">
      <c r="A6" t="s">
        <v>33</v>
      </c>
      <c r="B6" t="s">
        <v>34</v>
      </c>
      <c r="C6" t="s">
        <v>35</v>
      </c>
      <c r="D6" t="s">
        <v>36</v>
      </c>
      <c r="E6" t="s">
        <v>37</v>
      </c>
    </row>
    <row r="7" spans="1:163" x14ac:dyDescent="0.35">
      <c r="B7">
        <v>0</v>
      </c>
      <c r="C7">
        <v>1</v>
      </c>
      <c r="D7">
        <v>0</v>
      </c>
      <c r="E7">
        <v>0</v>
      </c>
    </row>
    <row r="8" spans="1:163" x14ac:dyDescent="0.35">
      <c r="A8" t="s">
        <v>38</v>
      </c>
      <c r="B8" t="s">
        <v>39</v>
      </c>
      <c r="C8" t="s">
        <v>41</v>
      </c>
      <c r="D8" t="s">
        <v>43</v>
      </c>
      <c r="E8" t="s">
        <v>44</v>
      </c>
      <c r="F8" t="s">
        <v>45</v>
      </c>
      <c r="G8" t="s">
        <v>46</v>
      </c>
      <c r="H8" t="s">
        <v>47</v>
      </c>
      <c r="I8" t="s">
        <v>48</v>
      </c>
      <c r="J8" t="s">
        <v>49</v>
      </c>
      <c r="K8" t="s">
        <v>50</v>
      </c>
      <c r="L8" t="s">
        <v>51</v>
      </c>
      <c r="M8" t="s">
        <v>52</v>
      </c>
      <c r="N8" t="s">
        <v>53</v>
      </c>
      <c r="O8" t="s">
        <v>54</v>
      </c>
      <c r="P8" t="s">
        <v>55</v>
      </c>
      <c r="Q8" t="s">
        <v>56</v>
      </c>
    </row>
    <row r="9" spans="1:163" x14ac:dyDescent="0.35">
      <c r="B9" t="s">
        <v>40</v>
      </c>
      <c r="C9" t="s">
        <v>42</v>
      </c>
      <c r="D9">
        <v>0.49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0.39</v>
      </c>
      <c r="L9">
        <v>0.18</v>
      </c>
      <c r="M9">
        <v>0.23</v>
      </c>
      <c r="N9">
        <v>0.26</v>
      </c>
      <c r="O9">
        <v>0.21</v>
      </c>
      <c r="P9">
        <v>0.19</v>
      </c>
      <c r="Q9">
        <v>0.25</v>
      </c>
    </row>
    <row r="10" spans="1:163" x14ac:dyDescent="0.35">
      <c r="A10" t="s">
        <v>57</v>
      </c>
      <c r="B10" t="s">
        <v>58</v>
      </c>
      <c r="C10" t="s">
        <v>59</v>
      </c>
      <c r="D10" t="s">
        <v>60</v>
      </c>
      <c r="E10" t="s">
        <v>61</v>
      </c>
      <c r="F10" t="s">
        <v>62</v>
      </c>
    </row>
    <row r="11" spans="1:163" x14ac:dyDescent="0.35">
      <c r="B11">
        <v>0</v>
      </c>
      <c r="C11">
        <v>0</v>
      </c>
      <c r="D11">
        <v>0</v>
      </c>
      <c r="E11">
        <v>0</v>
      </c>
      <c r="F11">
        <v>1</v>
      </c>
    </row>
    <row r="12" spans="1:163" x14ac:dyDescent="0.35">
      <c r="A12" t="s">
        <v>63</v>
      </c>
      <c r="B12" t="s">
        <v>64</v>
      </c>
      <c r="C12" t="s">
        <v>65</v>
      </c>
      <c r="D12" t="s">
        <v>66</v>
      </c>
      <c r="E12" t="s">
        <v>67</v>
      </c>
      <c r="F12" t="s">
        <v>68</v>
      </c>
      <c r="G12" t="s">
        <v>70</v>
      </c>
      <c r="H12" t="s">
        <v>72</v>
      </c>
    </row>
    <row r="13" spans="1:163" x14ac:dyDescent="0.35">
      <c r="B13">
        <v>-6276</v>
      </c>
      <c r="C13">
        <v>6.6</v>
      </c>
      <c r="D13">
        <v>1.7090000000000001E-5</v>
      </c>
      <c r="E13">
        <v>3.11</v>
      </c>
      <c r="F13" t="s">
        <v>69</v>
      </c>
      <c r="G13" t="s">
        <v>71</v>
      </c>
      <c r="H13">
        <v>2</v>
      </c>
    </row>
    <row r="14" spans="1:163" x14ac:dyDescent="0.35">
      <c r="A14" t="s">
        <v>73</v>
      </c>
      <c r="B14" t="s">
        <v>73</v>
      </c>
      <c r="C14" t="s">
        <v>73</v>
      </c>
      <c r="D14" t="s">
        <v>73</v>
      </c>
      <c r="E14" t="s">
        <v>73</v>
      </c>
      <c r="F14" t="s">
        <v>74</v>
      </c>
      <c r="G14" t="s">
        <v>75</v>
      </c>
      <c r="H14" t="s">
        <v>75</v>
      </c>
      <c r="I14" t="s">
        <v>75</v>
      </c>
      <c r="J14" t="s">
        <v>75</v>
      </c>
      <c r="K14" t="s">
        <v>75</v>
      </c>
      <c r="L14" t="s">
        <v>75</v>
      </c>
      <c r="M14" t="s">
        <v>75</v>
      </c>
      <c r="N14" t="s">
        <v>75</v>
      </c>
      <c r="O14" t="s">
        <v>75</v>
      </c>
      <c r="P14" t="s">
        <v>75</v>
      </c>
      <c r="Q14" t="s">
        <v>75</v>
      </c>
      <c r="R14" t="s">
        <v>75</v>
      </c>
      <c r="S14" t="s">
        <v>75</v>
      </c>
      <c r="T14" t="s">
        <v>75</v>
      </c>
      <c r="U14" t="s">
        <v>75</v>
      </c>
      <c r="V14" t="s">
        <v>75</v>
      </c>
      <c r="W14" t="s">
        <v>75</v>
      </c>
      <c r="X14" t="s">
        <v>75</v>
      </c>
      <c r="Y14" t="s">
        <v>75</v>
      </c>
      <c r="Z14" t="s">
        <v>75</v>
      </c>
      <c r="AA14" t="s">
        <v>75</v>
      </c>
      <c r="AB14" t="s">
        <v>75</v>
      </c>
      <c r="AC14" t="s">
        <v>75</v>
      </c>
      <c r="AD14" t="s">
        <v>75</v>
      </c>
      <c r="AE14" t="s">
        <v>75</v>
      </c>
      <c r="AF14" t="s">
        <v>75</v>
      </c>
      <c r="AG14" t="s">
        <v>76</v>
      </c>
      <c r="AH14" t="s">
        <v>76</v>
      </c>
      <c r="AI14" t="s">
        <v>76</v>
      </c>
      <c r="AJ14" t="s">
        <v>76</v>
      </c>
      <c r="AK14" t="s">
        <v>76</v>
      </c>
      <c r="AL14" t="s">
        <v>77</v>
      </c>
      <c r="AM14" t="s">
        <v>77</v>
      </c>
      <c r="AN14" t="s">
        <v>77</v>
      </c>
      <c r="AO14" t="s">
        <v>77</v>
      </c>
      <c r="AP14" t="s">
        <v>77</v>
      </c>
      <c r="AQ14" t="s">
        <v>77</v>
      </c>
      <c r="AR14" t="s">
        <v>77</v>
      </c>
      <c r="AS14" t="s">
        <v>77</v>
      </c>
      <c r="AT14" t="s">
        <v>77</v>
      </c>
      <c r="AU14" t="s">
        <v>77</v>
      </c>
      <c r="AV14" t="s">
        <v>77</v>
      </c>
      <c r="AW14" t="s">
        <v>77</v>
      </c>
      <c r="AX14" t="s">
        <v>77</v>
      </c>
      <c r="AY14" t="s">
        <v>77</v>
      </c>
      <c r="AZ14" t="s">
        <v>77</v>
      </c>
      <c r="BA14" t="s">
        <v>77</v>
      </c>
      <c r="BB14" t="s">
        <v>77</v>
      </c>
      <c r="BC14" t="s">
        <v>77</v>
      </c>
      <c r="BD14" t="s">
        <v>77</v>
      </c>
      <c r="BE14" t="s">
        <v>77</v>
      </c>
      <c r="BF14" t="s">
        <v>77</v>
      </c>
      <c r="BG14" t="s">
        <v>77</v>
      </c>
      <c r="BH14" t="s">
        <v>77</v>
      </c>
      <c r="BI14" t="s">
        <v>77</v>
      </c>
      <c r="BJ14" t="s">
        <v>78</v>
      </c>
      <c r="BK14" t="s">
        <v>78</v>
      </c>
      <c r="BL14" t="s">
        <v>78</v>
      </c>
      <c r="BM14" t="s">
        <v>78</v>
      </c>
      <c r="BN14" t="s">
        <v>31</v>
      </c>
      <c r="BO14" t="s">
        <v>31</v>
      </c>
      <c r="BP14" t="s">
        <v>31</v>
      </c>
      <c r="BQ14" t="s">
        <v>79</v>
      </c>
      <c r="BR14" t="s">
        <v>79</v>
      </c>
      <c r="BS14" t="s">
        <v>79</v>
      </c>
      <c r="BT14" t="s">
        <v>79</v>
      </c>
      <c r="BU14" t="s">
        <v>79</v>
      </c>
      <c r="BV14" t="s">
        <v>79</v>
      </c>
      <c r="BW14" t="s">
        <v>79</v>
      </c>
      <c r="BX14" t="s">
        <v>79</v>
      </c>
      <c r="BY14" t="s">
        <v>79</v>
      </c>
      <c r="BZ14" t="s">
        <v>79</v>
      </c>
      <c r="CA14" t="s">
        <v>79</v>
      </c>
      <c r="CB14" t="s">
        <v>79</v>
      </c>
      <c r="CC14" t="s">
        <v>79</v>
      </c>
      <c r="CD14" t="s">
        <v>79</v>
      </c>
      <c r="CE14" t="s">
        <v>80</v>
      </c>
      <c r="CF14" t="s">
        <v>80</v>
      </c>
      <c r="CG14" t="s">
        <v>80</v>
      </c>
      <c r="CH14" t="s">
        <v>80</v>
      </c>
      <c r="CI14" t="s">
        <v>80</v>
      </c>
      <c r="CJ14" t="s">
        <v>80</v>
      </c>
      <c r="CK14" t="s">
        <v>80</v>
      </c>
      <c r="CL14" t="s">
        <v>80</v>
      </c>
      <c r="CM14" t="s">
        <v>80</v>
      </c>
      <c r="CN14" t="s">
        <v>80</v>
      </c>
      <c r="CO14" t="s">
        <v>80</v>
      </c>
      <c r="CP14" t="s">
        <v>80</v>
      </c>
      <c r="CQ14" t="s">
        <v>80</v>
      </c>
      <c r="CR14" t="s">
        <v>80</v>
      </c>
      <c r="CS14" t="s">
        <v>80</v>
      </c>
      <c r="CT14" t="s">
        <v>80</v>
      </c>
      <c r="CU14" t="s">
        <v>80</v>
      </c>
      <c r="CV14" t="s">
        <v>81</v>
      </c>
      <c r="CW14" t="s">
        <v>81</v>
      </c>
      <c r="CX14" t="s">
        <v>81</v>
      </c>
      <c r="CY14" t="s">
        <v>81</v>
      </c>
      <c r="CZ14" t="s">
        <v>81</v>
      </c>
      <c r="DA14" t="s">
        <v>82</v>
      </c>
      <c r="DB14" t="s">
        <v>82</v>
      </c>
      <c r="DC14" t="s">
        <v>82</v>
      </c>
      <c r="DD14" t="s">
        <v>82</v>
      </c>
      <c r="DE14" t="s">
        <v>82</v>
      </c>
      <c r="DF14" t="s">
        <v>82</v>
      </c>
      <c r="DG14" t="s">
        <v>82</v>
      </c>
      <c r="DH14" t="s">
        <v>82</v>
      </c>
      <c r="DI14" t="s">
        <v>82</v>
      </c>
      <c r="DJ14" t="s">
        <v>83</v>
      </c>
      <c r="DK14" t="s">
        <v>83</v>
      </c>
      <c r="DL14" t="s">
        <v>83</v>
      </c>
      <c r="DM14" t="s">
        <v>83</v>
      </c>
      <c r="DN14" t="s">
        <v>83</v>
      </c>
      <c r="DO14" t="s">
        <v>83</v>
      </c>
      <c r="DP14" t="s">
        <v>83</v>
      </c>
      <c r="DQ14" t="s">
        <v>83</v>
      </c>
      <c r="DR14" t="s">
        <v>83</v>
      </c>
      <c r="DS14" t="s">
        <v>83</v>
      </c>
      <c r="DT14" t="s">
        <v>83</v>
      </c>
      <c r="DU14" t="s">
        <v>84</v>
      </c>
      <c r="DV14" t="s">
        <v>84</v>
      </c>
      <c r="DW14" t="s">
        <v>84</v>
      </c>
      <c r="DX14" t="s">
        <v>84</v>
      </c>
      <c r="DY14" t="s">
        <v>84</v>
      </c>
      <c r="DZ14" t="s">
        <v>84</v>
      </c>
      <c r="EA14" t="s">
        <v>84</v>
      </c>
      <c r="EB14" t="s">
        <v>84</v>
      </c>
      <c r="EC14" t="s">
        <v>84</v>
      </c>
      <c r="ED14" t="s">
        <v>84</v>
      </c>
      <c r="EE14" t="s">
        <v>84</v>
      </c>
      <c r="EF14" t="s">
        <v>84</v>
      </c>
      <c r="EG14" t="s">
        <v>84</v>
      </c>
      <c r="EH14" t="s">
        <v>84</v>
      </c>
      <c r="EI14" t="s">
        <v>84</v>
      </c>
      <c r="EJ14" t="s">
        <v>84</v>
      </c>
      <c r="EK14" t="s">
        <v>84</v>
      </c>
      <c r="EL14" t="s">
        <v>84</v>
      </c>
      <c r="EM14" t="s">
        <v>84</v>
      </c>
      <c r="EN14" t="s">
        <v>85</v>
      </c>
      <c r="EO14" t="s">
        <v>85</v>
      </c>
      <c r="EP14" t="s">
        <v>85</v>
      </c>
      <c r="EQ14" t="s">
        <v>85</v>
      </c>
      <c r="ER14" t="s">
        <v>85</v>
      </c>
      <c r="ES14" t="s">
        <v>85</v>
      </c>
      <c r="ET14" t="s">
        <v>85</v>
      </c>
      <c r="EU14" t="s">
        <v>85</v>
      </c>
      <c r="EV14" t="s">
        <v>85</v>
      </c>
      <c r="EW14" t="s">
        <v>85</v>
      </c>
      <c r="EX14" t="s">
        <v>85</v>
      </c>
      <c r="EY14" t="s">
        <v>85</v>
      </c>
      <c r="EZ14" t="s">
        <v>85</v>
      </c>
      <c r="FA14" t="s">
        <v>85</v>
      </c>
      <c r="FB14" t="s">
        <v>85</v>
      </c>
      <c r="FC14" t="s">
        <v>85</v>
      </c>
      <c r="FD14" t="s">
        <v>85</v>
      </c>
      <c r="FE14" t="s">
        <v>85</v>
      </c>
      <c r="FF14" t="s">
        <v>85</v>
      </c>
      <c r="FG14" t="s">
        <v>85</v>
      </c>
    </row>
    <row r="15" spans="1:163" x14ac:dyDescent="0.35">
      <c r="A15" t="s">
        <v>86</v>
      </c>
      <c r="B15" t="s">
        <v>87</v>
      </c>
      <c r="C15" t="s">
        <v>88</v>
      </c>
      <c r="D15" t="s">
        <v>89</v>
      </c>
      <c r="E15" t="s">
        <v>90</v>
      </c>
      <c r="F15" t="s">
        <v>91</v>
      </c>
      <c r="G15" t="s">
        <v>92</v>
      </c>
      <c r="H15" t="s">
        <v>93</v>
      </c>
      <c r="I15" t="s">
        <v>94</v>
      </c>
      <c r="J15" t="s">
        <v>95</v>
      </c>
      <c r="K15" t="s">
        <v>96</v>
      </c>
      <c r="L15" t="s">
        <v>97</v>
      </c>
      <c r="M15" t="s">
        <v>98</v>
      </c>
      <c r="N15" t="s">
        <v>99</v>
      </c>
      <c r="O15" t="s">
        <v>100</v>
      </c>
      <c r="P15" t="s">
        <v>101</v>
      </c>
      <c r="Q15" t="s">
        <v>102</v>
      </c>
      <c r="R15" t="s">
        <v>103</v>
      </c>
      <c r="S15" t="s">
        <v>104</v>
      </c>
      <c r="T15" t="s">
        <v>105</v>
      </c>
      <c r="U15" t="s">
        <v>106</v>
      </c>
      <c r="V15" t="s">
        <v>107</v>
      </c>
      <c r="W15" t="s">
        <v>108</v>
      </c>
      <c r="X15" t="s">
        <v>109</v>
      </c>
      <c r="Y15" t="s">
        <v>110</v>
      </c>
      <c r="Z15" t="s">
        <v>111</v>
      </c>
      <c r="AA15" t="s">
        <v>112</v>
      </c>
      <c r="AB15" t="s">
        <v>113</v>
      </c>
      <c r="AC15" t="s">
        <v>114</v>
      </c>
      <c r="AD15" t="s">
        <v>115</v>
      </c>
      <c r="AE15" t="s">
        <v>116</v>
      </c>
      <c r="AF15" t="s">
        <v>117</v>
      </c>
      <c r="AG15" t="s">
        <v>76</v>
      </c>
      <c r="AH15" t="s">
        <v>118</v>
      </c>
      <c r="AI15" t="s">
        <v>119</v>
      </c>
      <c r="AJ15" t="s">
        <v>120</v>
      </c>
      <c r="AK15" t="s">
        <v>121</v>
      </c>
      <c r="AL15" t="s">
        <v>122</v>
      </c>
      <c r="AM15" t="s">
        <v>123</v>
      </c>
      <c r="AN15" t="s">
        <v>124</v>
      </c>
      <c r="AO15" t="s">
        <v>125</v>
      </c>
      <c r="AP15" t="s">
        <v>126</v>
      </c>
      <c r="AQ15" t="s">
        <v>127</v>
      </c>
      <c r="AR15" t="s">
        <v>128</v>
      </c>
      <c r="AS15" t="s">
        <v>129</v>
      </c>
      <c r="AT15" t="s">
        <v>130</v>
      </c>
      <c r="AU15" t="s">
        <v>131</v>
      </c>
      <c r="AV15" t="s">
        <v>132</v>
      </c>
      <c r="AW15" t="s">
        <v>133</v>
      </c>
      <c r="AX15" t="s">
        <v>134</v>
      </c>
      <c r="AY15" t="s">
        <v>135</v>
      </c>
      <c r="AZ15" t="s">
        <v>136</v>
      </c>
      <c r="BA15" t="s">
        <v>137</v>
      </c>
      <c r="BB15" t="s">
        <v>138</v>
      </c>
      <c r="BC15" t="s">
        <v>139</v>
      </c>
      <c r="BD15" t="s">
        <v>140</v>
      </c>
      <c r="BE15" t="s">
        <v>141</v>
      </c>
      <c r="BF15" t="s">
        <v>142</v>
      </c>
      <c r="BG15" t="s">
        <v>143</v>
      </c>
      <c r="BH15" t="s">
        <v>144</v>
      </c>
      <c r="BI15" t="s">
        <v>145</v>
      </c>
      <c r="BJ15" t="s">
        <v>146</v>
      </c>
      <c r="BK15" t="s">
        <v>147</v>
      </c>
      <c r="BL15" t="s">
        <v>148</v>
      </c>
      <c r="BM15" t="s">
        <v>149</v>
      </c>
      <c r="BN15" t="s">
        <v>150</v>
      </c>
      <c r="BO15" t="s">
        <v>151</v>
      </c>
      <c r="BP15" t="s">
        <v>152</v>
      </c>
      <c r="BQ15" t="s">
        <v>92</v>
      </c>
      <c r="BR15" t="s">
        <v>153</v>
      </c>
      <c r="BS15" t="s">
        <v>154</v>
      </c>
      <c r="BT15" t="s">
        <v>155</v>
      </c>
      <c r="BU15" t="s">
        <v>156</v>
      </c>
      <c r="BV15" t="s">
        <v>157</v>
      </c>
      <c r="BW15" t="s">
        <v>158</v>
      </c>
      <c r="BX15" t="s">
        <v>159</v>
      </c>
      <c r="BY15" t="s">
        <v>160</v>
      </c>
      <c r="BZ15" t="s">
        <v>161</v>
      </c>
      <c r="CA15" t="s">
        <v>162</v>
      </c>
      <c r="CB15" t="s">
        <v>163</v>
      </c>
      <c r="CC15" t="s">
        <v>164</v>
      </c>
      <c r="CD15" t="s">
        <v>165</v>
      </c>
      <c r="CE15" t="s">
        <v>166</v>
      </c>
      <c r="CF15" t="s">
        <v>167</v>
      </c>
      <c r="CG15" t="s">
        <v>168</v>
      </c>
      <c r="CH15" t="s">
        <v>169</v>
      </c>
      <c r="CI15" t="s">
        <v>170</v>
      </c>
      <c r="CJ15" t="s">
        <v>171</v>
      </c>
      <c r="CK15" t="s">
        <v>172</v>
      </c>
      <c r="CL15" t="s">
        <v>173</v>
      </c>
      <c r="CM15" t="s">
        <v>174</v>
      </c>
      <c r="CN15" t="s">
        <v>175</v>
      </c>
      <c r="CO15" t="s">
        <v>176</v>
      </c>
      <c r="CP15" t="s">
        <v>177</v>
      </c>
      <c r="CQ15" t="s">
        <v>178</v>
      </c>
      <c r="CR15" t="s">
        <v>179</v>
      </c>
      <c r="CS15" t="s">
        <v>180</v>
      </c>
      <c r="CT15" t="s">
        <v>181</v>
      </c>
      <c r="CU15" t="s">
        <v>182</v>
      </c>
      <c r="CV15" t="s">
        <v>183</v>
      </c>
      <c r="CW15" t="s">
        <v>184</v>
      </c>
      <c r="CX15" t="s">
        <v>185</v>
      </c>
      <c r="CY15" t="s">
        <v>186</v>
      </c>
      <c r="CZ15" t="s">
        <v>187</v>
      </c>
      <c r="DA15" t="s">
        <v>87</v>
      </c>
      <c r="DB15" t="s">
        <v>90</v>
      </c>
      <c r="DC15" t="s">
        <v>188</v>
      </c>
      <c r="DD15" t="s">
        <v>189</v>
      </c>
      <c r="DE15" t="s">
        <v>190</v>
      </c>
      <c r="DF15" t="s">
        <v>191</v>
      </c>
      <c r="DG15" t="s">
        <v>192</v>
      </c>
      <c r="DH15" t="s">
        <v>193</v>
      </c>
      <c r="DI15" t="s">
        <v>194</v>
      </c>
      <c r="DJ15" t="s">
        <v>195</v>
      </c>
      <c r="DK15" t="s">
        <v>196</v>
      </c>
      <c r="DL15" t="s">
        <v>197</v>
      </c>
      <c r="DM15" t="s">
        <v>198</v>
      </c>
      <c r="DN15" t="s">
        <v>199</v>
      </c>
      <c r="DO15" t="s">
        <v>200</v>
      </c>
      <c r="DP15" t="s">
        <v>201</v>
      </c>
      <c r="DQ15" t="s">
        <v>202</v>
      </c>
      <c r="DR15" t="s">
        <v>203</v>
      </c>
      <c r="DS15" t="s">
        <v>204</v>
      </c>
      <c r="DT15" t="s">
        <v>205</v>
      </c>
      <c r="DU15" t="s">
        <v>206</v>
      </c>
      <c r="DV15" t="s">
        <v>207</v>
      </c>
      <c r="DW15" t="s">
        <v>208</v>
      </c>
      <c r="DX15" t="s">
        <v>209</v>
      </c>
      <c r="DY15" t="s">
        <v>210</v>
      </c>
      <c r="DZ15" t="s">
        <v>211</v>
      </c>
      <c r="EA15" t="s">
        <v>212</v>
      </c>
      <c r="EB15" t="s">
        <v>213</v>
      </c>
      <c r="EC15" t="s">
        <v>214</v>
      </c>
      <c r="ED15" t="s">
        <v>215</v>
      </c>
      <c r="EE15" t="s">
        <v>216</v>
      </c>
      <c r="EF15" t="s">
        <v>217</v>
      </c>
      <c r="EG15" t="s">
        <v>218</v>
      </c>
      <c r="EH15" t="s">
        <v>219</v>
      </c>
      <c r="EI15" t="s">
        <v>220</v>
      </c>
      <c r="EJ15" t="s">
        <v>221</v>
      </c>
      <c r="EK15" t="s">
        <v>222</v>
      </c>
      <c r="EL15" t="s">
        <v>223</v>
      </c>
      <c r="EM15" t="s">
        <v>224</v>
      </c>
      <c r="EN15" t="s">
        <v>225</v>
      </c>
      <c r="EO15" t="s">
        <v>226</v>
      </c>
      <c r="EP15" t="s">
        <v>227</v>
      </c>
      <c r="EQ15" t="s">
        <v>228</v>
      </c>
      <c r="ER15" t="s">
        <v>229</v>
      </c>
      <c r="ES15" t="s">
        <v>230</v>
      </c>
      <c r="ET15" t="s">
        <v>231</v>
      </c>
      <c r="EU15" t="s">
        <v>232</v>
      </c>
      <c r="EV15" t="s">
        <v>233</v>
      </c>
      <c r="EW15" t="s">
        <v>234</v>
      </c>
      <c r="EX15" t="s">
        <v>235</v>
      </c>
      <c r="EY15" t="s">
        <v>236</v>
      </c>
      <c r="EZ15" t="s">
        <v>237</v>
      </c>
      <c r="FA15" t="s">
        <v>238</v>
      </c>
      <c r="FB15" t="s">
        <v>239</v>
      </c>
      <c r="FC15" t="s">
        <v>240</v>
      </c>
      <c r="FD15" t="s">
        <v>241</v>
      </c>
      <c r="FE15" t="s">
        <v>242</v>
      </c>
      <c r="FF15" t="s">
        <v>243</v>
      </c>
      <c r="FG15" t="s">
        <v>244</v>
      </c>
    </row>
    <row r="16" spans="1:163" x14ac:dyDescent="0.35">
      <c r="B16" t="s">
        <v>245</v>
      </c>
      <c r="C16" t="s">
        <v>245</v>
      </c>
      <c r="G16" t="s">
        <v>245</v>
      </c>
      <c r="H16" t="s">
        <v>246</v>
      </c>
      <c r="I16" t="s">
        <v>247</v>
      </c>
      <c r="J16" t="s">
        <v>248</v>
      </c>
      <c r="K16" t="s">
        <v>248</v>
      </c>
      <c r="L16" t="s">
        <v>158</v>
      </c>
      <c r="M16" t="s">
        <v>158</v>
      </c>
      <c r="N16" t="s">
        <v>246</v>
      </c>
      <c r="O16" t="s">
        <v>246</v>
      </c>
      <c r="P16" t="s">
        <v>246</v>
      </c>
      <c r="Q16" t="s">
        <v>246</v>
      </c>
      <c r="R16" t="s">
        <v>249</v>
      </c>
      <c r="S16" t="s">
        <v>250</v>
      </c>
      <c r="T16" t="s">
        <v>250</v>
      </c>
      <c r="U16" t="s">
        <v>251</v>
      </c>
      <c r="V16" t="s">
        <v>252</v>
      </c>
      <c r="W16" t="s">
        <v>251</v>
      </c>
      <c r="X16" t="s">
        <v>251</v>
      </c>
      <c r="Y16" t="s">
        <v>251</v>
      </c>
      <c r="Z16" t="s">
        <v>249</v>
      </c>
      <c r="AA16" t="s">
        <v>249</v>
      </c>
      <c r="AB16" t="s">
        <v>249</v>
      </c>
      <c r="AC16" t="s">
        <v>249</v>
      </c>
      <c r="AG16" t="s">
        <v>253</v>
      </c>
      <c r="AH16" t="s">
        <v>252</v>
      </c>
      <c r="AJ16" t="s">
        <v>252</v>
      </c>
      <c r="AK16" t="s">
        <v>253</v>
      </c>
      <c r="AQ16" t="s">
        <v>247</v>
      </c>
      <c r="AW16" t="s">
        <v>247</v>
      </c>
      <c r="AX16" t="s">
        <v>247</v>
      </c>
      <c r="AY16" t="s">
        <v>247</v>
      </c>
      <c r="BA16" t="s">
        <v>254</v>
      </c>
      <c r="BJ16" t="s">
        <v>247</v>
      </c>
      <c r="BK16" t="s">
        <v>247</v>
      </c>
      <c r="BM16" t="s">
        <v>255</v>
      </c>
      <c r="BN16" t="s">
        <v>256</v>
      </c>
      <c r="BQ16" t="s">
        <v>245</v>
      </c>
      <c r="BR16" t="s">
        <v>248</v>
      </c>
      <c r="BS16" t="s">
        <v>248</v>
      </c>
      <c r="BT16" t="s">
        <v>257</v>
      </c>
      <c r="BU16" t="s">
        <v>257</v>
      </c>
      <c r="BV16" t="s">
        <v>253</v>
      </c>
      <c r="BW16" t="s">
        <v>251</v>
      </c>
      <c r="BX16" t="s">
        <v>251</v>
      </c>
      <c r="BY16" t="s">
        <v>250</v>
      </c>
      <c r="BZ16" t="s">
        <v>250</v>
      </c>
      <c r="CA16" t="s">
        <v>250</v>
      </c>
      <c r="CB16" t="s">
        <v>258</v>
      </c>
      <c r="CC16" t="s">
        <v>247</v>
      </c>
      <c r="CD16" t="s">
        <v>247</v>
      </c>
      <c r="CE16" t="s">
        <v>247</v>
      </c>
      <c r="CJ16" t="s">
        <v>247</v>
      </c>
      <c r="CM16" t="s">
        <v>250</v>
      </c>
      <c r="CN16" t="s">
        <v>250</v>
      </c>
      <c r="CO16" t="s">
        <v>250</v>
      </c>
      <c r="CP16" t="s">
        <v>250</v>
      </c>
      <c r="CQ16" t="s">
        <v>250</v>
      </c>
      <c r="CR16" t="s">
        <v>247</v>
      </c>
      <c r="CS16" t="s">
        <v>247</v>
      </c>
      <c r="CT16" t="s">
        <v>247</v>
      </c>
      <c r="CU16" t="s">
        <v>245</v>
      </c>
      <c r="CW16" t="s">
        <v>259</v>
      </c>
      <c r="CX16" t="s">
        <v>259</v>
      </c>
      <c r="CZ16" t="s">
        <v>245</v>
      </c>
      <c r="DA16" t="s">
        <v>260</v>
      </c>
      <c r="DD16" t="s">
        <v>261</v>
      </c>
      <c r="DE16" t="s">
        <v>262</v>
      </c>
      <c r="DF16" t="s">
        <v>261</v>
      </c>
      <c r="DG16" t="s">
        <v>262</v>
      </c>
      <c r="DH16" t="s">
        <v>252</v>
      </c>
      <c r="DI16" t="s">
        <v>252</v>
      </c>
      <c r="DJ16" t="s">
        <v>247</v>
      </c>
      <c r="DK16" t="s">
        <v>263</v>
      </c>
      <c r="DL16" t="s">
        <v>247</v>
      </c>
      <c r="DN16" t="s">
        <v>246</v>
      </c>
      <c r="DO16" t="s">
        <v>264</v>
      </c>
      <c r="DP16" t="s">
        <v>246</v>
      </c>
      <c r="DU16" t="s">
        <v>265</v>
      </c>
      <c r="DV16" t="s">
        <v>265</v>
      </c>
      <c r="DW16" t="s">
        <v>265</v>
      </c>
      <c r="DX16" t="s">
        <v>265</v>
      </c>
      <c r="DY16" t="s">
        <v>265</v>
      </c>
      <c r="DZ16" t="s">
        <v>265</v>
      </c>
      <c r="EA16" t="s">
        <v>265</v>
      </c>
      <c r="EB16" t="s">
        <v>265</v>
      </c>
      <c r="EC16" t="s">
        <v>265</v>
      </c>
      <c r="ED16" t="s">
        <v>265</v>
      </c>
      <c r="EE16" t="s">
        <v>265</v>
      </c>
      <c r="EF16" t="s">
        <v>265</v>
      </c>
      <c r="EM16" t="s">
        <v>265</v>
      </c>
      <c r="EN16" t="s">
        <v>252</v>
      </c>
      <c r="EO16" t="s">
        <v>252</v>
      </c>
      <c r="EP16" t="s">
        <v>261</v>
      </c>
      <c r="EQ16" t="s">
        <v>262</v>
      </c>
      <c r="ES16" t="s">
        <v>253</v>
      </c>
      <c r="ET16" t="s">
        <v>253</v>
      </c>
      <c r="EU16" t="s">
        <v>250</v>
      </c>
      <c r="EV16" t="s">
        <v>250</v>
      </c>
      <c r="EW16" t="s">
        <v>250</v>
      </c>
      <c r="EX16" t="s">
        <v>250</v>
      </c>
      <c r="EY16" t="s">
        <v>250</v>
      </c>
      <c r="EZ16" t="s">
        <v>252</v>
      </c>
      <c r="FA16" t="s">
        <v>252</v>
      </c>
      <c r="FB16" t="s">
        <v>252</v>
      </c>
      <c r="FC16" t="s">
        <v>250</v>
      </c>
      <c r="FD16" t="s">
        <v>248</v>
      </c>
      <c r="FE16" t="s">
        <v>257</v>
      </c>
      <c r="FF16" t="s">
        <v>252</v>
      </c>
      <c r="FG16" t="s">
        <v>252</v>
      </c>
    </row>
    <row r="17" spans="1:163" x14ac:dyDescent="0.35">
      <c r="A17">
        <v>1</v>
      </c>
      <c r="B17">
        <v>1567876039.0999999</v>
      </c>
      <c r="C17">
        <v>0</v>
      </c>
      <c r="D17" t="s">
        <v>266</v>
      </c>
      <c r="E17" t="s">
        <v>267</v>
      </c>
      <c r="G17">
        <v>1567876039.0999999</v>
      </c>
      <c r="H17">
        <f t="shared" ref="H17:H31" si="0">BV17*AI17*(BT17-BU17)/(100*BN17*(1000-AI17*BT17))</f>
        <v>2.1038025365388946E-3</v>
      </c>
      <c r="I17">
        <f t="shared" ref="I17:I31" si="1">BV17*AI17*(BS17-BR17*(1000-AI17*BU17)/(1000-AI17*BT17))/(100*BN17)</f>
        <v>11.708793058495928</v>
      </c>
      <c r="J17">
        <f t="shared" ref="J17:J31" si="2">BR17 - IF(AI17&gt;1, I17*BN17*100/(AK17*CB17), 0)</f>
        <v>384.97500000000002</v>
      </c>
      <c r="K17">
        <f t="shared" ref="K17:K31" si="3">((Q17-H17/2)*J17-I17)/(Q17+H17/2)</f>
        <v>207.14568434735688</v>
      </c>
      <c r="L17">
        <f t="shared" ref="L17:L31" si="4">K17*(BW17+BX17)/1000</f>
        <v>20.588311482960499</v>
      </c>
      <c r="M17">
        <f t="shared" ref="M17:M31" si="5">(BR17 - IF(AI17&gt;1, I17*BN17*100/(AK17*CB17), 0))*(BW17+BX17)/1000</f>
        <v>38.262854657700011</v>
      </c>
      <c r="N17">
        <f t="shared" ref="N17:N31" si="6">2/((1/P17-1/O17)+SIGN(P17)*SQRT((1/P17-1/O17)*(1/P17-1/O17) + 4*BO17/((BO17+1)*(BO17+1))*(2*1/P17*1/O17-1/O17*1/O17)))</f>
        <v>0.11360652012443709</v>
      </c>
      <c r="O17">
        <f t="shared" ref="O17:O31" si="7">AF17+AE17*BN17+AD17*BN17*BN17</f>
        <v>2.2551257907056059</v>
      </c>
      <c r="P17">
        <f t="shared" ref="P17:P31" si="8">H17*(1000-(1000*0.61365*EXP(17.502*T17/(240.97+T17))/(BW17+BX17)+BT17)/2)/(1000*0.61365*EXP(17.502*T17/(240.97+T17))/(BW17+BX17)-BT17)</f>
        <v>0.11052014090846213</v>
      </c>
      <c r="Q17">
        <f t="shared" ref="Q17:Q31" si="9">1/((BO17+1)/(N17/1.6)+1/(O17/1.37)) + BO17/((BO17+1)/(N17/1.6) + BO17/(O17/1.37))</f>
        <v>6.9345402989780841E-2</v>
      </c>
      <c r="R17">
        <f t="shared" ref="R17:R31" si="10">(BK17*BM17)</f>
        <v>281.58327342933893</v>
      </c>
      <c r="S17">
        <f t="shared" ref="S17:S31" si="11">(BY17+(R17+2*0.95*0.0000000567*(((BY17+$B$7)+273)^4-(BY17+273)^4)-44100*H17)/(1.84*29.3*O17+8*0.95*0.0000000567*(BY17+273)^3))</f>
        <v>26.252587735160283</v>
      </c>
      <c r="T17">
        <f t="shared" ref="T17:T31" si="12">($C$7*BZ17+$D$7*CA17+$E$7*S17)</f>
        <v>27.016100000000002</v>
      </c>
      <c r="U17">
        <f t="shared" ref="U17:U31" si="13">0.61365*EXP(17.502*T17/(240.97+T17))</f>
        <v>3.582545517727886</v>
      </c>
      <c r="V17">
        <f t="shared" ref="V17:V31" si="14">(W17/X17*100)</f>
        <v>55.312151650715947</v>
      </c>
      <c r="W17">
        <f t="shared" ref="W17:W31" si="15">BT17*(BW17+BX17)/1000</f>
        <v>1.7412717245940004</v>
      </c>
      <c r="X17">
        <f t="shared" ref="X17:X31" si="16">0.61365*EXP(17.502*BY17/(240.97+BY17))</f>
        <v>3.1480817010875795</v>
      </c>
      <c r="Y17">
        <f t="shared" ref="Y17:Y31" si="17">(U17-BT17*(BW17+BX17)/1000)</f>
        <v>1.8412737931338856</v>
      </c>
      <c r="Z17">
        <f t="shared" ref="Z17:Z31" si="18">(-H17*44100)</f>
        <v>-92.777691861365255</v>
      </c>
      <c r="AA17">
        <f t="shared" ref="AA17:AA31" si="19">2*29.3*O17*0.92*(BY17-T17)</f>
        <v>-265.46630894587508</v>
      </c>
      <c r="AB17">
        <f t="shared" ref="AB17:AB31" si="20">2*0.95*0.0000000567*(((BY17+$B$7)+273)^4-(T17+273)^4)</f>
        <v>-25.132721636645616</v>
      </c>
      <c r="AC17">
        <f t="shared" ref="AC17:AC31" si="21">R17+AB17+Z17+AA17</f>
        <v>-101.79344901454704</v>
      </c>
      <c r="AD17">
        <v>-4.1321883418269603E-2</v>
      </c>
      <c r="AE17">
        <v>4.6387434132815299E-2</v>
      </c>
      <c r="AF17">
        <v>3.4643889889664199</v>
      </c>
      <c r="AG17">
        <v>0</v>
      </c>
      <c r="AH17">
        <v>0</v>
      </c>
      <c r="AI17">
        <f t="shared" ref="AI17:AI31" si="22">IF(AG17*$H$13&gt;=AK17,1,(AK17/(AK17-AG17*$H$13)))</f>
        <v>1</v>
      </c>
      <c r="AJ17">
        <f t="shared" ref="AJ17:AJ31" si="23">(AI17-1)*100</f>
        <v>0</v>
      </c>
      <c r="AK17">
        <f t="shared" ref="AK17:AK31" si="24">MAX(0,($B$13+$C$13*CB17)/(1+$D$13*CB17)*BW17/(BY17+273)*$E$13)</f>
        <v>53067.489524447039</v>
      </c>
      <c r="AL17" t="s">
        <v>268</v>
      </c>
      <c r="AM17">
        <v>631.89076923076902</v>
      </c>
      <c r="AN17">
        <v>3514.37</v>
      </c>
      <c r="AO17">
        <f t="shared" ref="AO17:AO31" si="25">AN17-AM17</f>
        <v>2882.479230769231</v>
      </c>
      <c r="AP17">
        <f t="shared" ref="AP17:AP31" si="26">AO17/AN17</f>
        <v>0.82019799587670938</v>
      </c>
      <c r="AQ17">
        <v>-1.4218795309761501</v>
      </c>
      <c r="AR17" t="s">
        <v>269</v>
      </c>
      <c r="AS17">
        <v>764.38496153846199</v>
      </c>
      <c r="AT17">
        <v>930.67</v>
      </c>
      <c r="AU17">
        <f t="shared" ref="AU17:AU31" si="27">1-AS17/AT17</f>
        <v>0.17867239565209792</v>
      </c>
      <c r="AV17">
        <v>0.5</v>
      </c>
      <c r="AW17">
        <f t="shared" ref="AW17:AW31" si="28">BK17</f>
        <v>1471.3635000963013</v>
      </c>
      <c r="AX17">
        <f t="shared" ref="AX17:AX31" si="29">I17</f>
        <v>11.708793058495928</v>
      </c>
      <c r="AY17">
        <f t="shared" ref="AY17:AY31" si="30">AU17*AV17*AW17</f>
        <v>131.44602071863099</v>
      </c>
      <c r="AZ17">
        <f t="shared" ref="AZ17:AZ31" si="31">BE17/AT17</f>
        <v>0.42344762375492917</v>
      </c>
      <c r="BA17">
        <f t="shared" ref="BA17:BA31" si="32">(AX17-AQ17)/AW17</f>
        <v>8.9241527254228271E-3</v>
      </c>
      <c r="BB17">
        <f t="shared" ref="BB17:BB31" si="33">(AN17-AT17)/AT17</f>
        <v>2.7761720051145948</v>
      </c>
      <c r="BC17" t="s">
        <v>270</v>
      </c>
      <c r="BD17">
        <v>536.58000000000004</v>
      </c>
      <c r="BE17">
        <f t="shared" ref="BE17:BE31" si="34">AT17-BD17</f>
        <v>394.08999999999992</v>
      </c>
      <c r="BF17">
        <f t="shared" ref="BF17:BF31" si="35">(AT17-AS17)/(AT17-BD17)</f>
        <v>0.42194686102549672</v>
      </c>
      <c r="BG17">
        <f t="shared" ref="BG17:BG31" si="36">(AN17-AT17)/(AN17-BD17)</f>
        <v>0.8676568864829286</v>
      </c>
      <c r="BH17">
        <f t="shared" ref="BH17:BH31" si="37">(AT17-AS17)/(AT17-AM17)</f>
        <v>0.55654818453553112</v>
      </c>
      <c r="BI17">
        <f t="shared" ref="BI17:BI31" si="38">(AN17-AT17)/(AN17-AM17)</f>
        <v>0.89634644108450434</v>
      </c>
      <c r="BJ17">
        <f t="shared" ref="BJ17:BJ31" si="39">$B$11*CC17+$C$11*CD17+$F$11*CE17</f>
        <v>1750.19</v>
      </c>
      <c r="BK17">
        <f t="shared" ref="BK17:BK31" si="40">BJ17*BL17</f>
        <v>1471.3635000963013</v>
      </c>
      <c r="BL17">
        <f t="shared" ref="BL17:BL31" si="41">($B$11*$D$9+$C$11*$D$9+$F$11*((CR17+CJ17)/MAX(CR17+CJ17+CS17, 0.1)*$I$9+CS17/MAX(CR17+CJ17+CS17, 0.1)*$J$9))/($B$11+$C$11+$F$11)</f>
        <v>0.84068786822933583</v>
      </c>
      <c r="BM17">
        <f t="shared" ref="BM17:BM31" si="42">($B$11*$K$9+$C$11*$K$9+$F$11*((CR17+CJ17)/MAX(CR17+CJ17+CS17, 0.1)*$P$9+CS17/MAX(CR17+CJ17+CS17, 0.1)*$Q$9))/($B$11+$C$11+$F$11)</f>
        <v>0.19137573645867195</v>
      </c>
      <c r="BN17">
        <v>6</v>
      </c>
      <c r="BO17">
        <v>0.5</v>
      </c>
      <c r="BP17" t="s">
        <v>271</v>
      </c>
      <c r="BQ17">
        <v>1567876039.0999999</v>
      </c>
      <c r="BR17">
        <v>384.97500000000002</v>
      </c>
      <c r="BS17">
        <v>399.99299999999999</v>
      </c>
      <c r="BT17">
        <v>17.519500000000001</v>
      </c>
      <c r="BU17">
        <v>15.039899999999999</v>
      </c>
      <c r="BV17">
        <v>500.14800000000002</v>
      </c>
      <c r="BW17">
        <v>99.290300000000002</v>
      </c>
      <c r="BX17">
        <v>0.100192</v>
      </c>
      <c r="BY17">
        <v>24.832599999999999</v>
      </c>
      <c r="BZ17">
        <v>27.016100000000002</v>
      </c>
      <c r="CA17">
        <v>999.9</v>
      </c>
      <c r="CB17">
        <v>10036.200000000001</v>
      </c>
      <c r="CC17">
        <v>0</v>
      </c>
      <c r="CD17">
        <v>1870.52</v>
      </c>
      <c r="CE17">
        <v>1750.19</v>
      </c>
      <c r="CF17">
        <v>0.97700299999999995</v>
      </c>
      <c r="CG17">
        <v>2.2997299999999998E-2</v>
      </c>
      <c r="CH17">
        <v>0</v>
      </c>
      <c r="CI17">
        <v>764.27599999999995</v>
      </c>
      <c r="CJ17">
        <v>4.99986</v>
      </c>
      <c r="CK17">
        <v>15826.8</v>
      </c>
      <c r="CL17">
        <v>14222.3</v>
      </c>
      <c r="CM17">
        <v>43.186999999999998</v>
      </c>
      <c r="CN17">
        <v>45.561999999999998</v>
      </c>
      <c r="CO17">
        <v>44.25</v>
      </c>
      <c r="CP17">
        <v>44.186999999999998</v>
      </c>
      <c r="CQ17">
        <v>44.936999999999998</v>
      </c>
      <c r="CR17">
        <v>1705.06</v>
      </c>
      <c r="CS17">
        <v>40.130000000000003</v>
      </c>
      <c r="CT17">
        <v>0</v>
      </c>
      <c r="CU17">
        <v>268.200000047684</v>
      </c>
      <c r="CV17">
        <v>764.38496153846199</v>
      </c>
      <c r="CW17">
        <v>-3.06423931065788</v>
      </c>
      <c r="CX17">
        <v>-99.798290898898699</v>
      </c>
      <c r="CY17">
        <v>15828.811538461499</v>
      </c>
      <c r="CZ17">
        <v>15</v>
      </c>
      <c r="DA17">
        <v>1567875993.5</v>
      </c>
      <c r="DB17" t="s">
        <v>272</v>
      </c>
      <c r="DC17">
        <v>48</v>
      </c>
      <c r="DD17">
        <v>-0.38500000000000001</v>
      </c>
      <c r="DE17">
        <v>9.1999999999999998E-2</v>
      </c>
      <c r="DF17">
        <v>400</v>
      </c>
      <c r="DG17">
        <v>15</v>
      </c>
      <c r="DH17">
        <v>0.15</v>
      </c>
      <c r="DI17">
        <v>0.05</v>
      </c>
      <c r="DJ17">
        <v>11.7877322450933</v>
      </c>
      <c r="DK17">
        <v>-1.4709031320077001E-2</v>
      </c>
      <c r="DL17">
        <v>8.7309369192532099E-2</v>
      </c>
      <c r="DM17">
        <v>1</v>
      </c>
      <c r="DN17">
        <v>0.107861474528165</v>
      </c>
      <c r="DO17">
        <v>1.79931139932068E-2</v>
      </c>
      <c r="DP17">
        <v>3.6423666867980301E-3</v>
      </c>
      <c r="DQ17">
        <v>1</v>
      </c>
      <c r="DR17">
        <v>2</v>
      </c>
      <c r="DS17">
        <v>2</v>
      </c>
      <c r="DT17" t="s">
        <v>273</v>
      </c>
      <c r="DU17">
        <v>1.86676</v>
      </c>
      <c r="DV17">
        <v>1.8632599999999999</v>
      </c>
      <c r="DW17">
        <v>1.86894</v>
      </c>
      <c r="DX17">
        <v>1.8668899999999999</v>
      </c>
      <c r="DY17">
        <v>1.8716299999999999</v>
      </c>
      <c r="DZ17">
        <v>1.8640099999999999</v>
      </c>
      <c r="EA17">
        <v>1.8656200000000001</v>
      </c>
      <c r="EB17">
        <v>1.86554</v>
      </c>
      <c r="EC17" t="s">
        <v>274</v>
      </c>
      <c r="ED17" t="s">
        <v>19</v>
      </c>
      <c r="EE17" t="s">
        <v>19</v>
      </c>
      <c r="EF17" t="s">
        <v>19</v>
      </c>
      <c r="EG17" t="s">
        <v>275</v>
      </c>
      <c r="EH17" t="s">
        <v>276</v>
      </c>
      <c r="EI17" t="s">
        <v>277</v>
      </c>
      <c r="EJ17" t="s">
        <v>277</v>
      </c>
      <c r="EK17" t="s">
        <v>277</v>
      </c>
      <c r="EL17" t="s">
        <v>277</v>
      </c>
      <c r="EM17">
        <v>0</v>
      </c>
      <c r="EN17">
        <v>100</v>
      </c>
      <c r="EO17">
        <v>100</v>
      </c>
      <c r="EP17">
        <v>-0.38500000000000001</v>
      </c>
      <c r="EQ17">
        <v>9.1999999999999998E-2</v>
      </c>
      <c r="ER17">
        <v>2</v>
      </c>
      <c r="ES17">
        <v>510.024</v>
      </c>
      <c r="ET17">
        <v>500.05399999999997</v>
      </c>
      <c r="EU17">
        <v>19.863</v>
      </c>
      <c r="EV17">
        <v>30.889900000000001</v>
      </c>
      <c r="EW17">
        <v>29.999300000000002</v>
      </c>
      <c r="EX17">
        <v>30.967700000000001</v>
      </c>
      <c r="EY17">
        <v>30.967099999999999</v>
      </c>
      <c r="EZ17">
        <v>21.761900000000001</v>
      </c>
      <c r="FA17">
        <v>49.812399999999997</v>
      </c>
      <c r="FB17">
        <v>0</v>
      </c>
      <c r="FC17">
        <v>19.808700000000002</v>
      </c>
      <c r="FD17">
        <v>400</v>
      </c>
      <c r="FE17">
        <v>14.949400000000001</v>
      </c>
      <c r="FF17">
        <v>101.19499999999999</v>
      </c>
      <c r="FG17">
        <v>101.67700000000001</v>
      </c>
    </row>
    <row r="18" spans="1:163" x14ac:dyDescent="0.35">
      <c r="A18">
        <v>2</v>
      </c>
      <c r="B18">
        <v>1567876129.5999999</v>
      </c>
      <c r="C18">
        <v>90.5</v>
      </c>
      <c r="D18" t="s">
        <v>278</v>
      </c>
      <c r="E18" t="s">
        <v>279</v>
      </c>
      <c r="G18">
        <v>1567876129.5999999</v>
      </c>
      <c r="H18">
        <f t="shared" si="0"/>
        <v>1.9055730571179343E-3</v>
      </c>
      <c r="I18">
        <f t="shared" si="1"/>
        <v>8.244551042213045</v>
      </c>
      <c r="J18">
        <f t="shared" si="2"/>
        <v>289.435</v>
      </c>
      <c r="K18">
        <f t="shared" si="3"/>
        <v>150.87441804573038</v>
      </c>
      <c r="L18">
        <f t="shared" si="4"/>
        <v>14.995015532580551</v>
      </c>
      <c r="M18">
        <f t="shared" si="5"/>
        <v>28.766190961259998</v>
      </c>
      <c r="N18">
        <f t="shared" si="6"/>
        <v>0.10220968909422526</v>
      </c>
      <c r="O18">
        <f t="shared" si="7"/>
        <v>2.2449554801396014</v>
      </c>
      <c r="P18">
        <f t="shared" si="8"/>
        <v>9.9693086423905605E-2</v>
      </c>
      <c r="Q18">
        <f t="shared" si="9"/>
        <v>6.2529124819814458E-2</v>
      </c>
      <c r="R18">
        <f t="shared" si="10"/>
        <v>281.52102979852828</v>
      </c>
      <c r="S18">
        <f t="shared" si="11"/>
        <v>26.275379788213993</v>
      </c>
      <c r="T18">
        <f t="shared" si="12"/>
        <v>27.020600000000002</v>
      </c>
      <c r="U18">
        <f t="shared" si="13"/>
        <v>3.5834923661134273</v>
      </c>
      <c r="V18">
        <f t="shared" si="14"/>
        <v>55.260295296919949</v>
      </c>
      <c r="W18">
        <f t="shared" si="15"/>
        <v>1.7345883449087998</v>
      </c>
      <c r="X18">
        <f t="shared" si="16"/>
        <v>3.1389415050872538</v>
      </c>
      <c r="Y18">
        <f t="shared" si="17"/>
        <v>1.8489040212046275</v>
      </c>
      <c r="Z18">
        <f t="shared" si="18"/>
        <v>-84.035771818900898</v>
      </c>
      <c r="AA18">
        <f t="shared" si="19"/>
        <v>-270.70789012195195</v>
      </c>
      <c r="AB18">
        <f t="shared" si="20"/>
        <v>-25.739376423602501</v>
      </c>
      <c r="AC18">
        <f t="shared" si="21"/>
        <v>-98.962008565927079</v>
      </c>
      <c r="AD18">
        <v>-4.10480789505362E-2</v>
      </c>
      <c r="AE18">
        <v>4.6080064631195801E-2</v>
      </c>
      <c r="AF18">
        <v>3.4462059345717302</v>
      </c>
      <c r="AG18">
        <v>0</v>
      </c>
      <c r="AH18">
        <v>0</v>
      </c>
      <c r="AI18">
        <f t="shared" si="22"/>
        <v>1</v>
      </c>
      <c r="AJ18">
        <f t="shared" si="23"/>
        <v>0</v>
      </c>
      <c r="AK18">
        <f t="shared" si="24"/>
        <v>52738.767450760628</v>
      </c>
      <c r="AL18" t="s">
        <v>268</v>
      </c>
      <c r="AM18">
        <v>631.89076923076902</v>
      </c>
      <c r="AN18">
        <v>3514.37</v>
      </c>
      <c r="AO18">
        <f t="shared" si="25"/>
        <v>2882.479230769231</v>
      </c>
      <c r="AP18">
        <f t="shared" si="26"/>
        <v>0.82019799587670938</v>
      </c>
      <c r="AQ18">
        <v>-1.4218795309761501</v>
      </c>
      <c r="AR18" t="s">
        <v>280</v>
      </c>
      <c r="AS18">
        <v>763.82461538461496</v>
      </c>
      <c r="AT18">
        <v>909.90700000000004</v>
      </c>
      <c r="AU18">
        <f t="shared" si="27"/>
        <v>0.16054650048343955</v>
      </c>
      <c r="AV18">
        <v>0.5</v>
      </c>
      <c r="AW18">
        <f t="shared" si="28"/>
        <v>1471.0359000963228</v>
      </c>
      <c r="AX18">
        <f t="shared" si="29"/>
        <v>8.244551042213045</v>
      </c>
      <c r="AY18">
        <f t="shared" si="30"/>
        <v>118.08483292298561</v>
      </c>
      <c r="AZ18">
        <f t="shared" si="31"/>
        <v>0.40890662452316556</v>
      </c>
      <c r="BA18">
        <f t="shared" si="32"/>
        <v>6.5711724455917372E-3</v>
      </c>
      <c r="BB18">
        <f t="shared" si="33"/>
        <v>2.8623397775816644</v>
      </c>
      <c r="BC18" t="s">
        <v>281</v>
      </c>
      <c r="BD18">
        <v>537.84</v>
      </c>
      <c r="BE18">
        <f t="shared" si="34"/>
        <v>372.06700000000001</v>
      </c>
      <c r="BF18">
        <f t="shared" si="35"/>
        <v>0.39262386778560066</v>
      </c>
      <c r="BG18">
        <f t="shared" si="36"/>
        <v>0.87499974802874492</v>
      </c>
      <c r="BH18">
        <f t="shared" si="37"/>
        <v>0.52544552600830563</v>
      </c>
      <c r="BI18">
        <f t="shared" si="38"/>
        <v>0.90354961527509825</v>
      </c>
      <c r="BJ18">
        <f t="shared" si="39"/>
        <v>1749.8</v>
      </c>
      <c r="BK18">
        <f t="shared" si="40"/>
        <v>1471.0359000963228</v>
      </c>
      <c r="BL18">
        <f t="shared" si="41"/>
        <v>0.84068802154321798</v>
      </c>
      <c r="BM18">
        <f t="shared" si="42"/>
        <v>0.19137604308643616</v>
      </c>
      <c r="BN18">
        <v>6</v>
      </c>
      <c r="BO18">
        <v>0.5</v>
      </c>
      <c r="BP18" t="s">
        <v>271</v>
      </c>
      <c r="BQ18">
        <v>1567876129.5999999</v>
      </c>
      <c r="BR18">
        <v>289.435</v>
      </c>
      <c r="BS18">
        <v>299.98899999999998</v>
      </c>
      <c r="BT18">
        <v>17.4528</v>
      </c>
      <c r="BU18">
        <v>15.206300000000001</v>
      </c>
      <c r="BV18">
        <v>500.06200000000001</v>
      </c>
      <c r="BW18">
        <v>99.287300000000002</v>
      </c>
      <c r="BX18">
        <v>0.100096</v>
      </c>
      <c r="BY18">
        <v>24.783899999999999</v>
      </c>
      <c r="BZ18">
        <v>27.020600000000002</v>
      </c>
      <c r="CA18">
        <v>999.9</v>
      </c>
      <c r="CB18">
        <v>9970</v>
      </c>
      <c r="CC18">
        <v>0</v>
      </c>
      <c r="CD18">
        <v>1867.22</v>
      </c>
      <c r="CE18">
        <v>1749.8</v>
      </c>
      <c r="CF18">
        <v>0.97699899999999995</v>
      </c>
      <c r="CG18">
        <v>2.3001299999999999E-2</v>
      </c>
      <c r="CH18">
        <v>0</v>
      </c>
      <c r="CI18">
        <v>763.51700000000005</v>
      </c>
      <c r="CJ18">
        <v>4.99986</v>
      </c>
      <c r="CK18">
        <v>15795.7</v>
      </c>
      <c r="CL18">
        <v>14219.1</v>
      </c>
      <c r="CM18">
        <v>43.125</v>
      </c>
      <c r="CN18">
        <v>45.5</v>
      </c>
      <c r="CO18">
        <v>44.186999999999998</v>
      </c>
      <c r="CP18">
        <v>44.125</v>
      </c>
      <c r="CQ18">
        <v>44.875</v>
      </c>
      <c r="CR18">
        <v>1704.67</v>
      </c>
      <c r="CS18">
        <v>40.130000000000003</v>
      </c>
      <c r="CT18">
        <v>0</v>
      </c>
      <c r="CU18">
        <v>89.900000095367403</v>
      </c>
      <c r="CV18">
        <v>763.82461538461496</v>
      </c>
      <c r="CW18">
        <v>0.16697437225022299</v>
      </c>
      <c r="CX18">
        <v>-46.649572745628298</v>
      </c>
      <c r="CY18">
        <v>15793.0192307692</v>
      </c>
      <c r="CZ18">
        <v>15</v>
      </c>
      <c r="DA18">
        <v>1567876153.0999999</v>
      </c>
      <c r="DB18" t="s">
        <v>282</v>
      </c>
      <c r="DC18">
        <v>49</v>
      </c>
      <c r="DD18">
        <v>-0.37</v>
      </c>
      <c r="DE18">
        <v>9.5000000000000001E-2</v>
      </c>
      <c r="DF18">
        <v>300</v>
      </c>
      <c r="DG18">
        <v>15</v>
      </c>
      <c r="DH18">
        <v>0.16</v>
      </c>
      <c r="DI18">
        <v>0.06</v>
      </c>
      <c r="DJ18">
        <v>8.2851695282421005</v>
      </c>
      <c r="DK18">
        <v>-3.0107980376305198E-2</v>
      </c>
      <c r="DL18">
        <v>3.1896317120275103E-2</v>
      </c>
      <c r="DM18">
        <v>1</v>
      </c>
      <c r="DN18">
        <v>0.10218252082882399</v>
      </c>
      <c r="DO18">
        <v>-7.4316461998687904E-4</v>
      </c>
      <c r="DP18">
        <v>2.8214247214398801E-4</v>
      </c>
      <c r="DQ18">
        <v>1</v>
      </c>
      <c r="DR18">
        <v>2</v>
      </c>
      <c r="DS18">
        <v>2</v>
      </c>
      <c r="DT18" t="s">
        <v>273</v>
      </c>
      <c r="DU18">
        <v>1.86676</v>
      </c>
      <c r="DV18">
        <v>1.8632500000000001</v>
      </c>
      <c r="DW18">
        <v>1.8689199999999999</v>
      </c>
      <c r="DX18">
        <v>1.86687</v>
      </c>
      <c r="DY18">
        <v>1.8715299999999999</v>
      </c>
      <c r="DZ18">
        <v>1.8640099999999999</v>
      </c>
      <c r="EA18">
        <v>1.8656200000000001</v>
      </c>
      <c r="EB18">
        <v>1.86554</v>
      </c>
      <c r="EC18" t="s">
        <v>274</v>
      </c>
      <c r="ED18" t="s">
        <v>19</v>
      </c>
      <c r="EE18" t="s">
        <v>19</v>
      </c>
      <c r="EF18" t="s">
        <v>19</v>
      </c>
      <c r="EG18" t="s">
        <v>275</v>
      </c>
      <c r="EH18" t="s">
        <v>276</v>
      </c>
      <c r="EI18" t="s">
        <v>277</v>
      </c>
      <c r="EJ18" t="s">
        <v>277</v>
      </c>
      <c r="EK18" t="s">
        <v>277</v>
      </c>
      <c r="EL18" t="s">
        <v>277</v>
      </c>
      <c r="EM18">
        <v>0</v>
      </c>
      <c r="EN18">
        <v>100</v>
      </c>
      <c r="EO18">
        <v>100</v>
      </c>
      <c r="EP18">
        <v>-0.37</v>
      </c>
      <c r="EQ18">
        <v>9.5000000000000001E-2</v>
      </c>
      <c r="ER18">
        <v>2</v>
      </c>
      <c r="ES18">
        <v>509.95499999999998</v>
      </c>
      <c r="ET18">
        <v>500.346</v>
      </c>
      <c r="EU18">
        <v>18.853400000000001</v>
      </c>
      <c r="EV18">
        <v>30.7285</v>
      </c>
      <c r="EW18">
        <v>29.998799999999999</v>
      </c>
      <c r="EX18">
        <v>30.838000000000001</v>
      </c>
      <c r="EY18">
        <v>30.843900000000001</v>
      </c>
      <c r="EZ18">
        <v>17.353400000000001</v>
      </c>
      <c r="FA18">
        <v>48.828400000000002</v>
      </c>
      <c r="FB18">
        <v>0</v>
      </c>
      <c r="FC18">
        <v>18.841000000000001</v>
      </c>
      <c r="FD18">
        <v>300</v>
      </c>
      <c r="FE18">
        <v>15.243600000000001</v>
      </c>
      <c r="FF18">
        <v>101.221</v>
      </c>
      <c r="FG18">
        <v>101.71899999999999</v>
      </c>
    </row>
    <row r="19" spans="1:163" x14ac:dyDescent="0.35">
      <c r="A19">
        <v>3</v>
      </c>
      <c r="B19">
        <v>1567876274.5999999</v>
      </c>
      <c r="C19">
        <v>235.5</v>
      </c>
      <c r="D19" t="s">
        <v>283</v>
      </c>
      <c r="E19" t="s">
        <v>284</v>
      </c>
      <c r="G19">
        <v>1567876274.5999999</v>
      </c>
      <c r="H19">
        <f t="shared" si="0"/>
        <v>1.9995925901427378E-3</v>
      </c>
      <c r="I19">
        <f t="shared" si="1"/>
        <v>4.9352592264372799</v>
      </c>
      <c r="J19">
        <f t="shared" si="2"/>
        <v>193.62100000000001</v>
      </c>
      <c r="K19">
        <f t="shared" si="3"/>
        <v>113.87530965066779</v>
      </c>
      <c r="L19">
        <f t="shared" si="4"/>
        <v>11.317293243450795</v>
      </c>
      <c r="M19">
        <f t="shared" si="5"/>
        <v>19.242675535305001</v>
      </c>
      <c r="N19">
        <f t="shared" si="6"/>
        <v>0.10757980350457347</v>
      </c>
      <c r="O19">
        <f t="shared" si="7"/>
        <v>2.2468071497709814</v>
      </c>
      <c r="P19">
        <f t="shared" si="8"/>
        <v>0.10479791825321491</v>
      </c>
      <c r="Q19">
        <f t="shared" si="9"/>
        <v>6.5742648594652703E-2</v>
      </c>
      <c r="R19">
        <f t="shared" si="10"/>
        <v>281.55933357131534</v>
      </c>
      <c r="S19">
        <f t="shared" si="11"/>
        <v>26.171645266042077</v>
      </c>
      <c r="T19">
        <f t="shared" si="12"/>
        <v>26.946000000000002</v>
      </c>
      <c r="U19">
        <f t="shared" si="13"/>
        <v>3.5678238969452409</v>
      </c>
      <c r="V19">
        <f t="shared" si="14"/>
        <v>55.095121735091467</v>
      </c>
      <c r="W19">
        <f t="shared" si="15"/>
        <v>1.722012793035</v>
      </c>
      <c r="X19">
        <f t="shared" si="16"/>
        <v>3.1255267958473474</v>
      </c>
      <c r="Y19">
        <f t="shared" si="17"/>
        <v>1.8458111039102409</v>
      </c>
      <c r="Z19">
        <f t="shared" si="18"/>
        <v>-88.182033225294731</v>
      </c>
      <c r="AA19">
        <f t="shared" si="19"/>
        <v>-270.57989703517296</v>
      </c>
      <c r="AB19">
        <f t="shared" si="20"/>
        <v>-25.687134819778446</v>
      </c>
      <c r="AC19">
        <f t="shared" si="21"/>
        <v>-102.88973150893079</v>
      </c>
      <c r="AD19">
        <v>-4.1097846265638803E-2</v>
      </c>
      <c r="AE19">
        <v>4.6135932802254698E-2</v>
      </c>
      <c r="AF19">
        <v>3.4495140185204498</v>
      </c>
      <c r="AG19">
        <v>0</v>
      </c>
      <c r="AH19">
        <v>0</v>
      </c>
      <c r="AI19">
        <f t="shared" si="22"/>
        <v>1</v>
      </c>
      <c r="AJ19">
        <f t="shared" si="23"/>
        <v>0</v>
      </c>
      <c r="AK19">
        <f t="shared" si="24"/>
        <v>52812.758716958982</v>
      </c>
      <c r="AL19" t="s">
        <v>268</v>
      </c>
      <c r="AM19">
        <v>631.89076923076902</v>
      </c>
      <c r="AN19">
        <v>3514.37</v>
      </c>
      <c r="AO19">
        <f t="shared" si="25"/>
        <v>2882.479230769231</v>
      </c>
      <c r="AP19">
        <f t="shared" si="26"/>
        <v>0.82019799587670938</v>
      </c>
      <c r="AQ19">
        <v>-1.4218795309761501</v>
      </c>
      <c r="AR19" t="s">
        <v>285</v>
      </c>
      <c r="AS19">
        <v>767.69357692307699</v>
      </c>
      <c r="AT19">
        <v>895.12599999999998</v>
      </c>
      <c r="AU19">
        <f t="shared" si="27"/>
        <v>0.14236255351416782</v>
      </c>
      <c r="AV19">
        <v>0.5</v>
      </c>
      <c r="AW19">
        <f t="shared" si="28"/>
        <v>1471.2375000963095</v>
      </c>
      <c r="AX19">
        <f t="shared" si="29"/>
        <v>4.9352592264372799</v>
      </c>
      <c r="AY19">
        <f t="shared" si="30"/>
        <v>104.72456366975568</v>
      </c>
      <c r="AZ19">
        <f t="shared" si="31"/>
        <v>0.39521363472851861</v>
      </c>
      <c r="BA19">
        <f t="shared" si="32"/>
        <v>4.3209466568091704E-3</v>
      </c>
      <c r="BB19">
        <f t="shared" si="33"/>
        <v>2.9261176638819562</v>
      </c>
      <c r="BC19" t="s">
        <v>286</v>
      </c>
      <c r="BD19">
        <v>541.36</v>
      </c>
      <c r="BE19">
        <f t="shared" si="34"/>
        <v>353.76599999999996</v>
      </c>
      <c r="BF19">
        <f t="shared" si="35"/>
        <v>0.36021670561027064</v>
      </c>
      <c r="BG19">
        <f t="shared" si="36"/>
        <v>0.88100746381613249</v>
      </c>
      <c r="BH19">
        <f t="shared" si="37"/>
        <v>0.4841009415971318</v>
      </c>
      <c r="BI19">
        <f t="shared" si="38"/>
        <v>0.9086774926392156</v>
      </c>
      <c r="BJ19">
        <f t="shared" si="39"/>
        <v>1750.04</v>
      </c>
      <c r="BK19">
        <f t="shared" si="40"/>
        <v>1471.2375000963095</v>
      </c>
      <c r="BL19">
        <f t="shared" si="41"/>
        <v>0.8406879271881269</v>
      </c>
      <c r="BM19">
        <f t="shared" si="42"/>
        <v>0.19137585437625401</v>
      </c>
      <c r="BN19">
        <v>6</v>
      </c>
      <c r="BO19">
        <v>0.5</v>
      </c>
      <c r="BP19" t="s">
        <v>271</v>
      </c>
      <c r="BQ19">
        <v>1567876274.5999999</v>
      </c>
      <c r="BR19">
        <v>193.62100000000001</v>
      </c>
      <c r="BS19">
        <v>200.00700000000001</v>
      </c>
      <c r="BT19">
        <v>17.327000000000002</v>
      </c>
      <c r="BU19">
        <v>14.9694</v>
      </c>
      <c r="BV19">
        <v>500.07100000000003</v>
      </c>
      <c r="BW19">
        <v>99.283199999999994</v>
      </c>
      <c r="BX19">
        <v>0.100005</v>
      </c>
      <c r="BY19">
        <v>24.712199999999999</v>
      </c>
      <c r="BZ19">
        <v>26.946000000000002</v>
      </c>
      <c r="CA19">
        <v>999.9</v>
      </c>
      <c r="CB19">
        <v>9982.5</v>
      </c>
      <c r="CC19">
        <v>0</v>
      </c>
      <c r="CD19">
        <v>1869.13</v>
      </c>
      <c r="CE19">
        <v>1750.04</v>
      </c>
      <c r="CF19">
        <v>0.97700299999999995</v>
      </c>
      <c r="CG19">
        <v>2.2997299999999998E-2</v>
      </c>
      <c r="CH19">
        <v>0</v>
      </c>
      <c r="CI19">
        <v>767.65599999999995</v>
      </c>
      <c r="CJ19">
        <v>4.99986</v>
      </c>
      <c r="CK19">
        <v>15858.9</v>
      </c>
      <c r="CL19">
        <v>14221.1</v>
      </c>
      <c r="CM19">
        <v>43.125</v>
      </c>
      <c r="CN19">
        <v>45.561999999999998</v>
      </c>
      <c r="CO19">
        <v>44.125</v>
      </c>
      <c r="CP19">
        <v>44.25</v>
      </c>
      <c r="CQ19">
        <v>44.875</v>
      </c>
      <c r="CR19">
        <v>1704.91</v>
      </c>
      <c r="CS19">
        <v>40.130000000000003</v>
      </c>
      <c r="CT19">
        <v>0</v>
      </c>
      <c r="CU19">
        <v>144.799999952316</v>
      </c>
      <c r="CV19">
        <v>767.69357692307699</v>
      </c>
      <c r="CW19">
        <v>-0.83736751606013005</v>
      </c>
      <c r="CX19">
        <v>-25.490598397470301</v>
      </c>
      <c r="CY19">
        <v>15861.9692307692</v>
      </c>
      <c r="CZ19">
        <v>15</v>
      </c>
      <c r="DA19">
        <v>1567876233.0999999</v>
      </c>
      <c r="DB19" t="s">
        <v>287</v>
      </c>
      <c r="DC19">
        <v>50</v>
      </c>
      <c r="DD19">
        <v>-0.373</v>
      </c>
      <c r="DE19">
        <v>9.4E-2</v>
      </c>
      <c r="DF19">
        <v>200</v>
      </c>
      <c r="DG19">
        <v>15</v>
      </c>
      <c r="DH19">
        <v>0.28000000000000003</v>
      </c>
      <c r="DI19">
        <v>0.04</v>
      </c>
      <c r="DJ19">
        <v>4.6211180474603397</v>
      </c>
      <c r="DK19">
        <v>2.6037965888696699</v>
      </c>
      <c r="DL19">
        <v>1.0132629839552401</v>
      </c>
      <c r="DM19">
        <v>0</v>
      </c>
      <c r="DN19">
        <v>9.7881583199394398E-2</v>
      </c>
      <c r="DO19">
        <v>6.9496381459829407E-2</v>
      </c>
      <c r="DP19">
        <v>2.2268535647594099E-2</v>
      </c>
      <c r="DQ19">
        <v>1</v>
      </c>
      <c r="DR19">
        <v>1</v>
      </c>
      <c r="DS19">
        <v>2</v>
      </c>
      <c r="DT19" t="s">
        <v>288</v>
      </c>
      <c r="DU19">
        <v>1.86676</v>
      </c>
      <c r="DV19">
        <v>1.8632599999999999</v>
      </c>
      <c r="DW19">
        <v>1.8689199999999999</v>
      </c>
      <c r="DX19">
        <v>1.8669100000000001</v>
      </c>
      <c r="DY19">
        <v>1.87158</v>
      </c>
      <c r="DZ19">
        <v>1.8640099999999999</v>
      </c>
      <c r="EA19">
        <v>1.8656299999999999</v>
      </c>
      <c r="EB19">
        <v>1.86554</v>
      </c>
      <c r="EC19" t="s">
        <v>274</v>
      </c>
      <c r="ED19" t="s">
        <v>19</v>
      </c>
      <c r="EE19" t="s">
        <v>19</v>
      </c>
      <c r="EF19" t="s">
        <v>19</v>
      </c>
      <c r="EG19" t="s">
        <v>275</v>
      </c>
      <c r="EH19" t="s">
        <v>276</v>
      </c>
      <c r="EI19" t="s">
        <v>277</v>
      </c>
      <c r="EJ19" t="s">
        <v>277</v>
      </c>
      <c r="EK19" t="s">
        <v>277</v>
      </c>
      <c r="EL19" t="s">
        <v>277</v>
      </c>
      <c r="EM19">
        <v>0</v>
      </c>
      <c r="EN19">
        <v>100</v>
      </c>
      <c r="EO19">
        <v>100</v>
      </c>
      <c r="EP19">
        <v>-0.373</v>
      </c>
      <c r="EQ19">
        <v>9.4E-2</v>
      </c>
      <c r="ER19">
        <v>2</v>
      </c>
      <c r="ES19">
        <v>509.96199999999999</v>
      </c>
      <c r="ET19">
        <v>500.19099999999997</v>
      </c>
      <c r="EU19">
        <v>19.323599999999999</v>
      </c>
      <c r="EV19">
        <v>30.440999999999999</v>
      </c>
      <c r="EW19">
        <v>29.999199999999998</v>
      </c>
      <c r="EX19">
        <v>30.587399999999999</v>
      </c>
      <c r="EY19">
        <v>30.6005</v>
      </c>
      <c r="EZ19">
        <v>12.768700000000001</v>
      </c>
      <c r="FA19">
        <v>49.8247</v>
      </c>
      <c r="FB19">
        <v>0</v>
      </c>
      <c r="FC19">
        <v>19.361899999999999</v>
      </c>
      <c r="FD19">
        <v>200</v>
      </c>
      <c r="FE19">
        <v>15.0097</v>
      </c>
      <c r="FF19">
        <v>101.279</v>
      </c>
      <c r="FG19">
        <v>101.789</v>
      </c>
    </row>
    <row r="20" spans="1:163" x14ac:dyDescent="0.35">
      <c r="A20">
        <v>4</v>
      </c>
      <c r="B20">
        <v>1567876385.0999999</v>
      </c>
      <c r="C20">
        <v>346</v>
      </c>
      <c r="D20" t="s">
        <v>289</v>
      </c>
      <c r="E20" t="s">
        <v>290</v>
      </c>
      <c r="G20">
        <v>1567876385.0999999</v>
      </c>
      <c r="H20">
        <f t="shared" si="0"/>
        <v>1.9993386519457589E-3</v>
      </c>
      <c r="I20">
        <f t="shared" si="1"/>
        <v>1.723375002797632</v>
      </c>
      <c r="J20">
        <f t="shared" si="2"/>
        <v>97.695099999999996</v>
      </c>
      <c r="K20">
        <f t="shared" si="3"/>
        <v>69.038198107632695</v>
      </c>
      <c r="L20">
        <f t="shared" si="4"/>
        <v>6.861319709605076</v>
      </c>
      <c r="M20">
        <f t="shared" si="5"/>
        <v>9.7093686326632298</v>
      </c>
      <c r="N20">
        <f t="shared" si="6"/>
        <v>0.10792964207865786</v>
      </c>
      <c r="O20">
        <f t="shared" si="7"/>
        <v>2.2512163795890752</v>
      </c>
      <c r="P20">
        <f t="shared" si="8"/>
        <v>0.10513521884174794</v>
      </c>
      <c r="Q20">
        <f t="shared" si="9"/>
        <v>6.5954553413798564E-2</v>
      </c>
      <c r="R20">
        <f t="shared" si="10"/>
        <v>281.5567034159173</v>
      </c>
      <c r="S20">
        <f t="shared" si="11"/>
        <v>26.207547791151732</v>
      </c>
      <c r="T20">
        <f t="shared" si="12"/>
        <v>26.992000000000001</v>
      </c>
      <c r="U20">
        <f t="shared" si="13"/>
        <v>3.5774783343479237</v>
      </c>
      <c r="V20">
        <f t="shared" si="14"/>
        <v>55.480292536359499</v>
      </c>
      <c r="W20">
        <f t="shared" si="15"/>
        <v>1.7380442784221299</v>
      </c>
      <c r="X20">
        <f t="shared" si="16"/>
        <v>3.1327237095642335</v>
      </c>
      <c r="Y20">
        <f t="shared" si="17"/>
        <v>1.8394340559257938</v>
      </c>
      <c r="Z20">
        <f t="shared" si="18"/>
        <v>-88.170834550807967</v>
      </c>
      <c r="AA20">
        <f t="shared" si="19"/>
        <v>-272.02115135304359</v>
      </c>
      <c r="AB20">
        <f t="shared" si="20"/>
        <v>-25.784315350739096</v>
      </c>
      <c r="AC20">
        <f t="shared" si="21"/>
        <v>-104.41959783867335</v>
      </c>
      <c r="AD20">
        <v>-4.1216502023089602E-2</v>
      </c>
      <c r="AE20">
        <v>4.6269134284808403E-2</v>
      </c>
      <c r="AF20">
        <v>3.4573956467114502</v>
      </c>
      <c r="AG20">
        <v>0</v>
      </c>
      <c r="AH20">
        <v>0</v>
      </c>
      <c r="AI20">
        <f t="shared" si="22"/>
        <v>1</v>
      </c>
      <c r="AJ20">
        <f t="shared" si="23"/>
        <v>0</v>
      </c>
      <c r="AK20">
        <f t="shared" si="24"/>
        <v>52952.186369340518</v>
      </c>
      <c r="AL20" t="s">
        <v>268</v>
      </c>
      <c r="AM20">
        <v>631.89076923076902</v>
      </c>
      <c r="AN20">
        <v>3514.37</v>
      </c>
      <c r="AO20">
        <f t="shared" si="25"/>
        <v>2882.479230769231</v>
      </c>
      <c r="AP20">
        <f t="shared" si="26"/>
        <v>0.82019799587670938</v>
      </c>
      <c r="AQ20">
        <v>-1.4218795309761501</v>
      </c>
      <c r="AR20" t="s">
        <v>291</v>
      </c>
      <c r="AS20">
        <v>773.95469230769197</v>
      </c>
      <c r="AT20">
        <v>879.31</v>
      </c>
      <c r="AU20">
        <f t="shared" si="27"/>
        <v>0.11981588710728641</v>
      </c>
      <c r="AV20">
        <v>0.5</v>
      </c>
      <c r="AW20">
        <f t="shared" si="28"/>
        <v>1471.2210000963348</v>
      </c>
      <c r="AX20">
        <f t="shared" si="29"/>
        <v>1.723375002797632</v>
      </c>
      <c r="AY20">
        <f t="shared" si="30"/>
        <v>88.137824628705729</v>
      </c>
      <c r="AZ20">
        <f t="shared" si="31"/>
        <v>0.3737589701015569</v>
      </c>
      <c r="BA20">
        <f t="shared" si="32"/>
        <v>2.1378532073480683E-3</v>
      </c>
      <c r="BB20">
        <f t="shared" si="33"/>
        <v>2.9967360771514029</v>
      </c>
      <c r="BC20" t="s">
        <v>292</v>
      </c>
      <c r="BD20">
        <v>550.66</v>
      </c>
      <c r="BE20">
        <f t="shared" si="34"/>
        <v>328.65</v>
      </c>
      <c r="BF20">
        <f t="shared" si="35"/>
        <v>0.32056993060188038</v>
      </c>
      <c r="BG20">
        <f t="shared" si="36"/>
        <v>0.8891085834983854</v>
      </c>
      <c r="BH20">
        <f t="shared" si="37"/>
        <v>0.42581697212765712</v>
      </c>
      <c r="BI20">
        <f t="shared" si="38"/>
        <v>0.91416443590360108</v>
      </c>
      <c r="BJ20">
        <f t="shared" si="39"/>
        <v>1750.02</v>
      </c>
      <c r="BK20">
        <f t="shared" si="40"/>
        <v>1471.2210000963348</v>
      </c>
      <c r="BL20">
        <f t="shared" si="41"/>
        <v>0.84068810647668868</v>
      </c>
      <c r="BM20">
        <f t="shared" si="42"/>
        <v>0.19137621295337756</v>
      </c>
      <c r="BN20">
        <v>6</v>
      </c>
      <c r="BO20">
        <v>0.5</v>
      </c>
      <c r="BP20" t="s">
        <v>271</v>
      </c>
      <c r="BQ20">
        <v>1567876385.0999999</v>
      </c>
      <c r="BR20">
        <v>97.695099999999996</v>
      </c>
      <c r="BS20">
        <v>99.997200000000007</v>
      </c>
      <c r="BT20">
        <v>17.488099999999999</v>
      </c>
      <c r="BU20">
        <v>15.1312</v>
      </c>
      <c r="BV20">
        <v>500.07400000000001</v>
      </c>
      <c r="BW20">
        <v>99.284400000000005</v>
      </c>
      <c r="BX20">
        <v>9.9997299999999997E-2</v>
      </c>
      <c r="BY20">
        <v>24.750699999999998</v>
      </c>
      <c r="BZ20">
        <v>26.992000000000001</v>
      </c>
      <c r="CA20">
        <v>999.9</v>
      </c>
      <c r="CB20">
        <v>10011.200000000001</v>
      </c>
      <c r="CC20">
        <v>0</v>
      </c>
      <c r="CD20">
        <v>1876.06</v>
      </c>
      <c r="CE20">
        <v>1750.02</v>
      </c>
      <c r="CF20">
        <v>0.97699899999999995</v>
      </c>
      <c r="CG20">
        <v>2.3001299999999999E-2</v>
      </c>
      <c r="CH20">
        <v>0</v>
      </c>
      <c r="CI20">
        <v>774.22199999999998</v>
      </c>
      <c r="CJ20">
        <v>4.99986</v>
      </c>
      <c r="CK20">
        <v>15979.4</v>
      </c>
      <c r="CL20">
        <v>14220.9</v>
      </c>
      <c r="CM20">
        <v>43.125</v>
      </c>
      <c r="CN20">
        <v>45.686999999999998</v>
      </c>
      <c r="CO20">
        <v>44.186999999999998</v>
      </c>
      <c r="CP20">
        <v>44.311999999999998</v>
      </c>
      <c r="CQ20">
        <v>44.936999999999998</v>
      </c>
      <c r="CR20">
        <v>1704.88</v>
      </c>
      <c r="CS20">
        <v>40.14</v>
      </c>
      <c r="CT20">
        <v>0</v>
      </c>
      <c r="CU20">
        <v>110.200000047684</v>
      </c>
      <c r="CV20">
        <v>773.95469230769197</v>
      </c>
      <c r="CW20">
        <v>1.05688888343119</v>
      </c>
      <c r="CX20">
        <v>44.868376071417103</v>
      </c>
      <c r="CY20">
        <v>15975.569230769201</v>
      </c>
      <c r="CZ20">
        <v>15</v>
      </c>
      <c r="DA20">
        <v>1567876340.5999999</v>
      </c>
      <c r="DB20" t="s">
        <v>293</v>
      </c>
      <c r="DC20">
        <v>51</v>
      </c>
      <c r="DD20">
        <v>-0.311</v>
      </c>
      <c r="DE20">
        <v>9.2999999999999999E-2</v>
      </c>
      <c r="DF20">
        <v>100</v>
      </c>
      <c r="DG20">
        <v>15</v>
      </c>
      <c r="DH20">
        <v>0.22</v>
      </c>
      <c r="DI20">
        <v>0.03</v>
      </c>
      <c r="DJ20">
        <v>1.72681417825965</v>
      </c>
      <c r="DK20">
        <v>0.12769243163194</v>
      </c>
      <c r="DL20">
        <v>7.6464209418254603E-2</v>
      </c>
      <c r="DM20">
        <v>1</v>
      </c>
      <c r="DN20">
        <v>0.102701421511166</v>
      </c>
      <c r="DO20">
        <v>1.5545464170822299E-2</v>
      </c>
      <c r="DP20">
        <v>4.5973311203586402E-3</v>
      </c>
      <c r="DQ20">
        <v>1</v>
      </c>
      <c r="DR20">
        <v>2</v>
      </c>
      <c r="DS20">
        <v>2</v>
      </c>
      <c r="DT20" t="s">
        <v>273</v>
      </c>
      <c r="DU20">
        <v>1.86676</v>
      </c>
      <c r="DV20">
        <v>1.8632500000000001</v>
      </c>
      <c r="DW20">
        <v>1.8689</v>
      </c>
      <c r="DX20">
        <v>1.8668899999999999</v>
      </c>
      <c r="DY20">
        <v>1.8715200000000001</v>
      </c>
      <c r="DZ20">
        <v>1.8640099999999999</v>
      </c>
      <c r="EA20">
        <v>1.86557</v>
      </c>
      <c r="EB20">
        <v>1.86554</v>
      </c>
      <c r="EC20" t="s">
        <v>274</v>
      </c>
      <c r="ED20" t="s">
        <v>19</v>
      </c>
      <c r="EE20" t="s">
        <v>19</v>
      </c>
      <c r="EF20" t="s">
        <v>19</v>
      </c>
      <c r="EG20" t="s">
        <v>275</v>
      </c>
      <c r="EH20" t="s">
        <v>276</v>
      </c>
      <c r="EI20" t="s">
        <v>277</v>
      </c>
      <c r="EJ20" t="s">
        <v>277</v>
      </c>
      <c r="EK20" t="s">
        <v>277</v>
      </c>
      <c r="EL20" t="s">
        <v>277</v>
      </c>
      <c r="EM20">
        <v>0</v>
      </c>
      <c r="EN20">
        <v>100</v>
      </c>
      <c r="EO20">
        <v>100</v>
      </c>
      <c r="EP20">
        <v>-0.311</v>
      </c>
      <c r="EQ20">
        <v>9.2999999999999999E-2</v>
      </c>
      <c r="ER20">
        <v>2</v>
      </c>
      <c r="ES20">
        <v>509.9</v>
      </c>
      <c r="ET20">
        <v>499.96199999999999</v>
      </c>
      <c r="EU20">
        <v>19.041</v>
      </c>
      <c r="EV20">
        <v>30.255099999999999</v>
      </c>
      <c r="EW20">
        <v>29.999300000000002</v>
      </c>
      <c r="EX20">
        <v>30.4086</v>
      </c>
      <c r="EY20">
        <v>30.426300000000001</v>
      </c>
      <c r="EZ20">
        <v>8.0098099999999999</v>
      </c>
      <c r="FA20">
        <v>49.395899999999997</v>
      </c>
      <c r="FB20">
        <v>0</v>
      </c>
      <c r="FC20">
        <v>19.043900000000001</v>
      </c>
      <c r="FD20">
        <v>100</v>
      </c>
      <c r="FE20">
        <v>14.9895</v>
      </c>
      <c r="FF20">
        <v>101.31100000000001</v>
      </c>
      <c r="FG20">
        <v>101.82899999999999</v>
      </c>
    </row>
    <row r="21" spans="1:163" x14ac:dyDescent="0.35">
      <c r="A21">
        <v>5</v>
      </c>
      <c r="B21">
        <v>1567876497.0999999</v>
      </c>
      <c r="C21">
        <v>458</v>
      </c>
      <c r="D21" t="s">
        <v>294</v>
      </c>
      <c r="E21" t="s">
        <v>295</v>
      </c>
      <c r="G21">
        <v>1567876497.0999999</v>
      </c>
      <c r="H21">
        <f t="shared" si="0"/>
        <v>2.1939952948169194E-3</v>
      </c>
      <c r="I21">
        <f t="shared" si="1"/>
        <v>-1.1353178326798559</v>
      </c>
      <c r="J21">
        <f t="shared" si="2"/>
        <v>16.284199999999998</v>
      </c>
      <c r="K21">
        <f t="shared" si="3"/>
        <v>31.240972709004193</v>
      </c>
      <c r="L21">
        <f t="shared" si="4"/>
        <v>3.1050084117557635</v>
      </c>
      <c r="M21">
        <f t="shared" si="5"/>
        <v>1.6184700281159998</v>
      </c>
      <c r="N21">
        <f t="shared" si="6"/>
        <v>0.11877453471988268</v>
      </c>
      <c r="O21">
        <f t="shared" si="7"/>
        <v>2.2522485407266699</v>
      </c>
      <c r="P21">
        <f t="shared" si="8"/>
        <v>0.11540127796236903</v>
      </c>
      <c r="Q21">
        <f t="shared" si="9"/>
        <v>7.242089260160417E-2</v>
      </c>
      <c r="R21">
        <f t="shared" si="10"/>
        <v>281.59444536309155</v>
      </c>
      <c r="S21">
        <f t="shared" si="11"/>
        <v>26.19571555674111</v>
      </c>
      <c r="T21">
        <f t="shared" si="12"/>
        <v>26.980499999999999</v>
      </c>
      <c r="U21">
        <f t="shared" si="13"/>
        <v>3.5750625895427706</v>
      </c>
      <c r="V21">
        <f t="shared" si="14"/>
        <v>55.238547576949571</v>
      </c>
      <c r="W21">
        <f t="shared" si="15"/>
        <v>1.73597761917</v>
      </c>
      <c r="X21">
        <f t="shared" si="16"/>
        <v>3.1426923684981247</v>
      </c>
      <c r="Y21">
        <f t="shared" si="17"/>
        <v>1.8390849703727705</v>
      </c>
      <c r="Z21">
        <f t="shared" si="18"/>
        <v>-96.755192501426151</v>
      </c>
      <c r="AA21">
        <f t="shared" si="19"/>
        <v>-264.2897878949766</v>
      </c>
      <c r="AB21">
        <f t="shared" si="20"/>
        <v>-25.04521583760749</v>
      </c>
      <c r="AC21">
        <f t="shared" si="21"/>
        <v>-104.4957508709187</v>
      </c>
      <c r="AD21">
        <v>-4.1244308655921103E-2</v>
      </c>
      <c r="AE21">
        <v>4.63003496661566E-2</v>
      </c>
      <c r="AF21">
        <v>3.4592415543428898</v>
      </c>
      <c r="AG21">
        <v>0</v>
      </c>
      <c r="AH21">
        <v>0</v>
      </c>
      <c r="AI21">
        <f t="shared" si="22"/>
        <v>1</v>
      </c>
      <c r="AJ21">
        <f t="shared" si="23"/>
        <v>0</v>
      </c>
      <c r="AK21">
        <f t="shared" si="24"/>
        <v>52977.070925439592</v>
      </c>
      <c r="AL21" t="s">
        <v>268</v>
      </c>
      <c r="AM21">
        <v>631.89076923076902</v>
      </c>
      <c r="AN21">
        <v>3514.37</v>
      </c>
      <c r="AO21">
        <f t="shared" si="25"/>
        <v>2882.479230769231</v>
      </c>
      <c r="AP21">
        <f t="shared" si="26"/>
        <v>0.82019799587670938</v>
      </c>
      <c r="AQ21">
        <v>-1.4218795309761501</v>
      </c>
      <c r="AR21" t="s">
        <v>296</v>
      </c>
      <c r="AS21">
        <v>782.01</v>
      </c>
      <c r="AT21">
        <v>868.42200000000003</v>
      </c>
      <c r="AU21">
        <f t="shared" si="27"/>
        <v>9.950461872223415E-2</v>
      </c>
      <c r="AV21">
        <v>0.5</v>
      </c>
      <c r="AW21">
        <f t="shared" si="28"/>
        <v>1471.4223000962975</v>
      </c>
      <c r="AX21">
        <f t="shared" si="29"/>
        <v>-1.1353178326798559</v>
      </c>
      <c r="AY21">
        <f t="shared" si="30"/>
        <v>73.206657475237435</v>
      </c>
      <c r="AZ21">
        <f t="shared" si="31"/>
        <v>0.3595510017019376</v>
      </c>
      <c r="BA21">
        <f t="shared" si="32"/>
        <v>1.9475149878966772E-4</v>
      </c>
      <c r="BB21">
        <f t="shared" si="33"/>
        <v>3.0468458882893339</v>
      </c>
      <c r="BC21" t="s">
        <v>297</v>
      </c>
      <c r="BD21">
        <v>556.17999999999995</v>
      </c>
      <c r="BE21">
        <f t="shared" si="34"/>
        <v>312.24200000000008</v>
      </c>
      <c r="BF21">
        <f t="shared" si="35"/>
        <v>0.27674688222596577</v>
      </c>
      <c r="BG21">
        <f t="shared" si="36"/>
        <v>0.89444829439623552</v>
      </c>
      <c r="BH21">
        <f t="shared" si="37"/>
        <v>0.3653301922075014</v>
      </c>
      <c r="BI21">
        <f t="shared" si="38"/>
        <v>0.9179417397897055</v>
      </c>
      <c r="BJ21">
        <f t="shared" si="39"/>
        <v>1750.26</v>
      </c>
      <c r="BK21">
        <f t="shared" si="40"/>
        <v>1471.4223000962975</v>
      </c>
      <c r="BL21">
        <f t="shared" si="41"/>
        <v>0.84068784071869185</v>
      </c>
      <c r="BM21">
        <f t="shared" si="42"/>
        <v>0.19137568143738379</v>
      </c>
      <c r="BN21">
        <v>6</v>
      </c>
      <c r="BO21">
        <v>0.5</v>
      </c>
      <c r="BP21" t="s">
        <v>271</v>
      </c>
      <c r="BQ21">
        <v>1567876497.0999999</v>
      </c>
      <c r="BR21">
        <v>16.284199999999998</v>
      </c>
      <c r="BS21">
        <v>14.9649</v>
      </c>
      <c r="BT21">
        <v>17.4665</v>
      </c>
      <c r="BU21">
        <v>14.880100000000001</v>
      </c>
      <c r="BV21">
        <v>500.07900000000001</v>
      </c>
      <c r="BW21">
        <v>99.288899999999998</v>
      </c>
      <c r="BX21">
        <v>0.10008</v>
      </c>
      <c r="BY21">
        <v>24.803899999999999</v>
      </c>
      <c r="BZ21">
        <v>26.980499999999999</v>
      </c>
      <c r="CA21">
        <v>999.9</v>
      </c>
      <c r="CB21">
        <v>10017.5</v>
      </c>
      <c r="CC21">
        <v>0</v>
      </c>
      <c r="CD21">
        <v>1876.33</v>
      </c>
      <c r="CE21">
        <v>1750.26</v>
      </c>
      <c r="CF21">
        <v>0.97700699999999996</v>
      </c>
      <c r="CG21">
        <v>2.2993199999999998E-2</v>
      </c>
      <c r="CH21">
        <v>0</v>
      </c>
      <c r="CI21">
        <v>781.99400000000003</v>
      </c>
      <c r="CJ21">
        <v>4.99986</v>
      </c>
      <c r="CK21">
        <v>16123</v>
      </c>
      <c r="CL21">
        <v>14222.9</v>
      </c>
      <c r="CM21">
        <v>43.25</v>
      </c>
      <c r="CN21">
        <v>45.875</v>
      </c>
      <c r="CO21">
        <v>44.25</v>
      </c>
      <c r="CP21">
        <v>44.5</v>
      </c>
      <c r="CQ21">
        <v>45</v>
      </c>
      <c r="CR21">
        <v>1705.13</v>
      </c>
      <c r="CS21">
        <v>40.130000000000003</v>
      </c>
      <c r="CT21">
        <v>0</v>
      </c>
      <c r="CU21">
        <v>111.59999990463299</v>
      </c>
      <c r="CV21">
        <v>782.01</v>
      </c>
      <c r="CW21">
        <v>0.86769230840929101</v>
      </c>
      <c r="CX21">
        <v>5.4666663484750497</v>
      </c>
      <c r="CY21">
        <v>16116.3807692308</v>
      </c>
      <c r="CZ21">
        <v>15</v>
      </c>
      <c r="DA21">
        <v>1567876454.0999999</v>
      </c>
      <c r="DB21" t="s">
        <v>298</v>
      </c>
      <c r="DC21">
        <v>52</v>
      </c>
      <c r="DD21">
        <v>-0.49199999999999999</v>
      </c>
      <c r="DE21">
        <v>9.2999999999999999E-2</v>
      </c>
      <c r="DF21">
        <v>15</v>
      </c>
      <c r="DG21">
        <v>15</v>
      </c>
      <c r="DH21">
        <v>0.21</v>
      </c>
      <c r="DI21">
        <v>0.03</v>
      </c>
      <c r="DJ21">
        <v>-1.05424258337104</v>
      </c>
      <c r="DK21">
        <v>-0.24714590168860801</v>
      </c>
      <c r="DL21">
        <v>0.120805030244326</v>
      </c>
      <c r="DM21">
        <v>1</v>
      </c>
      <c r="DN21">
        <v>0.11065171088098701</v>
      </c>
      <c r="DO21">
        <v>5.07459925538363E-2</v>
      </c>
      <c r="DP21">
        <v>1.48010348925505E-2</v>
      </c>
      <c r="DQ21">
        <v>1</v>
      </c>
      <c r="DR21">
        <v>2</v>
      </c>
      <c r="DS21">
        <v>2</v>
      </c>
      <c r="DT21" t="s">
        <v>273</v>
      </c>
      <c r="DU21">
        <v>1.86676</v>
      </c>
      <c r="DV21">
        <v>1.8632500000000001</v>
      </c>
      <c r="DW21">
        <v>1.8689100000000001</v>
      </c>
      <c r="DX21">
        <v>1.86686</v>
      </c>
      <c r="DY21">
        <v>1.87157</v>
      </c>
      <c r="DZ21">
        <v>1.8640099999999999</v>
      </c>
      <c r="EA21">
        <v>1.86557</v>
      </c>
      <c r="EB21">
        <v>1.86554</v>
      </c>
      <c r="EC21" t="s">
        <v>274</v>
      </c>
      <c r="ED21" t="s">
        <v>19</v>
      </c>
      <c r="EE21" t="s">
        <v>19</v>
      </c>
      <c r="EF21" t="s">
        <v>19</v>
      </c>
      <c r="EG21" t="s">
        <v>275</v>
      </c>
      <c r="EH21" t="s">
        <v>276</v>
      </c>
      <c r="EI21" t="s">
        <v>277</v>
      </c>
      <c r="EJ21" t="s">
        <v>277</v>
      </c>
      <c r="EK21" t="s">
        <v>277</v>
      </c>
      <c r="EL21" t="s">
        <v>277</v>
      </c>
      <c r="EM21">
        <v>0</v>
      </c>
      <c r="EN21">
        <v>100</v>
      </c>
      <c r="EO21">
        <v>100</v>
      </c>
      <c r="EP21">
        <v>-0.49199999999999999</v>
      </c>
      <c r="EQ21">
        <v>9.2999999999999999E-2</v>
      </c>
      <c r="ER21">
        <v>2</v>
      </c>
      <c r="ES21">
        <v>509.76299999999998</v>
      </c>
      <c r="ET21">
        <v>499.12900000000002</v>
      </c>
      <c r="EU21">
        <v>19.3874</v>
      </c>
      <c r="EV21">
        <v>30.150500000000001</v>
      </c>
      <c r="EW21">
        <v>29.9999</v>
      </c>
      <c r="EX21">
        <v>30.281099999999999</v>
      </c>
      <c r="EY21">
        <v>30.298400000000001</v>
      </c>
      <c r="EZ21">
        <v>3.9451700000000001</v>
      </c>
      <c r="FA21">
        <v>50.005400000000002</v>
      </c>
      <c r="FB21">
        <v>0</v>
      </c>
      <c r="FC21">
        <v>19.3811</v>
      </c>
      <c r="FD21">
        <v>15</v>
      </c>
      <c r="FE21">
        <v>14.8857</v>
      </c>
      <c r="FF21">
        <v>101.33</v>
      </c>
      <c r="FG21">
        <v>101.851</v>
      </c>
    </row>
    <row r="22" spans="1:163" x14ac:dyDescent="0.35">
      <c r="A22">
        <v>6</v>
      </c>
      <c r="B22">
        <v>1567876617.5999999</v>
      </c>
      <c r="C22">
        <v>578.5</v>
      </c>
      <c r="D22" t="s">
        <v>299</v>
      </c>
      <c r="E22" t="s">
        <v>300</v>
      </c>
      <c r="G22">
        <v>1567876617.5999999</v>
      </c>
      <c r="H22">
        <f t="shared" si="0"/>
        <v>2.4303473152333128E-3</v>
      </c>
      <c r="I22">
        <f t="shared" si="1"/>
        <v>12.997196112399887</v>
      </c>
      <c r="J22">
        <f t="shared" si="2"/>
        <v>383.34800000000001</v>
      </c>
      <c r="K22">
        <f t="shared" si="3"/>
        <v>214.94408786325681</v>
      </c>
      <c r="L22">
        <f t="shared" si="4"/>
        <v>21.362003099235462</v>
      </c>
      <c r="M22">
        <f t="shared" si="5"/>
        <v>38.098657401991211</v>
      </c>
      <c r="N22">
        <f t="shared" si="6"/>
        <v>0.13407965530377539</v>
      </c>
      <c r="O22">
        <f t="shared" si="7"/>
        <v>2.2511185010758124</v>
      </c>
      <c r="P22">
        <f t="shared" si="8"/>
        <v>0.12979583419692889</v>
      </c>
      <c r="Q22">
        <f t="shared" si="9"/>
        <v>8.1495879299928492E-2</v>
      </c>
      <c r="R22">
        <f t="shared" si="10"/>
        <v>281.52422177959147</v>
      </c>
      <c r="S22">
        <f t="shared" si="11"/>
        <v>26.362625745514709</v>
      </c>
      <c r="T22">
        <f t="shared" si="12"/>
        <v>26.975300000000001</v>
      </c>
      <c r="U22">
        <f t="shared" si="13"/>
        <v>3.5739707203636861</v>
      </c>
      <c r="V22">
        <f t="shared" si="14"/>
        <v>55.283531643120789</v>
      </c>
      <c r="W22">
        <f t="shared" si="15"/>
        <v>1.7630323957562399</v>
      </c>
      <c r="X22">
        <f t="shared" si="16"/>
        <v>3.1890733883236329</v>
      </c>
      <c r="Y22">
        <f t="shared" si="17"/>
        <v>1.8109383246074462</v>
      </c>
      <c r="Z22">
        <f t="shared" si="18"/>
        <v>-107.17831660178909</v>
      </c>
      <c r="AA22">
        <f t="shared" si="19"/>
        <v>-233.71951855325275</v>
      </c>
      <c r="AB22">
        <f t="shared" si="20"/>
        <v>-22.186047255476495</v>
      </c>
      <c r="AC22">
        <f t="shared" si="21"/>
        <v>-81.559660630926913</v>
      </c>
      <c r="AD22">
        <v>-4.1213865755278002E-2</v>
      </c>
      <c r="AE22">
        <v>4.6266174843240103E-2</v>
      </c>
      <c r="AF22">
        <v>3.4572206192063799</v>
      </c>
      <c r="AG22">
        <v>0</v>
      </c>
      <c r="AH22">
        <v>0</v>
      </c>
      <c r="AI22">
        <f t="shared" si="22"/>
        <v>1</v>
      </c>
      <c r="AJ22">
        <f t="shared" si="23"/>
        <v>0</v>
      </c>
      <c r="AK22">
        <f t="shared" si="24"/>
        <v>52895.847753325215</v>
      </c>
      <c r="AL22" t="s">
        <v>268</v>
      </c>
      <c r="AM22">
        <v>631.89076923076902</v>
      </c>
      <c r="AN22">
        <v>3514.37</v>
      </c>
      <c r="AO22">
        <f t="shared" si="25"/>
        <v>2882.479230769231</v>
      </c>
      <c r="AP22">
        <f t="shared" si="26"/>
        <v>0.82019799587670938</v>
      </c>
      <c r="AQ22">
        <v>-1.4218795309761501</v>
      </c>
      <c r="AR22" t="s">
        <v>301</v>
      </c>
      <c r="AS22">
        <v>754.26919230769204</v>
      </c>
      <c r="AT22">
        <v>912.05399999999997</v>
      </c>
      <c r="AU22">
        <f t="shared" si="27"/>
        <v>0.17299941417098985</v>
      </c>
      <c r="AV22">
        <v>0.5</v>
      </c>
      <c r="AW22">
        <f t="shared" si="28"/>
        <v>1471.0527000963216</v>
      </c>
      <c r="AX22">
        <f t="shared" si="29"/>
        <v>12.997196112399887</v>
      </c>
      <c r="AY22">
        <f t="shared" si="30"/>
        <v>127.24562766565823</v>
      </c>
      <c r="AZ22">
        <f t="shared" si="31"/>
        <v>0.41531970694717635</v>
      </c>
      <c r="BA22">
        <f t="shared" si="32"/>
        <v>9.8018756516553805E-3</v>
      </c>
      <c r="BB22">
        <f t="shared" si="33"/>
        <v>2.8532477243671974</v>
      </c>
      <c r="BC22" t="s">
        <v>302</v>
      </c>
      <c r="BD22">
        <v>533.26</v>
      </c>
      <c r="BE22">
        <f t="shared" si="34"/>
        <v>378.79399999999998</v>
      </c>
      <c r="BF22">
        <f t="shared" si="35"/>
        <v>0.41654516093789223</v>
      </c>
      <c r="BG22">
        <f t="shared" si="36"/>
        <v>0.87293524895089414</v>
      </c>
      <c r="BH22">
        <f t="shared" si="37"/>
        <v>0.56318884979690464</v>
      </c>
      <c r="BI22">
        <f t="shared" si="38"/>
        <v>0.90280477035927664</v>
      </c>
      <c r="BJ22">
        <f t="shared" si="39"/>
        <v>1749.82</v>
      </c>
      <c r="BK22">
        <f t="shared" si="40"/>
        <v>1471.0527000963216</v>
      </c>
      <c r="BL22">
        <f t="shared" si="41"/>
        <v>0.84068801367930512</v>
      </c>
      <c r="BM22">
        <f t="shared" si="42"/>
        <v>0.19137602735861051</v>
      </c>
      <c r="BN22">
        <v>6</v>
      </c>
      <c r="BO22">
        <v>0.5</v>
      </c>
      <c r="BP22" t="s">
        <v>271</v>
      </c>
      <c r="BQ22">
        <v>1567876617.5999999</v>
      </c>
      <c r="BR22">
        <v>383.34800000000001</v>
      </c>
      <c r="BS22">
        <v>400.06099999999998</v>
      </c>
      <c r="BT22">
        <v>17.739599999999999</v>
      </c>
      <c r="BU22">
        <v>14.8752</v>
      </c>
      <c r="BV22">
        <v>500.04899999999998</v>
      </c>
      <c r="BW22">
        <v>99.284000000000006</v>
      </c>
      <c r="BX22">
        <v>9.9999400000000002E-2</v>
      </c>
      <c r="BY22">
        <v>25.049499999999998</v>
      </c>
      <c r="BZ22">
        <v>26.975300000000001</v>
      </c>
      <c r="CA22">
        <v>999.9</v>
      </c>
      <c r="CB22">
        <v>10010.6</v>
      </c>
      <c r="CC22">
        <v>0</v>
      </c>
      <c r="CD22">
        <v>1879.78</v>
      </c>
      <c r="CE22">
        <v>1749.82</v>
      </c>
      <c r="CF22">
        <v>0.97700299999999995</v>
      </c>
      <c r="CG22">
        <v>2.2997299999999998E-2</v>
      </c>
      <c r="CH22">
        <v>0</v>
      </c>
      <c r="CI22">
        <v>754.05600000000004</v>
      </c>
      <c r="CJ22">
        <v>4.99986</v>
      </c>
      <c r="CK22">
        <v>15673.1</v>
      </c>
      <c r="CL22">
        <v>14219.3</v>
      </c>
      <c r="CM22">
        <v>43.375</v>
      </c>
      <c r="CN22">
        <v>46.061999999999998</v>
      </c>
      <c r="CO22">
        <v>44.436999999999998</v>
      </c>
      <c r="CP22">
        <v>44.75</v>
      </c>
      <c r="CQ22">
        <v>45.186999999999998</v>
      </c>
      <c r="CR22">
        <v>1704.69</v>
      </c>
      <c r="CS22">
        <v>40.130000000000003</v>
      </c>
      <c r="CT22">
        <v>0</v>
      </c>
      <c r="CU22">
        <v>120</v>
      </c>
      <c r="CV22">
        <v>754.26919230769204</v>
      </c>
      <c r="CW22">
        <v>-1.6349059817531499</v>
      </c>
      <c r="CX22">
        <v>5.2854698824601698</v>
      </c>
      <c r="CY22">
        <v>15670.6769230769</v>
      </c>
      <c r="CZ22">
        <v>15</v>
      </c>
      <c r="DA22">
        <v>1567876563.0999999</v>
      </c>
      <c r="DB22" t="s">
        <v>303</v>
      </c>
      <c r="DC22">
        <v>53</v>
      </c>
      <c r="DD22">
        <v>-0.26200000000000001</v>
      </c>
      <c r="DE22">
        <v>8.6999999999999994E-2</v>
      </c>
      <c r="DF22">
        <v>400</v>
      </c>
      <c r="DG22">
        <v>15</v>
      </c>
      <c r="DH22">
        <v>0.1</v>
      </c>
      <c r="DI22">
        <v>0.04</v>
      </c>
      <c r="DJ22">
        <v>12.8091675313091</v>
      </c>
      <c r="DK22">
        <v>0.469281453372343</v>
      </c>
      <c r="DL22">
        <v>9.77709297914858E-2</v>
      </c>
      <c r="DM22">
        <v>0</v>
      </c>
      <c r="DN22">
        <v>0.13002103292317799</v>
      </c>
      <c r="DO22">
        <v>1.31660325275774E-2</v>
      </c>
      <c r="DP22">
        <v>2.7851116403884999E-3</v>
      </c>
      <c r="DQ22">
        <v>1</v>
      </c>
      <c r="DR22">
        <v>1</v>
      </c>
      <c r="DS22">
        <v>2</v>
      </c>
      <c r="DT22" t="s">
        <v>288</v>
      </c>
      <c r="DU22">
        <v>1.86676</v>
      </c>
      <c r="DV22">
        <v>1.8632500000000001</v>
      </c>
      <c r="DW22">
        <v>1.8689199999999999</v>
      </c>
      <c r="DX22">
        <v>1.8669100000000001</v>
      </c>
      <c r="DY22">
        <v>1.8715599999999999</v>
      </c>
      <c r="DZ22">
        <v>1.86402</v>
      </c>
      <c r="EA22">
        <v>1.8656200000000001</v>
      </c>
      <c r="EB22">
        <v>1.86554</v>
      </c>
      <c r="EC22" t="s">
        <v>274</v>
      </c>
      <c r="ED22" t="s">
        <v>19</v>
      </c>
      <c r="EE22" t="s">
        <v>19</v>
      </c>
      <c r="EF22" t="s">
        <v>19</v>
      </c>
      <c r="EG22" t="s">
        <v>275</v>
      </c>
      <c r="EH22" t="s">
        <v>276</v>
      </c>
      <c r="EI22" t="s">
        <v>277</v>
      </c>
      <c r="EJ22" t="s">
        <v>277</v>
      </c>
      <c r="EK22" t="s">
        <v>277</v>
      </c>
      <c r="EL22" t="s">
        <v>277</v>
      </c>
      <c r="EM22">
        <v>0</v>
      </c>
      <c r="EN22">
        <v>100</v>
      </c>
      <c r="EO22">
        <v>100</v>
      </c>
      <c r="EP22">
        <v>-0.26200000000000001</v>
      </c>
      <c r="EQ22">
        <v>8.6999999999999994E-2</v>
      </c>
      <c r="ER22">
        <v>2</v>
      </c>
      <c r="ES22">
        <v>509.71899999999999</v>
      </c>
      <c r="ET22">
        <v>499.267</v>
      </c>
      <c r="EU22">
        <v>19.827300000000001</v>
      </c>
      <c r="EV22">
        <v>30.102799999999998</v>
      </c>
      <c r="EW22">
        <v>29.9998</v>
      </c>
      <c r="EX22">
        <v>30.199200000000001</v>
      </c>
      <c r="EY22">
        <v>30.213999999999999</v>
      </c>
      <c r="EZ22">
        <v>21.787700000000001</v>
      </c>
      <c r="FA22">
        <v>50.517099999999999</v>
      </c>
      <c r="FB22">
        <v>0</v>
      </c>
      <c r="FC22">
        <v>19.8415</v>
      </c>
      <c r="FD22">
        <v>400</v>
      </c>
      <c r="FE22">
        <v>14.756600000000001</v>
      </c>
      <c r="FF22">
        <v>101.33799999999999</v>
      </c>
      <c r="FG22">
        <v>101.86199999999999</v>
      </c>
    </row>
    <row r="23" spans="1:163" x14ac:dyDescent="0.35">
      <c r="A23">
        <v>7</v>
      </c>
      <c r="B23">
        <v>1567876720.5999999</v>
      </c>
      <c r="C23">
        <v>681.5</v>
      </c>
      <c r="D23" t="s">
        <v>304</v>
      </c>
      <c r="E23" t="s">
        <v>305</v>
      </c>
      <c r="G23">
        <v>1567876720.5999999</v>
      </c>
      <c r="H23">
        <f t="shared" si="0"/>
        <v>2.6779441853768001E-3</v>
      </c>
      <c r="I23">
        <f t="shared" si="1"/>
        <v>13.631008536346036</v>
      </c>
      <c r="J23">
        <f t="shared" si="2"/>
        <v>382.40300000000002</v>
      </c>
      <c r="K23">
        <f t="shared" si="3"/>
        <v>223.11422589961813</v>
      </c>
      <c r="L23">
        <f t="shared" si="4"/>
        <v>22.173634383701437</v>
      </c>
      <c r="M23">
        <f t="shared" si="5"/>
        <v>38.004140144095999</v>
      </c>
      <c r="N23">
        <f t="shared" si="6"/>
        <v>0.14967614745203259</v>
      </c>
      <c r="O23">
        <f t="shared" si="7"/>
        <v>2.2331682746186097</v>
      </c>
      <c r="P23">
        <f t="shared" si="8"/>
        <v>0.14431792402711216</v>
      </c>
      <c r="Q23">
        <f t="shared" si="9"/>
        <v>9.0664136785726601E-2</v>
      </c>
      <c r="R23">
        <f t="shared" si="10"/>
        <v>281.51248802028067</v>
      </c>
      <c r="S23">
        <f t="shared" si="11"/>
        <v>26.515390460111956</v>
      </c>
      <c r="T23">
        <f t="shared" si="12"/>
        <v>27.007100000000001</v>
      </c>
      <c r="U23">
        <f t="shared" si="13"/>
        <v>3.5806524760972511</v>
      </c>
      <c r="V23">
        <f t="shared" si="14"/>
        <v>55.264013364521361</v>
      </c>
      <c r="W23">
        <f t="shared" si="15"/>
        <v>1.7863197092543999</v>
      </c>
      <c r="X23">
        <f t="shared" si="16"/>
        <v>3.2323380089531999</v>
      </c>
      <c r="Y23">
        <f t="shared" si="17"/>
        <v>1.7943327668428513</v>
      </c>
      <c r="Z23">
        <f t="shared" si="18"/>
        <v>-118.09733857511688</v>
      </c>
      <c r="AA23">
        <f t="shared" si="19"/>
        <v>-208.43911561517032</v>
      </c>
      <c r="AB23">
        <f t="shared" si="20"/>
        <v>-19.971119037034246</v>
      </c>
      <c r="AC23">
        <f t="shared" si="21"/>
        <v>-64.995085207040802</v>
      </c>
      <c r="AD23">
        <v>-4.0732135247787897E-2</v>
      </c>
      <c r="AE23">
        <v>4.5725390146672297E-2</v>
      </c>
      <c r="AF23">
        <v>3.4251728026589401</v>
      </c>
      <c r="AG23">
        <v>0</v>
      </c>
      <c r="AH23">
        <v>0</v>
      </c>
      <c r="AI23">
        <f t="shared" si="22"/>
        <v>1</v>
      </c>
      <c r="AJ23">
        <f t="shared" si="23"/>
        <v>0</v>
      </c>
      <c r="AK23">
        <f t="shared" si="24"/>
        <v>52262.272582587335</v>
      </c>
      <c r="AL23" t="s">
        <v>268</v>
      </c>
      <c r="AM23">
        <v>631.89076923076902</v>
      </c>
      <c r="AN23">
        <v>3514.37</v>
      </c>
      <c r="AO23">
        <f t="shared" si="25"/>
        <v>2882.479230769231</v>
      </c>
      <c r="AP23">
        <f t="shared" si="26"/>
        <v>0.82019799587670938</v>
      </c>
      <c r="AQ23">
        <v>-1.4218795309761501</v>
      </c>
      <c r="AR23" t="s">
        <v>306</v>
      </c>
      <c r="AS23">
        <v>752.14326923076896</v>
      </c>
      <c r="AT23">
        <v>917.40700000000004</v>
      </c>
      <c r="AU23">
        <f t="shared" si="27"/>
        <v>0.18014221688872123</v>
      </c>
      <c r="AV23">
        <v>0.5</v>
      </c>
      <c r="AW23">
        <f t="shared" si="28"/>
        <v>1470.9936000963016</v>
      </c>
      <c r="AX23">
        <f t="shared" si="29"/>
        <v>13.631008536346036</v>
      </c>
      <c r="AY23">
        <f t="shared" si="30"/>
        <v>132.49402407523442</v>
      </c>
      <c r="AZ23">
        <f t="shared" si="31"/>
        <v>0.41927628631567015</v>
      </c>
      <c r="BA23">
        <f t="shared" si="32"/>
        <v>1.0233143139668804E-2</v>
      </c>
      <c r="BB23">
        <f t="shared" si="33"/>
        <v>2.8307643172550456</v>
      </c>
      <c r="BC23" t="s">
        <v>307</v>
      </c>
      <c r="BD23">
        <v>532.76</v>
      </c>
      <c r="BE23">
        <f t="shared" si="34"/>
        <v>384.64700000000005</v>
      </c>
      <c r="BF23">
        <f t="shared" si="35"/>
        <v>0.42965038273853962</v>
      </c>
      <c r="BG23">
        <f t="shared" si="36"/>
        <v>0.87099352363320492</v>
      </c>
      <c r="BH23">
        <f t="shared" si="37"/>
        <v>0.57882429424058124</v>
      </c>
      <c r="BI23">
        <f t="shared" si="38"/>
        <v>0.90094768846156192</v>
      </c>
      <c r="BJ23">
        <f t="shared" si="39"/>
        <v>1749.75</v>
      </c>
      <c r="BK23">
        <f t="shared" si="40"/>
        <v>1470.9936000963016</v>
      </c>
      <c r="BL23">
        <f t="shared" si="41"/>
        <v>0.84068786975070819</v>
      </c>
      <c r="BM23">
        <f t="shared" si="42"/>
        <v>0.19137573950141651</v>
      </c>
      <c r="BN23">
        <v>6</v>
      </c>
      <c r="BO23">
        <v>0.5</v>
      </c>
      <c r="BP23" t="s">
        <v>271</v>
      </c>
      <c r="BQ23">
        <v>1567876720.5999999</v>
      </c>
      <c r="BR23">
        <v>382.40300000000002</v>
      </c>
      <c r="BS23">
        <v>399.98700000000002</v>
      </c>
      <c r="BT23">
        <v>17.9742</v>
      </c>
      <c r="BU23">
        <v>14.8188</v>
      </c>
      <c r="BV23">
        <v>500.05900000000003</v>
      </c>
      <c r="BW23">
        <v>99.282399999999996</v>
      </c>
      <c r="BX23">
        <v>0.100032</v>
      </c>
      <c r="BY23">
        <v>25.2758</v>
      </c>
      <c r="BZ23">
        <v>27.007100000000001</v>
      </c>
      <c r="CA23">
        <v>999.9</v>
      </c>
      <c r="CB23">
        <v>9893.75</v>
      </c>
      <c r="CC23">
        <v>0</v>
      </c>
      <c r="CD23">
        <v>1875.47</v>
      </c>
      <c r="CE23">
        <v>1749.75</v>
      </c>
      <c r="CF23">
        <v>0.97700299999999995</v>
      </c>
      <c r="CG23">
        <v>2.2997299999999998E-2</v>
      </c>
      <c r="CH23">
        <v>0</v>
      </c>
      <c r="CI23">
        <v>752.18100000000004</v>
      </c>
      <c r="CJ23">
        <v>4.99986</v>
      </c>
      <c r="CK23">
        <v>15632</v>
      </c>
      <c r="CL23">
        <v>14218.7</v>
      </c>
      <c r="CM23">
        <v>43.561999999999998</v>
      </c>
      <c r="CN23">
        <v>46.25</v>
      </c>
      <c r="CO23">
        <v>44.561999999999998</v>
      </c>
      <c r="CP23">
        <v>45</v>
      </c>
      <c r="CQ23">
        <v>45.311999999999998</v>
      </c>
      <c r="CR23">
        <v>1704.63</v>
      </c>
      <c r="CS23">
        <v>40.119999999999997</v>
      </c>
      <c r="CT23">
        <v>0</v>
      </c>
      <c r="CU23">
        <v>102.59999990463299</v>
      </c>
      <c r="CV23">
        <v>752.14326923076896</v>
      </c>
      <c r="CW23">
        <v>-0.63647864105728302</v>
      </c>
      <c r="CX23">
        <v>37.716239659631</v>
      </c>
      <c r="CY23">
        <v>15633.3615384615</v>
      </c>
      <c r="CZ23">
        <v>15</v>
      </c>
      <c r="DA23">
        <v>1567876675.0999999</v>
      </c>
      <c r="DB23" t="s">
        <v>308</v>
      </c>
      <c r="DC23">
        <v>54</v>
      </c>
      <c r="DD23">
        <v>-0.28399999999999997</v>
      </c>
      <c r="DE23">
        <v>8.6999999999999994E-2</v>
      </c>
      <c r="DF23">
        <v>400</v>
      </c>
      <c r="DG23">
        <v>15</v>
      </c>
      <c r="DH23">
        <v>0.1</v>
      </c>
      <c r="DI23">
        <v>0.03</v>
      </c>
      <c r="DJ23">
        <v>13.5967626607067</v>
      </c>
      <c r="DK23">
        <v>0.27258827292205501</v>
      </c>
      <c r="DL23">
        <v>7.7664647616517105E-2</v>
      </c>
      <c r="DM23">
        <v>1</v>
      </c>
      <c r="DN23">
        <v>0.14471268614994101</v>
      </c>
      <c r="DO23">
        <v>1.8541913414244299E-2</v>
      </c>
      <c r="DP23">
        <v>4.0346221240723703E-3</v>
      </c>
      <c r="DQ23">
        <v>1</v>
      </c>
      <c r="DR23">
        <v>2</v>
      </c>
      <c r="DS23">
        <v>2</v>
      </c>
      <c r="DT23" t="s">
        <v>273</v>
      </c>
      <c r="DU23">
        <v>1.86676</v>
      </c>
      <c r="DV23">
        <v>1.8632599999999999</v>
      </c>
      <c r="DW23">
        <v>1.86893</v>
      </c>
      <c r="DX23">
        <v>1.8669100000000001</v>
      </c>
      <c r="DY23">
        <v>1.8715599999999999</v>
      </c>
      <c r="DZ23">
        <v>1.86402</v>
      </c>
      <c r="EA23">
        <v>1.86558</v>
      </c>
      <c r="EB23">
        <v>1.86554</v>
      </c>
      <c r="EC23" t="s">
        <v>274</v>
      </c>
      <c r="ED23" t="s">
        <v>19</v>
      </c>
      <c r="EE23" t="s">
        <v>19</v>
      </c>
      <c r="EF23" t="s">
        <v>19</v>
      </c>
      <c r="EG23" t="s">
        <v>275</v>
      </c>
      <c r="EH23" t="s">
        <v>276</v>
      </c>
      <c r="EI23" t="s">
        <v>277</v>
      </c>
      <c r="EJ23" t="s">
        <v>277</v>
      </c>
      <c r="EK23" t="s">
        <v>277</v>
      </c>
      <c r="EL23" t="s">
        <v>277</v>
      </c>
      <c r="EM23">
        <v>0</v>
      </c>
      <c r="EN23">
        <v>100</v>
      </c>
      <c r="EO23">
        <v>100</v>
      </c>
      <c r="EP23">
        <v>-0.28399999999999997</v>
      </c>
      <c r="EQ23">
        <v>8.6999999999999994E-2</v>
      </c>
      <c r="ER23">
        <v>2</v>
      </c>
      <c r="ES23">
        <v>509.57299999999998</v>
      </c>
      <c r="ET23">
        <v>498.63400000000001</v>
      </c>
      <c r="EU23">
        <v>20.186499999999999</v>
      </c>
      <c r="EV23">
        <v>30.087199999999999</v>
      </c>
      <c r="EW23">
        <v>30.0001</v>
      </c>
      <c r="EX23">
        <v>30.16</v>
      </c>
      <c r="EY23">
        <v>30.1707</v>
      </c>
      <c r="EZ23">
        <v>21.7895</v>
      </c>
      <c r="FA23">
        <v>50.510199999999998</v>
      </c>
      <c r="FB23">
        <v>0</v>
      </c>
      <c r="FC23">
        <v>20.175599999999999</v>
      </c>
      <c r="FD23">
        <v>400</v>
      </c>
      <c r="FE23">
        <v>14.7384</v>
      </c>
      <c r="FF23">
        <v>101.34099999999999</v>
      </c>
      <c r="FG23">
        <v>101.866</v>
      </c>
    </row>
    <row r="24" spans="1:163" x14ac:dyDescent="0.35">
      <c r="A24">
        <v>8</v>
      </c>
      <c r="B24">
        <v>1567876829.5999999</v>
      </c>
      <c r="C24">
        <v>790.5</v>
      </c>
      <c r="D24" t="s">
        <v>309</v>
      </c>
      <c r="E24" t="s">
        <v>310</v>
      </c>
      <c r="G24">
        <v>1567876829.5999999</v>
      </c>
      <c r="H24">
        <f t="shared" si="0"/>
        <v>2.4474371870809313E-3</v>
      </c>
      <c r="I24">
        <f t="shared" si="1"/>
        <v>16.711179341760545</v>
      </c>
      <c r="J24">
        <f t="shared" si="2"/>
        <v>478.59199999999998</v>
      </c>
      <c r="K24">
        <f t="shared" si="3"/>
        <v>263.67206996521247</v>
      </c>
      <c r="L24">
        <f t="shared" si="4"/>
        <v>26.204627061852772</v>
      </c>
      <c r="M24">
        <f t="shared" si="5"/>
        <v>47.564100651392003</v>
      </c>
      <c r="N24">
        <f t="shared" si="6"/>
        <v>0.13490880958215834</v>
      </c>
      <c r="O24">
        <f t="shared" si="7"/>
        <v>2.246905162910795</v>
      </c>
      <c r="P24">
        <f t="shared" si="8"/>
        <v>0.13056491501264866</v>
      </c>
      <c r="Q24">
        <f t="shared" si="9"/>
        <v>8.1981702128053266E-2</v>
      </c>
      <c r="R24">
        <f t="shared" si="10"/>
        <v>281.55398377424478</v>
      </c>
      <c r="S24">
        <f t="shared" si="11"/>
        <v>26.626311096908566</v>
      </c>
      <c r="T24">
        <f t="shared" si="12"/>
        <v>27.066800000000001</v>
      </c>
      <c r="U24">
        <f t="shared" si="13"/>
        <v>3.5932259838858012</v>
      </c>
      <c r="V24">
        <f t="shared" si="14"/>
        <v>54.954813925811074</v>
      </c>
      <c r="W24">
        <f t="shared" si="15"/>
        <v>1.7806523957170002</v>
      </c>
      <c r="X24">
        <f t="shared" si="16"/>
        <v>3.2402118549994157</v>
      </c>
      <c r="Y24">
        <f t="shared" si="17"/>
        <v>1.812573588168801</v>
      </c>
      <c r="Z24">
        <f t="shared" si="18"/>
        <v>-107.93197995026907</v>
      </c>
      <c r="AA24">
        <f t="shared" si="19"/>
        <v>-211.99862801509613</v>
      </c>
      <c r="AB24">
        <f t="shared" si="20"/>
        <v>-20.198172312235542</v>
      </c>
      <c r="AC24">
        <f t="shared" si="21"/>
        <v>-58.574796503355969</v>
      </c>
      <c r="AD24">
        <v>-4.1100481593307703E-2</v>
      </c>
      <c r="AE24">
        <v>4.6138891188430398E-2</v>
      </c>
      <c r="AF24">
        <v>3.4496891531392899</v>
      </c>
      <c r="AG24">
        <v>0</v>
      </c>
      <c r="AH24">
        <v>0</v>
      </c>
      <c r="AI24">
        <f t="shared" si="22"/>
        <v>1</v>
      </c>
      <c r="AJ24">
        <f t="shared" si="23"/>
        <v>0</v>
      </c>
      <c r="AK24">
        <f t="shared" si="24"/>
        <v>52708.987748609921</v>
      </c>
      <c r="AL24" t="s">
        <v>268</v>
      </c>
      <c r="AM24">
        <v>631.89076923076902</v>
      </c>
      <c r="AN24">
        <v>3514.37</v>
      </c>
      <c r="AO24">
        <f t="shared" si="25"/>
        <v>2882.479230769231</v>
      </c>
      <c r="AP24">
        <f t="shared" si="26"/>
        <v>0.82019799587670938</v>
      </c>
      <c r="AQ24">
        <v>-1.4218795309761501</v>
      </c>
      <c r="AR24" t="s">
        <v>311</v>
      </c>
      <c r="AS24">
        <v>754.27661538461598</v>
      </c>
      <c r="AT24">
        <v>940.322</v>
      </c>
      <c r="AU24">
        <f t="shared" si="27"/>
        <v>0.19785284680714055</v>
      </c>
      <c r="AV24">
        <v>0.5</v>
      </c>
      <c r="AW24">
        <f t="shared" si="28"/>
        <v>1471.2120000962875</v>
      </c>
      <c r="AX24">
        <f t="shared" si="29"/>
        <v>16.711179341760545</v>
      </c>
      <c r="AY24">
        <f t="shared" si="30"/>
        <v>145.54174123793882</v>
      </c>
      <c r="AZ24">
        <f t="shared" si="31"/>
        <v>0.4273238316236353</v>
      </c>
      <c r="BA24">
        <f t="shared" si="32"/>
        <v>1.2325252153700436E-2</v>
      </c>
      <c r="BB24">
        <f t="shared" si="33"/>
        <v>2.7374112272179101</v>
      </c>
      <c r="BC24" t="s">
        <v>312</v>
      </c>
      <c r="BD24">
        <v>538.5</v>
      </c>
      <c r="BE24">
        <f t="shared" si="34"/>
        <v>401.822</v>
      </c>
      <c r="BF24">
        <f t="shared" si="35"/>
        <v>0.46300447614959861</v>
      </c>
      <c r="BG24">
        <f t="shared" si="36"/>
        <v>0.86497326832153287</v>
      </c>
      <c r="BH24">
        <f t="shared" si="37"/>
        <v>0.60319891779890356</v>
      </c>
      <c r="BI24">
        <f t="shared" si="38"/>
        <v>0.89299793473727063</v>
      </c>
      <c r="BJ24">
        <f t="shared" si="39"/>
        <v>1750.01</v>
      </c>
      <c r="BK24">
        <f t="shared" si="40"/>
        <v>1471.2120000962875</v>
      </c>
      <c r="BL24">
        <f t="shared" si="41"/>
        <v>0.84068776755349262</v>
      </c>
      <c r="BM24">
        <f t="shared" si="42"/>
        <v>0.19137553510698507</v>
      </c>
      <c r="BN24">
        <v>6</v>
      </c>
      <c r="BO24">
        <v>0.5</v>
      </c>
      <c r="BP24" t="s">
        <v>271</v>
      </c>
      <c r="BQ24">
        <v>1567876829.5999999</v>
      </c>
      <c r="BR24">
        <v>478.59199999999998</v>
      </c>
      <c r="BS24">
        <v>500.048</v>
      </c>
      <c r="BT24">
        <v>17.917000000000002</v>
      </c>
      <c r="BU24">
        <v>15.033099999999999</v>
      </c>
      <c r="BV24">
        <v>500.07</v>
      </c>
      <c r="BW24">
        <v>99.2834</v>
      </c>
      <c r="BX24">
        <v>0.10000100000000001</v>
      </c>
      <c r="BY24">
        <v>25.316700000000001</v>
      </c>
      <c r="BZ24">
        <v>27.066800000000001</v>
      </c>
      <c r="CA24">
        <v>999.9</v>
      </c>
      <c r="CB24">
        <v>9983.1200000000008</v>
      </c>
      <c r="CC24">
        <v>0</v>
      </c>
      <c r="CD24">
        <v>1880.93</v>
      </c>
      <c r="CE24">
        <v>1750.01</v>
      </c>
      <c r="CF24">
        <v>0.97700699999999996</v>
      </c>
      <c r="CG24">
        <v>2.2993199999999998E-2</v>
      </c>
      <c r="CH24">
        <v>0</v>
      </c>
      <c r="CI24">
        <v>753.673</v>
      </c>
      <c r="CJ24">
        <v>4.99986</v>
      </c>
      <c r="CK24">
        <v>15697.2</v>
      </c>
      <c r="CL24">
        <v>14220.9</v>
      </c>
      <c r="CM24">
        <v>43.686999999999998</v>
      </c>
      <c r="CN24">
        <v>46.436999999999998</v>
      </c>
      <c r="CO24">
        <v>44.686999999999998</v>
      </c>
      <c r="CP24">
        <v>45.125</v>
      </c>
      <c r="CQ24">
        <v>45.5</v>
      </c>
      <c r="CR24">
        <v>1704.89</v>
      </c>
      <c r="CS24">
        <v>40.119999999999997</v>
      </c>
      <c r="CT24">
        <v>0</v>
      </c>
      <c r="CU24">
        <v>108.59999990463299</v>
      </c>
      <c r="CV24">
        <v>754.27661538461598</v>
      </c>
      <c r="CW24">
        <v>-2.9910427405861402</v>
      </c>
      <c r="CX24">
        <v>-82.769230990965397</v>
      </c>
      <c r="CY24">
        <v>15688.1846153846</v>
      </c>
      <c r="CZ24">
        <v>15</v>
      </c>
      <c r="DA24">
        <v>1567876785.0999999</v>
      </c>
      <c r="DB24" t="s">
        <v>313</v>
      </c>
      <c r="DC24">
        <v>55</v>
      </c>
      <c r="DD24">
        <v>-0.26100000000000001</v>
      </c>
      <c r="DE24">
        <v>8.6999999999999994E-2</v>
      </c>
      <c r="DF24">
        <v>500</v>
      </c>
      <c r="DG24">
        <v>15</v>
      </c>
      <c r="DH24">
        <v>0.08</v>
      </c>
      <c r="DI24">
        <v>0.03</v>
      </c>
      <c r="DJ24">
        <v>16.8019230793671</v>
      </c>
      <c r="DK24">
        <v>0.27261933101908897</v>
      </c>
      <c r="DL24">
        <v>0.45581481316158901</v>
      </c>
      <c r="DM24">
        <v>1</v>
      </c>
      <c r="DN24">
        <v>0.137206748701031</v>
      </c>
      <c r="DO24">
        <v>2.1920496497357901E-3</v>
      </c>
      <c r="DP24">
        <v>3.8485861082884301E-3</v>
      </c>
      <c r="DQ24">
        <v>1</v>
      </c>
      <c r="DR24">
        <v>2</v>
      </c>
      <c r="DS24">
        <v>2</v>
      </c>
      <c r="DT24" t="s">
        <v>273</v>
      </c>
      <c r="DU24">
        <v>1.86676</v>
      </c>
      <c r="DV24">
        <v>1.8632500000000001</v>
      </c>
      <c r="DW24">
        <v>1.8689100000000001</v>
      </c>
      <c r="DX24">
        <v>1.8668899999999999</v>
      </c>
      <c r="DY24">
        <v>1.87158</v>
      </c>
      <c r="DZ24">
        <v>1.8640099999999999</v>
      </c>
      <c r="EA24">
        <v>1.86558</v>
      </c>
      <c r="EB24">
        <v>1.86554</v>
      </c>
      <c r="EC24" t="s">
        <v>274</v>
      </c>
      <c r="ED24" t="s">
        <v>19</v>
      </c>
      <c r="EE24" t="s">
        <v>19</v>
      </c>
      <c r="EF24" t="s">
        <v>19</v>
      </c>
      <c r="EG24" t="s">
        <v>275</v>
      </c>
      <c r="EH24" t="s">
        <v>276</v>
      </c>
      <c r="EI24" t="s">
        <v>277</v>
      </c>
      <c r="EJ24" t="s">
        <v>277</v>
      </c>
      <c r="EK24" t="s">
        <v>277</v>
      </c>
      <c r="EL24" t="s">
        <v>277</v>
      </c>
      <c r="EM24">
        <v>0</v>
      </c>
      <c r="EN24">
        <v>100</v>
      </c>
      <c r="EO24">
        <v>100</v>
      </c>
      <c r="EP24">
        <v>-0.26100000000000001</v>
      </c>
      <c r="EQ24">
        <v>8.6999999999999994E-2</v>
      </c>
      <c r="ER24">
        <v>2</v>
      </c>
      <c r="ES24">
        <v>509.10300000000001</v>
      </c>
      <c r="ET24">
        <v>498.464</v>
      </c>
      <c r="EU24">
        <v>19.622800000000002</v>
      </c>
      <c r="EV24">
        <v>30.0793</v>
      </c>
      <c r="EW24">
        <v>30.0002</v>
      </c>
      <c r="EX24">
        <v>30.134</v>
      </c>
      <c r="EY24">
        <v>30.142199999999999</v>
      </c>
      <c r="EZ24">
        <v>26.0397</v>
      </c>
      <c r="FA24">
        <v>49.334000000000003</v>
      </c>
      <c r="FB24">
        <v>0</v>
      </c>
      <c r="FC24">
        <v>19.609400000000001</v>
      </c>
      <c r="FD24">
        <v>500</v>
      </c>
      <c r="FE24">
        <v>15.0959</v>
      </c>
      <c r="FF24">
        <v>101.342</v>
      </c>
      <c r="FG24">
        <v>101.867</v>
      </c>
    </row>
    <row r="25" spans="1:163" x14ac:dyDescent="0.35">
      <c r="A25">
        <v>9</v>
      </c>
      <c r="B25">
        <v>1567876944.0999999</v>
      </c>
      <c r="C25">
        <v>905</v>
      </c>
      <c r="D25" t="s">
        <v>314</v>
      </c>
      <c r="E25" t="s">
        <v>315</v>
      </c>
      <c r="G25">
        <v>1567876944.0999999</v>
      </c>
      <c r="H25">
        <f t="shared" si="0"/>
        <v>2.0868290772312796E-3</v>
      </c>
      <c r="I25">
        <f t="shared" si="1"/>
        <v>18.252834334931006</v>
      </c>
      <c r="J25">
        <f t="shared" si="2"/>
        <v>576.64599999999996</v>
      </c>
      <c r="K25">
        <f t="shared" si="3"/>
        <v>299.73137740182358</v>
      </c>
      <c r="L25">
        <f t="shared" si="4"/>
        <v>29.787407393787053</v>
      </c>
      <c r="M25">
        <f t="shared" si="5"/>
        <v>57.307277846223997</v>
      </c>
      <c r="N25">
        <f t="shared" si="6"/>
        <v>0.11339523225558251</v>
      </c>
      <c r="O25">
        <f t="shared" si="7"/>
        <v>2.2520242828501353</v>
      </c>
      <c r="P25">
        <f t="shared" si="8"/>
        <v>0.11031604409477273</v>
      </c>
      <c r="Q25">
        <f t="shared" si="9"/>
        <v>6.9217215949043731E-2</v>
      </c>
      <c r="R25">
        <f t="shared" si="10"/>
        <v>281.54121584994039</v>
      </c>
      <c r="S25">
        <f t="shared" si="11"/>
        <v>26.325114963851856</v>
      </c>
      <c r="T25">
        <f t="shared" si="12"/>
        <v>27.0261</v>
      </c>
      <c r="U25">
        <f t="shared" si="13"/>
        <v>3.5846499218981949</v>
      </c>
      <c r="V25">
        <f t="shared" si="14"/>
        <v>55.536942549823223</v>
      </c>
      <c r="W25">
        <f t="shared" si="15"/>
        <v>1.7551960075216</v>
      </c>
      <c r="X25">
        <f t="shared" si="16"/>
        <v>3.1604116592248142</v>
      </c>
      <c r="Y25">
        <f t="shared" si="17"/>
        <v>1.8294539143765949</v>
      </c>
      <c r="Z25">
        <f t="shared" si="18"/>
        <v>-92.029162305899433</v>
      </c>
      <c r="AA25">
        <f t="shared" si="19"/>
        <v>-258.36289131557112</v>
      </c>
      <c r="AB25">
        <f t="shared" si="20"/>
        <v>-24.503164863871703</v>
      </c>
      <c r="AC25">
        <f t="shared" si="21"/>
        <v>-93.354002635401855</v>
      </c>
      <c r="AD25">
        <v>-4.12382661204789E-2</v>
      </c>
      <c r="AE25">
        <v>4.62935663907676E-2</v>
      </c>
      <c r="AF25">
        <v>3.45884046484277</v>
      </c>
      <c r="AG25">
        <v>0</v>
      </c>
      <c r="AH25">
        <v>0</v>
      </c>
      <c r="AI25">
        <f t="shared" si="22"/>
        <v>1</v>
      </c>
      <c r="AJ25">
        <f t="shared" si="23"/>
        <v>0</v>
      </c>
      <c r="AK25">
        <f t="shared" si="24"/>
        <v>52952.690701819614</v>
      </c>
      <c r="AL25" t="s">
        <v>268</v>
      </c>
      <c r="AM25">
        <v>631.89076923076902</v>
      </c>
      <c r="AN25">
        <v>3514.37</v>
      </c>
      <c r="AO25">
        <f t="shared" si="25"/>
        <v>2882.479230769231</v>
      </c>
      <c r="AP25">
        <f t="shared" si="26"/>
        <v>0.82019799587670938</v>
      </c>
      <c r="AQ25">
        <v>-1.4218795309761501</v>
      </c>
      <c r="AR25" t="s">
        <v>316</v>
      </c>
      <c r="AS25">
        <v>755.19561538461505</v>
      </c>
      <c r="AT25">
        <v>953.83</v>
      </c>
      <c r="AU25">
        <f t="shared" si="27"/>
        <v>0.20824925260831073</v>
      </c>
      <c r="AV25">
        <v>0.5</v>
      </c>
      <c r="AW25">
        <f t="shared" si="28"/>
        <v>1471.1448000962921</v>
      </c>
      <c r="AX25">
        <f t="shared" si="29"/>
        <v>18.252834334931006</v>
      </c>
      <c r="AY25">
        <f t="shared" si="30"/>
        <v>153.18240254932778</v>
      </c>
      <c r="AZ25">
        <f t="shared" si="31"/>
        <v>0.43950179801432121</v>
      </c>
      <c r="BA25">
        <f t="shared" si="32"/>
        <v>1.3373743947311896E-2</v>
      </c>
      <c r="BB25">
        <f t="shared" si="33"/>
        <v>2.6844825597852866</v>
      </c>
      <c r="BC25" t="s">
        <v>317</v>
      </c>
      <c r="BD25">
        <v>534.62</v>
      </c>
      <c r="BE25">
        <f t="shared" si="34"/>
        <v>419.21000000000004</v>
      </c>
      <c r="BF25">
        <f t="shared" si="35"/>
        <v>0.47383026315065235</v>
      </c>
      <c r="BG25">
        <f t="shared" si="36"/>
        <v>0.85931370081382663</v>
      </c>
      <c r="BH25">
        <f t="shared" si="37"/>
        <v>0.61699341251693529</v>
      </c>
      <c r="BI25">
        <f t="shared" si="38"/>
        <v>0.88831169108430419</v>
      </c>
      <c r="BJ25">
        <f t="shared" si="39"/>
        <v>1749.93</v>
      </c>
      <c r="BK25">
        <f t="shared" si="40"/>
        <v>1471.1448000962921</v>
      </c>
      <c r="BL25">
        <f t="shared" si="41"/>
        <v>0.84068779899555524</v>
      </c>
      <c r="BM25">
        <f t="shared" si="42"/>
        <v>0.19137559799111034</v>
      </c>
      <c r="BN25">
        <v>6</v>
      </c>
      <c r="BO25">
        <v>0.5</v>
      </c>
      <c r="BP25" t="s">
        <v>271</v>
      </c>
      <c r="BQ25">
        <v>1567876944.0999999</v>
      </c>
      <c r="BR25">
        <v>576.64599999999996</v>
      </c>
      <c r="BS25">
        <v>599.98900000000003</v>
      </c>
      <c r="BT25">
        <v>17.6614</v>
      </c>
      <c r="BU25">
        <v>15.2019</v>
      </c>
      <c r="BV25">
        <v>500.09500000000003</v>
      </c>
      <c r="BW25">
        <v>99.280299999999997</v>
      </c>
      <c r="BX25">
        <v>0.10004399999999999</v>
      </c>
      <c r="BY25">
        <v>24.898099999999999</v>
      </c>
      <c r="BZ25">
        <v>27.0261</v>
      </c>
      <c r="CA25">
        <v>999.9</v>
      </c>
      <c r="CB25">
        <v>10016.9</v>
      </c>
      <c r="CC25">
        <v>0</v>
      </c>
      <c r="CD25">
        <v>1877.57</v>
      </c>
      <c r="CE25">
        <v>1749.93</v>
      </c>
      <c r="CF25">
        <v>0.97700699999999996</v>
      </c>
      <c r="CG25">
        <v>2.2993199999999998E-2</v>
      </c>
      <c r="CH25">
        <v>0</v>
      </c>
      <c r="CI25">
        <v>754.86099999999999</v>
      </c>
      <c r="CJ25">
        <v>4.99986</v>
      </c>
      <c r="CK25">
        <v>15741.8</v>
      </c>
      <c r="CL25">
        <v>14220.2</v>
      </c>
      <c r="CM25">
        <v>43.75</v>
      </c>
      <c r="CN25">
        <v>46.5</v>
      </c>
      <c r="CO25">
        <v>44.75</v>
      </c>
      <c r="CP25">
        <v>45.186999999999998</v>
      </c>
      <c r="CQ25">
        <v>45.5</v>
      </c>
      <c r="CR25">
        <v>1704.81</v>
      </c>
      <c r="CS25">
        <v>40.119999999999997</v>
      </c>
      <c r="CT25">
        <v>0</v>
      </c>
      <c r="CU25">
        <v>114</v>
      </c>
      <c r="CV25">
        <v>755.19561538461505</v>
      </c>
      <c r="CW25">
        <v>-2.4293333349022799</v>
      </c>
      <c r="CX25">
        <v>-97.374358397697506</v>
      </c>
      <c r="CY25">
        <v>15741.0307692308</v>
      </c>
      <c r="CZ25">
        <v>15</v>
      </c>
      <c r="DA25">
        <v>1567876899.0999999</v>
      </c>
      <c r="DB25" t="s">
        <v>318</v>
      </c>
      <c r="DC25">
        <v>56</v>
      </c>
      <c r="DD25">
        <v>-0.23400000000000001</v>
      </c>
      <c r="DE25">
        <v>9.5000000000000001E-2</v>
      </c>
      <c r="DF25">
        <v>600</v>
      </c>
      <c r="DG25">
        <v>15</v>
      </c>
      <c r="DH25">
        <v>0.11</v>
      </c>
      <c r="DI25">
        <v>0.03</v>
      </c>
      <c r="DJ25">
        <v>18.5070366500482</v>
      </c>
      <c r="DK25">
        <v>-2.9422024733611999E-2</v>
      </c>
      <c r="DL25">
        <v>0.36736382148781699</v>
      </c>
      <c r="DM25">
        <v>1</v>
      </c>
      <c r="DN25">
        <v>0.108966477739827</v>
      </c>
      <c r="DO25">
        <v>9.8375710476043508E-3</v>
      </c>
      <c r="DP25">
        <v>3.0230945164986399E-3</v>
      </c>
      <c r="DQ25">
        <v>1</v>
      </c>
      <c r="DR25">
        <v>2</v>
      </c>
      <c r="DS25">
        <v>2</v>
      </c>
      <c r="DT25" t="s">
        <v>273</v>
      </c>
      <c r="DU25">
        <v>1.8667400000000001</v>
      </c>
      <c r="DV25">
        <v>1.8632500000000001</v>
      </c>
      <c r="DW25">
        <v>1.8689</v>
      </c>
      <c r="DX25">
        <v>1.86686</v>
      </c>
      <c r="DY25">
        <v>1.8715200000000001</v>
      </c>
      <c r="DZ25">
        <v>1.8640099999999999</v>
      </c>
      <c r="EA25">
        <v>1.86554</v>
      </c>
      <c r="EB25">
        <v>1.8655299999999999</v>
      </c>
      <c r="EC25" t="s">
        <v>274</v>
      </c>
      <c r="ED25" t="s">
        <v>19</v>
      </c>
      <c r="EE25" t="s">
        <v>19</v>
      </c>
      <c r="EF25" t="s">
        <v>19</v>
      </c>
      <c r="EG25" t="s">
        <v>275</v>
      </c>
      <c r="EH25" t="s">
        <v>276</v>
      </c>
      <c r="EI25" t="s">
        <v>277</v>
      </c>
      <c r="EJ25" t="s">
        <v>277</v>
      </c>
      <c r="EK25" t="s">
        <v>277</v>
      </c>
      <c r="EL25" t="s">
        <v>277</v>
      </c>
      <c r="EM25">
        <v>0</v>
      </c>
      <c r="EN25">
        <v>100</v>
      </c>
      <c r="EO25">
        <v>100</v>
      </c>
      <c r="EP25">
        <v>-0.23400000000000001</v>
      </c>
      <c r="EQ25">
        <v>9.5000000000000001E-2</v>
      </c>
      <c r="ER25">
        <v>2</v>
      </c>
      <c r="ES25">
        <v>508.83800000000002</v>
      </c>
      <c r="ET25">
        <v>498.19400000000002</v>
      </c>
      <c r="EU25">
        <v>18.282299999999999</v>
      </c>
      <c r="EV25">
        <v>30.089700000000001</v>
      </c>
      <c r="EW25">
        <v>30</v>
      </c>
      <c r="EX25">
        <v>30.118300000000001</v>
      </c>
      <c r="EY25">
        <v>30.121500000000001</v>
      </c>
      <c r="EZ25">
        <v>30.1587</v>
      </c>
      <c r="FA25">
        <v>48.791200000000003</v>
      </c>
      <c r="FB25">
        <v>0</v>
      </c>
      <c r="FC25">
        <v>18.2974</v>
      </c>
      <c r="FD25">
        <v>600</v>
      </c>
      <c r="FE25">
        <v>15.134</v>
      </c>
      <c r="FF25">
        <v>101.34399999999999</v>
      </c>
      <c r="FG25">
        <v>101.867</v>
      </c>
    </row>
    <row r="26" spans="1:163" x14ac:dyDescent="0.35">
      <c r="A26">
        <v>10</v>
      </c>
      <c r="B26">
        <v>1567877048.7</v>
      </c>
      <c r="C26">
        <v>1009.60000014305</v>
      </c>
      <c r="D26" t="s">
        <v>319</v>
      </c>
      <c r="E26" t="s">
        <v>320</v>
      </c>
      <c r="G26">
        <v>1567877048.7</v>
      </c>
      <c r="H26">
        <f t="shared" si="0"/>
        <v>1.8610701842956701E-3</v>
      </c>
      <c r="I26">
        <f t="shared" si="1"/>
        <v>20.495817255381457</v>
      </c>
      <c r="J26">
        <f t="shared" si="2"/>
        <v>673.96299999999997</v>
      </c>
      <c r="K26">
        <f t="shared" si="3"/>
        <v>322.8192563999757</v>
      </c>
      <c r="L26">
        <f t="shared" si="4"/>
        <v>32.082188359405656</v>
      </c>
      <c r="M26">
        <f t="shared" si="5"/>
        <v>66.979300288332311</v>
      </c>
      <c r="N26">
        <f t="shared" si="6"/>
        <v>9.9670087853042488E-2</v>
      </c>
      <c r="O26">
        <f t="shared" si="7"/>
        <v>2.2498384379266283</v>
      </c>
      <c r="P26">
        <f t="shared" si="8"/>
        <v>9.7280476373274888E-2</v>
      </c>
      <c r="Q26">
        <f t="shared" si="9"/>
        <v>6.1010223062936145E-2</v>
      </c>
      <c r="R26">
        <f t="shared" si="10"/>
        <v>281.54121584994039</v>
      </c>
      <c r="S26">
        <f t="shared" si="11"/>
        <v>26.275280917014292</v>
      </c>
      <c r="T26">
        <f t="shared" si="12"/>
        <v>26.9739</v>
      </c>
      <c r="U26">
        <f t="shared" si="13"/>
        <v>3.5736768053258126</v>
      </c>
      <c r="V26">
        <f t="shared" si="14"/>
        <v>54.93342186133119</v>
      </c>
      <c r="W26">
        <f t="shared" si="15"/>
        <v>1.7230824337970103</v>
      </c>
      <c r="X26">
        <f t="shared" si="16"/>
        <v>3.1366741328195409</v>
      </c>
      <c r="Y26">
        <f t="shared" si="17"/>
        <v>1.8505943715288022</v>
      </c>
      <c r="Z26">
        <f t="shared" si="18"/>
        <v>-82.07319512743905</v>
      </c>
      <c r="AA26">
        <f t="shared" si="19"/>
        <v>-267.09995361281858</v>
      </c>
      <c r="AB26">
        <f t="shared" si="20"/>
        <v>-25.333720635949994</v>
      </c>
      <c r="AC26">
        <f t="shared" si="21"/>
        <v>-92.965653526267232</v>
      </c>
      <c r="AD26">
        <v>-4.1179397980359397E-2</v>
      </c>
      <c r="AE26">
        <v>4.62274817463511E-2</v>
      </c>
      <c r="AF26">
        <v>3.4549318747414599</v>
      </c>
      <c r="AG26">
        <v>0</v>
      </c>
      <c r="AH26">
        <v>0</v>
      </c>
      <c r="AI26">
        <f t="shared" si="22"/>
        <v>1</v>
      </c>
      <c r="AJ26">
        <f t="shared" si="23"/>
        <v>0</v>
      </c>
      <c r="AK26">
        <f t="shared" si="24"/>
        <v>52902.656239069423</v>
      </c>
      <c r="AL26" t="s">
        <v>268</v>
      </c>
      <c r="AM26">
        <v>631.89076923076902</v>
      </c>
      <c r="AN26">
        <v>3514.37</v>
      </c>
      <c r="AO26">
        <f t="shared" si="25"/>
        <v>2882.479230769231</v>
      </c>
      <c r="AP26">
        <f t="shared" si="26"/>
        <v>0.82019799587670938</v>
      </c>
      <c r="AQ26">
        <v>-1.4218795309761501</v>
      </c>
      <c r="AR26" t="s">
        <v>321</v>
      </c>
      <c r="AS26">
        <v>760.10284615384603</v>
      </c>
      <c r="AT26">
        <v>973.697</v>
      </c>
      <c r="AU26">
        <f t="shared" si="27"/>
        <v>0.2193640874380367</v>
      </c>
      <c r="AV26">
        <v>0.5</v>
      </c>
      <c r="AW26">
        <f t="shared" si="28"/>
        <v>1471.1448000962921</v>
      </c>
      <c r="AX26">
        <f t="shared" si="29"/>
        <v>20.495817255381457</v>
      </c>
      <c r="AY26">
        <f t="shared" si="30"/>
        <v>161.35816828116802</v>
      </c>
      <c r="AZ26">
        <f t="shared" si="31"/>
        <v>0.44541268998466671</v>
      </c>
      <c r="BA26">
        <f t="shared" si="32"/>
        <v>1.4898395307466001E-2</v>
      </c>
      <c r="BB26">
        <f t="shared" si="33"/>
        <v>2.6093055642566423</v>
      </c>
      <c r="BC26" t="s">
        <v>322</v>
      </c>
      <c r="BD26">
        <v>540</v>
      </c>
      <c r="BE26">
        <f t="shared" si="34"/>
        <v>433.697</v>
      </c>
      <c r="BF26">
        <f t="shared" si="35"/>
        <v>0.49249626777716693</v>
      </c>
      <c r="BG26">
        <f t="shared" si="36"/>
        <v>0.85418861809391566</v>
      </c>
      <c r="BH26">
        <f t="shared" si="37"/>
        <v>0.62489836234249674</v>
      </c>
      <c r="BI26">
        <f t="shared" si="38"/>
        <v>0.88141936041703406</v>
      </c>
      <c r="BJ26">
        <f t="shared" si="39"/>
        <v>1749.93</v>
      </c>
      <c r="BK26">
        <f t="shared" si="40"/>
        <v>1471.1448000962921</v>
      </c>
      <c r="BL26">
        <f t="shared" si="41"/>
        <v>0.84068779899555524</v>
      </c>
      <c r="BM26">
        <f t="shared" si="42"/>
        <v>0.19137559799111034</v>
      </c>
      <c r="BN26">
        <v>6</v>
      </c>
      <c r="BO26">
        <v>0.5</v>
      </c>
      <c r="BP26" t="s">
        <v>271</v>
      </c>
      <c r="BQ26">
        <v>1567877048.7</v>
      </c>
      <c r="BR26">
        <v>673.96299999999997</v>
      </c>
      <c r="BS26">
        <v>700.06</v>
      </c>
      <c r="BT26">
        <v>17.338100000000001</v>
      </c>
      <c r="BU26">
        <v>15.143800000000001</v>
      </c>
      <c r="BV26">
        <v>500.06</v>
      </c>
      <c r="BW26">
        <v>99.281300000000002</v>
      </c>
      <c r="BX26">
        <v>9.9972099999999994E-2</v>
      </c>
      <c r="BY26">
        <v>24.771799999999999</v>
      </c>
      <c r="BZ26">
        <v>26.9739</v>
      </c>
      <c r="CA26">
        <v>999.9</v>
      </c>
      <c r="CB26">
        <v>10002.5</v>
      </c>
      <c r="CC26">
        <v>0</v>
      </c>
      <c r="CD26">
        <v>1881.12</v>
      </c>
      <c r="CE26">
        <v>1749.93</v>
      </c>
      <c r="CF26">
        <v>0.97700699999999996</v>
      </c>
      <c r="CG26">
        <v>2.2993199999999998E-2</v>
      </c>
      <c r="CH26">
        <v>0</v>
      </c>
      <c r="CI26">
        <v>759.96900000000005</v>
      </c>
      <c r="CJ26">
        <v>4.99986</v>
      </c>
      <c r="CK26">
        <v>15847.5</v>
      </c>
      <c r="CL26">
        <v>14220.2</v>
      </c>
      <c r="CM26">
        <v>43.75</v>
      </c>
      <c r="CN26">
        <v>46.5</v>
      </c>
      <c r="CO26">
        <v>44.811999999999998</v>
      </c>
      <c r="CP26">
        <v>45.186999999999998</v>
      </c>
      <c r="CQ26">
        <v>45.5</v>
      </c>
      <c r="CR26">
        <v>1704.81</v>
      </c>
      <c r="CS26">
        <v>40.119999999999997</v>
      </c>
      <c r="CT26">
        <v>0</v>
      </c>
      <c r="CU26">
        <v>104.39999985694899</v>
      </c>
      <c r="CV26">
        <v>760.10284615384603</v>
      </c>
      <c r="CW26">
        <v>-1.2784273466932801</v>
      </c>
      <c r="CX26">
        <v>8.2700857609259106</v>
      </c>
      <c r="CY26">
        <v>15845.5115384615</v>
      </c>
      <c r="CZ26">
        <v>15</v>
      </c>
      <c r="DA26">
        <v>1567877002.5999999</v>
      </c>
      <c r="DB26" t="s">
        <v>323</v>
      </c>
      <c r="DC26">
        <v>57</v>
      </c>
      <c r="DD26">
        <v>-0.161</v>
      </c>
      <c r="DE26">
        <v>9.0999999999999998E-2</v>
      </c>
      <c r="DF26">
        <v>700</v>
      </c>
      <c r="DG26">
        <v>15</v>
      </c>
      <c r="DH26">
        <v>0.05</v>
      </c>
      <c r="DI26">
        <v>0.03</v>
      </c>
      <c r="DJ26">
        <v>20.437271249021101</v>
      </c>
      <c r="DK26">
        <v>-0.14524603635343</v>
      </c>
      <c r="DL26">
        <v>7.3007238787362705E-2</v>
      </c>
      <c r="DM26">
        <v>1</v>
      </c>
      <c r="DN26">
        <v>0.105553788612456</v>
      </c>
      <c r="DO26">
        <v>-1.20563138259404E-2</v>
      </c>
      <c r="DP26">
        <v>3.4348795379727801E-3</v>
      </c>
      <c r="DQ26">
        <v>1</v>
      </c>
      <c r="DR26">
        <v>2</v>
      </c>
      <c r="DS26">
        <v>2</v>
      </c>
      <c r="DT26" t="s">
        <v>273</v>
      </c>
      <c r="DU26">
        <v>1.86676</v>
      </c>
      <c r="DV26">
        <v>1.8632599999999999</v>
      </c>
      <c r="DW26">
        <v>1.8689100000000001</v>
      </c>
      <c r="DX26">
        <v>1.8668800000000001</v>
      </c>
      <c r="DY26">
        <v>1.87158</v>
      </c>
      <c r="DZ26">
        <v>1.86402</v>
      </c>
      <c r="EA26">
        <v>1.8655600000000001</v>
      </c>
      <c r="EB26">
        <v>1.86554</v>
      </c>
      <c r="EC26" t="s">
        <v>274</v>
      </c>
      <c r="ED26" t="s">
        <v>19</v>
      </c>
      <c r="EE26" t="s">
        <v>19</v>
      </c>
      <c r="EF26" t="s">
        <v>19</v>
      </c>
      <c r="EG26" t="s">
        <v>275</v>
      </c>
      <c r="EH26" t="s">
        <v>276</v>
      </c>
      <c r="EI26" t="s">
        <v>277</v>
      </c>
      <c r="EJ26" t="s">
        <v>277</v>
      </c>
      <c r="EK26" t="s">
        <v>277</v>
      </c>
      <c r="EL26" t="s">
        <v>277</v>
      </c>
      <c r="EM26">
        <v>0</v>
      </c>
      <c r="EN26">
        <v>100</v>
      </c>
      <c r="EO26">
        <v>100</v>
      </c>
      <c r="EP26">
        <v>-0.161</v>
      </c>
      <c r="EQ26">
        <v>9.0999999999999998E-2</v>
      </c>
      <c r="ER26">
        <v>2</v>
      </c>
      <c r="ES26">
        <v>508.67899999999997</v>
      </c>
      <c r="ET26">
        <v>497.86700000000002</v>
      </c>
      <c r="EU26">
        <v>18.749300000000002</v>
      </c>
      <c r="EV26">
        <v>30.1053</v>
      </c>
      <c r="EW26">
        <v>29.998999999999999</v>
      </c>
      <c r="EX26">
        <v>30.1157</v>
      </c>
      <c r="EY26">
        <v>30.118300000000001</v>
      </c>
      <c r="EZ26">
        <v>34.1492</v>
      </c>
      <c r="FA26">
        <v>49.015099999999997</v>
      </c>
      <c r="FB26">
        <v>0</v>
      </c>
      <c r="FC26">
        <v>18.8034</v>
      </c>
      <c r="FD26">
        <v>700</v>
      </c>
      <c r="FE26">
        <v>15.1701</v>
      </c>
      <c r="FF26">
        <v>101.33799999999999</v>
      </c>
      <c r="FG26">
        <v>101.863</v>
      </c>
    </row>
    <row r="27" spans="1:163" x14ac:dyDescent="0.35">
      <c r="A27">
        <v>11</v>
      </c>
      <c r="B27">
        <v>1567877169.2</v>
      </c>
      <c r="C27">
        <v>1130.10000014305</v>
      </c>
      <c r="D27" t="s">
        <v>324</v>
      </c>
      <c r="E27" t="s">
        <v>325</v>
      </c>
      <c r="G27">
        <v>1567877169.2</v>
      </c>
      <c r="H27">
        <f t="shared" si="0"/>
        <v>1.8657435349298209E-3</v>
      </c>
      <c r="I27">
        <f t="shared" si="1"/>
        <v>22.295140158060239</v>
      </c>
      <c r="J27">
        <f t="shared" si="2"/>
        <v>771.54</v>
      </c>
      <c r="K27">
        <f t="shared" si="3"/>
        <v>387.59724536574373</v>
      </c>
      <c r="L27">
        <f t="shared" si="4"/>
        <v>38.521118432016038</v>
      </c>
      <c r="M27">
        <f t="shared" si="5"/>
        <v>76.67903750707201</v>
      </c>
      <c r="N27">
        <f t="shared" si="6"/>
        <v>9.9463798714064064E-2</v>
      </c>
      <c r="O27">
        <f t="shared" si="7"/>
        <v>2.2475911213741315</v>
      </c>
      <c r="P27">
        <f t="shared" si="8"/>
        <v>9.708162326124288E-2</v>
      </c>
      <c r="Q27">
        <f t="shared" si="9"/>
        <v>6.0885291587667562E-2</v>
      </c>
      <c r="R27">
        <f t="shared" si="10"/>
        <v>281.58111561341468</v>
      </c>
      <c r="S27">
        <f t="shared" si="11"/>
        <v>26.302765715062417</v>
      </c>
      <c r="T27">
        <f t="shared" si="12"/>
        <v>27.03</v>
      </c>
      <c r="U27">
        <f t="shared" si="13"/>
        <v>3.5854709319502067</v>
      </c>
      <c r="V27">
        <f t="shared" si="14"/>
        <v>54.952889254765303</v>
      </c>
      <c r="W27">
        <f t="shared" si="15"/>
        <v>1.72651567964928</v>
      </c>
      <c r="X27">
        <f t="shared" si="16"/>
        <v>3.1418105636721605</v>
      </c>
      <c r="Y27">
        <f t="shared" si="17"/>
        <v>1.8589552523009267</v>
      </c>
      <c r="Z27">
        <f t="shared" si="18"/>
        <v>-82.27928989040511</v>
      </c>
      <c r="AA27">
        <f t="shared" si="19"/>
        <v>-270.31079326024314</v>
      </c>
      <c r="AB27">
        <f t="shared" si="20"/>
        <v>-25.674660999606377</v>
      </c>
      <c r="AC27">
        <f t="shared" si="21"/>
        <v>-96.683628536839933</v>
      </c>
      <c r="AD27">
        <v>-4.1118928195981203E-2</v>
      </c>
      <c r="AE27">
        <v>4.6159599115942501E-2</v>
      </c>
      <c r="AF27">
        <v>3.4509149417337999</v>
      </c>
      <c r="AG27">
        <v>0</v>
      </c>
      <c r="AH27">
        <v>0</v>
      </c>
      <c r="AI27">
        <f t="shared" si="22"/>
        <v>1</v>
      </c>
      <c r="AJ27">
        <f t="shared" si="23"/>
        <v>0</v>
      </c>
      <c r="AK27">
        <f t="shared" si="24"/>
        <v>52823.34164892479</v>
      </c>
      <c r="AL27" t="s">
        <v>268</v>
      </c>
      <c r="AM27">
        <v>631.89076923076902</v>
      </c>
      <c r="AN27">
        <v>3514.37</v>
      </c>
      <c r="AO27">
        <f t="shared" si="25"/>
        <v>2882.479230769231</v>
      </c>
      <c r="AP27">
        <f t="shared" si="26"/>
        <v>0.82019799587670938</v>
      </c>
      <c r="AQ27">
        <v>-1.4218795309761501</v>
      </c>
      <c r="AR27" t="s">
        <v>326</v>
      </c>
      <c r="AS27">
        <v>766.26757692307694</v>
      </c>
      <c r="AT27">
        <v>992.005</v>
      </c>
      <c r="AU27">
        <f t="shared" si="27"/>
        <v>0.22755673920688202</v>
      </c>
      <c r="AV27">
        <v>0.5</v>
      </c>
      <c r="AW27">
        <f t="shared" si="28"/>
        <v>1471.3548000962783</v>
      </c>
      <c r="AX27">
        <f t="shared" si="29"/>
        <v>22.295140158060239</v>
      </c>
      <c r="AY27">
        <f t="shared" si="30"/>
        <v>167.40835026315142</v>
      </c>
      <c r="AZ27">
        <f t="shared" si="31"/>
        <v>0.45393420396066547</v>
      </c>
      <c r="BA27">
        <f t="shared" si="32"/>
        <v>1.6119171043914398E-2</v>
      </c>
      <c r="BB27">
        <f t="shared" si="33"/>
        <v>2.5426938372286427</v>
      </c>
      <c r="BC27" t="s">
        <v>327</v>
      </c>
      <c r="BD27">
        <v>541.70000000000005</v>
      </c>
      <c r="BE27">
        <f t="shared" si="34"/>
        <v>450.30499999999995</v>
      </c>
      <c r="BF27">
        <f t="shared" si="35"/>
        <v>0.50129894866129199</v>
      </c>
      <c r="BG27">
        <f t="shared" si="36"/>
        <v>0.8485183353685406</v>
      </c>
      <c r="BH27">
        <f t="shared" si="37"/>
        <v>0.62684949326976336</v>
      </c>
      <c r="BI27">
        <f t="shared" si="38"/>
        <v>0.87506788360340426</v>
      </c>
      <c r="BJ27">
        <f t="shared" si="39"/>
        <v>1750.18</v>
      </c>
      <c r="BK27">
        <f t="shared" si="40"/>
        <v>1471.3548000962783</v>
      </c>
      <c r="BL27">
        <f t="shared" si="41"/>
        <v>0.8406877007486534</v>
      </c>
      <c r="BM27">
        <f t="shared" si="42"/>
        <v>0.1913754014973067</v>
      </c>
      <c r="BN27">
        <v>6</v>
      </c>
      <c r="BO27">
        <v>0.5</v>
      </c>
      <c r="BP27" t="s">
        <v>271</v>
      </c>
      <c r="BQ27">
        <v>1567877169.2</v>
      </c>
      <c r="BR27">
        <v>771.54</v>
      </c>
      <c r="BS27">
        <v>800.01900000000001</v>
      </c>
      <c r="BT27">
        <v>17.3721</v>
      </c>
      <c r="BU27">
        <v>15.1723</v>
      </c>
      <c r="BV27">
        <v>500.04500000000002</v>
      </c>
      <c r="BW27">
        <v>99.284400000000005</v>
      </c>
      <c r="BX27">
        <v>9.9996799999999997E-2</v>
      </c>
      <c r="BY27">
        <v>24.799199999999999</v>
      </c>
      <c r="BZ27">
        <v>27.03</v>
      </c>
      <c r="CA27">
        <v>999.9</v>
      </c>
      <c r="CB27">
        <v>9987.5</v>
      </c>
      <c r="CC27">
        <v>0</v>
      </c>
      <c r="CD27">
        <v>1876.61</v>
      </c>
      <c r="CE27">
        <v>1750.18</v>
      </c>
      <c r="CF27">
        <v>0.97701099999999996</v>
      </c>
      <c r="CG27">
        <v>2.2989099999999998E-2</v>
      </c>
      <c r="CH27">
        <v>0</v>
      </c>
      <c r="CI27">
        <v>766.01099999999997</v>
      </c>
      <c r="CJ27">
        <v>4.99986</v>
      </c>
      <c r="CK27">
        <v>15971.6</v>
      </c>
      <c r="CL27">
        <v>14222.3</v>
      </c>
      <c r="CM27">
        <v>43.875</v>
      </c>
      <c r="CN27">
        <v>46.625</v>
      </c>
      <c r="CO27">
        <v>44.936999999999998</v>
      </c>
      <c r="CP27">
        <v>45.25</v>
      </c>
      <c r="CQ27">
        <v>45.561999999999998</v>
      </c>
      <c r="CR27">
        <v>1705.06</v>
      </c>
      <c r="CS27">
        <v>40.119999999999997</v>
      </c>
      <c r="CT27">
        <v>0</v>
      </c>
      <c r="CU27">
        <v>119.799999952316</v>
      </c>
      <c r="CV27">
        <v>766.26757692307694</v>
      </c>
      <c r="CW27">
        <v>-3.4798974476454001</v>
      </c>
      <c r="CX27">
        <v>-47.4837611345474</v>
      </c>
      <c r="CY27">
        <v>15971.257692307699</v>
      </c>
      <c r="CZ27">
        <v>15</v>
      </c>
      <c r="DA27">
        <v>1567877125.7</v>
      </c>
      <c r="DB27" t="s">
        <v>328</v>
      </c>
      <c r="DC27">
        <v>58</v>
      </c>
      <c r="DD27">
        <v>-0.23400000000000001</v>
      </c>
      <c r="DE27">
        <v>9.2999999999999999E-2</v>
      </c>
      <c r="DF27">
        <v>800</v>
      </c>
      <c r="DG27">
        <v>15</v>
      </c>
      <c r="DH27">
        <v>0.05</v>
      </c>
      <c r="DI27">
        <v>0.06</v>
      </c>
      <c r="DJ27">
        <v>21.994993861410698</v>
      </c>
      <c r="DK27">
        <v>3.2907170326844999</v>
      </c>
      <c r="DL27">
        <v>1.8562548899432101</v>
      </c>
      <c r="DM27">
        <v>0</v>
      </c>
      <c r="DN27">
        <v>9.6201887172611897E-2</v>
      </c>
      <c r="DO27">
        <v>2.63496089879309E-2</v>
      </c>
      <c r="DP27">
        <v>8.8822271674150691E-3</v>
      </c>
      <c r="DQ27">
        <v>1</v>
      </c>
      <c r="DR27">
        <v>1</v>
      </c>
      <c r="DS27">
        <v>2</v>
      </c>
      <c r="DT27" t="s">
        <v>288</v>
      </c>
      <c r="DU27">
        <v>1.86676</v>
      </c>
      <c r="DV27">
        <v>1.8632500000000001</v>
      </c>
      <c r="DW27">
        <v>1.8689100000000001</v>
      </c>
      <c r="DX27">
        <v>1.8668899999999999</v>
      </c>
      <c r="DY27">
        <v>1.87151</v>
      </c>
      <c r="DZ27">
        <v>1.8640099999999999</v>
      </c>
      <c r="EA27">
        <v>1.8655600000000001</v>
      </c>
      <c r="EB27">
        <v>1.86554</v>
      </c>
      <c r="EC27" t="s">
        <v>274</v>
      </c>
      <c r="ED27" t="s">
        <v>19</v>
      </c>
      <c r="EE27" t="s">
        <v>19</v>
      </c>
      <c r="EF27" t="s">
        <v>19</v>
      </c>
      <c r="EG27" t="s">
        <v>275</v>
      </c>
      <c r="EH27" t="s">
        <v>276</v>
      </c>
      <c r="EI27" t="s">
        <v>277</v>
      </c>
      <c r="EJ27" t="s">
        <v>277</v>
      </c>
      <c r="EK27" t="s">
        <v>277</v>
      </c>
      <c r="EL27" t="s">
        <v>277</v>
      </c>
      <c r="EM27">
        <v>0</v>
      </c>
      <c r="EN27">
        <v>100</v>
      </c>
      <c r="EO27">
        <v>100</v>
      </c>
      <c r="EP27">
        <v>-0.23400000000000001</v>
      </c>
      <c r="EQ27">
        <v>9.2999999999999999E-2</v>
      </c>
      <c r="ER27">
        <v>2</v>
      </c>
      <c r="ES27">
        <v>508.62</v>
      </c>
      <c r="ET27">
        <v>497.40899999999999</v>
      </c>
      <c r="EU27">
        <v>18.973500000000001</v>
      </c>
      <c r="EV27">
        <v>30.113199999999999</v>
      </c>
      <c r="EW27">
        <v>30.000399999999999</v>
      </c>
      <c r="EX27">
        <v>30.121300000000002</v>
      </c>
      <c r="EY27">
        <v>30.123699999999999</v>
      </c>
      <c r="EZ27">
        <v>38.0505</v>
      </c>
      <c r="FA27">
        <v>49.011000000000003</v>
      </c>
      <c r="FB27">
        <v>0</v>
      </c>
      <c r="FC27">
        <v>18.941299999999998</v>
      </c>
      <c r="FD27">
        <v>800</v>
      </c>
      <c r="FE27">
        <v>15.168200000000001</v>
      </c>
      <c r="FF27">
        <v>101.33799999999999</v>
      </c>
      <c r="FG27">
        <v>101.864</v>
      </c>
    </row>
    <row r="28" spans="1:163" x14ac:dyDescent="0.35">
      <c r="A28">
        <v>12</v>
      </c>
      <c r="B28">
        <v>1567877289.7</v>
      </c>
      <c r="C28">
        <v>1250.60000014305</v>
      </c>
      <c r="D28" t="s">
        <v>329</v>
      </c>
      <c r="E28" t="s">
        <v>330</v>
      </c>
      <c r="G28">
        <v>1567877289.7</v>
      </c>
      <c r="H28">
        <f t="shared" si="0"/>
        <v>1.6838419079202669E-3</v>
      </c>
      <c r="I28">
        <f t="shared" si="1"/>
        <v>25.162075136699077</v>
      </c>
      <c r="J28">
        <f t="shared" si="2"/>
        <v>967.93399999999997</v>
      </c>
      <c r="K28">
        <f t="shared" si="3"/>
        <v>490.47396045568979</v>
      </c>
      <c r="L28">
        <f t="shared" si="4"/>
        <v>48.741518826766239</v>
      </c>
      <c r="M28">
        <f t="shared" si="5"/>
        <v>96.189761511976002</v>
      </c>
      <c r="N28">
        <f t="shared" si="6"/>
        <v>9.0114495324851829E-2</v>
      </c>
      <c r="O28">
        <f t="shared" si="7"/>
        <v>2.2530166762447541</v>
      </c>
      <c r="P28">
        <f t="shared" si="8"/>
        <v>8.8158962946709066E-2</v>
      </c>
      <c r="Q28">
        <f t="shared" si="9"/>
        <v>5.5271514205074951E-2</v>
      </c>
      <c r="R28">
        <f t="shared" si="10"/>
        <v>281.57322514704259</v>
      </c>
      <c r="S28">
        <f t="shared" si="11"/>
        <v>26.329521522912597</v>
      </c>
      <c r="T28">
        <f t="shared" si="12"/>
        <v>26.984400000000001</v>
      </c>
      <c r="U28">
        <f t="shared" si="13"/>
        <v>3.5758816825071067</v>
      </c>
      <c r="V28">
        <f t="shared" si="14"/>
        <v>55.113871275108664</v>
      </c>
      <c r="W28">
        <f t="shared" si="15"/>
        <v>1.7284431614156004</v>
      </c>
      <c r="X28">
        <f t="shared" si="16"/>
        <v>3.1361309257116643</v>
      </c>
      <c r="Y28">
        <f t="shared" si="17"/>
        <v>1.8474385210915063</v>
      </c>
      <c r="Z28">
        <f t="shared" si="18"/>
        <v>-74.257428139283775</v>
      </c>
      <c r="AA28">
        <f t="shared" si="19"/>
        <v>-269.10489895262657</v>
      </c>
      <c r="AB28">
        <f t="shared" si="20"/>
        <v>-25.488855292595062</v>
      </c>
      <c r="AC28">
        <f t="shared" si="21"/>
        <v>-87.277957237462829</v>
      </c>
      <c r="AD28">
        <v>-4.1265009884421999E-2</v>
      </c>
      <c r="AE28">
        <v>4.6323588608676101E-2</v>
      </c>
      <c r="AF28">
        <v>3.4606155004318899</v>
      </c>
      <c r="AG28">
        <v>0</v>
      </c>
      <c r="AH28">
        <v>0</v>
      </c>
      <c r="AI28">
        <f t="shared" si="22"/>
        <v>1</v>
      </c>
      <c r="AJ28">
        <f t="shared" si="23"/>
        <v>0</v>
      </c>
      <c r="AK28">
        <f t="shared" si="24"/>
        <v>53008.512409516807</v>
      </c>
      <c r="AL28" t="s">
        <v>268</v>
      </c>
      <c r="AM28">
        <v>631.89076923076902</v>
      </c>
      <c r="AN28">
        <v>3514.37</v>
      </c>
      <c r="AO28">
        <f t="shared" si="25"/>
        <v>2882.479230769231</v>
      </c>
      <c r="AP28">
        <f t="shared" si="26"/>
        <v>0.82019799587670938</v>
      </c>
      <c r="AQ28">
        <v>-1.4218795309761501</v>
      </c>
      <c r="AR28" t="s">
        <v>331</v>
      </c>
      <c r="AS28">
        <v>779.98149999999998</v>
      </c>
      <c r="AT28">
        <v>1028.0899999999999</v>
      </c>
      <c r="AU28">
        <f t="shared" si="27"/>
        <v>0.24132955286015811</v>
      </c>
      <c r="AV28">
        <v>0.5</v>
      </c>
      <c r="AW28">
        <f t="shared" si="28"/>
        <v>1471.305300096353</v>
      </c>
      <c r="AX28">
        <f t="shared" si="29"/>
        <v>25.162075136699077</v>
      </c>
      <c r="AY28">
        <f t="shared" si="30"/>
        <v>177.53472509651681</v>
      </c>
      <c r="AZ28">
        <f t="shared" si="31"/>
        <v>0.46738126039549061</v>
      </c>
      <c r="BA28">
        <f t="shared" si="32"/>
        <v>1.8068279007718041E-2</v>
      </c>
      <c r="BB28">
        <f t="shared" si="33"/>
        <v>2.418348588158624</v>
      </c>
      <c r="BC28" t="s">
        <v>332</v>
      </c>
      <c r="BD28">
        <v>547.58000000000004</v>
      </c>
      <c r="BE28">
        <f t="shared" si="34"/>
        <v>480.50999999999988</v>
      </c>
      <c r="BF28">
        <f t="shared" si="35"/>
        <v>0.51634409273480264</v>
      </c>
      <c r="BG28">
        <f t="shared" si="36"/>
        <v>0.83803707036898456</v>
      </c>
      <c r="BH28">
        <f t="shared" si="37"/>
        <v>0.62622155908352206</v>
      </c>
      <c r="BI28">
        <f t="shared" si="38"/>
        <v>0.86254914639454328</v>
      </c>
      <c r="BJ28">
        <f t="shared" si="39"/>
        <v>1750.12</v>
      </c>
      <c r="BK28">
        <f t="shared" si="40"/>
        <v>1471.305300096353</v>
      </c>
      <c r="BL28">
        <f t="shared" si="41"/>
        <v>0.84068823857584229</v>
      </c>
      <c r="BM28">
        <f t="shared" si="42"/>
        <v>0.1913764771516849</v>
      </c>
      <c r="BN28">
        <v>6</v>
      </c>
      <c r="BO28">
        <v>0.5</v>
      </c>
      <c r="BP28" t="s">
        <v>271</v>
      </c>
      <c r="BQ28">
        <v>1567877289.7</v>
      </c>
      <c r="BR28">
        <v>967.93399999999997</v>
      </c>
      <c r="BS28">
        <v>1000.08</v>
      </c>
      <c r="BT28">
        <v>17.392900000000001</v>
      </c>
      <c r="BU28">
        <v>15.4077</v>
      </c>
      <c r="BV28">
        <v>500.06700000000001</v>
      </c>
      <c r="BW28">
        <v>99.276300000000006</v>
      </c>
      <c r="BX28">
        <v>0.100064</v>
      </c>
      <c r="BY28">
        <v>24.768899999999999</v>
      </c>
      <c r="BZ28">
        <v>26.984400000000001</v>
      </c>
      <c r="CA28">
        <v>999.9</v>
      </c>
      <c r="CB28">
        <v>10023.799999999999</v>
      </c>
      <c r="CC28">
        <v>0</v>
      </c>
      <c r="CD28">
        <v>1559.73</v>
      </c>
      <c r="CE28">
        <v>1750.12</v>
      </c>
      <c r="CF28">
        <v>0.97699199999999997</v>
      </c>
      <c r="CG28">
        <v>2.30081E-2</v>
      </c>
      <c r="CH28">
        <v>0</v>
      </c>
      <c r="CI28">
        <v>778.83600000000001</v>
      </c>
      <c r="CJ28">
        <v>4.99986</v>
      </c>
      <c r="CK28">
        <v>15923.8</v>
      </c>
      <c r="CL28">
        <v>14221.7</v>
      </c>
      <c r="CM28">
        <v>43.875</v>
      </c>
      <c r="CN28">
        <v>46.561999999999998</v>
      </c>
      <c r="CO28">
        <v>44.875</v>
      </c>
      <c r="CP28">
        <v>45.25</v>
      </c>
      <c r="CQ28">
        <v>45.625</v>
      </c>
      <c r="CR28">
        <v>1704.97</v>
      </c>
      <c r="CS28">
        <v>40.15</v>
      </c>
      <c r="CT28">
        <v>0</v>
      </c>
      <c r="CU28">
        <v>119.799999952316</v>
      </c>
      <c r="CV28">
        <v>779.98149999999998</v>
      </c>
      <c r="CW28">
        <v>-6.0793504246571697</v>
      </c>
      <c r="CX28">
        <v>1289.3025619702901</v>
      </c>
      <c r="CY28">
        <v>15562.365384615399</v>
      </c>
      <c r="CZ28">
        <v>15</v>
      </c>
      <c r="DA28">
        <v>1567877229.2</v>
      </c>
      <c r="DB28" t="s">
        <v>333</v>
      </c>
      <c r="DC28">
        <v>59</v>
      </c>
      <c r="DD28">
        <v>0.104</v>
      </c>
      <c r="DE28">
        <v>9.7000000000000003E-2</v>
      </c>
      <c r="DF28">
        <v>1000</v>
      </c>
      <c r="DG28">
        <v>15</v>
      </c>
      <c r="DH28">
        <v>7.0000000000000007E-2</v>
      </c>
      <c r="DI28">
        <v>0.04</v>
      </c>
      <c r="DJ28">
        <v>25.2699765682768</v>
      </c>
      <c r="DK28">
        <v>-0.70039767032482003</v>
      </c>
      <c r="DL28">
        <v>0.145927579672714</v>
      </c>
      <c r="DM28">
        <v>0</v>
      </c>
      <c r="DN28">
        <v>9.2654760824319296E-2</v>
      </c>
      <c r="DO28">
        <v>-7.7974904577211204E-3</v>
      </c>
      <c r="DP28">
        <v>2.2503821200984698E-3</v>
      </c>
      <c r="DQ28">
        <v>1</v>
      </c>
      <c r="DR28">
        <v>1</v>
      </c>
      <c r="DS28">
        <v>2</v>
      </c>
      <c r="DT28" t="s">
        <v>288</v>
      </c>
      <c r="DU28">
        <v>1.86676</v>
      </c>
      <c r="DV28">
        <v>1.8632500000000001</v>
      </c>
      <c r="DW28">
        <v>1.8689100000000001</v>
      </c>
      <c r="DX28">
        <v>1.8668800000000001</v>
      </c>
      <c r="DY28">
        <v>1.87157</v>
      </c>
      <c r="DZ28">
        <v>1.8640099999999999</v>
      </c>
      <c r="EA28">
        <v>1.8655600000000001</v>
      </c>
      <c r="EB28">
        <v>1.86554</v>
      </c>
      <c r="EC28" t="s">
        <v>274</v>
      </c>
      <c r="ED28" t="s">
        <v>19</v>
      </c>
      <c r="EE28" t="s">
        <v>19</v>
      </c>
      <c r="EF28" t="s">
        <v>19</v>
      </c>
      <c r="EG28" t="s">
        <v>275</v>
      </c>
      <c r="EH28" t="s">
        <v>276</v>
      </c>
      <c r="EI28" t="s">
        <v>277</v>
      </c>
      <c r="EJ28" t="s">
        <v>277</v>
      </c>
      <c r="EK28" t="s">
        <v>277</v>
      </c>
      <c r="EL28" t="s">
        <v>277</v>
      </c>
      <c r="EM28">
        <v>0</v>
      </c>
      <c r="EN28">
        <v>100</v>
      </c>
      <c r="EO28">
        <v>100</v>
      </c>
      <c r="EP28">
        <v>0.104</v>
      </c>
      <c r="EQ28">
        <v>9.7000000000000003E-2</v>
      </c>
      <c r="ER28">
        <v>2</v>
      </c>
      <c r="ES28">
        <v>508.71699999999998</v>
      </c>
      <c r="ET28">
        <v>497.86</v>
      </c>
      <c r="EU28">
        <v>19.025500000000001</v>
      </c>
      <c r="EV28">
        <v>30.1082</v>
      </c>
      <c r="EW28">
        <v>30.0002</v>
      </c>
      <c r="EX28">
        <v>30.118300000000001</v>
      </c>
      <c r="EY28">
        <v>30.117599999999999</v>
      </c>
      <c r="EZ28">
        <v>45.585500000000003</v>
      </c>
      <c r="FA28">
        <v>48.030099999999997</v>
      </c>
      <c r="FB28">
        <v>0</v>
      </c>
      <c r="FC28">
        <v>19.209199999999999</v>
      </c>
      <c r="FD28">
        <v>1000</v>
      </c>
      <c r="FE28">
        <v>15.406000000000001</v>
      </c>
      <c r="FF28">
        <v>101.337</v>
      </c>
      <c r="FG28">
        <v>101.85599999999999</v>
      </c>
    </row>
    <row r="29" spans="1:163" x14ac:dyDescent="0.35">
      <c r="A29">
        <v>13</v>
      </c>
      <c r="B29">
        <v>1567877394.2</v>
      </c>
      <c r="C29">
        <v>1355.10000014305</v>
      </c>
      <c r="D29" t="s">
        <v>334</v>
      </c>
      <c r="E29" t="s">
        <v>335</v>
      </c>
      <c r="G29">
        <v>1567877394.2</v>
      </c>
      <c r="H29">
        <f t="shared" si="0"/>
        <v>1.5139666823290228E-3</v>
      </c>
      <c r="I29">
        <f t="shared" si="1"/>
        <v>26.844665186742976</v>
      </c>
      <c r="J29">
        <f t="shared" si="2"/>
        <v>1165.6500000000001</v>
      </c>
      <c r="K29">
        <f t="shared" si="3"/>
        <v>594.87834849048159</v>
      </c>
      <c r="L29">
        <f t="shared" si="4"/>
        <v>59.113745718575586</v>
      </c>
      <c r="M29">
        <f t="shared" si="5"/>
        <v>115.83198123063001</v>
      </c>
      <c r="N29">
        <f t="shared" si="6"/>
        <v>8.032595015717936E-2</v>
      </c>
      <c r="O29">
        <f t="shared" si="7"/>
        <v>2.2517770323386546</v>
      </c>
      <c r="P29">
        <f t="shared" si="8"/>
        <v>7.8767381067831099E-2</v>
      </c>
      <c r="Q29">
        <f t="shared" si="9"/>
        <v>4.9367125616133087E-2</v>
      </c>
      <c r="R29">
        <f t="shared" si="10"/>
        <v>281.51727599188831</v>
      </c>
      <c r="S29">
        <f t="shared" si="11"/>
        <v>26.353553973195098</v>
      </c>
      <c r="T29">
        <f t="shared" si="12"/>
        <v>27.036799999999999</v>
      </c>
      <c r="U29">
        <f t="shared" si="13"/>
        <v>3.5869028292634821</v>
      </c>
      <c r="V29">
        <f t="shared" si="14"/>
        <v>55.207626968141099</v>
      </c>
      <c r="W29">
        <f t="shared" si="15"/>
        <v>1.7279947421728596</v>
      </c>
      <c r="X29">
        <f t="shared" si="16"/>
        <v>3.1299927873553433</v>
      </c>
      <c r="Y29">
        <f t="shared" si="17"/>
        <v>1.8589080870906225</v>
      </c>
      <c r="Z29">
        <f t="shared" si="18"/>
        <v>-66.765930690709908</v>
      </c>
      <c r="AA29">
        <f t="shared" si="19"/>
        <v>-279.29992620747265</v>
      </c>
      <c r="AB29">
        <f t="shared" si="20"/>
        <v>-26.471695417213088</v>
      </c>
      <c r="AC29">
        <f t="shared" si="21"/>
        <v>-91.020276323507346</v>
      </c>
      <c r="AD29">
        <v>-4.1231604690195302E-2</v>
      </c>
      <c r="AE29">
        <v>4.6286088351700901E-2</v>
      </c>
      <c r="AF29">
        <v>3.4583982710754801</v>
      </c>
      <c r="AG29">
        <v>0</v>
      </c>
      <c r="AH29">
        <v>0</v>
      </c>
      <c r="AI29">
        <f t="shared" si="22"/>
        <v>1</v>
      </c>
      <c r="AJ29">
        <f t="shared" si="23"/>
        <v>0</v>
      </c>
      <c r="AK29">
        <f t="shared" si="24"/>
        <v>52973.096986751159</v>
      </c>
      <c r="AL29" t="s">
        <v>268</v>
      </c>
      <c r="AM29">
        <v>631.89076923076902</v>
      </c>
      <c r="AN29">
        <v>3514.37</v>
      </c>
      <c r="AO29">
        <f t="shared" si="25"/>
        <v>2882.479230769231</v>
      </c>
      <c r="AP29">
        <f t="shared" si="26"/>
        <v>0.82019799587670938</v>
      </c>
      <c r="AQ29">
        <v>-1.4218795309761501</v>
      </c>
      <c r="AR29" t="s">
        <v>336</v>
      </c>
      <c r="AS29">
        <v>785.68969230769198</v>
      </c>
      <c r="AT29">
        <v>1042.95</v>
      </c>
      <c r="AU29">
        <f t="shared" si="27"/>
        <v>0.24666600286908102</v>
      </c>
      <c r="AV29">
        <v>0.5</v>
      </c>
      <c r="AW29">
        <f t="shared" si="28"/>
        <v>1471.0188000963003</v>
      </c>
      <c r="AX29">
        <f t="shared" si="29"/>
        <v>26.844665186742976</v>
      </c>
      <c r="AY29">
        <f t="shared" si="30"/>
        <v>181.42516378251307</v>
      </c>
      <c r="AZ29">
        <f t="shared" si="31"/>
        <v>0.472036051584448</v>
      </c>
      <c r="BA29">
        <f t="shared" si="32"/>
        <v>1.921562437942238E-2</v>
      </c>
      <c r="BB29">
        <f t="shared" si="33"/>
        <v>2.3696437988398293</v>
      </c>
      <c r="BC29" t="s">
        <v>337</v>
      </c>
      <c r="BD29">
        <v>550.64</v>
      </c>
      <c r="BE29">
        <f t="shared" si="34"/>
        <v>492.31000000000006</v>
      </c>
      <c r="BF29">
        <f t="shared" si="35"/>
        <v>0.52255755051148267</v>
      </c>
      <c r="BG29">
        <f t="shared" si="36"/>
        <v>0.83388837714636621</v>
      </c>
      <c r="BH29">
        <f t="shared" si="37"/>
        <v>0.62584729507445169</v>
      </c>
      <c r="BI29">
        <f t="shared" si="38"/>
        <v>0.85739386206799006</v>
      </c>
      <c r="BJ29">
        <f t="shared" si="39"/>
        <v>1749.78</v>
      </c>
      <c r="BK29">
        <f t="shared" si="40"/>
        <v>1471.0188000963003</v>
      </c>
      <c r="BL29">
        <f t="shared" si="41"/>
        <v>0.84068785795717194</v>
      </c>
      <c r="BM29">
        <f t="shared" si="42"/>
        <v>0.19137571591434369</v>
      </c>
      <c r="BN29">
        <v>6</v>
      </c>
      <c r="BO29">
        <v>0.5</v>
      </c>
      <c r="BP29" t="s">
        <v>271</v>
      </c>
      <c r="BQ29">
        <v>1567877394.2</v>
      </c>
      <c r="BR29">
        <v>1165.6500000000001</v>
      </c>
      <c r="BS29">
        <v>1199.98</v>
      </c>
      <c r="BT29">
        <v>17.389299999999999</v>
      </c>
      <c r="BU29">
        <v>15.604200000000001</v>
      </c>
      <c r="BV29">
        <v>500.01900000000001</v>
      </c>
      <c r="BW29">
        <v>99.271199999999993</v>
      </c>
      <c r="BX29">
        <v>9.9950200000000003E-2</v>
      </c>
      <c r="BY29">
        <v>24.7361</v>
      </c>
      <c r="BZ29">
        <v>27.036799999999999</v>
      </c>
      <c r="CA29">
        <v>999.9</v>
      </c>
      <c r="CB29">
        <v>10016.200000000001</v>
      </c>
      <c r="CC29">
        <v>0</v>
      </c>
      <c r="CD29">
        <v>1894.68</v>
      </c>
      <c r="CE29">
        <v>1749.78</v>
      </c>
      <c r="CF29">
        <v>0.97700699999999996</v>
      </c>
      <c r="CG29">
        <v>2.2993199999999998E-2</v>
      </c>
      <c r="CH29">
        <v>0</v>
      </c>
      <c r="CI29">
        <v>785.20500000000004</v>
      </c>
      <c r="CJ29">
        <v>4.99986</v>
      </c>
      <c r="CK29">
        <v>16382.1</v>
      </c>
      <c r="CL29">
        <v>14219</v>
      </c>
      <c r="CM29">
        <v>44.061999999999998</v>
      </c>
      <c r="CN29">
        <v>46.625</v>
      </c>
      <c r="CO29">
        <v>45.061999999999998</v>
      </c>
      <c r="CP29">
        <v>45.311999999999998</v>
      </c>
      <c r="CQ29">
        <v>45.75</v>
      </c>
      <c r="CR29">
        <v>1704.66</v>
      </c>
      <c r="CS29">
        <v>40.119999999999997</v>
      </c>
      <c r="CT29">
        <v>0</v>
      </c>
      <c r="CU29">
        <v>103.799999952316</v>
      </c>
      <c r="CV29">
        <v>785.68969230769198</v>
      </c>
      <c r="CW29">
        <v>-3.1133675161699599</v>
      </c>
      <c r="CX29">
        <v>3.9965812395245401</v>
      </c>
      <c r="CY29">
        <v>16379.003846153801</v>
      </c>
      <c r="CZ29">
        <v>15</v>
      </c>
      <c r="DA29">
        <v>1567877348.8</v>
      </c>
      <c r="DB29" t="s">
        <v>338</v>
      </c>
      <c r="DC29">
        <v>60</v>
      </c>
      <c r="DD29">
        <v>5.5E-2</v>
      </c>
      <c r="DE29">
        <v>9.8000000000000004E-2</v>
      </c>
      <c r="DF29">
        <v>1200</v>
      </c>
      <c r="DG29">
        <v>15</v>
      </c>
      <c r="DH29">
        <v>0.08</v>
      </c>
      <c r="DI29">
        <v>0.05</v>
      </c>
      <c r="DJ29">
        <v>26.966123967595099</v>
      </c>
      <c r="DK29">
        <v>-1.6405405047617401E-2</v>
      </c>
      <c r="DL29">
        <v>0.16534788181035201</v>
      </c>
      <c r="DM29">
        <v>1</v>
      </c>
      <c r="DN29">
        <v>8.0918407267894898E-2</v>
      </c>
      <c r="DO29">
        <v>-4.7515407074860102E-3</v>
      </c>
      <c r="DP29">
        <v>1.1623442813948599E-3</v>
      </c>
      <c r="DQ29">
        <v>1</v>
      </c>
      <c r="DR29">
        <v>2</v>
      </c>
      <c r="DS29">
        <v>2</v>
      </c>
      <c r="DT29" t="s">
        <v>273</v>
      </c>
      <c r="DU29">
        <v>1.86676</v>
      </c>
      <c r="DV29">
        <v>1.8632500000000001</v>
      </c>
      <c r="DW29">
        <v>1.8689</v>
      </c>
      <c r="DX29">
        <v>1.8668199999999999</v>
      </c>
      <c r="DY29">
        <v>1.8714900000000001</v>
      </c>
      <c r="DZ29">
        <v>1.8640099999999999</v>
      </c>
      <c r="EA29">
        <v>1.86554</v>
      </c>
      <c r="EB29">
        <v>1.8655200000000001</v>
      </c>
      <c r="EC29" t="s">
        <v>274</v>
      </c>
      <c r="ED29" t="s">
        <v>19</v>
      </c>
      <c r="EE29" t="s">
        <v>19</v>
      </c>
      <c r="EF29" t="s">
        <v>19</v>
      </c>
      <c r="EG29" t="s">
        <v>275</v>
      </c>
      <c r="EH29" t="s">
        <v>276</v>
      </c>
      <c r="EI29" t="s">
        <v>277</v>
      </c>
      <c r="EJ29" t="s">
        <v>277</v>
      </c>
      <c r="EK29" t="s">
        <v>277</v>
      </c>
      <c r="EL29" t="s">
        <v>277</v>
      </c>
      <c r="EM29">
        <v>0</v>
      </c>
      <c r="EN29">
        <v>100</v>
      </c>
      <c r="EO29">
        <v>100</v>
      </c>
      <c r="EP29">
        <v>5.5E-2</v>
      </c>
      <c r="EQ29">
        <v>9.8000000000000004E-2</v>
      </c>
      <c r="ER29">
        <v>2</v>
      </c>
      <c r="ES29">
        <v>508.18</v>
      </c>
      <c r="ET29">
        <v>497.79300000000001</v>
      </c>
      <c r="EU29">
        <v>18.482299999999999</v>
      </c>
      <c r="EV29">
        <v>30.174900000000001</v>
      </c>
      <c r="EW29">
        <v>30.000599999999999</v>
      </c>
      <c r="EX29">
        <v>30.160399999999999</v>
      </c>
      <c r="EY29">
        <v>30.1599</v>
      </c>
      <c r="EZ29">
        <v>52.808999999999997</v>
      </c>
      <c r="FA29">
        <v>47.299700000000001</v>
      </c>
      <c r="FB29">
        <v>0</v>
      </c>
      <c r="FC29">
        <v>18.4756</v>
      </c>
      <c r="FD29">
        <v>1200</v>
      </c>
      <c r="FE29">
        <v>15.629799999999999</v>
      </c>
      <c r="FF29">
        <v>101.32599999999999</v>
      </c>
      <c r="FG29">
        <v>101.842</v>
      </c>
    </row>
    <row r="30" spans="1:163" x14ac:dyDescent="0.35">
      <c r="A30">
        <v>14</v>
      </c>
      <c r="B30">
        <v>1567877514.8</v>
      </c>
      <c r="C30">
        <v>1475.7000000476801</v>
      </c>
      <c r="D30" t="s">
        <v>339</v>
      </c>
      <c r="E30" t="s">
        <v>340</v>
      </c>
      <c r="G30">
        <v>1567877514.8</v>
      </c>
      <c r="H30">
        <f t="shared" si="0"/>
        <v>1.5110968632748001E-3</v>
      </c>
      <c r="I30">
        <f t="shared" si="1"/>
        <v>28.645012219370287</v>
      </c>
      <c r="J30">
        <f t="shared" si="2"/>
        <v>1462.79</v>
      </c>
      <c r="K30">
        <f t="shared" si="3"/>
        <v>845.8269104302799</v>
      </c>
      <c r="L30">
        <f t="shared" si="4"/>
        <v>84.052545597510402</v>
      </c>
      <c r="M30">
        <f t="shared" si="5"/>
        <v>145.36215584821701</v>
      </c>
      <c r="N30">
        <f t="shared" si="6"/>
        <v>8.0144821131209826E-2</v>
      </c>
      <c r="O30">
        <f t="shared" si="7"/>
        <v>2.2478977208424604</v>
      </c>
      <c r="P30">
        <f t="shared" si="8"/>
        <v>7.8590578119745083E-2</v>
      </c>
      <c r="Q30">
        <f t="shared" si="9"/>
        <v>4.9256243394546415E-2</v>
      </c>
      <c r="R30">
        <f t="shared" si="10"/>
        <v>281.54281184047807</v>
      </c>
      <c r="S30">
        <f t="shared" si="11"/>
        <v>26.26168724631329</v>
      </c>
      <c r="T30">
        <f t="shared" si="12"/>
        <v>26.9559</v>
      </c>
      <c r="U30">
        <f t="shared" si="13"/>
        <v>3.5698997768555403</v>
      </c>
      <c r="V30">
        <f t="shared" si="14"/>
        <v>54.944916878971796</v>
      </c>
      <c r="W30">
        <f t="shared" si="15"/>
        <v>1.7099647227272501</v>
      </c>
      <c r="X30">
        <f t="shared" si="16"/>
        <v>3.1121436155665165</v>
      </c>
      <c r="Y30">
        <f t="shared" si="17"/>
        <v>1.8599350541282902</v>
      </c>
      <c r="Z30">
        <f t="shared" si="18"/>
        <v>-66.639371670418683</v>
      </c>
      <c r="AA30">
        <f t="shared" si="19"/>
        <v>-280.61234668978898</v>
      </c>
      <c r="AB30">
        <f t="shared" si="20"/>
        <v>-26.618382979339366</v>
      </c>
      <c r="AC30">
        <f t="shared" si="21"/>
        <v>-92.327289499068968</v>
      </c>
      <c r="AD30">
        <v>-4.1127174824079203E-2</v>
      </c>
      <c r="AE30">
        <v>4.6168856678426899E-2</v>
      </c>
      <c r="AF30">
        <v>3.4514628744387501</v>
      </c>
      <c r="AG30">
        <v>0</v>
      </c>
      <c r="AH30">
        <v>0</v>
      </c>
      <c r="AI30">
        <f t="shared" si="22"/>
        <v>1</v>
      </c>
      <c r="AJ30">
        <f t="shared" si="23"/>
        <v>0</v>
      </c>
      <c r="AK30">
        <f t="shared" si="24"/>
        <v>52861.453641875247</v>
      </c>
      <c r="AL30" t="s">
        <v>268</v>
      </c>
      <c r="AM30">
        <v>631.89076923076902</v>
      </c>
      <c r="AN30">
        <v>3514.37</v>
      </c>
      <c r="AO30">
        <f t="shared" si="25"/>
        <v>2882.479230769231</v>
      </c>
      <c r="AP30">
        <f t="shared" si="26"/>
        <v>0.82019799587670938</v>
      </c>
      <c r="AQ30">
        <v>-1.4218795309761501</v>
      </c>
      <c r="AR30" t="s">
        <v>341</v>
      </c>
      <c r="AS30">
        <v>791.25857692307704</v>
      </c>
      <c r="AT30">
        <v>1053.57</v>
      </c>
      <c r="AU30">
        <f t="shared" si="27"/>
        <v>0.24897389169862749</v>
      </c>
      <c r="AV30">
        <v>0.5</v>
      </c>
      <c r="AW30">
        <f t="shared" si="28"/>
        <v>1471.1532000962914</v>
      </c>
      <c r="AX30">
        <f t="shared" si="29"/>
        <v>28.645012219370287</v>
      </c>
      <c r="AY30">
        <f t="shared" si="30"/>
        <v>183.13936875643165</v>
      </c>
      <c r="AZ30">
        <f t="shared" si="31"/>
        <v>0.47646573080099086</v>
      </c>
      <c r="BA30">
        <f t="shared" si="32"/>
        <v>2.0437634740133433E-2</v>
      </c>
      <c r="BB30">
        <f t="shared" si="33"/>
        <v>2.3356777432918556</v>
      </c>
      <c r="BC30" t="s">
        <v>342</v>
      </c>
      <c r="BD30">
        <v>551.58000000000004</v>
      </c>
      <c r="BE30">
        <f t="shared" si="34"/>
        <v>501.9899999999999</v>
      </c>
      <c r="BF30">
        <f t="shared" si="35"/>
        <v>0.52254312451826324</v>
      </c>
      <c r="BG30">
        <f t="shared" si="36"/>
        <v>0.83056848443527898</v>
      </c>
      <c r="BH30">
        <f t="shared" si="37"/>
        <v>0.62206389107287097</v>
      </c>
      <c r="BI30">
        <f t="shared" si="38"/>
        <v>0.85370953370002267</v>
      </c>
      <c r="BJ30">
        <f t="shared" si="39"/>
        <v>1749.94</v>
      </c>
      <c r="BK30">
        <f t="shared" si="40"/>
        <v>1471.1532000962914</v>
      </c>
      <c r="BL30">
        <f t="shared" si="41"/>
        <v>0.84068779506514013</v>
      </c>
      <c r="BM30">
        <f t="shared" si="42"/>
        <v>0.19137559013028027</v>
      </c>
      <c r="BN30">
        <v>6</v>
      </c>
      <c r="BO30">
        <v>0.5</v>
      </c>
      <c r="BP30" t="s">
        <v>271</v>
      </c>
      <c r="BQ30">
        <v>1567877514.8</v>
      </c>
      <c r="BR30">
        <v>1462.79</v>
      </c>
      <c r="BS30">
        <v>1499.81</v>
      </c>
      <c r="BT30">
        <v>17.2075</v>
      </c>
      <c r="BU30">
        <v>15.425700000000001</v>
      </c>
      <c r="BV30">
        <v>500.08800000000002</v>
      </c>
      <c r="BW30">
        <v>99.273300000000006</v>
      </c>
      <c r="BX30">
        <v>9.9922300000000006E-2</v>
      </c>
      <c r="BY30">
        <v>24.6404</v>
      </c>
      <c r="BZ30">
        <v>26.9559</v>
      </c>
      <c r="CA30">
        <v>999.9</v>
      </c>
      <c r="CB30">
        <v>9990.6200000000008</v>
      </c>
      <c r="CC30">
        <v>0</v>
      </c>
      <c r="CD30">
        <v>1901.55</v>
      </c>
      <c r="CE30">
        <v>1749.94</v>
      </c>
      <c r="CF30">
        <v>0.97700699999999996</v>
      </c>
      <c r="CG30">
        <v>2.2993199999999998E-2</v>
      </c>
      <c r="CH30">
        <v>0</v>
      </c>
      <c r="CI30">
        <v>790.57</v>
      </c>
      <c r="CJ30">
        <v>4.99986</v>
      </c>
      <c r="CK30">
        <v>16492.3</v>
      </c>
      <c r="CL30">
        <v>14220.3</v>
      </c>
      <c r="CM30">
        <v>44</v>
      </c>
      <c r="CN30">
        <v>46.686999999999998</v>
      </c>
      <c r="CO30">
        <v>45.125</v>
      </c>
      <c r="CP30">
        <v>45.186999999999998</v>
      </c>
      <c r="CQ30">
        <v>45.686999999999998</v>
      </c>
      <c r="CR30">
        <v>1704.82</v>
      </c>
      <c r="CS30">
        <v>40.119999999999997</v>
      </c>
      <c r="CT30">
        <v>0</v>
      </c>
      <c r="CU30">
        <v>119.799999952316</v>
      </c>
      <c r="CV30">
        <v>791.25857692307704</v>
      </c>
      <c r="CW30">
        <v>-2.27230769439084</v>
      </c>
      <c r="CX30">
        <v>-130.70769258886199</v>
      </c>
      <c r="CY30">
        <v>16509.269230769201</v>
      </c>
      <c r="CZ30">
        <v>15</v>
      </c>
      <c r="DA30">
        <v>1567877472.3</v>
      </c>
      <c r="DB30" t="s">
        <v>343</v>
      </c>
      <c r="DC30">
        <v>61</v>
      </c>
      <c r="DD30">
        <v>0.112</v>
      </c>
      <c r="DE30">
        <v>9.7000000000000003E-2</v>
      </c>
      <c r="DF30">
        <v>1500</v>
      </c>
      <c r="DG30">
        <v>15</v>
      </c>
      <c r="DH30">
        <v>7.0000000000000007E-2</v>
      </c>
      <c r="DI30">
        <v>0.04</v>
      </c>
      <c r="DJ30">
        <v>28.0112783092246</v>
      </c>
      <c r="DK30">
        <v>6.9389061286569396</v>
      </c>
      <c r="DL30">
        <v>3.3921341707285402</v>
      </c>
      <c r="DM30">
        <v>0</v>
      </c>
      <c r="DN30">
        <v>7.7464217212595804E-2</v>
      </c>
      <c r="DO30">
        <v>2.6404516211658499E-2</v>
      </c>
      <c r="DP30">
        <v>9.9086944703862308E-3</v>
      </c>
      <c r="DQ30">
        <v>1</v>
      </c>
      <c r="DR30">
        <v>1</v>
      </c>
      <c r="DS30">
        <v>2</v>
      </c>
      <c r="DT30" t="s">
        <v>288</v>
      </c>
      <c r="DU30">
        <v>1.86676</v>
      </c>
      <c r="DV30">
        <v>1.8632500000000001</v>
      </c>
      <c r="DW30">
        <v>1.8689</v>
      </c>
      <c r="DX30">
        <v>1.8668800000000001</v>
      </c>
      <c r="DY30">
        <v>1.87155</v>
      </c>
      <c r="DZ30">
        <v>1.8640099999999999</v>
      </c>
      <c r="EA30">
        <v>1.86557</v>
      </c>
      <c r="EB30">
        <v>1.86554</v>
      </c>
      <c r="EC30" t="s">
        <v>274</v>
      </c>
      <c r="ED30" t="s">
        <v>19</v>
      </c>
      <c r="EE30" t="s">
        <v>19</v>
      </c>
      <c r="EF30" t="s">
        <v>19</v>
      </c>
      <c r="EG30" t="s">
        <v>275</v>
      </c>
      <c r="EH30" t="s">
        <v>276</v>
      </c>
      <c r="EI30" t="s">
        <v>277</v>
      </c>
      <c r="EJ30" t="s">
        <v>277</v>
      </c>
      <c r="EK30" t="s">
        <v>277</v>
      </c>
      <c r="EL30" t="s">
        <v>277</v>
      </c>
      <c r="EM30">
        <v>0</v>
      </c>
      <c r="EN30">
        <v>100</v>
      </c>
      <c r="EO30">
        <v>100</v>
      </c>
      <c r="EP30">
        <v>0.112</v>
      </c>
      <c r="EQ30">
        <v>9.7000000000000003E-2</v>
      </c>
      <c r="ER30">
        <v>2</v>
      </c>
      <c r="ES30">
        <v>508.30799999999999</v>
      </c>
      <c r="ET30">
        <v>497.78500000000003</v>
      </c>
      <c r="EU30">
        <v>19.087</v>
      </c>
      <c r="EV30">
        <v>30.230499999999999</v>
      </c>
      <c r="EW30">
        <v>30</v>
      </c>
      <c r="EX30">
        <v>30.212199999999999</v>
      </c>
      <c r="EY30">
        <v>30.206900000000001</v>
      </c>
      <c r="EZ30">
        <v>63.1113</v>
      </c>
      <c r="FA30">
        <v>48.392000000000003</v>
      </c>
      <c r="FB30">
        <v>0</v>
      </c>
      <c r="FC30">
        <v>19.120899999999999</v>
      </c>
      <c r="FD30">
        <v>1500</v>
      </c>
      <c r="FE30">
        <v>15.4285</v>
      </c>
      <c r="FF30">
        <v>101.315</v>
      </c>
      <c r="FG30">
        <v>101.83199999999999</v>
      </c>
    </row>
    <row r="31" spans="1:163" x14ac:dyDescent="0.35">
      <c r="A31">
        <v>15</v>
      </c>
      <c r="B31">
        <v>1567877624.8</v>
      </c>
      <c r="C31">
        <v>1585.7000000476801</v>
      </c>
      <c r="D31" t="s">
        <v>344</v>
      </c>
      <c r="E31" t="s">
        <v>345</v>
      </c>
      <c r="G31">
        <v>1567877624.8</v>
      </c>
      <c r="H31">
        <f t="shared" si="0"/>
        <v>1.2682855397761811E-3</v>
      </c>
      <c r="I31">
        <f t="shared" si="1"/>
        <v>30.269734164454263</v>
      </c>
      <c r="J31">
        <f t="shared" si="2"/>
        <v>1761</v>
      </c>
      <c r="K31">
        <f t="shared" si="3"/>
        <v>984.89358095365401</v>
      </c>
      <c r="L31">
        <f t="shared" si="4"/>
        <v>97.873767105781198</v>
      </c>
      <c r="M31">
        <f t="shared" si="5"/>
        <v>174.99931688699999</v>
      </c>
      <c r="N31">
        <f t="shared" si="6"/>
        <v>6.6924285063259398E-2</v>
      </c>
      <c r="O31">
        <f t="shared" si="7"/>
        <v>2.2535601201433999</v>
      </c>
      <c r="P31">
        <f t="shared" si="8"/>
        <v>6.5839453803786405E-2</v>
      </c>
      <c r="Q31">
        <f t="shared" si="9"/>
        <v>4.1245661600160737E-2</v>
      </c>
      <c r="R31">
        <f t="shared" si="10"/>
        <v>281.58815088776834</v>
      </c>
      <c r="S31">
        <f t="shared" si="11"/>
        <v>26.409397954102566</v>
      </c>
      <c r="T31">
        <f t="shared" si="12"/>
        <v>27.066099999999999</v>
      </c>
      <c r="U31">
        <f t="shared" si="13"/>
        <v>3.59307833281835</v>
      </c>
      <c r="V31">
        <f t="shared" si="14"/>
        <v>55.356511405302435</v>
      </c>
      <c r="W31">
        <f t="shared" si="15"/>
        <v>1.7300585504898001</v>
      </c>
      <c r="X31">
        <f t="shared" si="16"/>
        <v>3.1253027088771406</v>
      </c>
      <c r="Y31">
        <f t="shared" si="17"/>
        <v>1.8630197823285499</v>
      </c>
      <c r="Z31">
        <f t="shared" si="18"/>
        <v>-55.931392304129588</v>
      </c>
      <c r="AA31">
        <f t="shared" si="19"/>
        <v>-286.13036207265736</v>
      </c>
      <c r="AB31">
        <f t="shared" si="20"/>
        <v>-27.098208437750507</v>
      </c>
      <c r="AC31">
        <f t="shared" si="21"/>
        <v>-87.571811926769129</v>
      </c>
      <c r="AD31">
        <v>-4.12796595500865E-2</v>
      </c>
      <c r="AE31">
        <v>4.6340034141765699E-2</v>
      </c>
      <c r="AF31">
        <v>3.4615876590959198</v>
      </c>
      <c r="AG31">
        <v>0</v>
      </c>
      <c r="AH31">
        <v>0</v>
      </c>
      <c r="AI31">
        <f t="shared" si="22"/>
        <v>1</v>
      </c>
      <c r="AJ31">
        <f t="shared" si="23"/>
        <v>0</v>
      </c>
      <c r="AK31">
        <f t="shared" si="24"/>
        <v>53036.832053710481</v>
      </c>
      <c r="AL31" t="s">
        <v>268</v>
      </c>
      <c r="AM31">
        <v>631.89076923076902</v>
      </c>
      <c r="AN31">
        <v>3514.37</v>
      </c>
      <c r="AO31">
        <f t="shared" si="25"/>
        <v>2882.479230769231</v>
      </c>
      <c r="AP31">
        <f t="shared" si="26"/>
        <v>0.82019799587670938</v>
      </c>
      <c r="AQ31">
        <v>-1.4218795309761501</v>
      </c>
      <c r="AR31" t="s">
        <v>346</v>
      </c>
      <c r="AS31">
        <v>790.80761538461502</v>
      </c>
      <c r="AT31">
        <v>1054.57</v>
      </c>
      <c r="AU31">
        <f t="shared" si="27"/>
        <v>0.25011368104097875</v>
      </c>
      <c r="AV31">
        <v>0.5</v>
      </c>
      <c r="AW31">
        <f t="shared" si="28"/>
        <v>1471.3812000963724</v>
      </c>
      <c r="AX31">
        <f t="shared" si="29"/>
        <v>30.269734164454263</v>
      </c>
      <c r="AY31">
        <f t="shared" si="30"/>
        <v>184.00628408529832</v>
      </c>
      <c r="AZ31">
        <f t="shared" si="31"/>
        <v>0.47582426960751772</v>
      </c>
      <c r="BA31">
        <f t="shared" si="32"/>
        <v>2.1538683308822131E-2</v>
      </c>
      <c r="BB31">
        <f t="shared" si="33"/>
        <v>2.3325146742274105</v>
      </c>
      <c r="BC31" t="s">
        <v>347</v>
      </c>
      <c r="BD31">
        <v>552.78</v>
      </c>
      <c r="BE31">
        <f t="shared" si="34"/>
        <v>501.78999999999996</v>
      </c>
      <c r="BF31">
        <f t="shared" si="35"/>
        <v>0.5256429674074512</v>
      </c>
      <c r="BG31">
        <f t="shared" si="36"/>
        <v>0.8305673641523641</v>
      </c>
      <c r="BH31">
        <f t="shared" si="37"/>
        <v>0.62402494708662559</v>
      </c>
      <c r="BI31">
        <f t="shared" si="38"/>
        <v>0.85336261012488446</v>
      </c>
      <c r="BJ31">
        <f t="shared" si="39"/>
        <v>1750.21</v>
      </c>
      <c r="BK31">
        <f t="shared" si="40"/>
        <v>1471.3812000963724</v>
      </c>
      <c r="BL31">
        <f t="shared" si="41"/>
        <v>0.84068837459297585</v>
      </c>
      <c r="BM31">
        <f t="shared" si="42"/>
        <v>0.19137674918595188</v>
      </c>
      <c r="BN31">
        <v>6</v>
      </c>
      <c r="BO31">
        <v>0.5</v>
      </c>
      <c r="BP31" t="s">
        <v>271</v>
      </c>
      <c r="BQ31">
        <v>1567877624.8</v>
      </c>
      <c r="BR31">
        <v>1761</v>
      </c>
      <c r="BS31">
        <v>1800</v>
      </c>
      <c r="BT31">
        <v>17.409400000000002</v>
      </c>
      <c r="BU31">
        <v>15.914099999999999</v>
      </c>
      <c r="BV31">
        <v>500.04899999999998</v>
      </c>
      <c r="BW31">
        <v>99.274900000000002</v>
      </c>
      <c r="BX31">
        <v>0.100067</v>
      </c>
      <c r="BY31">
        <v>24.710999999999999</v>
      </c>
      <c r="BZ31">
        <v>27.066099999999999</v>
      </c>
      <c r="CA31">
        <v>999.9</v>
      </c>
      <c r="CB31">
        <v>10027.5</v>
      </c>
      <c r="CC31">
        <v>0</v>
      </c>
      <c r="CD31">
        <v>1898.82</v>
      </c>
      <c r="CE31">
        <v>1750.21</v>
      </c>
      <c r="CF31">
        <v>0.97698799999999997</v>
      </c>
      <c r="CG31">
        <v>2.30116E-2</v>
      </c>
      <c r="CH31">
        <v>0</v>
      </c>
      <c r="CI31">
        <v>790.28300000000002</v>
      </c>
      <c r="CJ31">
        <v>4.99986</v>
      </c>
      <c r="CK31">
        <v>16482.2</v>
      </c>
      <c r="CL31">
        <v>14222.4</v>
      </c>
      <c r="CM31">
        <v>44</v>
      </c>
      <c r="CN31">
        <v>46.625</v>
      </c>
      <c r="CO31">
        <v>45.125</v>
      </c>
      <c r="CP31">
        <v>45.25</v>
      </c>
      <c r="CQ31">
        <v>45.686999999999998</v>
      </c>
      <c r="CR31">
        <v>1705.05</v>
      </c>
      <c r="CS31">
        <v>40.159999999999997</v>
      </c>
      <c r="CT31">
        <v>0</v>
      </c>
      <c r="CU31">
        <v>109.799999952316</v>
      </c>
      <c r="CV31">
        <v>790.80761538461502</v>
      </c>
      <c r="CW31">
        <v>-2.1300512701340599</v>
      </c>
      <c r="CX31">
        <v>-23.480341976926599</v>
      </c>
      <c r="CY31">
        <v>16488.461538461499</v>
      </c>
      <c r="CZ31">
        <v>15</v>
      </c>
      <c r="DA31">
        <v>1567877578.8</v>
      </c>
      <c r="DB31" t="s">
        <v>348</v>
      </c>
      <c r="DC31">
        <v>62</v>
      </c>
      <c r="DD31">
        <v>2.3E-2</v>
      </c>
      <c r="DE31">
        <v>0.1</v>
      </c>
      <c r="DF31">
        <v>1800</v>
      </c>
      <c r="DG31">
        <v>15</v>
      </c>
      <c r="DH31">
        <v>0.09</v>
      </c>
      <c r="DI31">
        <v>0.04</v>
      </c>
      <c r="DJ31">
        <v>30.318303807238699</v>
      </c>
      <c r="DK31">
        <v>0.224039728540503</v>
      </c>
      <c r="DL31">
        <v>0.157952420808914</v>
      </c>
      <c r="DM31">
        <v>1</v>
      </c>
      <c r="DN31">
        <v>6.8389687354210096E-2</v>
      </c>
      <c r="DO31">
        <v>-5.2016016867217898E-3</v>
      </c>
      <c r="DP31">
        <v>1.4574372828110901E-3</v>
      </c>
      <c r="DQ31">
        <v>1</v>
      </c>
      <c r="DR31">
        <v>2</v>
      </c>
      <c r="DS31">
        <v>2</v>
      </c>
      <c r="DT31" t="s">
        <v>273</v>
      </c>
      <c r="DU31">
        <v>1.86676</v>
      </c>
      <c r="DV31">
        <v>1.8632500000000001</v>
      </c>
      <c r="DW31">
        <v>1.8689</v>
      </c>
      <c r="DX31">
        <v>1.86686</v>
      </c>
      <c r="DY31">
        <v>1.87151</v>
      </c>
      <c r="DZ31">
        <v>1.8640000000000001</v>
      </c>
      <c r="EA31">
        <v>1.86554</v>
      </c>
      <c r="EB31">
        <v>1.86551</v>
      </c>
      <c r="EC31" t="s">
        <v>274</v>
      </c>
      <c r="ED31" t="s">
        <v>19</v>
      </c>
      <c r="EE31" t="s">
        <v>19</v>
      </c>
      <c r="EF31" t="s">
        <v>19</v>
      </c>
      <c r="EG31" t="s">
        <v>275</v>
      </c>
      <c r="EH31" t="s">
        <v>276</v>
      </c>
      <c r="EI31" t="s">
        <v>277</v>
      </c>
      <c r="EJ31" t="s">
        <v>277</v>
      </c>
      <c r="EK31" t="s">
        <v>277</v>
      </c>
      <c r="EL31" t="s">
        <v>277</v>
      </c>
      <c r="EM31">
        <v>0</v>
      </c>
      <c r="EN31">
        <v>100</v>
      </c>
      <c r="EO31">
        <v>100</v>
      </c>
      <c r="EP31">
        <v>2.3E-2</v>
      </c>
      <c r="EQ31">
        <v>0.1</v>
      </c>
      <c r="ER31">
        <v>2</v>
      </c>
      <c r="ES31">
        <v>508.28100000000001</v>
      </c>
      <c r="ET31">
        <v>498.65499999999997</v>
      </c>
      <c r="EU31">
        <v>18.363199999999999</v>
      </c>
      <c r="EV31">
        <v>30.209700000000002</v>
      </c>
      <c r="EW31">
        <v>30.000299999999999</v>
      </c>
      <c r="EX31">
        <v>30.217500000000001</v>
      </c>
      <c r="EY31">
        <v>30.2148</v>
      </c>
      <c r="EZ31">
        <v>72.8506</v>
      </c>
      <c r="FA31">
        <v>46.5961</v>
      </c>
      <c r="FB31">
        <v>0</v>
      </c>
      <c r="FC31">
        <v>18.299199999999999</v>
      </c>
      <c r="FD31">
        <v>1800</v>
      </c>
      <c r="FE31">
        <v>15.818300000000001</v>
      </c>
      <c r="FF31">
        <v>101.315</v>
      </c>
      <c r="FG31">
        <v>101.833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t="s">
        <v>3</v>
      </c>
    </row>
    <row r="3" spans="1:2" x14ac:dyDescent="0.35">
      <c r="A3" t="s">
        <v>4</v>
      </c>
      <c r="B3" t="s">
        <v>5</v>
      </c>
    </row>
    <row r="4" spans="1:2" x14ac:dyDescent="0.35">
      <c r="A4" t="s">
        <v>6</v>
      </c>
      <c r="B4" t="s">
        <v>7</v>
      </c>
    </row>
    <row r="5" spans="1:2" x14ac:dyDescent="0.35">
      <c r="A5" t="s">
        <v>8</v>
      </c>
      <c r="B5" t="s">
        <v>9</v>
      </c>
    </row>
    <row r="6" spans="1:2" x14ac:dyDescent="0.35">
      <c r="A6" t="s">
        <v>10</v>
      </c>
      <c r="B6" t="s">
        <v>11</v>
      </c>
    </row>
    <row r="7" spans="1:2" x14ac:dyDescent="0.35">
      <c r="A7" t="s">
        <v>12</v>
      </c>
      <c r="B7" t="s">
        <v>13</v>
      </c>
    </row>
    <row r="8" spans="1:2" x14ac:dyDescent="0.35">
      <c r="A8" t="s">
        <v>14</v>
      </c>
      <c r="B8" t="s">
        <v>15</v>
      </c>
    </row>
    <row r="9" spans="1:2" x14ac:dyDescent="0.35">
      <c r="A9" t="s">
        <v>16</v>
      </c>
      <c r="B9" t="s">
        <v>17</v>
      </c>
    </row>
    <row r="10" spans="1:2" x14ac:dyDescent="0.35">
      <c r="A10" t="s">
        <v>18</v>
      </c>
      <c r="B10" t="s">
        <v>19</v>
      </c>
    </row>
    <row r="11" spans="1:2" x14ac:dyDescent="0.35">
      <c r="A11" t="s">
        <v>20</v>
      </c>
      <c r="B11" t="s">
        <v>19</v>
      </c>
    </row>
    <row r="12" spans="1:2" x14ac:dyDescent="0.35">
      <c r="A12" t="s">
        <v>21</v>
      </c>
      <c r="B12" t="s">
        <v>17</v>
      </c>
    </row>
    <row r="13" spans="1:2" x14ac:dyDescent="0.35">
      <c r="A13" t="s">
        <v>22</v>
      </c>
      <c r="B13" t="s">
        <v>11</v>
      </c>
    </row>
    <row r="14" spans="1:2" x14ac:dyDescent="0.35">
      <c r="A14" t="s">
        <v>23</v>
      </c>
      <c r="B14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Jiang, Chongya</dc:creator>
  <cp:lastModifiedBy>Jiang, Chongya</cp:lastModifiedBy>
  <dcterms:created xsi:type="dcterms:W3CDTF">2019-09-07T12:46:08Z</dcterms:created>
  <dcterms:modified xsi:type="dcterms:W3CDTF">2019-09-18T16:07:51Z</dcterms:modified>
</cp:coreProperties>
</file>