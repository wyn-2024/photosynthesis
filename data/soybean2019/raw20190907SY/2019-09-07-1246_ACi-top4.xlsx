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ngya\Documents\Guapi\A-Ci\raw20190907SY\"/>
    </mc:Choice>
  </mc:AlternateContent>
  <bookViews>
    <workbookView xWindow="240" yWindow="20" windowWidth="16100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M31" i="1" l="1"/>
  <c r="BL31" i="1"/>
  <c r="BJ31" i="1"/>
  <c r="BK31" i="1" s="1"/>
  <c r="BI31" i="1"/>
  <c r="BH31" i="1"/>
  <c r="BG31" i="1"/>
  <c r="BF31" i="1"/>
  <c r="BE31" i="1"/>
  <c r="BB31" i="1"/>
  <c r="AZ31" i="1"/>
  <c r="AU31" i="1"/>
  <c r="AP31" i="1"/>
  <c r="AO31" i="1"/>
  <c r="AK31" i="1"/>
  <c r="AJ31" i="1"/>
  <c r="AI31" i="1"/>
  <c r="M31" i="1" s="1"/>
  <c r="X31" i="1"/>
  <c r="W31" i="1"/>
  <c r="V31" i="1" s="1"/>
  <c r="O31" i="1"/>
  <c r="J31" i="1"/>
  <c r="H31" i="1"/>
  <c r="Z31" i="1" s="1"/>
  <c r="BM30" i="1"/>
  <c r="BL30" i="1"/>
  <c r="BJ30" i="1"/>
  <c r="BK30" i="1" s="1"/>
  <c r="AW30" i="1" s="1"/>
  <c r="AY30" i="1" s="1"/>
  <c r="BI30" i="1"/>
  <c r="BH30" i="1"/>
  <c r="BG30" i="1"/>
  <c r="BF30" i="1"/>
  <c r="BE30" i="1"/>
  <c r="AZ30" i="1" s="1"/>
  <c r="BB30" i="1"/>
  <c r="AU30" i="1"/>
  <c r="AP30" i="1"/>
  <c r="AO30" i="1"/>
  <c r="AK30" i="1"/>
  <c r="AI30" i="1"/>
  <c r="X30" i="1"/>
  <c r="W30" i="1"/>
  <c r="V30" i="1"/>
  <c r="R30" i="1"/>
  <c r="O30" i="1"/>
  <c r="J30" i="1"/>
  <c r="BM29" i="1"/>
  <c r="BL29" i="1"/>
  <c r="BK29" i="1" s="1"/>
  <c r="BJ29" i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/>
  <c r="AJ29" i="1" s="1"/>
  <c r="X29" i="1"/>
  <c r="V29" i="1" s="1"/>
  <c r="W29" i="1"/>
  <c r="O29" i="1"/>
  <c r="M29" i="1"/>
  <c r="J29" i="1"/>
  <c r="I29" i="1"/>
  <c r="AX29" i="1" s="1"/>
  <c r="H29" i="1"/>
  <c r="BM28" i="1"/>
  <c r="BL28" i="1"/>
  <c r="BK28" i="1"/>
  <c r="R28" i="1" s="1"/>
  <c r="BJ28" i="1"/>
  <c r="BI28" i="1"/>
  <c r="BH28" i="1"/>
  <c r="BG28" i="1"/>
  <c r="BF28" i="1"/>
  <c r="BE28" i="1"/>
  <c r="BB28" i="1"/>
  <c r="AZ28" i="1"/>
  <c r="AU28" i="1"/>
  <c r="AO28" i="1"/>
  <c r="AP28" i="1" s="1"/>
  <c r="AK28" i="1"/>
  <c r="AI28" i="1" s="1"/>
  <c r="X28" i="1"/>
  <c r="W28" i="1"/>
  <c r="V28" i="1" s="1"/>
  <c r="O28" i="1"/>
  <c r="BM27" i="1"/>
  <c r="BL27" i="1"/>
  <c r="BJ27" i="1"/>
  <c r="BK27" i="1" s="1"/>
  <c r="BI27" i="1"/>
  <c r="BH27" i="1"/>
  <c r="BG27" i="1"/>
  <c r="BF27" i="1"/>
  <c r="BE27" i="1"/>
  <c r="BB27" i="1"/>
  <c r="AZ27" i="1"/>
  <c r="AU27" i="1"/>
  <c r="AP27" i="1"/>
  <c r="AO27" i="1"/>
  <c r="AK27" i="1"/>
  <c r="AJ27" i="1"/>
  <c r="AI27" i="1"/>
  <c r="M27" i="1" s="1"/>
  <c r="X27" i="1"/>
  <c r="W27" i="1"/>
  <c r="V27" i="1" s="1"/>
  <c r="O27" i="1"/>
  <c r="J27" i="1"/>
  <c r="BM26" i="1"/>
  <c r="R26" i="1" s="1"/>
  <c r="BL26" i="1"/>
  <c r="BJ26" i="1"/>
  <c r="BK26" i="1" s="1"/>
  <c r="AW26" i="1" s="1"/>
  <c r="BI26" i="1"/>
  <c r="BH26" i="1"/>
  <c r="BG26" i="1"/>
  <c r="BF26" i="1"/>
  <c r="BE26" i="1"/>
  <c r="AZ26" i="1" s="1"/>
  <c r="BB26" i="1"/>
  <c r="AY26" i="1"/>
  <c r="AU26" i="1"/>
  <c r="AP26" i="1"/>
  <c r="AO26" i="1"/>
  <c r="AK26" i="1"/>
  <c r="AI26" i="1"/>
  <c r="X26" i="1"/>
  <c r="W26" i="1"/>
  <c r="V26" i="1"/>
  <c r="O26" i="1"/>
  <c r="J26" i="1"/>
  <c r="BM25" i="1"/>
  <c r="BL25" i="1"/>
  <c r="BK25" i="1" s="1"/>
  <c r="BJ25" i="1"/>
  <c r="BI25" i="1"/>
  <c r="BH25" i="1"/>
  <c r="BG25" i="1"/>
  <c r="BF25" i="1"/>
  <c r="BE25" i="1"/>
  <c r="AZ25" i="1" s="1"/>
  <c r="BB25" i="1"/>
  <c r="AU25" i="1"/>
  <c r="AO25" i="1"/>
  <c r="AP25" i="1" s="1"/>
  <c r="AK25" i="1"/>
  <c r="AI25" i="1" s="1"/>
  <c r="X25" i="1"/>
  <c r="V25" i="1" s="1"/>
  <c r="W25" i="1"/>
  <c r="O25" i="1"/>
  <c r="M25" i="1"/>
  <c r="I25" i="1"/>
  <c r="AX25" i="1" s="1"/>
  <c r="BM24" i="1"/>
  <c r="BL24" i="1"/>
  <c r="BK24" i="1"/>
  <c r="R24" i="1" s="1"/>
  <c r="BJ24" i="1"/>
  <c r="BI24" i="1"/>
  <c r="BH24" i="1"/>
  <c r="BG24" i="1"/>
  <c r="BF24" i="1"/>
  <c r="BE24" i="1"/>
  <c r="BB24" i="1"/>
  <c r="AZ24" i="1"/>
  <c r="AU24" i="1"/>
  <c r="AO24" i="1"/>
  <c r="AP24" i="1" s="1"/>
  <c r="AK24" i="1"/>
  <c r="AI24" i="1" s="1"/>
  <c r="H24" i="1" s="1"/>
  <c r="X24" i="1"/>
  <c r="W24" i="1"/>
  <c r="V24" i="1" s="1"/>
  <c r="O24" i="1"/>
  <c r="BM23" i="1"/>
  <c r="BL23" i="1"/>
  <c r="BJ23" i="1"/>
  <c r="BK23" i="1" s="1"/>
  <c r="BI23" i="1"/>
  <c r="BH23" i="1"/>
  <c r="BG23" i="1"/>
  <c r="BF23" i="1"/>
  <c r="BE23" i="1"/>
  <c r="BB23" i="1"/>
  <c r="AZ23" i="1"/>
  <c r="AU23" i="1"/>
  <c r="AP23" i="1"/>
  <c r="AO23" i="1"/>
  <c r="AK23" i="1"/>
  <c r="AJ23" i="1"/>
  <c r="AI23" i="1"/>
  <c r="M23" i="1" s="1"/>
  <c r="X23" i="1"/>
  <c r="W23" i="1"/>
  <c r="V23" i="1" s="1"/>
  <c r="O23" i="1"/>
  <c r="J23" i="1"/>
  <c r="BM22" i="1"/>
  <c r="R22" i="1" s="1"/>
  <c r="BL22" i="1"/>
  <c r="BJ22" i="1"/>
  <c r="BK22" i="1" s="1"/>
  <c r="AW22" i="1" s="1"/>
  <c r="BI22" i="1"/>
  <c r="BH22" i="1"/>
  <c r="BG22" i="1"/>
  <c r="BF22" i="1"/>
  <c r="BE22" i="1"/>
  <c r="AZ22" i="1" s="1"/>
  <c r="BB22" i="1"/>
  <c r="AY22" i="1"/>
  <c r="AU22" i="1"/>
  <c r="AP22" i="1"/>
  <c r="AO22" i="1"/>
  <c r="AK22" i="1"/>
  <c r="AI22" i="1"/>
  <c r="X22" i="1"/>
  <c r="W22" i="1"/>
  <c r="V22" i="1"/>
  <c r="O22" i="1"/>
  <c r="J22" i="1"/>
  <c r="BM21" i="1"/>
  <c r="BL21" i="1"/>
  <c r="BK21" i="1" s="1"/>
  <c r="BJ21" i="1"/>
  <c r="BI21" i="1"/>
  <c r="BH21" i="1"/>
  <c r="BG21" i="1"/>
  <c r="BF21" i="1"/>
  <c r="BE21" i="1"/>
  <c r="AZ21" i="1" s="1"/>
  <c r="BB21" i="1"/>
  <c r="AU21" i="1"/>
  <c r="AO21" i="1"/>
  <c r="AP21" i="1" s="1"/>
  <c r="AK21" i="1"/>
  <c r="AI21" i="1" s="1"/>
  <c r="X21" i="1"/>
  <c r="V21" i="1" s="1"/>
  <c r="W21" i="1"/>
  <c r="O21" i="1"/>
  <c r="I21" i="1"/>
  <c r="AX21" i="1" s="1"/>
  <c r="BM20" i="1"/>
  <c r="BL20" i="1"/>
  <c r="BK20" i="1"/>
  <c r="R20" i="1" s="1"/>
  <c r="BJ20" i="1"/>
  <c r="BI20" i="1"/>
  <c r="BH20" i="1"/>
  <c r="BG20" i="1"/>
  <c r="BF20" i="1"/>
  <c r="BE20" i="1"/>
  <c r="BB20" i="1"/>
  <c r="AZ20" i="1"/>
  <c r="AU20" i="1"/>
  <c r="AO20" i="1"/>
  <c r="AP20" i="1" s="1"/>
  <c r="AK20" i="1"/>
  <c r="AI20" i="1" s="1"/>
  <c r="AJ20" i="1" s="1"/>
  <c r="X20" i="1"/>
  <c r="W20" i="1"/>
  <c r="S20" i="1"/>
  <c r="T20" i="1" s="1"/>
  <c r="O20" i="1"/>
  <c r="H20" i="1"/>
  <c r="Z20" i="1" s="1"/>
  <c r="BM19" i="1"/>
  <c r="BL19" i="1"/>
  <c r="BJ19" i="1"/>
  <c r="BK19" i="1" s="1"/>
  <c r="AW19" i="1" s="1"/>
  <c r="AY19" i="1" s="1"/>
  <c r="BI19" i="1"/>
  <c r="BH19" i="1"/>
  <c r="BG19" i="1"/>
  <c r="BF19" i="1"/>
  <c r="BE19" i="1"/>
  <c r="BB19" i="1"/>
  <c r="AZ19" i="1"/>
  <c r="AU19" i="1"/>
  <c r="AO19" i="1"/>
  <c r="AP19" i="1" s="1"/>
  <c r="AK19" i="1"/>
  <c r="AJ19" i="1"/>
  <c r="AI19" i="1"/>
  <c r="X19" i="1"/>
  <c r="W19" i="1"/>
  <c r="V19" i="1" s="1"/>
  <c r="O19" i="1"/>
  <c r="M19" i="1"/>
  <c r="J19" i="1"/>
  <c r="I19" i="1"/>
  <c r="AX19" i="1" s="1"/>
  <c r="H19" i="1"/>
  <c r="Z19" i="1" s="1"/>
  <c r="BM18" i="1"/>
  <c r="BL18" i="1"/>
  <c r="BJ18" i="1"/>
  <c r="BK18" i="1" s="1"/>
  <c r="BI18" i="1"/>
  <c r="BH18" i="1"/>
  <c r="BG18" i="1"/>
  <c r="BF18" i="1"/>
  <c r="BE18" i="1"/>
  <c r="AZ18" i="1" s="1"/>
  <c r="BB18" i="1"/>
  <c r="AU18" i="1"/>
  <c r="AP18" i="1"/>
  <c r="AO18" i="1"/>
  <c r="AK18" i="1"/>
  <c r="AI18" i="1"/>
  <c r="M18" i="1" s="1"/>
  <c r="X18" i="1"/>
  <c r="W18" i="1"/>
  <c r="V18" i="1"/>
  <c r="O18" i="1"/>
  <c r="J18" i="1"/>
  <c r="BM17" i="1"/>
  <c r="BL17" i="1"/>
  <c r="BK17" i="1" s="1"/>
  <c r="BJ17" i="1"/>
  <c r="BI17" i="1"/>
  <c r="BH17" i="1"/>
  <c r="BG17" i="1"/>
  <c r="BF17" i="1"/>
  <c r="BE17" i="1"/>
  <c r="AZ17" i="1" s="1"/>
  <c r="BB17" i="1"/>
  <c r="AU17" i="1"/>
  <c r="AO17" i="1"/>
  <c r="AP17" i="1" s="1"/>
  <c r="AK17" i="1"/>
  <c r="AI17" i="1" s="1"/>
  <c r="X17" i="1"/>
  <c r="V17" i="1" s="1"/>
  <c r="W17" i="1"/>
  <c r="O17" i="1"/>
  <c r="S26" i="1" l="1"/>
  <c r="T26" i="1" s="1"/>
  <c r="AW18" i="1"/>
  <c r="AY18" i="1" s="1"/>
  <c r="R18" i="1"/>
  <c r="AW17" i="1"/>
  <c r="AY17" i="1" s="1"/>
  <c r="R17" i="1"/>
  <c r="H17" i="1"/>
  <c r="M17" i="1"/>
  <c r="AJ17" i="1"/>
  <c r="J17" i="1"/>
  <c r="I17" i="1"/>
  <c r="AX17" i="1" s="1"/>
  <c r="BA17" i="1" s="1"/>
  <c r="U20" i="1"/>
  <c r="Y20" i="1" s="1"/>
  <c r="AA20" i="1"/>
  <c r="AB20" i="1"/>
  <c r="S22" i="1"/>
  <c r="T22" i="1" s="1"/>
  <c r="Z24" i="1"/>
  <c r="AA26" i="1"/>
  <c r="AJ28" i="1"/>
  <c r="J28" i="1"/>
  <c r="M28" i="1"/>
  <c r="I28" i="1"/>
  <c r="AX28" i="1" s="1"/>
  <c r="AJ18" i="1"/>
  <c r="AJ21" i="1"/>
  <c r="J21" i="1"/>
  <c r="AY23" i="1"/>
  <c r="R23" i="1"/>
  <c r="AW23" i="1"/>
  <c r="S24" i="1"/>
  <c r="T24" i="1" s="1"/>
  <c r="H25" i="1"/>
  <c r="AJ25" i="1"/>
  <c r="J25" i="1"/>
  <c r="AY27" i="1"/>
  <c r="R27" i="1"/>
  <c r="AW27" i="1"/>
  <c r="S28" i="1"/>
  <c r="T28" i="1" s="1"/>
  <c r="M30" i="1"/>
  <c r="I30" i="1"/>
  <c r="AX30" i="1" s="1"/>
  <c r="BA30" i="1" s="1"/>
  <c r="H30" i="1"/>
  <c r="AJ30" i="1"/>
  <c r="R31" i="1"/>
  <c r="AW31" i="1"/>
  <c r="AY31" i="1" s="1"/>
  <c r="AW21" i="1"/>
  <c r="AY21" i="1" s="1"/>
  <c r="R21" i="1"/>
  <c r="AW25" i="1"/>
  <c r="AY25" i="1" s="1"/>
  <c r="R25" i="1"/>
  <c r="H28" i="1"/>
  <c r="H18" i="1"/>
  <c r="BA19" i="1"/>
  <c r="V20" i="1"/>
  <c r="AW20" i="1"/>
  <c r="AY20" i="1" s="1"/>
  <c r="M21" i="1"/>
  <c r="M22" i="1"/>
  <c r="I22" i="1"/>
  <c r="AX22" i="1" s="1"/>
  <c r="BA22" i="1" s="1"/>
  <c r="H22" i="1"/>
  <c r="AJ22" i="1"/>
  <c r="M26" i="1"/>
  <c r="I26" i="1"/>
  <c r="AX26" i="1" s="1"/>
  <c r="BA26" i="1" s="1"/>
  <c r="H26" i="1"/>
  <c r="AJ26" i="1"/>
  <c r="AA28" i="1"/>
  <c r="AC20" i="1"/>
  <c r="AJ24" i="1"/>
  <c r="J24" i="1"/>
  <c r="M24" i="1"/>
  <c r="I24" i="1"/>
  <c r="AX24" i="1" s="1"/>
  <c r="BA24" i="1" s="1"/>
  <c r="I18" i="1"/>
  <c r="AX18" i="1" s="1"/>
  <c r="BA18" i="1" s="1"/>
  <c r="R19" i="1"/>
  <c r="P20" i="1"/>
  <c r="N20" i="1" s="1"/>
  <c r="Q20" i="1" s="1"/>
  <c r="J20" i="1"/>
  <c r="M20" i="1"/>
  <c r="I20" i="1"/>
  <c r="AX20" i="1" s="1"/>
  <c r="BA20" i="1" s="1"/>
  <c r="H21" i="1"/>
  <c r="AW24" i="1"/>
  <c r="AY24" i="1" s="1"/>
  <c r="AW28" i="1"/>
  <c r="AY28" i="1" s="1"/>
  <c r="AW29" i="1"/>
  <c r="AY29" i="1" s="1"/>
  <c r="R29" i="1"/>
  <c r="H23" i="1"/>
  <c r="H27" i="1"/>
  <c r="Z29" i="1"/>
  <c r="I23" i="1"/>
  <c r="AX23" i="1" s="1"/>
  <c r="BA23" i="1" s="1"/>
  <c r="I27" i="1"/>
  <c r="AX27" i="1" s="1"/>
  <c r="BA27" i="1" s="1"/>
  <c r="I31" i="1"/>
  <c r="AX31" i="1" s="1"/>
  <c r="Z30" i="1" l="1"/>
  <c r="U24" i="1"/>
  <c r="Y24" i="1" s="1"/>
  <c r="AB24" i="1"/>
  <c r="AC24" i="1" s="1"/>
  <c r="U22" i="1"/>
  <c r="Y22" i="1" s="1"/>
  <c r="AB22" i="1"/>
  <c r="U26" i="1"/>
  <c r="Y26" i="1" s="1"/>
  <c r="AB26" i="1"/>
  <c r="P22" i="1"/>
  <c r="N22" i="1" s="1"/>
  <c r="Q22" i="1" s="1"/>
  <c r="K22" i="1" s="1"/>
  <c r="L22" i="1" s="1"/>
  <c r="Z22" i="1"/>
  <c r="AA22" i="1"/>
  <c r="S31" i="1"/>
  <c r="T31" i="1" s="1"/>
  <c r="S30" i="1"/>
  <c r="T30" i="1" s="1"/>
  <c r="S18" i="1"/>
  <c r="T18" i="1" s="1"/>
  <c r="Z23" i="1"/>
  <c r="S19" i="1"/>
  <c r="T19" i="1" s="1"/>
  <c r="Z18" i="1"/>
  <c r="U28" i="1"/>
  <c r="Y28" i="1" s="1"/>
  <c r="AB28" i="1"/>
  <c r="AC28" i="1" s="1"/>
  <c r="BA28" i="1"/>
  <c r="S17" i="1"/>
  <c r="T17" i="1" s="1"/>
  <c r="BA31" i="1"/>
  <c r="S29" i="1"/>
  <c r="T29" i="1" s="1"/>
  <c r="P26" i="1"/>
  <c r="N26" i="1" s="1"/>
  <c r="Q26" i="1" s="1"/>
  <c r="K26" i="1" s="1"/>
  <c r="L26" i="1" s="1"/>
  <c r="Z26" i="1"/>
  <c r="Z28" i="1"/>
  <c r="P28" i="1"/>
  <c r="N28" i="1" s="1"/>
  <c r="Q28" i="1" s="1"/>
  <c r="K28" i="1" s="1"/>
  <c r="L28" i="1" s="1"/>
  <c r="S21" i="1"/>
  <c r="T21" i="1" s="1"/>
  <c r="S27" i="1"/>
  <c r="T27" i="1" s="1"/>
  <c r="Z25" i="1"/>
  <c r="S23" i="1"/>
  <c r="T23" i="1" s="1"/>
  <c r="P24" i="1"/>
  <c r="N24" i="1" s="1"/>
  <c r="Q24" i="1" s="1"/>
  <c r="K24" i="1" s="1"/>
  <c r="L24" i="1" s="1"/>
  <c r="BA29" i="1"/>
  <c r="BA25" i="1"/>
  <c r="Z27" i="1"/>
  <c r="P27" i="1"/>
  <c r="N27" i="1" s="1"/>
  <c r="Q27" i="1" s="1"/>
  <c r="K27" i="1" s="1"/>
  <c r="L27" i="1" s="1"/>
  <c r="Z21" i="1"/>
  <c r="K20" i="1"/>
  <c r="L20" i="1" s="1"/>
  <c r="AA24" i="1"/>
  <c r="S25" i="1"/>
  <c r="T25" i="1" s="1"/>
  <c r="P25" i="1" s="1"/>
  <c r="N25" i="1" s="1"/>
  <c r="Q25" i="1" s="1"/>
  <c r="K25" i="1" s="1"/>
  <c r="L25" i="1" s="1"/>
  <c r="P17" i="1"/>
  <c r="N17" i="1" s="1"/>
  <c r="Q17" i="1" s="1"/>
  <c r="K17" i="1" s="1"/>
  <c r="L17" i="1" s="1"/>
  <c r="Z17" i="1"/>
  <c r="BA21" i="1"/>
  <c r="AB21" i="1" l="1"/>
  <c r="U21" i="1"/>
  <c r="Y21" i="1" s="1"/>
  <c r="AA21" i="1"/>
  <c r="AB17" i="1"/>
  <c r="AC17" i="1" s="1"/>
  <c r="U17" i="1"/>
  <c r="Y17" i="1" s="1"/>
  <c r="AA17" i="1"/>
  <c r="AB19" i="1"/>
  <c r="AC19" i="1" s="1"/>
  <c r="U19" i="1"/>
  <c r="Y19" i="1" s="1"/>
  <c r="P19" i="1"/>
  <c r="N19" i="1" s="1"/>
  <c r="Q19" i="1" s="1"/>
  <c r="K19" i="1" s="1"/>
  <c r="L19" i="1" s="1"/>
  <c r="AA19" i="1"/>
  <c r="U18" i="1"/>
  <c r="Y18" i="1" s="1"/>
  <c r="AB18" i="1"/>
  <c r="AC18" i="1" s="1"/>
  <c r="AA18" i="1"/>
  <c r="AC26" i="1"/>
  <c r="U23" i="1"/>
  <c r="Y23" i="1" s="1"/>
  <c r="AB23" i="1"/>
  <c r="AC23" i="1" s="1"/>
  <c r="AA23" i="1"/>
  <c r="U27" i="1"/>
  <c r="Y27" i="1" s="1"/>
  <c r="AB27" i="1"/>
  <c r="AA27" i="1"/>
  <c r="P18" i="1"/>
  <c r="N18" i="1" s="1"/>
  <c r="Q18" i="1" s="1"/>
  <c r="K18" i="1" s="1"/>
  <c r="L18" i="1" s="1"/>
  <c r="P23" i="1"/>
  <c r="N23" i="1" s="1"/>
  <c r="Q23" i="1" s="1"/>
  <c r="K23" i="1" s="1"/>
  <c r="L23" i="1" s="1"/>
  <c r="U30" i="1"/>
  <c r="Y30" i="1" s="1"/>
  <c r="AB30" i="1"/>
  <c r="AC30" i="1" s="1"/>
  <c r="AA30" i="1"/>
  <c r="AC22" i="1"/>
  <c r="AB25" i="1"/>
  <c r="U25" i="1"/>
  <c r="Y25" i="1" s="1"/>
  <c r="AA25" i="1"/>
  <c r="P21" i="1"/>
  <c r="N21" i="1" s="1"/>
  <c r="Q21" i="1" s="1"/>
  <c r="K21" i="1" s="1"/>
  <c r="L21" i="1" s="1"/>
  <c r="AB29" i="1"/>
  <c r="U29" i="1"/>
  <c r="Y29" i="1" s="1"/>
  <c r="AA29" i="1"/>
  <c r="P29" i="1"/>
  <c r="N29" i="1" s="1"/>
  <c r="Q29" i="1" s="1"/>
  <c r="K29" i="1" s="1"/>
  <c r="L29" i="1" s="1"/>
  <c r="U31" i="1"/>
  <c r="Y31" i="1" s="1"/>
  <c r="AB31" i="1"/>
  <c r="AC31" i="1" s="1"/>
  <c r="AA31" i="1"/>
  <c r="P31" i="1"/>
  <c r="N31" i="1" s="1"/>
  <c r="Q31" i="1" s="1"/>
  <c r="K31" i="1" s="1"/>
  <c r="L31" i="1" s="1"/>
  <c r="P30" i="1"/>
  <c r="N30" i="1" s="1"/>
  <c r="Q30" i="1" s="1"/>
  <c r="K30" i="1" s="1"/>
  <c r="L30" i="1" s="1"/>
  <c r="AC29" i="1" l="1"/>
  <c r="AC25" i="1"/>
  <c r="AC27" i="1"/>
  <c r="AC21" i="1"/>
</calcChain>
</file>

<file path=xl/sharedStrings.xml><?xml version="1.0" encoding="utf-8"?>
<sst xmlns="http://schemas.openxmlformats.org/spreadsheetml/2006/main" count="784" uniqueCount="349">
  <si>
    <t>File opened</t>
  </si>
  <si>
    <t>2019-09-07 12:46:22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</si>
  <si>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</si>
  <si>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</si>
  <si>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</si>
  <si>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</si>
  <si>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</si>
  <si>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</si>
  <si>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</si>
  <si>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</si>
  <si>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</si>
  <si>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</si>
  <si>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</si>
  <si>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{"h2oaspan2": "0", "h2obzero": "1.01783", "h2oaspan2a": "0.0661155", "flowbzero": "0.20796", "tbzero": "0.197721", "flowazero": "0.4286", "co2aspan1": "0.992625", "co2aspan2b": "0.163711", "flowmeterzero": "0.991801", "co2bspanconc2": "0", "h2oaspanconc1": "12.19", "h2obspanconc2": "0", "co2bspan1": "0.992131", "h2obspan2a": "0.0975941", "h2oaspan1": "1.00223", "ssa_ref": "36614.9", "h2oaspan2b": "0.0662632", "tazero": "0.00774765", "h2oaspanconc2": "0", "co2aspan2": "0", "co2bzero": "0.880288", "co2aspanconc1": "1002", "co2aspanconc2": "0", "h2obspan2": "0", "co2bspan2": "0", "h2obspan1": "0.998578", "ssb_ref": "36526.8", "co2bspan2a": "0.163389", "co2bspanconc1": "1002", "co2azero": "0.869071", "co2aspan2a": "0.164928", "chamberpressurezero": "2.57337", "h2obspanconc1": "20", "oxygen": "21", "co2bspan2b": "0.162103", "h2obspan2b": "0.0963575", "h2oazero": "1.00263"}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</si>
  <si>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</si>
  <si>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</si>
  <si>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</si>
  <si>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</si>
  <si>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</si>
  <si>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</si>
  <si>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</si>
  <si>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</si>
  <si>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</si>
  <si>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12:46:22</t>
  </si>
  <si>
    <t>Stability Definition:	A (GasEx): Slp&lt;0.3 Std&lt;0.5	gsw (GasEx): Slp&lt;1 Std&lt;0.5</t>
  </si>
  <si>
    <t>SysConst</t>
  </si>
  <si>
    <t>AvgTime</t>
  </si>
  <si>
    <t>4</t>
  </si>
  <si>
    <t>Oxygen</t>
  </si>
  <si>
    <t>21</t>
  </si>
  <si>
    <t>Chamber</t>
  </si>
  <si>
    <t>Const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</si>
  <si>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</si>
  <si>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</si>
  <si>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</si>
  <si>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</si>
  <si>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</si>
  <si>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</si>
  <si>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</si>
  <si>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</si>
  <si>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</si>
  <si>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</si>
  <si>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</si>
  <si>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</si>
  <si>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</si>
  <si>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</si>
  <si>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</si>
  <si>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</si>
  <si>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</si>
  <si>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</si>
  <si>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</si>
  <si>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</si>
  <si>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</si>
  <si>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</si>
  <si>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</si>
  <si>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</si>
  <si>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</si>
  <si>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</si>
  <si>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</si>
  <si>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</si>
  <si>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</si>
  <si>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</si>
  <si>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</si>
  <si>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</si>
  <si>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</si>
  <si>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</si>
  <si>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</si>
  <si>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</si>
  <si>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</si>
  <si>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1.85544 75.7987 385.954 620.721 848.766 1059.6 1240.53 1415.17</t>
  </si>
  <si>
    <t>Fs_true</t>
  </si>
  <si>
    <t>-0.153406 100.826 402.933 601.172 799.981 1000.82 1200.66 1401.77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</si>
  <si>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</si>
  <si>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</si>
  <si>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</si>
  <si>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</si>
  <si>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</si>
  <si>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</si>
  <si>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</si>
  <si>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</si>
  <si>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</si>
  <si>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</si>
  <si>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</si>
  <si>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</si>
  <si>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</si>
  <si>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</si>
  <si>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</si>
  <si>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</si>
  <si>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</si>
  <si>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</si>
  <si>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</si>
  <si>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</si>
  <si>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</si>
  <si>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</si>
  <si>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</si>
  <si>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</si>
  <si>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</si>
  <si>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</si>
  <si>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</si>
  <si>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</si>
  <si>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</si>
  <si>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</si>
  <si>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</si>
  <si>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</si>
  <si>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</si>
  <si>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</si>
  <si>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</si>
  <si>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</si>
  <si>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</si>
  <si>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</si>
  <si>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</si>
  <si>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</si>
  <si>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</si>
  <si>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</si>
  <si>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</si>
  <si>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</si>
  <si>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</si>
  <si>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</si>
  <si>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</si>
  <si>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</si>
  <si>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</si>
  <si>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</si>
  <si>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</si>
  <si>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</si>
  <si>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</si>
  <si>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</si>
  <si>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</si>
  <si>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</si>
  <si>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</si>
  <si>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</si>
  <si>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</si>
  <si>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</si>
  <si>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</si>
  <si>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</si>
  <si>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</si>
  <si>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</si>
  <si>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</si>
  <si>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</si>
  <si>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</si>
  <si>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</si>
  <si>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</si>
  <si>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</si>
  <si>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</si>
  <si>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</si>
  <si>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</si>
  <si>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</si>
  <si>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</si>
  <si>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</si>
  <si>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</si>
  <si>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</si>
  <si>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S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</si>
  <si>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</si>
  <si>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</si>
  <si>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</si>
  <si>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</si>
  <si>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</si>
  <si>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</si>
  <si>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</si>
  <si>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</si>
  <si>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</si>
  <si>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</si>
  <si>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</si>
  <si>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</si>
  <si>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</si>
  <si>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</si>
  <si>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</si>
  <si>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</si>
  <si>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</si>
  <si>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</si>
  <si>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</si>
  <si>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</si>
  <si>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</si>
  <si>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</si>
  <si>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</si>
  <si>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</si>
  <si>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</si>
  <si>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</si>
  <si>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</si>
  <si>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</si>
  <si>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</si>
  <si>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</si>
  <si>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</si>
  <si>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</si>
  <si>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</si>
  <si>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</si>
  <si>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</si>
  <si>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</si>
  <si>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</si>
  <si>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</si>
  <si>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</si>
  <si>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</si>
  <si>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</si>
  <si>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</si>
  <si>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</si>
  <si>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</si>
  <si>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</si>
  <si>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</si>
  <si>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</si>
  <si>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</si>
  <si>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</si>
  <si>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</si>
  <si>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</si>
  <si>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</si>
  <si>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</si>
  <si>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</si>
  <si>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</si>
  <si>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</si>
  <si>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</si>
  <si>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</si>
  <si>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</si>
  <si>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</si>
  <si>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</si>
  <si>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</si>
  <si>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</si>
  <si>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</si>
  <si>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</si>
  <si>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</si>
  <si>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</si>
  <si>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</si>
  <si>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</si>
  <si>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</si>
  <si>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</si>
  <si>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</si>
  <si>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</si>
  <si>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</si>
  <si>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</si>
  <si>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</si>
  <si>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</si>
  <si>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</si>
  <si>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</si>
  <si>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</si>
  <si>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</si>
  <si>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</si>
  <si>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</si>
  <si>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</si>
  <si>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</si>
  <si>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</si>
  <si>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</si>
  <si>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</si>
  <si>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</si>
  <si>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</si>
  <si>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</si>
  <si>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</si>
  <si>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</si>
  <si>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</si>
  <si>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</si>
  <si>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</si>
  <si>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</si>
  <si>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</si>
  <si>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</si>
  <si>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</si>
  <si>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</si>
  <si>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</si>
  <si>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</si>
  <si>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</si>
  <si>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</si>
  <si>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</si>
  <si>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</si>
  <si>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</si>
  <si>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</si>
  <si>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</si>
  <si>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</si>
  <si>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</si>
  <si>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</si>
  <si>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</si>
  <si>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</si>
  <si>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20190907 12:52:01</t>
  </si>
  <si>
    <t>12:52:01</t>
  </si>
  <si>
    <t>MPF-2781-20190907-06_45_39</t>
  </si>
  <si>
    <t>MPF-2904-20190907-12_52_03</t>
  </si>
  <si>
    <t>DARK-2905-20190907-12_52_11</t>
  </si>
  <si>
    <t>0: Broadleaf</t>
  </si>
  <si>
    <t>12:52:26</t>
  </si>
  <si>
    <t>2/2</t>
  </si>
  <si>
    <t>5</t>
  </si>
  <si>
    <t>11111111</t>
  </si>
  <si>
    <t>oooooooo</t>
  </si>
  <si>
    <t>off</t>
  </si>
  <si>
    <t>20190907 12:54:28</t>
  </si>
  <si>
    <t>12:54:28</t>
  </si>
  <si>
    <t>MPF-2906-20190907-12_54_29</t>
  </si>
  <si>
    <t>DARK-2907-20190907-12_54_37</t>
  </si>
  <si>
    <t>12:53:49</t>
  </si>
  <si>
    <t>1/2</t>
  </si>
  <si>
    <t>20190907 12:56:28</t>
  </si>
  <si>
    <t>12:56:28</t>
  </si>
  <si>
    <t>MPF-2908-20190907-12_56_30</t>
  </si>
  <si>
    <t>DARK-2909-20190907-12_56_38</t>
  </si>
  <si>
    <t>12:56:54</t>
  </si>
  <si>
    <t>20190907 12:58:48</t>
  </si>
  <si>
    <t>12:58:48</t>
  </si>
  <si>
    <t>MPF-2910-20190907-12_58_50</t>
  </si>
  <si>
    <t>DARK-2911-20190907-12_58_57</t>
  </si>
  <si>
    <t>12:58:02</t>
  </si>
  <si>
    <t>20190907 13:00:43</t>
  </si>
  <si>
    <t>13:00:43</t>
  </si>
  <si>
    <t>MPF-2912-20190907-13_00_45</t>
  </si>
  <si>
    <t>DARK-2913-20190907-13_00_52</t>
  </si>
  <si>
    <t>12:59:59</t>
  </si>
  <si>
    <t>20190907 13:02:44</t>
  </si>
  <si>
    <t>13:02:44</t>
  </si>
  <si>
    <t>MPF-2914-20190907-13_02_45</t>
  </si>
  <si>
    <t>DARK-2915-20190907-13_02_53</t>
  </si>
  <si>
    <t>13:02:12</t>
  </si>
  <si>
    <t>20190907 13:04:44</t>
  </si>
  <si>
    <t>13:04:44</t>
  </si>
  <si>
    <t>MPF-2916-20190907-13_04_46</t>
  </si>
  <si>
    <t>DARK-2917-20190907-13_04_54</t>
  </si>
  <si>
    <t>13:05:11</t>
  </si>
  <si>
    <t>20190907 13:07:08</t>
  </si>
  <si>
    <t>13:07:08</t>
  </si>
  <si>
    <t>MPF-2918-20190907-13_07_10</t>
  </si>
  <si>
    <t>DARK-2919-20190907-13_07_17</t>
  </si>
  <si>
    <t>13:06:22</t>
  </si>
  <si>
    <t>20190907 13:08:39</t>
  </si>
  <si>
    <t>13:08:39</t>
  </si>
  <si>
    <t>MPF-2920-20190907-13_08_40</t>
  </si>
  <si>
    <t>DARK-2921-20190907-13_08_48</t>
  </si>
  <si>
    <t>13:09:03</t>
  </si>
  <si>
    <t>20190907 13:10:55</t>
  </si>
  <si>
    <t>13:10:55</t>
  </si>
  <si>
    <t>MPF-2922-20190907-13_10_56</t>
  </si>
  <si>
    <t>DARK-2923-20190907-13_11_04</t>
  </si>
  <si>
    <t>13:10:08</t>
  </si>
  <si>
    <t>20190907 13:12:55</t>
  </si>
  <si>
    <t>13:12:55</t>
  </si>
  <si>
    <t>MPF-2924-20190907-13_12_57</t>
  </si>
  <si>
    <t>DARK-2925-20190907-13_13_04</t>
  </si>
  <si>
    <t>13:12:25</t>
  </si>
  <si>
    <t>20190907 13:14:56</t>
  </si>
  <si>
    <t>13:14:56</t>
  </si>
  <si>
    <t>MPF-2926-20190907-13_14_57</t>
  </si>
  <si>
    <t>DARK-2927-20190907-13_15_05</t>
  </si>
  <si>
    <t>13:13:54</t>
  </si>
  <si>
    <t>20190907 13:16:56</t>
  </si>
  <si>
    <t>13:16:56</t>
  </si>
  <si>
    <t>MPF-2928-20190907-13_16_58</t>
  </si>
  <si>
    <t>DARK-2929-20190907-13_17_05</t>
  </si>
  <si>
    <t>13:15:55</t>
  </si>
  <si>
    <t>20190907 13:18:57</t>
  </si>
  <si>
    <t>13:18:57</t>
  </si>
  <si>
    <t>MPF-2930-20190907-13_18_58</t>
  </si>
  <si>
    <t>DARK-2931-20190907-13_19_06</t>
  </si>
  <si>
    <t>13:18:04</t>
  </si>
  <si>
    <t>20190907 13:20:45</t>
  </si>
  <si>
    <t>13:20:45</t>
  </si>
  <si>
    <t>MPF-2932-20190907-13_20_46</t>
  </si>
  <si>
    <t>DARK-2933-20190907-13_20_54</t>
  </si>
  <si>
    <t>13:20:00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</si>
</sst>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G31"/>
  <sheetViews>
    <sheetView tabSelected="1" workbookViewId="0"/>
  </sheetViews>
  <sheetFormatPr defaultRowHeight="14.5" x14ac:dyDescent="0.35"/>
  <sheetData>
    <row r="2" spans="1:163" x14ac:dyDescent="0.35">
      <c r="A2" t="s">
        <v>25</v>
      </c>
      <c r="B2" t="s">
        <v>26</v>
      </c>
      <c r="C2" t="s">
        <v>28</v>
      </c>
      <c r="D2" t="s">
        <v>30</v>
      </c>
    </row>
    <row r="3" spans="1:163" x14ac:dyDescent="0.35">
      <c r="B3" t="s">
        <v>27</v>
      </c>
      <c r="C3" t="s">
        <v>29</v>
      </c>
      <c r="D3" t="s">
        <v>15</v>
      </c>
    </row>
    <row r="4" spans="1:163" x14ac:dyDescent="0.35">
      <c r="A4" t="s">
        <v>31</v>
      </c>
      <c r="B4" t="s">
        <v>32</v>
      </c>
    </row>
    <row r="5" spans="1:163" x14ac:dyDescent="0.35">
      <c r="B5">
        <v>2</v>
      </c>
    </row>
    <row r="6" spans="1:163" x14ac:dyDescent="0.35">
      <c r="A6" t="s">
        <v>33</v>
      </c>
      <c r="B6" t="s">
        <v>34</v>
      </c>
      <c r="C6" t="s">
        <v>35</v>
      </c>
      <c r="D6" t="s">
        <v>36</v>
      </c>
      <c r="E6" t="s">
        <v>37</v>
      </c>
    </row>
    <row r="7" spans="1:163" x14ac:dyDescent="0.35">
      <c r="B7">
        <v>0</v>
      </c>
      <c r="C7">
        <v>1</v>
      </c>
      <c r="D7">
        <v>0</v>
      </c>
      <c r="E7">
        <v>0</v>
      </c>
    </row>
    <row r="8" spans="1:163" x14ac:dyDescent="0.35">
      <c r="A8" t="s">
        <v>38</v>
      </c>
      <c r="B8" t="s">
        <v>39</v>
      </c>
      <c r="C8" t="s">
        <v>41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</row>
    <row r="9" spans="1:163" x14ac:dyDescent="0.35">
      <c r="B9" t="s">
        <v>40</v>
      </c>
      <c r="C9" t="s">
        <v>42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3" x14ac:dyDescent="0.3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</row>
    <row r="11" spans="1:163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63" x14ac:dyDescent="0.3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70</v>
      </c>
      <c r="H12" t="s">
        <v>72</v>
      </c>
    </row>
    <row r="13" spans="1:163" x14ac:dyDescent="0.35">
      <c r="B13">
        <v>-6276</v>
      </c>
      <c r="C13">
        <v>6.6</v>
      </c>
      <c r="D13">
        <v>1.7090000000000001E-5</v>
      </c>
      <c r="E13">
        <v>3.11</v>
      </c>
      <c r="F13" t="s">
        <v>69</v>
      </c>
      <c r="G13" t="s">
        <v>71</v>
      </c>
      <c r="H13">
        <v>2</v>
      </c>
    </row>
    <row r="14" spans="1:163" x14ac:dyDescent="0.35">
      <c r="A14" t="s">
        <v>73</v>
      </c>
      <c r="B14" t="s">
        <v>73</v>
      </c>
      <c r="C14" t="s">
        <v>73</v>
      </c>
      <c r="D14" t="s">
        <v>73</v>
      </c>
      <c r="E14" t="s">
        <v>73</v>
      </c>
      <c r="F14" t="s">
        <v>74</v>
      </c>
      <c r="G14" t="s">
        <v>75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  <c r="AF14" t="s">
        <v>75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77</v>
      </c>
      <c r="BG14" t="s">
        <v>77</v>
      </c>
      <c r="BH14" t="s">
        <v>77</v>
      </c>
      <c r="BI14" t="s">
        <v>77</v>
      </c>
      <c r="BJ14" t="s">
        <v>78</v>
      </c>
      <c r="BK14" t="s">
        <v>78</v>
      </c>
      <c r="BL14" t="s">
        <v>78</v>
      </c>
      <c r="BM14" t="s">
        <v>78</v>
      </c>
      <c r="BN14" t="s">
        <v>31</v>
      </c>
      <c r="BO14" t="s">
        <v>31</v>
      </c>
      <c r="BP14" t="s">
        <v>31</v>
      </c>
      <c r="BQ14" t="s">
        <v>79</v>
      </c>
      <c r="BR14" t="s">
        <v>79</v>
      </c>
      <c r="BS14" t="s">
        <v>79</v>
      </c>
      <c r="BT14" t="s">
        <v>79</v>
      </c>
      <c r="BU14" t="s">
        <v>79</v>
      </c>
      <c r="BV14" t="s">
        <v>79</v>
      </c>
      <c r="BW14" t="s">
        <v>79</v>
      </c>
      <c r="BX14" t="s">
        <v>79</v>
      </c>
      <c r="BY14" t="s">
        <v>79</v>
      </c>
      <c r="BZ14" t="s">
        <v>79</v>
      </c>
      <c r="CA14" t="s">
        <v>79</v>
      </c>
      <c r="CB14" t="s">
        <v>79</v>
      </c>
      <c r="CC14" t="s">
        <v>79</v>
      </c>
      <c r="CD14" t="s">
        <v>79</v>
      </c>
      <c r="CE14" t="s">
        <v>80</v>
      </c>
      <c r="CF14" t="s">
        <v>80</v>
      </c>
      <c r="CG14" t="s">
        <v>80</v>
      </c>
      <c r="CH14" t="s">
        <v>80</v>
      </c>
      <c r="CI14" t="s">
        <v>80</v>
      </c>
      <c r="CJ14" t="s">
        <v>80</v>
      </c>
      <c r="CK14" t="s">
        <v>80</v>
      </c>
      <c r="CL14" t="s">
        <v>80</v>
      </c>
      <c r="CM14" t="s">
        <v>80</v>
      </c>
      <c r="CN14" t="s">
        <v>80</v>
      </c>
      <c r="CO14" t="s">
        <v>80</v>
      </c>
      <c r="CP14" t="s">
        <v>80</v>
      </c>
      <c r="CQ14" t="s">
        <v>80</v>
      </c>
      <c r="CR14" t="s">
        <v>80</v>
      </c>
      <c r="CS14" t="s">
        <v>80</v>
      </c>
      <c r="CT14" t="s">
        <v>80</v>
      </c>
      <c r="CU14" t="s">
        <v>80</v>
      </c>
      <c r="CV14" t="s">
        <v>81</v>
      </c>
      <c r="CW14" t="s">
        <v>81</v>
      </c>
      <c r="CX14" t="s">
        <v>81</v>
      </c>
      <c r="CY14" t="s">
        <v>81</v>
      </c>
      <c r="CZ14" t="s">
        <v>81</v>
      </c>
      <c r="DA14" t="s">
        <v>82</v>
      </c>
      <c r="DB14" t="s">
        <v>82</v>
      </c>
      <c r="DC14" t="s">
        <v>82</v>
      </c>
      <c r="DD14" t="s">
        <v>82</v>
      </c>
      <c r="DE14" t="s">
        <v>82</v>
      </c>
      <c r="DF14" t="s">
        <v>82</v>
      </c>
      <c r="DG14" t="s">
        <v>82</v>
      </c>
      <c r="DH14" t="s">
        <v>82</v>
      </c>
      <c r="DI14" t="s">
        <v>82</v>
      </c>
      <c r="DJ14" t="s">
        <v>83</v>
      </c>
      <c r="DK14" t="s">
        <v>83</v>
      </c>
      <c r="DL14" t="s">
        <v>83</v>
      </c>
      <c r="DM14" t="s">
        <v>83</v>
      </c>
      <c r="DN14" t="s">
        <v>83</v>
      </c>
      <c r="DO14" t="s">
        <v>83</v>
      </c>
      <c r="DP14" t="s">
        <v>83</v>
      </c>
      <c r="DQ14" t="s">
        <v>83</v>
      </c>
      <c r="DR14" t="s">
        <v>83</v>
      </c>
      <c r="DS14" t="s">
        <v>83</v>
      </c>
      <c r="DT14" t="s">
        <v>83</v>
      </c>
      <c r="DU14" t="s">
        <v>84</v>
      </c>
      <c r="DV14" t="s">
        <v>84</v>
      </c>
      <c r="DW14" t="s">
        <v>84</v>
      </c>
      <c r="DX14" t="s">
        <v>84</v>
      </c>
      <c r="DY14" t="s">
        <v>84</v>
      </c>
      <c r="DZ14" t="s">
        <v>84</v>
      </c>
      <c r="EA14" t="s">
        <v>84</v>
      </c>
      <c r="EB14" t="s">
        <v>84</v>
      </c>
      <c r="EC14" t="s">
        <v>84</v>
      </c>
      <c r="ED14" t="s">
        <v>84</v>
      </c>
      <c r="EE14" t="s">
        <v>84</v>
      </c>
      <c r="EF14" t="s">
        <v>84</v>
      </c>
      <c r="EG14" t="s">
        <v>84</v>
      </c>
      <c r="EH14" t="s">
        <v>84</v>
      </c>
      <c r="EI14" t="s">
        <v>84</v>
      </c>
      <c r="EJ14" t="s">
        <v>84</v>
      </c>
      <c r="EK14" t="s">
        <v>84</v>
      </c>
      <c r="EL14" t="s">
        <v>84</v>
      </c>
      <c r="EM14" t="s">
        <v>84</v>
      </c>
      <c r="EN14" t="s">
        <v>85</v>
      </c>
      <c r="EO14" t="s">
        <v>85</v>
      </c>
      <c r="EP14" t="s">
        <v>85</v>
      </c>
      <c r="EQ14" t="s">
        <v>85</v>
      </c>
      <c r="ER14" t="s">
        <v>85</v>
      </c>
      <c r="ES14" t="s">
        <v>85</v>
      </c>
      <c r="ET14" t="s">
        <v>85</v>
      </c>
      <c r="EU14" t="s">
        <v>85</v>
      </c>
      <c r="EV14" t="s">
        <v>85</v>
      </c>
      <c r="EW14" t="s">
        <v>85</v>
      </c>
      <c r="EX14" t="s">
        <v>85</v>
      </c>
      <c r="EY14" t="s">
        <v>85</v>
      </c>
      <c r="EZ14" t="s">
        <v>85</v>
      </c>
      <c r="FA14" t="s">
        <v>85</v>
      </c>
      <c r="FB14" t="s">
        <v>85</v>
      </c>
      <c r="FC14" t="s">
        <v>85</v>
      </c>
      <c r="FD14" t="s">
        <v>85</v>
      </c>
      <c r="FE14" t="s">
        <v>85</v>
      </c>
      <c r="FF14" t="s">
        <v>85</v>
      </c>
      <c r="FG14" t="s">
        <v>85</v>
      </c>
    </row>
    <row r="15" spans="1:163" x14ac:dyDescent="0.3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t="s">
        <v>95</v>
      </c>
      <c r="K15" t="s">
        <v>96</v>
      </c>
      <c r="L15" t="s">
        <v>97</v>
      </c>
      <c r="M15" t="s">
        <v>98</v>
      </c>
      <c r="N15" t="s">
        <v>99</v>
      </c>
      <c r="O15" t="s">
        <v>100</v>
      </c>
      <c r="P15" t="s">
        <v>101</v>
      </c>
      <c r="Q15" t="s">
        <v>102</v>
      </c>
      <c r="R15" t="s">
        <v>103</v>
      </c>
      <c r="S15" t="s">
        <v>104</v>
      </c>
      <c r="T15" t="s">
        <v>105</v>
      </c>
      <c r="U15" t="s">
        <v>106</v>
      </c>
      <c r="V15" t="s">
        <v>107</v>
      </c>
      <c r="W15" t="s">
        <v>108</v>
      </c>
      <c r="X15" t="s">
        <v>109</v>
      </c>
      <c r="Y15" t="s">
        <v>110</v>
      </c>
      <c r="Z15" t="s">
        <v>111</v>
      </c>
      <c r="AA15" t="s">
        <v>112</v>
      </c>
      <c r="AB15" t="s">
        <v>113</v>
      </c>
      <c r="AC15" t="s">
        <v>114</v>
      </c>
      <c r="AD15" t="s">
        <v>115</v>
      </c>
      <c r="AE15" t="s">
        <v>116</v>
      </c>
      <c r="AF15" t="s">
        <v>117</v>
      </c>
      <c r="AG15" t="s">
        <v>76</v>
      </c>
      <c r="AH15" t="s">
        <v>118</v>
      </c>
      <c r="AI15" t="s">
        <v>119</v>
      </c>
      <c r="AJ15" t="s">
        <v>120</v>
      </c>
      <c r="AK15" t="s">
        <v>121</v>
      </c>
      <c r="AL15" t="s">
        <v>122</v>
      </c>
      <c r="AM15" t="s">
        <v>123</v>
      </c>
      <c r="AN15" t="s">
        <v>124</v>
      </c>
      <c r="AO15" t="s">
        <v>125</v>
      </c>
      <c r="AP15" t="s">
        <v>126</v>
      </c>
      <c r="AQ15" t="s">
        <v>127</v>
      </c>
      <c r="AR15" t="s">
        <v>128</v>
      </c>
      <c r="AS15" t="s">
        <v>129</v>
      </c>
      <c r="AT15" t="s">
        <v>130</v>
      </c>
      <c r="AU15" t="s">
        <v>131</v>
      </c>
      <c r="AV15" t="s">
        <v>132</v>
      </c>
      <c r="AW15" t="s">
        <v>133</v>
      </c>
      <c r="AX15" t="s">
        <v>134</v>
      </c>
      <c r="AY15" t="s">
        <v>135</v>
      </c>
      <c r="AZ15" t="s">
        <v>136</v>
      </c>
      <c r="BA15" t="s">
        <v>137</v>
      </c>
      <c r="BB15" t="s">
        <v>138</v>
      </c>
      <c r="BC15" t="s">
        <v>139</v>
      </c>
      <c r="BD15" t="s">
        <v>140</v>
      </c>
      <c r="BE15" t="s">
        <v>141</v>
      </c>
      <c r="BF15" t="s">
        <v>142</v>
      </c>
      <c r="BG15" t="s">
        <v>143</v>
      </c>
      <c r="BH15" t="s">
        <v>144</v>
      </c>
      <c r="BI15" t="s">
        <v>145</v>
      </c>
      <c r="BJ15" t="s">
        <v>146</v>
      </c>
      <c r="BK15" t="s">
        <v>147</v>
      </c>
      <c r="BL15" t="s">
        <v>148</v>
      </c>
      <c r="BM15" t="s">
        <v>149</v>
      </c>
      <c r="BN15" t="s">
        <v>150</v>
      </c>
      <c r="BO15" t="s">
        <v>151</v>
      </c>
      <c r="BP15" t="s">
        <v>152</v>
      </c>
      <c r="BQ15" t="s">
        <v>92</v>
      </c>
      <c r="BR15" t="s">
        <v>153</v>
      </c>
      <c r="BS15" t="s">
        <v>154</v>
      </c>
      <c r="BT15" t="s">
        <v>155</v>
      </c>
      <c r="BU15" t="s">
        <v>156</v>
      </c>
      <c r="BV15" t="s">
        <v>157</v>
      </c>
      <c r="BW15" t="s">
        <v>158</v>
      </c>
      <c r="BX15" t="s">
        <v>159</v>
      </c>
      <c r="BY15" t="s">
        <v>160</v>
      </c>
      <c r="BZ15" t="s">
        <v>161</v>
      </c>
      <c r="CA15" t="s">
        <v>162</v>
      </c>
      <c r="CB15" t="s">
        <v>163</v>
      </c>
      <c r="CC15" t="s">
        <v>164</v>
      </c>
      <c r="CD15" t="s">
        <v>165</v>
      </c>
      <c r="CE15" t="s">
        <v>166</v>
      </c>
      <c r="CF15" t="s">
        <v>167</v>
      </c>
      <c r="CG15" t="s">
        <v>168</v>
      </c>
      <c r="CH15" t="s">
        <v>169</v>
      </c>
      <c r="CI15" t="s">
        <v>170</v>
      </c>
      <c r="CJ15" t="s">
        <v>171</v>
      </c>
      <c r="CK15" t="s">
        <v>172</v>
      </c>
      <c r="CL15" t="s">
        <v>173</v>
      </c>
      <c r="CM15" t="s">
        <v>174</v>
      </c>
      <c r="CN15" t="s">
        <v>175</v>
      </c>
      <c r="CO15" t="s">
        <v>176</v>
      </c>
      <c r="CP15" t="s">
        <v>177</v>
      </c>
      <c r="CQ15" t="s">
        <v>178</v>
      </c>
      <c r="CR15" t="s">
        <v>179</v>
      </c>
      <c r="CS15" t="s">
        <v>180</v>
      </c>
      <c r="CT15" t="s">
        <v>181</v>
      </c>
      <c r="CU15" t="s">
        <v>182</v>
      </c>
      <c r="CV15" t="s">
        <v>183</v>
      </c>
      <c r="CW15" t="s">
        <v>184</v>
      </c>
      <c r="CX15" t="s">
        <v>185</v>
      </c>
      <c r="CY15" t="s">
        <v>186</v>
      </c>
      <c r="CZ15" t="s">
        <v>187</v>
      </c>
      <c r="DA15" t="s">
        <v>87</v>
      </c>
      <c r="DB15" t="s">
        <v>90</v>
      </c>
      <c r="DC15" t="s">
        <v>188</v>
      </c>
      <c r="DD15" t="s">
        <v>189</v>
      </c>
      <c r="DE15" t="s">
        <v>190</v>
      </c>
      <c r="DF15" t="s">
        <v>191</v>
      </c>
      <c r="DG15" t="s">
        <v>192</v>
      </c>
      <c r="DH15" t="s">
        <v>193</v>
      </c>
      <c r="DI15" t="s">
        <v>194</v>
      </c>
      <c r="DJ15" t="s">
        <v>195</v>
      </c>
      <c r="DK15" t="s">
        <v>196</v>
      </c>
      <c r="DL15" t="s">
        <v>197</v>
      </c>
      <c r="DM15" t="s">
        <v>198</v>
      </c>
      <c r="DN15" t="s">
        <v>199</v>
      </c>
      <c r="DO15" t="s">
        <v>200</v>
      </c>
      <c r="DP15" t="s">
        <v>201</v>
      </c>
      <c r="DQ15" t="s">
        <v>202</v>
      </c>
      <c r="DR15" t="s">
        <v>203</v>
      </c>
      <c r="DS15" t="s">
        <v>204</v>
      </c>
      <c r="DT15" t="s">
        <v>205</v>
      </c>
      <c r="DU15" t="s">
        <v>206</v>
      </c>
      <c r="DV15" t="s">
        <v>207</v>
      </c>
      <c r="DW15" t="s">
        <v>208</v>
      </c>
      <c r="DX15" t="s">
        <v>209</v>
      </c>
      <c r="DY15" t="s">
        <v>210</v>
      </c>
      <c r="DZ15" t="s">
        <v>211</v>
      </c>
      <c r="EA15" t="s">
        <v>212</v>
      </c>
      <c r="EB15" t="s">
        <v>213</v>
      </c>
      <c r="EC15" t="s">
        <v>214</v>
      </c>
      <c r="ED15" t="s">
        <v>215</v>
      </c>
      <c r="EE15" t="s">
        <v>216</v>
      </c>
      <c r="EF15" t="s">
        <v>217</v>
      </c>
      <c r="EG15" t="s">
        <v>218</v>
      </c>
      <c r="EH15" t="s">
        <v>219</v>
      </c>
      <c r="EI15" t="s">
        <v>220</v>
      </c>
      <c r="EJ15" t="s">
        <v>221</v>
      </c>
      <c r="EK15" t="s">
        <v>222</v>
      </c>
      <c r="EL15" t="s">
        <v>223</v>
      </c>
      <c r="EM15" t="s">
        <v>224</v>
      </c>
      <c r="EN15" t="s">
        <v>225</v>
      </c>
      <c r="EO15" t="s">
        <v>226</v>
      </c>
      <c r="EP15" t="s">
        <v>227</v>
      </c>
      <c r="EQ15" t="s">
        <v>228</v>
      </c>
      <c r="ER15" t="s">
        <v>229</v>
      </c>
      <c r="ES15" t="s">
        <v>230</v>
      </c>
      <c r="ET15" t="s">
        <v>231</v>
      </c>
      <c r="EU15" t="s">
        <v>232</v>
      </c>
      <c r="EV15" t="s">
        <v>233</v>
      </c>
      <c r="EW15" t="s">
        <v>234</v>
      </c>
      <c r="EX15" t="s">
        <v>235</v>
      </c>
      <c r="EY15" t="s">
        <v>236</v>
      </c>
      <c r="EZ15" t="s">
        <v>237</v>
      </c>
      <c r="FA15" t="s">
        <v>238</v>
      </c>
      <c r="FB15" t="s">
        <v>239</v>
      </c>
      <c r="FC15" t="s">
        <v>240</v>
      </c>
      <c r="FD15" t="s">
        <v>241</v>
      </c>
      <c r="FE15" t="s">
        <v>242</v>
      </c>
      <c r="FF15" t="s">
        <v>243</v>
      </c>
      <c r="FG15" t="s">
        <v>244</v>
      </c>
    </row>
    <row r="16" spans="1:163" x14ac:dyDescent="0.35">
      <c r="B16" t="s">
        <v>245</v>
      </c>
      <c r="C16" t="s">
        <v>245</v>
      </c>
      <c r="G16" t="s">
        <v>245</v>
      </c>
      <c r="H16" t="s">
        <v>246</v>
      </c>
      <c r="I16" t="s">
        <v>247</v>
      </c>
      <c r="J16" t="s">
        <v>248</v>
      </c>
      <c r="K16" t="s">
        <v>248</v>
      </c>
      <c r="L16" t="s">
        <v>158</v>
      </c>
      <c r="M16" t="s">
        <v>158</v>
      </c>
      <c r="N16" t="s">
        <v>246</v>
      </c>
      <c r="O16" t="s">
        <v>246</v>
      </c>
      <c r="P16" t="s">
        <v>246</v>
      </c>
      <c r="Q16" t="s">
        <v>246</v>
      </c>
      <c r="R16" t="s">
        <v>249</v>
      </c>
      <c r="S16" t="s">
        <v>250</v>
      </c>
      <c r="T16" t="s">
        <v>250</v>
      </c>
      <c r="U16" t="s">
        <v>251</v>
      </c>
      <c r="V16" t="s">
        <v>252</v>
      </c>
      <c r="W16" t="s">
        <v>251</v>
      </c>
      <c r="X16" t="s">
        <v>251</v>
      </c>
      <c r="Y16" t="s">
        <v>251</v>
      </c>
      <c r="Z16" t="s">
        <v>249</v>
      </c>
      <c r="AA16" t="s">
        <v>249</v>
      </c>
      <c r="AB16" t="s">
        <v>249</v>
      </c>
      <c r="AC16" t="s">
        <v>249</v>
      </c>
      <c r="AG16" t="s">
        <v>253</v>
      </c>
      <c r="AH16" t="s">
        <v>252</v>
      </c>
      <c r="AJ16" t="s">
        <v>252</v>
      </c>
      <c r="AK16" t="s">
        <v>253</v>
      </c>
      <c r="AQ16" t="s">
        <v>247</v>
      </c>
      <c r="AW16" t="s">
        <v>247</v>
      </c>
      <c r="AX16" t="s">
        <v>247</v>
      </c>
      <c r="AY16" t="s">
        <v>247</v>
      </c>
      <c r="BA16" t="s">
        <v>254</v>
      </c>
      <c r="BJ16" t="s">
        <v>247</v>
      </c>
      <c r="BK16" t="s">
        <v>247</v>
      </c>
      <c r="BM16" t="s">
        <v>255</v>
      </c>
      <c r="BN16" t="s">
        <v>256</v>
      </c>
      <c r="BQ16" t="s">
        <v>245</v>
      </c>
      <c r="BR16" t="s">
        <v>248</v>
      </c>
      <c r="BS16" t="s">
        <v>248</v>
      </c>
      <c r="BT16" t="s">
        <v>257</v>
      </c>
      <c r="BU16" t="s">
        <v>257</v>
      </c>
      <c r="BV16" t="s">
        <v>253</v>
      </c>
      <c r="BW16" t="s">
        <v>251</v>
      </c>
      <c r="BX16" t="s">
        <v>251</v>
      </c>
      <c r="BY16" t="s">
        <v>250</v>
      </c>
      <c r="BZ16" t="s">
        <v>250</v>
      </c>
      <c r="CA16" t="s">
        <v>250</v>
      </c>
      <c r="CB16" t="s">
        <v>258</v>
      </c>
      <c r="CC16" t="s">
        <v>247</v>
      </c>
      <c r="CD16" t="s">
        <v>247</v>
      </c>
      <c r="CE16" t="s">
        <v>247</v>
      </c>
      <c r="CJ16" t="s">
        <v>247</v>
      </c>
      <c r="CM16" t="s">
        <v>250</v>
      </c>
      <c r="CN16" t="s">
        <v>250</v>
      </c>
      <c r="CO16" t="s">
        <v>250</v>
      </c>
      <c r="CP16" t="s">
        <v>250</v>
      </c>
      <c r="CQ16" t="s">
        <v>250</v>
      </c>
      <c r="CR16" t="s">
        <v>247</v>
      </c>
      <c r="CS16" t="s">
        <v>247</v>
      </c>
      <c r="CT16" t="s">
        <v>247</v>
      </c>
      <c r="CU16" t="s">
        <v>245</v>
      </c>
      <c r="CW16" t="s">
        <v>259</v>
      </c>
      <c r="CX16" t="s">
        <v>259</v>
      </c>
      <c r="CZ16" t="s">
        <v>245</v>
      </c>
      <c r="DA16" t="s">
        <v>260</v>
      </c>
      <c r="DD16" t="s">
        <v>261</v>
      </c>
      <c r="DE16" t="s">
        <v>262</v>
      </c>
      <c r="DF16" t="s">
        <v>261</v>
      </c>
      <c r="DG16" t="s">
        <v>262</v>
      </c>
      <c r="DH16" t="s">
        <v>252</v>
      </c>
      <c r="DI16" t="s">
        <v>252</v>
      </c>
      <c r="DJ16" t="s">
        <v>247</v>
      </c>
      <c r="DK16" t="s">
        <v>263</v>
      </c>
      <c r="DL16" t="s">
        <v>247</v>
      </c>
      <c r="DN16" t="s">
        <v>246</v>
      </c>
      <c r="DO16" t="s">
        <v>264</v>
      </c>
      <c r="DP16" t="s">
        <v>246</v>
      </c>
      <c r="DU16" t="s">
        <v>265</v>
      </c>
      <c r="DV16" t="s">
        <v>265</v>
      </c>
      <c r="DW16" t="s">
        <v>265</v>
      </c>
      <c r="DX16" t="s">
        <v>265</v>
      </c>
      <c r="DY16" t="s">
        <v>265</v>
      </c>
      <c r="DZ16" t="s">
        <v>265</v>
      </c>
      <c r="EA16" t="s">
        <v>265</v>
      </c>
      <c r="EB16" t="s">
        <v>265</v>
      </c>
      <c r="EC16" t="s">
        <v>265</v>
      </c>
      <c r="ED16" t="s">
        <v>265</v>
      </c>
      <c r="EE16" t="s">
        <v>265</v>
      </c>
      <c r="EF16" t="s">
        <v>265</v>
      </c>
      <c r="EM16" t="s">
        <v>265</v>
      </c>
      <c r="EN16" t="s">
        <v>252</v>
      </c>
      <c r="EO16" t="s">
        <v>252</v>
      </c>
      <c r="EP16" t="s">
        <v>261</v>
      </c>
      <c r="EQ16" t="s">
        <v>262</v>
      </c>
      <c r="ES16" t="s">
        <v>253</v>
      </c>
      <c r="ET16" t="s">
        <v>253</v>
      </c>
      <c r="EU16" t="s">
        <v>250</v>
      </c>
      <c r="EV16" t="s">
        <v>250</v>
      </c>
      <c r="EW16" t="s">
        <v>250</v>
      </c>
      <c r="EX16" t="s">
        <v>250</v>
      </c>
      <c r="EY16" t="s">
        <v>250</v>
      </c>
      <c r="EZ16" t="s">
        <v>252</v>
      </c>
      <c r="FA16" t="s">
        <v>252</v>
      </c>
      <c r="FB16" t="s">
        <v>252</v>
      </c>
      <c r="FC16" t="s">
        <v>250</v>
      </c>
      <c r="FD16" t="s">
        <v>248</v>
      </c>
      <c r="FE16" t="s">
        <v>257</v>
      </c>
      <c r="FF16" t="s">
        <v>252</v>
      </c>
      <c r="FG16" t="s">
        <v>252</v>
      </c>
    </row>
    <row r="17" spans="1:163" x14ac:dyDescent="0.35">
      <c r="A17">
        <v>1</v>
      </c>
      <c r="B17">
        <v>1567878721.9000001</v>
      </c>
      <c r="C17">
        <v>0</v>
      </c>
      <c r="D17" t="s">
        <v>266</v>
      </c>
      <c r="E17" t="s">
        <v>267</v>
      </c>
      <c r="G17">
        <v>1567878721.9000001</v>
      </c>
      <c r="H17">
        <f t="shared" ref="H17:H31" si="0">BV17*AI17*(BT17-BU17)/(100*BN17*(1000-AI17*BT17))</f>
        <v>1.7426504151509942E-3</v>
      </c>
      <c r="I17">
        <f t="shared" ref="I17:I31" si="1">BV17*AI17*(BS17-BR17*(1000-AI17*BU17)/(1000-AI17*BT17))/(100*BN17)</f>
        <v>12.897032495974504</v>
      </c>
      <c r="J17">
        <f t="shared" ref="J17:J31" si="2">BR17 - IF(AI17&gt;1, I17*BN17*100/(AK17*CB17), 0)</f>
        <v>383.73700000000002</v>
      </c>
      <c r="K17">
        <f t="shared" ref="K17:K31" si="3">((Q17-H17/2)*J17-I17)/(Q17+H17/2)</f>
        <v>152.85981785766916</v>
      </c>
      <c r="L17">
        <f t="shared" ref="L17:L31" si="4">K17*(BW17+BX17)/1000</f>
        <v>15.188560478780689</v>
      </c>
      <c r="M17">
        <f t="shared" ref="M17:M31" si="5">(BR17 - IF(AI17&gt;1, I17*BN17*100/(AK17*CB17), 0))*(BW17+BX17)/1000</f>
        <v>38.129135008343503</v>
      </c>
      <c r="N17">
        <f t="shared" ref="N17:N31" si="6">2/((1/P17-1/O17)+SIGN(P17)*SQRT((1/P17-1/O17)*(1/P17-1/O17) + 4*BO17/((BO17+1)*(BO17+1))*(2*1/P17*1/O17-1/O17*1/O17)))</f>
        <v>9.4467620421238144E-2</v>
      </c>
      <c r="O17">
        <f t="shared" ref="O17:O31" si="7">AF17+AE17*BN17+AD17*BN17*BN17</f>
        <v>2.2463996659916141</v>
      </c>
      <c r="P17">
        <f t="shared" ref="P17:P31" si="8">H17*(1000-(1000*0.61365*EXP(17.502*T17/(240.97+T17))/(BW17+BX17)+BT17)/2)/(1000*0.61365*EXP(17.502*T17/(240.97+T17))/(BW17+BX17)-BT17)</f>
        <v>9.2314851200344133E-2</v>
      </c>
      <c r="Q17">
        <f t="shared" ref="Q17:Q31" si="9">1/((BO17+1)/(N17/1.6)+1/(O17/1.37)) + BO17/((BO17+1)/(N17/1.6) + BO17/(O17/1.37))</f>
        <v>5.7886113758265245E-2</v>
      </c>
      <c r="R17">
        <f t="shared" ref="R17:R31" si="10">(BK17*BM17)</f>
        <v>281.5747316512543</v>
      </c>
      <c r="S17">
        <f t="shared" ref="S17:S31" si="11">(BY17+(R17+2*0.95*0.0000000567*(((BY17+$B$7)+273)^4-(BY17+273)^4)-44100*H17)/(1.84*29.3*O17+8*0.95*0.0000000567*(BY17+273)^3))</f>
        <v>26.864521856090082</v>
      </c>
      <c r="T17">
        <f t="shared" ref="T17:T31" si="12">($C$7*BZ17+$D$7*CA17+$E$7*S17)</f>
        <v>27.216699999999999</v>
      </c>
      <c r="U17">
        <f t="shared" ref="U17:U31" si="13">0.61365*EXP(17.502*T17/(240.97+T17))</f>
        <v>3.6249666695004636</v>
      </c>
      <c r="V17">
        <f t="shared" ref="V17:V31" si="14">(W17/X17*100)</f>
        <v>55.555877776980786</v>
      </c>
      <c r="W17">
        <f t="shared" ref="W17:W31" si="15">BT17*(BW17+BX17)/1000</f>
        <v>1.8004814888626501</v>
      </c>
      <c r="X17">
        <f t="shared" ref="X17:X31" si="16">0.61365*EXP(17.502*BY17/(240.97+BY17))</f>
        <v>3.2408478830815408</v>
      </c>
      <c r="Y17">
        <f t="shared" ref="Y17:Y31" si="17">(U17-BT17*(BW17+BX17)/1000)</f>
        <v>1.8244851806378135</v>
      </c>
      <c r="Z17">
        <f t="shared" ref="Z17:Z31" si="18">(-H17*44100)</f>
        <v>-76.850883308158842</v>
      </c>
      <c r="AA17">
        <f t="shared" ref="AA17:AA31" si="19">2*29.3*O17*0.92*(BY17-T17)</f>
        <v>-229.70535164056901</v>
      </c>
      <c r="AB17">
        <f t="shared" ref="AB17:AB31" si="20">2*0.95*0.0000000567*(((BY17+$B$7)+273)^4-(T17+273)^4)</f>
        <v>-21.906955398575544</v>
      </c>
      <c r="AC17">
        <f t="shared" ref="AC17:AC31" si="21">R17+AB17+Z17+AA17</f>
        <v>-46.888458696049071</v>
      </c>
      <c r="AD17">
        <v>-4.1086891157956801E-2</v>
      </c>
      <c r="AE17">
        <v>4.6123634734161499E-2</v>
      </c>
      <c r="AF17">
        <v>3.44878593927309</v>
      </c>
      <c r="AG17">
        <v>0</v>
      </c>
      <c r="AH17">
        <v>0</v>
      </c>
      <c r="AI17">
        <f t="shared" ref="AI17:AI31" si="22">IF(AG17*$H$13&gt;=AK17,1,(AK17/(AK17-AG17*$H$13)))</f>
        <v>1</v>
      </c>
      <c r="AJ17">
        <f t="shared" ref="AJ17:AJ31" si="23">(AI17-1)*100</f>
        <v>0</v>
      </c>
      <c r="AK17">
        <f t="shared" ref="AK17:AK31" si="24">MAX(0,($B$13+$C$13*CB17)/(1+$D$13*CB17)*BW17/(BY17+273)*$E$13)</f>
        <v>52691.240688295395</v>
      </c>
      <c r="AL17" t="s">
        <v>268</v>
      </c>
      <c r="AM17">
        <v>631.89076923076902</v>
      </c>
      <c r="AN17">
        <v>3514.37</v>
      </c>
      <c r="AO17">
        <f t="shared" ref="AO17:AO31" si="25">AN17-AM17</f>
        <v>2882.479230769231</v>
      </c>
      <c r="AP17">
        <f t="shared" ref="AP17:AP31" si="26">AO17/AN17</f>
        <v>0.82019799587670938</v>
      </c>
      <c r="AQ17">
        <v>-1.4218795309761501</v>
      </c>
      <c r="AR17" t="s">
        <v>269</v>
      </c>
      <c r="AS17">
        <v>933.88884615384598</v>
      </c>
      <c r="AT17">
        <v>1175.31</v>
      </c>
      <c r="AU17">
        <f t="shared" ref="AU17:AU31" si="27">1-AS17/AT17</f>
        <v>0.20541061834422747</v>
      </c>
      <c r="AV17">
        <v>0.5</v>
      </c>
      <c r="AW17">
        <f t="shared" ref="AW17:AW31" si="28">BK17</f>
        <v>1471.3212000962806</v>
      </c>
      <c r="AX17">
        <f t="shared" ref="AX17:AX31" si="29">I17</f>
        <v>12.897032495974504</v>
      </c>
      <c r="AY17">
        <f t="shared" ref="AY17:AY31" si="30">AU17*AV17*AW17</f>
        <v>151.11249874737391</v>
      </c>
      <c r="AZ17">
        <f t="shared" ref="AZ17:AZ31" si="31">BE17/AT17</f>
        <v>0.50573040304260153</v>
      </c>
      <c r="BA17">
        <f t="shared" ref="BA17:BA31" si="32">(AX17-AQ17)/AW17</f>
        <v>9.7320095883982709E-3</v>
      </c>
      <c r="BB17">
        <f t="shared" ref="BB17:BB31" si="33">(AN17-AT17)/AT17</f>
        <v>1.9901642970790685</v>
      </c>
      <c r="BC17" t="s">
        <v>270</v>
      </c>
      <c r="BD17">
        <v>580.91999999999996</v>
      </c>
      <c r="BE17">
        <f t="shared" ref="BE17:BE31" si="34">AT17-BD17</f>
        <v>594.39</v>
      </c>
      <c r="BF17">
        <f t="shared" ref="BF17:BF31" si="35">(AT17-AS17)/(AT17-BD17)</f>
        <v>0.40616624412616964</v>
      </c>
      <c r="BG17">
        <f t="shared" ref="BG17:BG31" si="36">(AN17-AT17)/(AN17-BD17)</f>
        <v>0.79737510439925685</v>
      </c>
      <c r="BH17">
        <f t="shared" ref="BH17:BH31" si="37">(AT17-AS17)/(AT17-AM17)</f>
        <v>0.44426317689275185</v>
      </c>
      <c r="BI17">
        <f t="shared" ref="BI17:BI31" si="38">(AN17-AT17)/(AN17-AM17)</f>
        <v>0.81147505766270112</v>
      </c>
      <c r="BJ17">
        <f t="shared" ref="BJ17:BJ31" si="39">$B$11*CC17+$C$11*CD17+$F$11*CE17</f>
        <v>1750.14</v>
      </c>
      <c r="BK17">
        <f t="shared" ref="BK17:BK31" si="40">BJ17*BL17</f>
        <v>1471.3212000962806</v>
      </c>
      <c r="BL17">
        <f t="shared" ref="BL17:BL31" si="41">($B$11*$D$9+$C$11*$D$9+$F$11*((CR17+CJ17)/MAX(CR17+CJ17+CS17, 0.1)*$I$9+CS17/MAX(CR17+CJ17+CS17, 0.1)*$J$9))/($B$11+$C$11+$F$11)</f>
        <v>0.8406877164662715</v>
      </c>
      <c r="BM17">
        <f t="shared" ref="BM17:BM31" si="42">($B$11*$K$9+$C$11*$K$9+$F$11*((CR17+CJ17)/MAX(CR17+CJ17+CS17, 0.1)*$P$9+CS17/MAX(CR17+CJ17+CS17, 0.1)*$Q$9))/($B$11+$C$11+$F$11)</f>
        <v>0.19137543293254292</v>
      </c>
      <c r="BN17">
        <v>6</v>
      </c>
      <c r="BO17">
        <v>0.5</v>
      </c>
      <c r="BP17" t="s">
        <v>271</v>
      </c>
      <c r="BQ17">
        <v>1567878721.9000001</v>
      </c>
      <c r="BR17">
        <v>383.73700000000002</v>
      </c>
      <c r="BS17">
        <v>400.01600000000002</v>
      </c>
      <c r="BT17">
        <v>18.1203</v>
      </c>
      <c r="BU17">
        <v>16.067</v>
      </c>
      <c r="BV17">
        <v>499.99700000000001</v>
      </c>
      <c r="BW17">
        <v>99.262900000000002</v>
      </c>
      <c r="BX17">
        <v>9.9775500000000003E-2</v>
      </c>
      <c r="BY17">
        <v>25.32</v>
      </c>
      <c r="BZ17">
        <v>27.216699999999999</v>
      </c>
      <c r="CA17">
        <v>999.9</v>
      </c>
      <c r="CB17">
        <v>9981.8799999999992</v>
      </c>
      <c r="CC17">
        <v>0</v>
      </c>
      <c r="CD17">
        <v>1834.4</v>
      </c>
      <c r="CE17">
        <v>1750.14</v>
      </c>
      <c r="CF17">
        <v>0.97700799999999999</v>
      </c>
      <c r="CG17">
        <v>2.29918E-2</v>
      </c>
      <c r="CH17">
        <v>0</v>
      </c>
      <c r="CI17">
        <v>932.14800000000002</v>
      </c>
      <c r="CJ17">
        <v>4.99986</v>
      </c>
      <c r="CK17">
        <v>18734.2</v>
      </c>
      <c r="CL17">
        <v>14221.9</v>
      </c>
      <c r="CM17">
        <v>44.311999999999998</v>
      </c>
      <c r="CN17">
        <v>47.061999999999998</v>
      </c>
      <c r="CO17">
        <v>45.375</v>
      </c>
      <c r="CP17">
        <v>45.75</v>
      </c>
      <c r="CQ17">
        <v>46.125</v>
      </c>
      <c r="CR17">
        <v>1705.02</v>
      </c>
      <c r="CS17">
        <v>40.119999999999997</v>
      </c>
      <c r="CT17">
        <v>0</v>
      </c>
      <c r="CU17">
        <v>1096.60000014305</v>
      </c>
      <c r="CV17">
        <v>933.88884615384598</v>
      </c>
      <c r="CW17">
        <v>-11.8283076820906</v>
      </c>
      <c r="CX17">
        <v>-306.789744348054</v>
      </c>
      <c r="CY17">
        <v>18775.0769230769</v>
      </c>
      <c r="CZ17">
        <v>15</v>
      </c>
      <c r="DA17">
        <v>1567878746.4000001</v>
      </c>
      <c r="DB17" t="s">
        <v>272</v>
      </c>
      <c r="DC17">
        <v>63</v>
      </c>
      <c r="DD17">
        <v>-0.34200000000000003</v>
      </c>
      <c r="DE17">
        <v>0.107</v>
      </c>
      <c r="DF17">
        <v>400</v>
      </c>
      <c r="DG17">
        <v>16</v>
      </c>
      <c r="DH17">
        <v>0.1</v>
      </c>
      <c r="DI17">
        <v>0.05</v>
      </c>
      <c r="DJ17">
        <v>12.5382860943716</v>
      </c>
      <c r="DK17">
        <v>0.15093704126416399</v>
      </c>
      <c r="DL17">
        <v>4.9741569588318803E-2</v>
      </c>
      <c r="DM17">
        <v>1</v>
      </c>
      <c r="DN17">
        <v>9.7727148676526196E-2</v>
      </c>
      <c r="DO17">
        <v>-2.4837650418960199E-2</v>
      </c>
      <c r="DP17">
        <v>4.9302559411107403E-3</v>
      </c>
      <c r="DQ17">
        <v>1</v>
      </c>
      <c r="DR17">
        <v>2</v>
      </c>
      <c r="DS17">
        <v>2</v>
      </c>
      <c r="DT17" t="s">
        <v>273</v>
      </c>
      <c r="DU17">
        <v>1.8666100000000001</v>
      </c>
      <c r="DV17">
        <v>1.86311</v>
      </c>
      <c r="DW17">
        <v>1.8687800000000001</v>
      </c>
      <c r="DX17">
        <v>1.86673</v>
      </c>
      <c r="DY17">
        <v>1.87138</v>
      </c>
      <c r="DZ17">
        <v>1.8638699999999999</v>
      </c>
      <c r="EA17">
        <v>1.8653999999999999</v>
      </c>
      <c r="EB17">
        <v>1.86537</v>
      </c>
      <c r="EC17" t="s">
        <v>274</v>
      </c>
      <c r="ED17" t="s">
        <v>19</v>
      </c>
      <c r="EE17" t="s">
        <v>19</v>
      </c>
      <c r="EF17" t="s">
        <v>19</v>
      </c>
      <c r="EG17" t="s">
        <v>275</v>
      </c>
      <c r="EH17" t="s">
        <v>276</v>
      </c>
      <c r="EI17" t="s">
        <v>277</v>
      </c>
      <c r="EJ17" t="s">
        <v>277</v>
      </c>
      <c r="EK17" t="s">
        <v>277</v>
      </c>
      <c r="EL17" t="s">
        <v>277</v>
      </c>
      <c r="EM17">
        <v>0</v>
      </c>
      <c r="EN17">
        <v>100</v>
      </c>
      <c r="EO17">
        <v>100</v>
      </c>
      <c r="EP17">
        <v>-0.34200000000000003</v>
      </c>
      <c r="EQ17">
        <v>0.107</v>
      </c>
      <c r="ER17">
        <v>2</v>
      </c>
      <c r="ES17">
        <v>508.86</v>
      </c>
      <c r="ET17">
        <v>488.94900000000001</v>
      </c>
      <c r="EU17">
        <v>17.706299999999999</v>
      </c>
      <c r="EV17">
        <v>30.648099999999999</v>
      </c>
      <c r="EW17">
        <v>30.000699999999998</v>
      </c>
      <c r="EX17">
        <v>30.476900000000001</v>
      </c>
      <c r="EY17">
        <v>30.459399999999999</v>
      </c>
      <c r="EZ17">
        <v>21.867699999999999</v>
      </c>
      <c r="FA17">
        <v>47.535600000000002</v>
      </c>
      <c r="FB17">
        <v>0</v>
      </c>
      <c r="FC17">
        <v>17.073599999999999</v>
      </c>
      <c r="FD17">
        <v>400</v>
      </c>
      <c r="FE17">
        <v>15.9352</v>
      </c>
      <c r="FF17">
        <v>101.249</v>
      </c>
      <c r="FG17">
        <v>101.765</v>
      </c>
    </row>
    <row r="18" spans="1:163" x14ac:dyDescent="0.35">
      <c r="A18">
        <v>2</v>
      </c>
      <c r="B18">
        <v>1567878868.4000001</v>
      </c>
      <c r="C18">
        <v>146.5</v>
      </c>
      <c r="D18" t="s">
        <v>278</v>
      </c>
      <c r="E18" t="s">
        <v>279</v>
      </c>
      <c r="G18">
        <v>1567878868.4000001</v>
      </c>
      <c r="H18">
        <f t="shared" si="0"/>
        <v>2.0156735458305118E-3</v>
      </c>
      <c r="I18">
        <f t="shared" si="1"/>
        <v>9.9275650779526678</v>
      </c>
      <c r="J18">
        <f t="shared" si="2"/>
        <v>287.34800000000001</v>
      </c>
      <c r="K18">
        <f t="shared" si="3"/>
        <v>132.39358928323381</v>
      </c>
      <c r="L18">
        <f t="shared" si="4"/>
        <v>13.155911910966104</v>
      </c>
      <c r="M18">
        <f t="shared" si="5"/>
        <v>28.55368599234</v>
      </c>
      <c r="N18">
        <f t="shared" si="6"/>
        <v>0.10934565614301352</v>
      </c>
      <c r="O18">
        <f t="shared" si="7"/>
        <v>2.2471734098437603</v>
      </c>
      <c r="P18">
        <f t="shared" si="8"/>
        <v>0.1064734638389854</v>
      </c>
      <c r="Q18">
        <f t="shared" si="9"/>
        <v>6.6797686099259013E-2</v>
      </c>
      <c r="R18">
        <f t="shared" si="10"/>
        <v>281.55088127969594</v>
      </c>
      <c r="S18">
        <f t="shared" si="11"/>
        <v>26.594372910258461</v>
      </c>
      <c r="T18">
        <f t="shared" si="12"/>
        <v>26.990500000000001</v>
      </c>
      <c r="U18">
        <f t="shared" si="13"/>
        <v>3.5771631564120754</v>
      </c>
      <c r="V18">
        <f t="shared" si="14"/>
        <v>54.462799742544078</v>
      </c>
      <c r="W18">
        <f t="shared" si="15"/>
        <v>1.7463629435519998</v>
      </c>
      <c r="X18">
        <f t="shared" si="16"/>
        <v>3.2065243649011559</v>
      </c>
      <c r="Y18">
        <f t="shared" si="17"/>
        <v>1.8308002128600755</v>
      </c>
      <c r="Z18">
        <f t="shared" si="18"/>
        <v>-88.89120337112557</v>
      </c>
      <c r="AA18">
        <f t="shared" si="19"/>
        <v>-224.0540940445461</v>
      </c>
      <c r="AB18">
        <f t="shared" si="20"/>
        <v>-21.317285973285735</v>
      </c>
      <c r="AC18">
        <f t="shared" si="21"/>
        <v>-52.711702109261466</v>
      </c>
      <c r="AD18">
        <v>-4.1107694610521599E-2</v>
      </c>
      <c r="AE18">
        <v>4.6146988432147998E-2</v>
      </c>
      <c r="AF18">
        <v>3.4501684852296499</v>
      </c>
      <c r="AG18">
        <v>0</v>
      </c>
      <c r="AH18">
        <v>0</v>
      </c>
      <c r="AI18">
        <f t="shared" si="22"/>
        <v>1</v>
      </c>
      <c r="AJ18">
        <f t="shared" si="23"/>
        <v>0</v>
      </c>
      <c r="AK18">
        <f t="shared" si="24"/>
        <v>52748.61840693649</v>
      </c>
      <c r="AL18" t="s">
        <v>268</v>
      </c>
      <c r="AM18">
        <v>631.89076923076902</v>
      </c>
      <c r="AN18">
        <v>3514.37</v>
      </c>
      <c r="AO18">
        <f t="shared" si="25"/>
        <v>2882.479230769231</v>
      </c>
      <c r="AP18">
        <f t="shared" si="26"/>
        <v>0.82019799587670938</v>
      </c>
      <c r="AQ18">
        <v>-1.4218795309761501</v>
      </c>
      <c r="AR18" t="s">
        <v>280</v>
      </c>
      <c r="AS18">
        <v>914.86253846153795</v>
      </c>
      <c r="AT18">
        <v>1142.49</v>
      </c>
      <c r="AU18">
        <f t="shared" si="27"/>
        <v>0.1992380340645975</v>
      </c>
      <c r="AV18">
        <v>0.5</v>
      </c>
      <c r="AW18">
        <f t="shared" si="28"/>
        <v>1471.1877000963609</v>
      </c>
      <c r="AX18">
        <f t="shared" si="29"/>
        <v>9.9275650779526678</v>
      </c>
      <c r="AY18">
        <f t="shared" si="30"/>
        <v>146.55827255360779</v>
      </c>
      <c r="AZ18">
        <f t="shared" si="31"/>
        <v>0.49014871027317525</v>
      </c>
      <c r="BA18">
        <f t="shared" si="32"/>
        <v>7.714477634760979E-3</v>
      </c>
      <c r="BB18">
        <f t="shared" si="33"/>
        <v>2.0760619348965856</v>
      </c>
      <c r="BC18" t="s">
        <v>281</v>
      </c>
      <c r="BD18">
        <v>582.5</v>
      </c>
      <c r="BE18">
        <f t="shared" si="34"/>
        <v>559.99</v>
      </c>
      <c r="BF18">
        <f t="shared" si="35"/>
        <v>0.40648486854847776</v>
      </c>
      <c r="BG18">
        <f t="shared" si="36"/>
        <v>0.80899903474574253</v>
      </c>
      <c r="BH18">
        <f t="shared" si="37"/>
        <v>0.44580455241880285</v>
      </c>
      <c r="BI18">
        <f t="shared" si="38"/>
        <v>0.82286108939873603</v>
      </c>
      <c r="BJ18">
        <f t="shared" si="39"/>
        <v>1749.98</v>
      </c>
      <c r="BK18">
        <f t="shared" si="40"/>
        <v>1471.1877000963609</v>
      </c>
      <c r="BL18">
        <f t="shared" si="41"/>
        <v>0.84068829363556208</v>
      </c>
      <c r="BM18">
        <f t="shared" si="42"/>
        <v>0.19137658727112436</v>
      </c>
      <c r="BN18">
        <v>6</v>
      </c>
      <c r="BO18">
        <v>0.5</v>
      </c>
      <c r="BP18" t="s">
        <v>271</v>
      </c>
      <c r="BQ18">
        <v>1567878868.4000001</v>
      </c>
      <c r="BR18">
        <v>287.34800000000001</v>
      </c>
      <c r="BS18">
        <v>299.95400000000001</v>
      </c>
      <c r="BT18">
        <v>17.574400000000001</v>
      </c>
      <c r="BU18">
        <v>15.198499999999999</v>
      </c>
      <c r="BV18">
        <v>500.084</v>
      </c>
      <c r="BW18">
        <v>99.2697</v>
      </c>
      <c r="BX18">
        <v>0.100005</v>
      </c>
      <c r="BY18">
        <v>25.141100000000002</v>
      </c>
      <c r="BZ18">
        <v>26.990500000000001</v>
      </c>
      <c r="CA18">
        <v>999.9</v>
      </c>
      <c r="CB18">
        <v>9986.25</v>
      </c>
      <c r="CC18">
        <v>0</v>
      </c>
      <c r="CD18">
        <v>1849.07</v>
      </c>
      <c r="CE18">
        <v>1749.98</v>
      </c>
      <c r="CF18">
        <v>0.976989</v>
      </c>
      <c r="CG18">
        <v>2.3010699999999999E-2</v>
      </c>
      <c r="CH18">
        <v>0</v>
      </c>
      <c r="CI18">
        <v>914.09799999999996</v>
      </c>
      <c r="CJ18">
        <v>4.99986</v>
      </c>
      <c r="CK18">
        <v>18444.8</v>
      </c>
      <c r="CL18">
        <v>14220.6</v>
      </c>
      <c r="CM18">
        <v>44.5</v>
      </c>
      <c r="CN18">
        <v>47.125</v>
      </c>
      <c r="CO18">
        <v>45.5</v>
      </c>
      <c r="CP18">
        <v>45.875</v>
      </c>
      <c r="CQ18">
        <v>46.25</v>
      </c>
      <c r="CR18">
        <v>1704.83</v>
      </c>
      <c r="CS18">
        <v>40.15</v>
      </c>
      <c r="CT18">
        <v>0</v>
      </c>
      <c r="CU18">
        <v>145.89999985694899</v>
      </c>
      <c r="CV18">
        <v>914.86253846153795</v>
      </c>
      <c r="CW18">
        <v>-6.62099144891494</v>
      </c>
      <c r="CX18">
        <v>-129.66837614863999</v>
      </c>
      <c r="CY18">
        <v>18460.8461538462</v>
      </c>
      <c r="CZ18">
        <v>15</v>
      </c>
      <c r="DA18">
        <v>1567878829.3</v>
      </c>
      <c r="DB18" t="s">
        <v>282</v>
      </c>
      <c r="DC18">
        <v>64</v>
      </c>
      <c r="DD18">
        <v>-0.44800000000000001</v>
      </c>
      <c r="DE18">
        <v>8.5999999999999993E-2</v>
      </c>
      <c r="DF18">
        <v>300</v>
      </c>
      <c r="DG18">
        <v>15</v>
      </c>
      <c r="DH18">
        <v>0.1</v>
      </c>
      <c r="DI18">
        <v>0.04</v>
      </c>
      <c r="DJ18">
        <v>8.4546155329773391</v>
      </c>
      <c r="DK18">
        <v>10.6794968288278</v>
      </c>
      <c r="DL18">
        <v>3.12523589171012</v>
      </c>
      <c r="DM18">
        <v>0</v>
      </c>
      <c r="DN18">
        <v>0.102654616302726</v>
      </c>
      <c r="DO18">
        <v>0.123080940449511</v>
      </c>
      <c r="DP18">
        <v>3.7983317184103998E-2</v>
      </c>
      <c r="DQ18">
        <v>1</v>
      </c>
      <c r="DR18">
        <v>1</v>
      </c>
      <c r="DS18">
        <v>2</v>
      </c>
      <c r="DT18" t="s">
        <v>283</v>
      </c>
      <c r="DU18">
        <v>1.86669</v>
      </c>
      <c r="DV18">
        <v>1.86313</v>
      </c>
      <c r="DW18">
        <v>1.86883</v>
      </c>
      <c r="DX18">
        <v>1.86676</v>
      </c>
      <c r="DY18">
        <v>1.8714900000000001</v>
      </c>
      <c r="DZ18">
        <v>1.86392</v>
      </c>
      <c r="EA18">
        <v>1.86547</v>
      </c>
      <c r="EB18">
        <v>1.8653900000000001</v>
      </c>
      <c r="EC18" t="s">
        <v>274</v>
      </c>
      <c r="ED18" t="s">
        <v>19</v>
      </c>
      <c r="EE18" t="s">
        <v>19</v>
      </c>
      <c r="EF18" t="s">
        <v>19</v>
      </c>
      <c r="EG18" t="s">
        <v>275</v>
      </c>
      <c r="EH18" t="s">
        <v>276</v>
      </c>
      <c r="EI18" t="s">
        <v>277</v>
      </c>
      <c r="EJ18" t="s">
        <v>277</v>
      </c>
      <c r="EK18" t="s">
        <v>277</v>
      </c>
      <c r="EL18" t="s">
        <v>277</v>
      </c>
      <c r="EM18">
        <v>0</v>
      </c>
      <c r="EN18">
        <v>100</v>
      </c>
      <c r="EO18">
        <v>100</v>
      </c>
      <c r="EP18">
        <v>-0.44800000000000001</v>
      </c>
      <c r="EQ18">
        <v>8.5999999999999993E-2</v>
      </c>
      <c r="ER18">
        <v>2</v>
      </c>
      <c r="ES18">
        <v>508.47199999999998</v>
      </c>
      <c r="ET18">
        <v>486.89100000000002</v>
      </c>
      <c r="EU18">
        <v>18.250499999999999</v>
      </c>
      <c r="EV18">
        <v>30.950500000000002</v>
      </c>
      <c r="EW18">
        <v>30.002099999999999</v>
      </c>
      <c r="EX18">
        <v>30.7378</v>
      </c>
      <c r="EY18">
        <v>30.7087</v>
      </c>
      <c r="EZ18">
        <v>17.421099999999999</v>
      </c>
      <c r="FA18">
        <v>50.151000000000003</v>
      </c>
      <c r="FB18">
        <v>0</v>
      </c>
      <c r="FC18">
        <v>18.508099999999999</v>
      </c>
      <c r="FD18">
        <v>300</v>
      </c>
      <c r="FE18">
        <v>15.3529</v>
      </c>
      <c r="FF18">
        <v>101.19</v>
      </c>
      <c r="FG18">
        <v>101.696</v>
      </c>
    </row>
    <row r="19" spans="1:163" x14ac:dyDescent="0.35">
      <c r="A19">
        <v>3</v>
      </c>
      <c r="B19">
        <v>1567878988.9000001</v>
      </c>
      <c r="C19">
        <v>267</v>
      </c>
      <c r="D19" t="s">
        <v>284</v>
      </c>
      <c r="E19" t="s">
        <v>285</v>
      </c>
      <c r="G19">
        <v>1567878988.9000001</v>
      </c>
      <c r="H19">
        <f t="shared" si="0"/>
        <v>2.6203010789040901E-3</v>
      </c>
      <c r="I19">
        <f t="shared" si="1"/>
        <v>6.763386552401311</v>
      </c>
      <c r="J19">
        <f t="shared" si="2"/>
        <v>191.304</v>
      </c>
      <c r="K19">
        <f t="shared" si="3"/>
        <v>111.11067255400523</v>
      </c>
      <c r="L19">
        <f t="shared" si="4"/>
        <v>11.040454567444222</v>
      </c>
      <c r="M19">
        <f t="shared" si="5"/>
        <v>19.008823113223201</v>
      </c>
      <c r="N19">
        <f t="shared" si="6"/>
        <v>0.14729005830897987</v>
      </c>
      <c r="O19">
        <f t="shared" si="7"/>
        <v>2.2469968926503228</v>
      </c>
      <c r="P19">
        <f t="shared" si="8"/>
        <v>0.14212887126677773</v>
      </c>
      <c r="Q19">
        <f t="shared" si="9"/>
        <v>8.927918976310964E-2</v>
      </c>
      <c r="R19">
        <f t="shared" si="10"/>
        <v>281.55407326074413</v>
      </c>
      <c r="S19">
        <f t="shared" si="11"/>
        <v>26.614114065658274</v>
      </c>
      <c r="T19">
        <f t="shared" si="12"/>
        <v>26.9544</v>
      </c>
      <c r="U19">
        <f t="shared" si="13"/>
        <v>3.5695851818393964</v>
      </c>
      <c r="V19">
        <f t="shared" si="14"/>
        <v>55.004180756775689</v>
      </c>
      <c r="W19">
        <f t="shared" si="15"/>
        <v>1.7870702321505001</v>
      </c>
      <c r="X19">
        <f t="shared" si="16"/>
        <v>3.248971637361147</v>
      </c>
      <c r="Y19">
        <f t="shared" si="17"/>
        <v>1.7825149496888963</v>
      </c>
      <c r="Z19">
        <f t="shared" si="18"/>
        <v>-115.55527757967037</v>
      </c>
      <c r="AA19">
        <f t="shared" si="19"/>
        <v>-192.89137561963298</v>
      </c>
      <c r="AB19">
        <f t="shared" si="20"/>
        <v>-18.37077907002503</v>
      </c>
      <c r="AC19">
        <f t="shared" si="21"/>
        <v>-45.263359008584246</v>
      </c>
      <c r="AD19">
        <v>-4.1102948069891801E-2</v>
      </c>
      <c r="AE19">
        <v>4.6141660024471301E-2</v>
      </c>
      <c r="AF19">
        <v>3.4498530630195998</v>
      </c>
      <c r="AG19">
        <v>0</v>
      </c>
      <c r="AH19">
        <v>0</v>
      </c>
      <c r="AI19">
        <f t="shared" si="22"/>
        <v>1</v>
      </c>
      <c r="AJ19">
        <f t="shared" si="23"/>
        <v>0</v>
      </c>
      <c r="AK19">
        <f t="shared" si="24"/>
        <v>52703.595555623993</v>
      </c>
      <c r="AL19" t="s">
        <v>268</v>
      </c>
      <c r="AM19">
        <v>631.89076923076902</v>
      </c>
      <c r="AN19">
        <v>3514.37</v>
      </c>
      <c r="AO19">
        <f t="shared" si="25"/>
        <v>2882.479230769231</v>
      </c>
      <c r="AP19">
        <f t="shared" si="26"/>
        <v>0.82019799587670938</v>
      </c>
      <c r="AQ19">
        <v>-1.4218795309761501</v>
      </c>
      <c r="AR19" t="s">
        <v>286</v>
      </c>
      <c r="AS19">
        <v>909.24157692307699</v>
      </c>
      <c r="AT19">
        <v>1116.47</v>
      </c>
      <c r="AU19">
        <f t="shared" si="27"/>
        <v>0.1856103818973398</v>
      </c>
      <c r="AV19">
        <v>0.5</v>
      </c>
      <c r="AW19">
        <f t="shared" si="28"/>
        <v>1471.2045000963597</v>
      </c>
      <c r="AX19">
        <f t="shared" si="29"/>
        <v>6.763386552401311</v>
      </c>
      <c r="AY19">
        <f t="shared" si="30"/>
        <v>136.53541455598511</v>
      </c>
      <c r="AZ19">
        <f t="shared" si="31"/>
        <v>0.47534640429209923</v>
      </c>
      <c r="BA19">
        <f t="shared" si="32"/>
        <v>5.5636494334005571E-3</v>
      </c>
      <c r="BB19">
        <f t="shared" si="33"/>
        <v>2.1477513950218095</v>
      </c>
      <c r="BC19" t="s">
        <v>287</v>
      </c>
      <c r="BD19">
        <v>585.76</v>
      </c>
      <c r="BE19">
        <f t="shared" si="34"/>
        <v>530.71</v>
      </c>
      <c r="BF19">
        <f t="shared" si="35"/>
        <v>0.39047393694658666</v>
      </c>
      <c r="BG19">
        <f t="shared" si="36"/>
        <v>0.81878433796237804</v>
      </c>
      <c r="BH19">
        <f t="shared" si="37"/>
        <v>0.42764611010662673</v>
      </c>
      <c r="BI19">
        <f t="shared" si="38"/>
        <v>0.83188804082383128</v>
      </c>
      <c r="BJ19">
        <f t="shared" si="39"/>
        <v>1750</v>
      </c>
      <c r="BK19">
        <f t="shared" si="40"/>
        <v>1471.2045000963597</v>
      </c>
      <c r="BL19">
        <f t="shared" si="41"/>
        <v>0.8406882857693484</v>
      </c>
      <c r="BM19">
        <f t="shared" si="42"/>
        <v>0.19137657153869714</v>
      </c>
      <c r="BN19">
        <v>6</v>
      </c>
      <c r="BO19">
        <v>0.5</v>
      </c>
      <c r="BP19" t="s">
        <v>271</v>
      </c>
      <c r="BQ19">
        <v>1567878988.9000001</v>
      </c>
      <c r="BR19">
        <v>191.304</v>
      </c>
      <c r="BS19">
        <v>200.02099999999999</v>
      </c>
      <c r="BT19">
        <v>17.984999999999999</v>
      </c>
      <c r="BU19">
        <v>14.897399999999999</v>
      </c>
      <c r="BV19">
        <v>500.03399999999999</v>
      </c>
      <c r="BW19">
        <v>99.264499999999998</v>
      </c>
      <c r="BX19">
        <v>9.9983299999999997E-2</v>
      </c>
      <c r="BY19">
        <v>25.362100000000002</v>
      </c>
      <c r="BZ19">
        <v>26.9544</v>
      </c>
      <c r="CA19">
        <v>999.9</v>
      </c>
      <c r="CB19">
        <v>9985.6200000000008</v>
      </c>
      <c r="CC19">
        <v>0</v>
      </c>
      <c r="CD19">
        <v>1874.13</v>
      </c>
      <c r="CE19">
        <v>1750</v>
      </c>
      <c r="CF19">
        <v>0.976989</v>
      </c>
      <c r="CG19">
        <v>2.3010699999999999E-2</v>
      </c>
      <c r="CH19">
        <v>0</v>
      </c>
      <c r="CI19">
        <v>908.43399999999997</v>
      </c>
      <c r="CJ19">
        <v>4.99986</v>
      </c>
      <c r="CK19">
        <v>18377.5</v>
      </c>
      <c r="CL19">
        <v>14220.7</v>
      </c>
      <c r="CM19">
        <v>44.686999999999998</v>
      </c>
      <c r="CN19">
        <v>47.311999999999998</v>
      </c>
      <c r="CO19">
        <v>45.75</v>
      </c>
      <c r="CP19">
        <v>46</v>
      </c>
      <c r="CQ19">
        <v>46.375</v>
      </c>
      <c r="CR19">
        <v>1704.85</v>
      </c>
      <c r="CS19">
        <v>40.15</v>
      </c>
      <c r="CT19">
        <v>0</v>
      </c>
      <c r="CU19">
        <v>120</v>
      </c>
      <c r="CV19">
        <v>909.24157692307699</v>
      </c>
      <c r="CW19">
        <v>-5.8989059876135999</v>
      </c>
      <c r="CX19">
        <v>-102.420512896784</v>
      </c>
      <c r="CY19">
        <v>18390.269230769201</v>
      </c>
      <c r="CZ19">
        <v>15</v>
      </c>
      <c r="DA19">
        <v>1567879014.4000001</v>
      </c>
      <c r="DB19" t="s">
        <v>288</v>
      </c>
      <c r="DC19">
        <v>65</v>
      </c>
      <c r="DD19">
        <v>-0.373</v>
      </c>
      <c r="DE19">
        <v>8.5000000000000006E-2</v>
      </c>
      <c r="DF19">
        <v>200</v>
      </c>
      <c r="DG19">
        <v>15</v>
      </c>
      <c r="DH19">
        <v>0.28999999999999998</v>
      </c>
      <c r="DI19">
        <v>0.02</v>
      </c>
      <c r="DJ19">
        <v>6.6063490152660203</v>
      </c>
      <c r="DK19">
        <v>0.54538669702859599</v>
      </c>
      <c r="DL19">
        <v>0.109711114488815</v>
      </c>
      <c r="DM19">
        <v>0</v>
      </c>
      <c r="DN19">
        <v>0.14112634923365799</v>
      </c>
      <c r="DO19">
        <v>1.8084756077839499E-2</v>
      </c>
      <c r="DP19">
        <v>3.5648747995051799E-3</v>
      </c>
      <c r="DQ19">
        <v>1</v>
      </c>
      <c r="DR19">
        <v>1</v>
      </c>
      <c r="DS19">
        <v>2</v>
      </c>
      <c r="DT19" t="s">
        <v>283</v>
      </c>
      <c r="DU19">
        <v>1.86676</v>
      </c>
      <c r="DV19">
        <v>1.8632500000000001</v>
      </c>
      <c r="DW19">
        <v>1.8689100000000001</v>
      </c>
      <c r="DX19">
        <v>1.8668800000000001</v>
      </c>
      <c r="DY19">
        <v>1.8715200000000001</v>
      </c>
      <c r="DZ19">
        <v>1.8640099999999999</v>
      </c>
      <c r="EA19">
        <v>1.86554</v>
      </c>
      <c r="EB19">
        <v>1.86551</v>
      </c>
      <c r="EC19" t="s">
        <v>274</v>
      </c>
      <c r="ED19" t="s">
        <v>19</v>
      </c>
      <c r="EE19" t="s">
        <v>19</v>
      </c>
      <c r="EF19" t="s">
        <v>19</v>
      </c>
      <c r="EG19" t="s">
        <v>275</v>
      </c>
      <c r="EH19" t="s">
        <v>276</v>
      </c>
      <c r="EI19" t="s">
        <v>277</v>
      </c>
      <c r="EJ19" t="s">
        <v>277</v>
      </c>
      <c r="EK19" t="s">
        <v>277</v>
      </c>
      <c r="EL19" t="s">
        <v>277</v>
      </c>
      <c r="EM19">
        <v>0</v>
      </c>
      <c r="EN19">
        <v>100</v>
      </c>
      <c r="EO19">
        <v>100</v>
      </c>
      <c r="EP19">
        <v>-0.373</v>
      </c>
      <c r="EQ19">
        <v>8.5000000000000006E-2</v>
      </c>
      <c r="ER19">
        <v>2</v>
      </c>
      <c r="ES19">
        <v>509.60399999999998</v>
      </c>
      <c r="ET19">
        <v>486.61200000000002</v>
      </c>
      <c r="EU19">
        <v>20.038</v>
      </c>
      <c r="EV19">
        <v>31.0806</v>
      </c>
      <c r="EW19">
        <v>30.0001</v>
      </c>
      <c r="EX19">
        <v>30.908999999999999</v>
      </c>
      <c r="EY19">
        <v>30.884499999999999</v>
      </c>
      <c r="EZ19">
        <v>12.8065</v>
      </c>
      <c r="FA19">
        <v>51.361800000000002</v>
      </c>
      <c r="FB19">
        <v>0</v>
      </c>
      <c r="FC19">
        <v>20.074100000000001</v>
      </c>
      <c r="FD19">
        <v>200</v>
      </c>
      <c r="FE19">
        <v>14.8353</v>
      </c>
      <c r="FF19">
        <v>101.172</v>
      </c>
      <c r="FG19">
        <v>101.679</v>
      </c>
    </row>
    <row r="20" spans="1:163" x14ac:dyDescent="0.35">
      <c r="A20">
        <v>4</v>
      </c>
      <c r="B20">
        <v>1567879128.9000001</v>
      </c>
      <c r="C20">
        <v>407</v>
      </c>
      <c r="D20" t="s">
        <v>289</v>
      </c>
      <c r="E20" t="s">
        <v>290</v>
      </c>
      <c r="G20">
        <v>1567879128.9000001</v>
      </c>
      <c r="H20">
        <f t="shared" si="0"/>
        <v>3.4009593802483713E-3</v>
      </c>
      <c r="I20">
        <f t="shared" si="1"/>
        <v>2.7995886652240372</v>
      </c>
      <c r="J20">
        <f t="shared" si="2"/>
        <v>96.283799999999999</v>
      </c>
      <c r="K20">
        <f t="shared" si="3"/>
        <v>70.246782929178323</v>
      </c>
      <c r="L20">
        <f t="shared" si="4"/>
        <v>6.979794694013532</v>
      </c>
      <c r="M20">
        <f t="shared" si="5"/>
        <v>9.5668602651455394</v>
      </c>
      <c r="N20">
        <f t="shared" si="6"/>
        <v>0.19733528302102524</v>
      </c>
      <c r="O20">
        <f t="shared" si="7"/>
        <v>2.2448403334759246</v>
      </c>
      <c r="P20">
        <f t="shared" si="8"/>
        <v>0.18817975013094557</v>
      </c>
      <c r="Q20">
        <f t="shared" si="9"/>
        <v>0.11839952829060234</v>
      </c>
      <c r="R20">
        <f t="shared" si="10"/>
        <v>281.56684118494144</v>
      </c>
      <c r="S20">
        <f t="shared" si="11"/>
        <v>26.665853812895161</v>
      </c>
      <c r="T20">
        <f t="shared" si="12"/>
        <v>27.002099999999999</v>
      </c>
      <c r="U20">
        <f t="shared" si="13"/>
        <v>3.5796011636489489</v>
      </c>
      <c r="V20">
        <f t="shared" si="14"/>
        <v>55.379267796996032</v>
      </c>
      <c r="W20">
        <f t="shared" si="15"/>
        <v>1.8327644008726498</v>
      </c>
      <c r="X20">
        <f t="shared" si="16"/>
        <v>3.3094774882019395</v>
      </c>
      <c r="Y20">
        <f t="shared" si="17"/>
        <v>1.7468367627762991</v>
      </c>
      <c r="Z20">
        <f t="shared" si="18"/>
        <v>-149.98230866895318</v>
      </c>
      <c r="AA20">
        <f t="shared" si="19"/>
        <v>-160.87697995517004</v>
      </c>
      <c r="AB20">
        <f t="shared" si="20"/>
        <v>-15.36402343992777</v>
      </c>
      <c r="AC20">
        <f t="shared" si="21"/>
        <v>-44.656470879109577</v>
      </c>
      <c r="AD20">
        <v>-4.1044985372765602E-2</v>
      </c>
      <c r="AE20">
        <v>4.6076591819136002E-2</v>
      </c>
      <c r="AF20">
        <v>3.4460002559806702</v>
      </c>
      <c r="AG20">
        <v>0</v>
      </c>
      <c r="AH20">
        <v>0</v>
      </c>
      <c r="AI20">
        <f t="shared" si="22"/>
        <v>1</v>
      </c>
      <c r="AJ20">
        <f t="shared" si="23"/>
        <v>0</v>
      </c>
      <c r="AK20">
        <f t="shared" si="24"/>
        <v>52577.447041258572</v>
      </c>
      <c r="AL20" t="s">
        <v>268</v>
      </c>
      <c r="AM20">
        <v>631.89076923076902</v>
      </c>
      <c r="AN20">
        <v>3514.37</v>
      </c>
      <c r="AO20">
        <f t="shared" si="25"/>
        <v>2882.479230769231</v>
      </c>
      <c r="AP20">
        <f t="shared" si="26"/>
        <v>0.82019799587670938</v>
      </c>
      <c r="AQ20">
        <v>-1.4218795309761501</v>
      </c>
      <c r="AR20" t="s">
        <v>291</v>
      </c>
      <c r="AS20">
        <v>910.96100000000001</v>
      </c>
      <c r="AT20">
        <v>1093.44</v>
      </c>
      <c r="AU20">
        <f t="shared" si="27"/>
        <v>0.16688524290313145</v>
      </c>
      <c r="AV20">
        <v>0.5</v>
      </c>
      <c r="AW20">
        <f t="shared" si="28"/>
        <v>1471.2717000963555</v>
      </c>
      <c r="AX20">
        <f t="shared" si="29"/>
        <v>2.7995886652240372</v>
      </c>
      <c r="AY20">
        <f t="shared" si="30"/>
        <v>122.76676752354173</v>
      </c>
      <c r="AZ20">
        <f t="shared" si="31"/>
        <v>0.45976002341235001</v>
      </c>
      <c r="BA20">
        <f t="shared" si="32"/>
        <v>2.8692648651664531E-3</v>
      </c>
      <c r="BB20">
        <f t="shared" si="33"/>
        <v>2.2140492390986242</v>
      </c>
      <c r="BC20" t="s">
        <v>292</v>
      </c>
      <c r="BD20">
        <v>590.72</v>
      </c>
      <c r="BE20">
        <f t="shared" si="34"/>
        <v>502.72</v>
      </c>
      <c r="BF20">
        <f t="shared" si="35"/>
        <v>0.36298337046467227</v>
      </c>
      <c r="BG20">
        <f t="shared" si="36"/>
        <v>0.82805055324679766</v>
      </c>
      <c r="BH20">
        <f t="shared" si="37"/>
        <v>0.39536194155469695</v>
      </c>
      <c r="BI20">
        <f t="shared" si="38"/>
        <v>0.83987769075926344</v>
      </c>
      <c r="BJ20">
        <f t="shared" si="39"/>
        <v>1750.08</v>
      </c>
      <c r="BK20">
        <f t="shared" si="40"/>
        <v>1471.2717000963555</v>
      </c>
      <c r="BL20">
        <f t="shared" si="41"/>
        <v>0.84068825430629202</v>
      </c>
      <c r="BM20">
        <f t="shared" si="42"/>
        <v>0.1913765086125841</v>
      </c>
      <c r="BN20">
        <v>6</v>
      </c>
      <c r="BO20">
        <v>0.5</v>
      </c>
      <c r="BP20" t="s">
        <v>271</v>
      </c>
      <c r="BQ20">
        <v>1567879128.9000001</v>
      </c>
      <c r="BR20">
        <v>96.283799999999999</v>
      </c>
      <c r="BS20">
        <v>100.036</v>
      </c>
      <c r="BT20">
        <v>18.445499999999999</v>
      </c>
      <c r="BU20">
        <v>14.4399</v>
      </c>
      <c r="BV20">
        <v>500.03399999999999</v>
      </c>
      <c r="BW20">
        <v>99.261099999999999</v>
      </c>
      <c r="BX20">
        <v>9.99583E-2</v>
      </c>
      <c r="BY20">
        <v>25.672799999999999</v>
      </c>
      <c r="BZ20">
        <v>27.002099999999999</v>
      </c>
      <c r="CA20">
        <v>999.9</v>
      </c>
      <c r="CB20">
        <v>9971.8799999999992</v>
      </c>
      <c r="CC20">
        <v>0</v>
      </c>
      <c r="CD20">
        <v>1866.4</v>
      </c>
      <c r="CE20">
        <v>1750.08</v>
      </c>
      <c r="CF20">
        <v>0.976993</v>
      </c>
      <c r="CG20">
        <v>2.3006700000000001E-2</v>
      </c>
      <c r="CH20">
        <v>0</v>
      </c>
      <c r="CI20">
        <v>910.58299999999997</v>
      </c>
      <c r="CJ20">
        <v>4.99986</v>
      </c>
      <c r="CK20">
        <v>18425.2</v>
      </c>
      <c r="CL20">
        <v>14221.4</v>
      </c>
      <c r="CM20">
        <v>45</v>
      </c>
      <c r="CN20">
        <v>47.625</v>
      </c>
      <c r="CO20">
        <v>46.061999999999998</v>
      </c>
      <c r="CP20">
        <v>46.186999999999998</v>
      </c>
      <c r="CQ20">
        <v>46.625</v>
      </c>
      <c r="CR20">
        <v>1704.93</v>
      </c>
      <c r="CS20">
        <v>40.15</v>
      </c>
      <c r="CT20">
        <v>0</v>
      </c>
      <c r="CU20">
        <v>139.299999952316</v>
      </c>
      <c r="CV20">
        <v>910.96100000000001</v>
      </c>
      <c r="CW20">
        <v>-3.8299487163938699</v>
      </c>
      <c r="CX20">
        <v>-62.044444408523198</v>
      </c>
      <c r="CY20">
        <v>18432.353846153801</v>
      </c>
      <c r="CZ20">
        <v>15</v>
      </c>
      <c r="DA20">
        <v>1567879082.9000001</v>
      </c>
      <c r="DB20" t="s">
        <v>293</v>
      </c>
      <c r="DC20">
        <v>66</v>
      </c>
      <c r="DD20">
        <v>-0.30399999999999999</v>
      </c>
      <c r="DE20">
        <v>8.4000000000000005E-2</v>
      </c>
      <c r="DF20">
        <v>100</v>
      </c>
      <c r="DG20">
        <v>15</v>
      </c>
      <c r="DH20">
        <v>0.28999999999999998</v>
      </c>
      <c r="DI20">
        <v>0.03</v>
      </c>
      <c r="DJ20">
        <v>2.7274131842168101</v>
      </c>
      <c r="DK20">
        <v>0.22709781850927199</v>
      </c>
      <c r="DL20">
        <v>5.6506282740156802E-2</v>
      </c>
      <c r="DM20">
        <v>1</v>
      </c>
      <c r="DN20">
        <v>0.184748927659457</v>
      </c>
      <c r="DO20">
        <v>4.8035698234658399E-2</v>
      </c>
      <c r="DP20">
        <v>9.6005682742423999E-3</v>
      </c>
      <c r="DQ20">
        <v>1</v>
      </c>
      <c r="DR20">
        <v>2</v>
      </c>
      <c r="DS20">
        <v>2</v>
      </c>
      <c r="DT20" t="s">
        <v>273</v>
      </c>
      <c r="DU20">
        <v>1.86676</v>
      </c>
      <c r="DV20">
        <v>1.8632500000000001</v>
      </c>
      <c r="DW20">
        <v>1.8689</v>
      </c>
      <c r="DX20">
        <v>1.8668800000000001</v>
      </c>
      <c r="DY20">
        <v>1.8714999999999999</v>
      </c>
      <c r="DZ20">
        <v>1.8640099999999999</v>
      </c>
      <c r="EA20">
        <v>1.86554</v>
      </c>
      <c r="EB20">
        <v>1.8654999999999999</v>
      </c>
      <c r="EC20" t="s">
        <v>274</v>
      </c>
      <c r="ED20" t="s">
        <v>19</v>
      </c>
      <c r="EE20" t="s">
        <v>19</v>
      </c>
      <c r="EF20" t="s">
        <v>19</v>
      </c>
      <c r="EG20" t="s">
        <v>275</v>
      </c>
      <c r="EH20" t="s">
        <v>276</v>
      </c>
      <c r="EI20" t="s">
        <v>277</v>
      </c>
      <c r="EJ20" t="s">
        <v>277</v>
      </c>
      <c r="EK20" t="s">
        <v>277</v>
      </c>
      <c r="EL20" t="s">
        <v>277</v>
      </c>
      <c r="EM20">
        <v>0</v>
      </c>
      <c r="EN20">
        <v>100</v>
      </c>
      <c r="EO20">
        <v>100</v>
      </c>
      <c r="EP20">
        <v>-0.30399999999999999</v>
      </c>
      <c r="EQ20">
        <v>8.4000000000000005E-2</v>
      </c>
      <c r="ER20">
        <v>2</v>
      </c>
      <c r="ES20">
        <v>510.11799999999999</v>
      </c>
      <c r="ET20">
        <v>486.46800000000002</v>
      </c>
      <c r="EU20">
        <v>20.170100000000001</v>
      </c>
      <c r="EV20">
        <v>31.099499999999999</v>
      </c>
      <c r="EW20">
        <v>30.000699999999998</v>
      </c>
      <c r="EX20">
        <v>31.027100000000001</v>
      </c>
      <c r="EY20">
        <v>31.014900000000001</v>
      </c>
      <c r="EZ20">
        <v>8.0072299999999998</v>
      </c>
      <c r="FA20">
        <v>52.712200000000003</v>
      </c>
      <c r="FB20">
        <v>0</v>
      </c>
      <c r="FC20">
        <v>20.1496</v>
      </c>
      <c r="FD20">
        <v>100</v>
      </c>
      <c r="FE20">
        <v>14.361599999999999</v>
      </c>
      <c r="FF20">
        <v>101.16200000000001</v>
      </c>
      <c r="FG20">
        <v>101.666</v>
      </c>
    </row>
    <row r="21" spans="1:163" x14ac:dyDescent="0.35">
      <c r="A21">
        <v>5</v>
      </c>
      <c r="B21">
        <v>1567879243.9000001</v>
      </c>
      <c r="C21">
        <v>522</v>
      </c>
      <c r="D21" t="s">
        <v>294</v>
      </c>
      <c r="E21" t="s">
        <v>295</v>
      </c>
      <c r="G21">
        <v>1567879243.9000001</v>
      </c>
      <c r="H21">
        <f t="shared" si="0"/>
        <v>3.8550338366698886E-3</v>
      </c>
      <c r="I21">
        <f t="shared" si="1"/>
        <v>-1.6019145695911472</v>
      </c>
      <c r="J21">
        <f t="shared" si="2"/>
        <v>16.863099999999999</v>
      </c>
      <c r="K21">
        <f t="shared" si="3"/>
        <v>28.016580210359741</v>
      </c>
      <c r="L21">
        <f t="shared" si="4"/>
        <v>2.7836123876312899</v>
      </c>
      <c r="M21">
        <f t="shared" si="5"/>
        <v>1.6754483845429498</v>
      </c>
      <c r="N21">
        <f t="shared" si="6"/>
        <v>0.22783976435400469</v>
      </c>
      <c r="O21">
        <f t="shared" si="7"/>
        <v>2.2462918823442592</v>
      </c>
      <c r="P21">
        <f t="shared" si="8"/>
        <v>0.21573558821143263</v>
      </c>
      <c r="Q21">
        <f t="shared" si="9"/>
        <v>0.13586864351887698</v>
      </c>
      <c r="R21">
        <f t="shared" si="10"/>
        <v>281.55407326074413</v>
      </c>
      <c r="S21">
        <f t="shared" si="11"/>
        <v>26.599374079065335</v>
      </c>
      <c r="T21">
        <f t="shared" si="12"/>
        <v>26.993500000000001</v>
      </c>
      <c r="U21">
        <f t="shared" si="13"/>
        <v>3.5777935365245201</v>
      </c>
      <c r="V21">
        <f t="shared" si="14"/>
        <v>55.644508738748456</v>
      </c>
      <c r="W21">
        <f t="shared" si="15"/>
        <v>1.8508810874615997</v>
      </c>
      <c r="X21">
        <f t="shared" si="16"/>
        <v>3.326260091811585</v>
      </c>
      <c r="Y21">
        <f t="shared" si="17"/>
        <v>1.7269124490629204</v>
      </c>
      <c r="Z21">
        <f t="shared" si="18"/>
        <v>-170.0069921971421</v>
      </c>
      <c r="AA21">
        <f t="shared" si="19"/>
        <v>-149.60951946695013</v>
      </c>
      <c r="AB21">
        <f t="shared" si="20"/>
        <v>-14.284208176281064</v>
      </c>
      <c r="AC21">
        <f t="shared" si="21"/>
        <v>-52.34664657962918</v>
      </c>
      <c r="AD21">
        <v>-4.1083993718549899E-2</v>
      </c>
      <c r="AE21">
        <v>4.6120382104597603E-2</v>
      </c>
      <c r="AF21">
        <v>3.4485933635844699</v>
      </c>
      <c r="AG21">
        <v>0</v>
      </c>
      <c r="AH21">
        <v>0</v>
      </c>
      <c r="AI21">
        <f t="shared" si="22"/>
        <v>1</v>
      </c>
      <c r="AJ21">
        <f t="shared" si="23"/>
        <v>0</v>
      </c>
      <c r="AK21">
        <f t="shared" si="24"/>
        <v>52610.263728033235</v>
      </c>
      <c r="AL21" t="s">
        <v>268</v>
      </c>
      <c r="AM21">
        <v>631.89076923076902</v>
      </c>
      <c r="AN21">
        <v>3514.37</v>
      </c>
      <c r="AO21">
        <f t="shared" si="25"/>
        <v>2882.479230769231</v>
      </c>
      <c r="AP21">
        <f t="shared" si="26"/>
        <v>0.82019799587670938</v>
      </c>
      <c r="AQ21">
        <v>-1.4218795309761501</v>
      </c>
      <c r="AR21" t="s">
        <v>296</v>
      </c>
      <c r="AS21">
        <v>922.57088461538501</v>
      </c>
      <c r="AT21">
        <v>1067.73</v>
      </c>
      <c r="AU21">
        <f t="shared" si="27"/>
        <v>0.13595114437602673</v>
      </c>
      <c r="AV21">
        <v>0.5</v>
      </c>
      <c r="AW21">
        <f t="shared" si="28"/>
        <v>1471.2045000963597</v>
      </c>
      <c r="AX21">
        <f t="shared" si="29"/>
        <v>-1.6019145695911472</v>
      </c>
      <c r="AY21">
        <f t="shared" si="30"/>
        <v>100.00596769963022</v>
      </c>
      <c r="AZ21">
        <f t="shared" si="31"/>
        <v>0.44585241587292673</v>
      </c>
      <c r="BA21">
        <f t="shared" si="32"/>
        <v>-1.2237254481155092E-4</v>
      </c>
      <c r="BB21">
        <f t="shared" si="33"/>
        <v>2.2914407200322175</v>
      </c>
      <c r="BC21" t="s">
        <v>297</v>
      </c>
      <c r="BD21">
        <v>591.67999999999995</v>
      </c>
      <c r="BE21">
        <f t="shared" si="34"/>
        <v>476.05000000000007</v>
      </c>
      <c r="BF21">
        <f t="shared" si="35"/>
        <v>0.30492409491569161</v>
      </c>
      <c r="BG21">
        <f t="shared" si="36"/>
        <v>0.83711922920323389</v>
      </c>
      <c r="BH21">
        <f t="shared" si="37"/>
        <v>0.33305656108197873</v>
      </c>
      <c r="BI21">
        <f t="shared" si="38"/>
        <v>0.848797095876066</v>
      </c>
      <c r="BJ21">
        <f t="shared" si="39"/>
        <v>1750</v>
      </c>
      <c r="BK21">
        <f t="shared" si="40"/>
        <v>1471.2045000963597</v>
      </c>
      <c r="BL21">
        <f t="shared" si="41"/>
        <v>0.8406882857693484</v>
      </c>
      <c r="BM21">
        <f t="shared" si="42"/>
        <v>0.19137657153869714</v>
      </c>
      <c r="BN21">
        <v>6</v>
      </c>
      <c r="BO21">
        <v>0.5</v>
      </c>
      <c r="BP21" t="s">
        <v>271</v>
      </c>
      <c r="BQ21">
        <v>1567879243.9000001</v>
      </c>
      <c r="BR21">
        <v>16.863099999999999</v>
      </c>
      <c r="BS21">
        <v>15.019</v>
      </c>
      <c r="BT21">
        <v>18.628799999999998</v>
      </c>
      <c r="BU21">
        <v>14.089399999999999</v>
      </c>
      <c r="BV21">
        <v>500.05099999999999</v>
      </c>
      <c r="BW21">
        <v>99.255899999999997</v>
      </c>
      <c r="BX21">
        <v>9.99945E-2</v>
      </c>
      <c r="BY21">
        <v>25.758099999999999</v>
      </c>
      <c r="BZ21">
        <v>26.993500000000001</v>
      </c>
      <c r="CA21">
        <v>999.9</v>
      </c>
      <c r="CB21">
        <v>9981.8799999999992</v>
      </c>
      <c r="CC21">
        <v>0</v>
      </c>
      <c r="CD21">
        <v>1869.48</v>
      </c>
      <c r="CE21">
        <v>1750</v>
      </c>
      <c r="CF21">
        <v>0.976993</v>
      </c>
      <c r="CG21">
        <v>2.3006700000000001E-2</v>
      </c>
      <c r="CH21">
        <v>0</v>
      </c>
      <c r="CI21">
        <v>922.56899999999996</v>
      </c>
      <c r="CJ21">
        <v>4.99986</v>
      </c>
      <c r="CK21">
        <v>18705.099999999999</v>
      </c>
      <c r="CL21">
        <v>14220.7</v>
      </c>
      <c r="CM21">
        <v>45.375</v>
      </c>
      <c r="CN21">
        <v>48.061999999999998</v>
      </c>
      <c r="CO21">
        <v>46.436999999999998</v>
      </c>
      <c r="CP21">
        <v>46.625</v>
      </c>
      <c r="CQ21">
        <v>47</v>
      </c>
      <c r="CR21">
        <v>1704.85</v>
      </c>
      <c r="CS21">
        <v>40.15</v>
      </c>
      <c r="CT21">
        <v>0</v>
      </c>
      <c r="CU21">
        <v>114.5</v>
      </c>
      <c r="CV21">
        <v>922.57088461538501</v>
      </c>
      <c r="CW21">
        <v>1.0644444479711299</v>
      </c>
      <c r="CX21">
        <v>152.11282007169001</v>
      </c>
      <c r="CY21">
        <v>18675.242307692301</v>
      </c>
      <c r="CZ21">
        <v>15</v>
      </c>
      <c r="DA21">
        <v>1567879199.9000001</v>
      </c>
      <c r="DB21" t="s">
        <v>298</v>
      </c>
      <c r="DC21">
        <v>67</v>
      </c>
      <c r="DD21">
        <v>-0.48</v>
      </c>
      <c r="DE21">
        <v>7.6999999999999999E-2</v>
      </c>
      <c r="DF21">
        <v>15</v>
      </c>
      <c r="DG21">
        <v>14</v>
      </c>
      <c r="DH21">
        <v>0.25</v>
      </c>
      <c r="DI21">
        <v>0.02</v>
      </c>
      <c r="DJ21">
        <v>-1.60851411254469</v>
      </c>
      <c r="DK21">
        <v>-0.18358363750110601</v>
      </c>
      <c r="DL21">
        <v>9.6032550223888499E-2</v>
      </c>
      <c r="DM21">
        <v>1</v>
      </c>
      <c r="DN21">
        <v>0.21717732016914801</v>
      </c>
      <c r="DO21">
        <v>6.5467958340579196E-2</v>
      </c>
      <c r="DP21">
        <v>1.8792740155727499E-2</v>
      </c>
      <c r="DQ21">
        <v>1</v>
      </c>
      <c r="DR21">
        <v>2</v>
      </c>
      <c r="DS21">
        <v>2</v>
      </c>
      <c r="DT21" t="s">
        <v>273</v>
      </c>
      <c r="DU21">
        <v>1.86676</v>
      </c>
      <c r="DV21">
        <v>1.86324</v>
      </c>
      <c r="DW21">
        <v>1.8689</v>
      </c>
      <c r="DX21">
        <v>1.8668499999999999</v>
      </c>
      <c r="DY21">
        <v>1.8714900000000001</v>
      </c>
      <c r="DZ21">
        <v>1.8640099999999999</v>
      </c>
      <c r="EA21">
        <v>1.86554</v>
      </c>
      <c r="EB21">
        <v>1.86544</v>
      </c>
      <c r="EC21" t="s">
        <v>274</v>
      </c>
      <c r="ED21" t="s">
        <v>19</v>
      </c>
      <c r="EE21" t="s">
        <v>19</v>
      </c>
      <c r="EF21" t="s">
        <v>19</v>
      </c>
      <c r="EG21" t="s">
        <v>275</v>
      </c>
      <c r="EH21" t="s">
        <v>276</v>
      </c>
      <c r="EI21" t="s">
        <v>277</v>
      </c>
      <c r="EJ21" t="s">
        <v>277</v>
      </c>
      <c r="EK21" t="s">
        <v>277</v>
      </c>
      <c r="EL21" t="s">
        <v>277</v>
      </c>
      <c r="EM21">
        <v>0</v>
      </c>
      <c r="EN21">
        <v>100</v>
      </c>
      <c r="EO21">
        <v>100</v>
      </c>
      <c r="EP21">
        <v>-0.48</v>
      </c>
      <c r="EQ21">
        <v>7.6999999999999999E-2</v>
      </c>
      <c r="ER21">
        <v>2</v>
      </c>
      <c r="ES21">
        <v>510.65699999999998</v>
      </c>
      <c r="ET21">
        <v>485.39800000000002</v>
      </c>
      <c r="EU21">
        <v>19.4499</v>
      </c>
      <c r="EV21">
        <v>31.257200000000001</v>
      </c>
      <c r="EW21">
        <v>30.000599999999999</v>
      </c>
      <c r="EX21">
        <v>31.185700000000001</v>
      </c>
      <c r="EY21">
        <v>31.178999999999998</v>
      </c>
      <c r="EZ21">
        <v>3.9252400000000001</v>
      </c>
      <c r="FA21">
        <v>53.968899999999998</v>
      </c>
      <c r="FB21">
        <v>0</v>
      </c>
      <c r="FC21">
        <v>19.917000000000002</v>
      </c>
      <c r="FD21">
        <v>15</v>
      </c>
      <c r="FE21">
        <v>13.963200000000001</v>
      </c>
      <c r="FF21">
        <v>101.128</v>
      </c>
      <c r="FG21">
        <v>101.624</v>
      </c>
    </row>
    <row r="22" spans="1:163" x14ac:dyDescent="0.35">
      <c r="A22">
        <v>6</v>
      </c>
      <c r="B22">
        <v>1567879364.4000001</v>
      </c>
      <c r="C22">
        <v>642.5</v>
      </c>
      <c r="D22" t="s">
        <v>299</v>
      </c>
      <c r="E22" t="s">
        <v>300</v>
      </c>
      <c r="G22">
        <v>1567879364.4000001</v>
      </c>
      <c r="H22">
        <f t="shared" si="0"/>
        <v>3.4684349443572225E-3</v>
      </c>
      <c r="I22">
        <f t="shared" si="1"/>
        <v>18.437829915884436</v>
      </c>
      <c r="J22">
        <f t="shared" si="2"/>
        <v>376.23</v>
      </c>
      <c r="K22">
        <f t="shared" si="3"/>
        <v>212.60813231380769</v>
      </c>
      <c r="L22">
        <f t="shared" si="4"/>
        <v>21.125415443181776</v>
      </c>
      <c r="M22">
        <f t="shared" si="5"/>
        <v>37.383400934340003</v>
      </c>
      <c r="N22">
        <f t="shared" si="6"/>
        <v>0.19823773763948557</v>
      </c>
      <c r="O22">
        <f t="shared" si="7"/>
        <v>2.2483159607991605</v>
      </c>
      <c r="P22">
        <f t="shared" si="8"/>
        <v>0.18901394511459935</v>
      </c>
      <c r="Q22">
        <f t="shared" si="9"/>
        <v>0.11892666651714406</v>
      </c>
      <c r="R22">
        <f t="shared" si="10"/>
        <v>281.56308737803471</v>
      </c>
      <c r="S22">
        <f t="shared" si="11"/>
        <v>26.959430037142727</v>
      </c>
      <c r="T22">
        <f t="shared" si="12"/>
        <v>27.1401</v>
      </c>
      <c r="U22">
        <f t="shared" si="13"/>
        <v>3.608716504582743</v>
      </c>
      <c r="V22">
        <f t="shared" si="14"/>
        <v>54.422889630655405</v>
      </c>
      <c r="W22">
        <f t="shared" si="15"/>
        <v>1.8353368914180002</v>
      </c>
      <c r="X22">
        <f t="shared" si="16"/>
        <v>3.372362077562653</v>
      </c>
      <c r="Y22">
        <f t="shared" si="17"/>
        <v>1.7733796131647428</v>
      </c>
      <c r="Z22">
        <f t="shared" si="18"/>
        <v>-152.95798104615352</v>
      </c>
      <c r="AA22">
        <f t="shared" si="19"/>
        <v>-139.34440710636349</v>
      </c>
      <c r="AB22">
        <f t="shared" si="20"/>
        <v>-13.317402386889377</v>
      </c>
      <c r="AC22">
        <f t="shared" si="21"/>
        <v>-24.056703161371701</v>
      </c>
      <c r="AD22">
        <v>-4.1138425890297703E-2</v>
      </c>
      <c r="AE22">
        <v>4.6181486985904699E-2</v>
      </c>
      <c r="AF22">
        <v>3.4522103709344498</v>
      </c>
      <c r="AG22">
        <v>0</v>
      </c>
      <c r="AH22">
        <v>0</v>
      </c>
      <c r="AI22">
        <f t="shared" si="22"/>
        <v>1</v>
      </c>
      <c r="AJ22">
        <f t="shared" si="23"/>
        <v>0</v>
      </c>
      <c r="AK22">
        <f t="shared" si="24"/>
        <v>52636.346191418321</v>
      </c>
      <c r="AL22" t="s">
        <v>268</v>
      </c>
      <c r="AM22">
        <v>631.89076923076902</v>
      </c>
      <c r="AN22">
        <v>3514.37</v>
      </c>
      <c r="AO22">
        <f t="shared" si="25"/>
        <v>2882.479230769231</v>
      </c>
      <c r="AP22">
        <f t="shared" si="26"/>
        <v>0.82019799587670938</v>
      </c>
      <c r="AQ22">
        <v>-1.4218795309761501</v>
      </c>
      <c r="AR22" t="s">
        <v>301</v>
      </c>
      <c r="AS22">
        <v>862.87484615384597</v>
      </c>
      <c r="AT22">
        <v>1127.22</v>
      </c>
      <c r="AU22">
        <f t="shared" si="27"/>
        <v>0.23451070229959903</v>
      </c>
      <c r="AV22">
        <v>0.5</v>
      </c>
      <c r="AW22">
        <f t="shared" si="28"/>
        <v>1471.2546000963325</v>
      </c>
      <c r="AX22">
        <f t="shared" si="29"/>
        <v>18.437829915884436</v>
      </c>
      <c r="AY22">
        <f t="shared" si="30"/>
        <v>172.51247476505333</v>
      </c>
      <c r="AZ22">
        <f t="shared" si="31"/>
        <v>0.51416759816184954</v>
      </c>
      <c r="BA22">
        <f t="shared" si="32"/>
        <v>1.3498485881070646E-2</v>
      </c>
      <c r="BB22">
        <f t="shared" si="33"/>
        <v>2.1177321197281804</v>
      </c>
      <c r="BC22" t="s">
        <v>302</v>
      </c>
      <c r="BD22">
        <v>547.64</v>
      </c>
      <c r="BE22">
        <f t="shared" si="34"/>
        <v>579.58000000000004</v>
      </c>
      <c r="BF22">
        <f t="shared" si="35"/>
        <v>0.45609778433719944</v>
      </c>
      <c r="BG22">
        <f t="shared" si="36"/>
        <v>0.80464012566023857</v>
      </c>
      <c r="BH22">
        <f t="shared" si="37"/>
        <v>0.533675659390491</v>
      </c>
      <c r="BI22">
        <f t="shared" si="38"/>
        <v>0.82815861239109578</v>
      </c>
      <c r="BJ22">
        <f t="shared" si="39"/>
        <v>1750.06</v>
      </c>
      <c r="BK22">
        <f t="shared" si="40"/>
        <v>1471.2546000963325</v>
      </c>
      <c r="BL22">
        <f t="shared" si="41"/>
        <v>0.84068809074907869</v>
      </c>
      <c r="BM22">
        <f t="shared" si="42"/>
        <v>0.19137618149815741</v>
      </c>
      <c r="BN22">
        <v>6</v>
      </c>
      <c r="BO22">
        <v>0.5</v>
      </c>
      <c r="BP22" t="s">
        <v>271</v>
      </c>
      <c r="BQ22">
        <v>1567879364.4000001</v>
      </c>
      <c r="BR22">
        <v>376.23</v>
      </c>
      <c r="BS22">
        <v>399.91699999999997</v>
      </c>
      <c r="BT22">
        <v>18.471</v>
      </c>
      <c r="BU22">
        <v>14.3865</v>
      </c>
      <c r="BV22">
        <v>500.09100000000001</v>
      </c>
      <c r="BW22">
        <v>99.263099999999994</v>
      </c>
      <c r="BX22">
        <v>0.10005799999999999</v>
      </c>
      <c r="BY22">
        <v>25.990500000000001</v>
      </c>
      <c r="BZ22">
        <v>27.1401</v>
      </c>
      <c r="CA22">
        <v>999.9</v>
      </c>
      <c r="CB22">
        <v>9994.3799999999992</v>
      </c>
      <c r="CC22">
        <v>0</v>
      </c>
      <c r="CD22">
        <v>1837.58</v>
      </c>
      <c r="CE22">
        <v>1750.06</v>
      </c>
      <c r="CF22">
        <v>0.976997</v>
      </c>
      <c r="CG22">
        <v>2.3002600000000002E-2</v>
      </c>
      <c r="CH22">
        <v>0</v>
      </c>
      <c r="CI22">
        <v>861.84299999999996</v>
      </c>
      <c r="CJ22">
        <v>4.99986</v>
      </c>
      <c r="CK22">
        <v>17696.8</v>
      </c>
      <c r="CL22">
        <v>14221.3</v>
      </c>
      <c r="CM22">
        <v>45.625</v>
      </c>
      <c r="CN22">
        <v>48.186999999999998</v>
      </c>
      <c r="CO22">
        <v>46.561999999999998</v>
      </c>
      <c r="CP22">
        <v>46.936999999999998</v>
      </c>
      <c r="CQ22">
        <v>47.25</v>
      </c>
      <c r="CR22">
        <v>1704.92</v>
      </c>
      <c r="CS22">
        <v>40.14</v>
      </c>
      <c r="CT22">
        <v>0</v>
      </c>
      <c r="CU22">
        <v>120</v>
      </c>
      <c r="CV22">
        <v>862.87484615384597</v>
      </c>
      <c r="CW22">
        <v>-5.6531965713227699</v>
      </c>
      <c r="CX22">
        <v>-122.851282183393</v>
      </c>
      <c r="CY22">
        <v>17709.5</v>
      </c>
      <c r="CZ22">
        <v>15</v>
      </c>
      <c r="DA22">
        <v>1567879332.4000001</v>
      </c>
      <c r="DB22" t="s">
        <v>303</v>
      </c>
      <c r="DC22">
        <v>68</v>
      </c>
      <c r="DD22">
        <v>-0.25700000000000001</v>
      </c>
      <c r="DE22">
        <v>6.3E-2</v>
      </c>
      <c r="DF22">
        <v>400</v>
      </c>
      <c r="DG22">
        <v>14</v>
      </c>
      <c r="DH22">
        <v>7.0000000000000007E-2</v>
      </c>
      <c r="DI22">
        <v>0.02</v>
      </c>
      <c r="DJ22">
        <v>13.2430219405149</v>
      </c>
      <c r="DK22">
        <v>35.140094438130603</v>
      </c>
      <c r="DL22">
        <v>8.2882593076853102</v>
      </c>
      <c r="DM22">
        <v>0</v>
      </c>
      <c r="DN22">
        <v>0.14413745533498501</v>
      </c>
      <c r="DO22">
        <v>0.37887772117048402</v>
      </c>
      <c r="DP22">
        <v>9.0359462743181407E-2</v>
      </c>
      <c r="DQ22">
        <v>1</v>
      </c>
      <c r="DR22">
        <v>1</v>
      </c>
      <c r="DS22">
        <v>2</v>
      </c>
      <c r="DT22" t="s">
        <v>283</v>
      </c>
      <c r="DU22">
        <v>1.86676</v>
      </c>
      <c r="DV22">
        <v>1.8632500000000001</v>
      </c>
      <c r="DW22">
        <v>1.8689</v>
      </c>
      <c r="DX22">
        <v>1.8668199999999999</v>
      </c>
      <c r="DY22">
        <v>1.8714999999999999</v>
      </c>
      <c r="DZ22">
        <v>1.86398</v>
      </c>
      <c r="EA22">
        <v>1.8655299999999999</v>
      </c>
      <c r="EB22">
        <v>1.8654200000000001</v>
      </c>
      <c r="EC22" t="s">
        <v>274</v>
      </c>
      <c r="ED22" t="s">
        <v>19</v>
      </c>
      <c r="EE22" t="s">
        <v>19</v>
      </c>
      <c r="EF22" t="s">
        <v>19</v>
      </c>
      <c r="EG22" t="s">
        <v>275</v>
      </c>
      <c r="EH22" t="s">
        <v>276</v>
      </c>
      <c r="EI22" t="s">
        <v>277</v>
      </c>
      <c r="EJ22" t="s">
        <v>277</v>
      </c>
      <c r="EK22" t="s">
        <v>277</v>
      </c>
      <c r="EL22" t="s">
        <v>277</v>
      </c>
      <c r="EM22">
        <v>0</v>
      </c>
      <c r="EN22">
        <v>100</v>
      </c>
      <c r="EO22">
        <v>100</v>
      </c>
      <c r="EP22">
        <v>-0.25700000000000001</v>
      </c>
      <c r="EQ22">
        <v>6.3E-2</v>
      </c>
      <c r="ER22">
        <v>2</v>
      </c>
      <c r="ES22">
        <v>509.87599999999998</v>
      </c>
      <c r="ET22">
        <v>485.49599999999998</v>
      </c>
      <c r="EU22">
        <v>19.700299999999999</v>
      </c>
      <c r="EV22">
        <v>31.487300000000001</v>
      </c>
      <c r="EW22">
        <v>30.001300000000001</v>
      </c>
      <c r="EX22">
        <v>31.3886</v>
      </c>
      <c r="EY22">
        <v>31.378499999999999</v>
      </c>
      <c r="EZ22">
        <v>21.859000000000002</v>
      </c>
      <c r="FA22">
        <v>52.4602</v>
      </c>
      <c r="FB22">
        <v>0</v>
      </c>
      <c r="FC22">
        <v>19.564800000000002</v>
      </c>
      <c r="FD22">
        <v>400</v>
      </c>
      <c r="FE22">
        <v>14.525399999999999</v>
      </c>
      <c r="FF22">
        <v>101.084</v>
      </c>
      <c r="FG22">
        <v>101.57299999999999</v>
      </c>
    </row>
    <row r="23" spans="1:163" x14ac:dyDescent="0.35">
      <c r="A23">
        <v>7</v>
      </c>
      <c r="B23">
        <v>1567879484.9000001</v>
      </c>
      <c r="C23">
        <v>763</v>
      </c>
      <c r="D23" t="s">
        <v>304</v>
      </c>
      <c r="E23" t="s">
        <v>305</v>
      </c>
      <c r="G23">
        <v>1567879484.9000001</v>
      </c>
      <c r="H23">
        <f t="shared" si="0"/>
        <v>1.9875744218550511E-3</v>
      </c>
      <c r="I23">
        <f t="shared" si="1"/>
        <v>13.497662645211278</v>
      </c>
      <c r="J23">
        <f t="shared" si="2"/>
        <v>382.88200000000001</v>
      </c>
      <c r="K23">
        <f t="shared" si="3"/>
        <v>174.49138803381314</v>
      </c>
      <c r="L23">
        <f t="shared" si="4"/>
        <v>17.338436005232218</v>
      </c>
      <c r="M23">
        <f t="shared" si="5"/>
        <v>38.045287674993411</v>
      </c>
      <c r="N23">
        <f t="shared" si="6"/>
        <v>0.11040051731759554</v>
      </c>
      <c r="O23">
        <f t="shared" si="7"/>
        <v>2.2495047667960679</v>
      </c>
      <c r="P23">
        <f t="shared" si="8"/>
        <v>0.10747638729811737</v>
      </c>
      <c r="Q23">
        <f t="shared" si="9"/>
        <v>6.7429012551825554E-2</v>
      </c>
      <c r="R23">
        <f t="shared" si="10"/>
        <v>281.52797558640992</v>
      </c>
      <c r="S23">
        <f t="shared" si="11"/>
        <v>26.548230553259629</v>
      </c>
      <c r="T23">
        <f t="shared" si="12"/>
        <v>26.980899999999998</v>
      </c>
      <c r="U23">
        <f t="shared" si="13"/>
        <v>3.575146591539291</v>
      </c>
      <c r="V23">
        <f t="shared" si="14"/>
        <v>55.914351326348424</v>
      </c>
      <c r="W23">
        <f t="shared" si="15"/>
        <v>1.7871493724107204</v>
      </c>
      <c r="X23">
        <f t="shared" si="16"/>
        <v>3.1962266037566729</v>
      </c>
      <c r="Y23">
        <f t="shared" si="17"/>
        <v>1.7879972191285707</v>
      </c>
      <c r="Z23">
        <f t="shared" si="18"/>
        <v>-87.652032003807747</v>
      </c>
      <c r="AA23">
        <f t="shared" si="19"/>
        <v>-229.67116501014559</v>
      </c>
      <c r="AB23">
        <f t="shared" si="20"/>
        <v>-21.82211441685687</v>
      </c>
      <c r="AC23">
        <f t="shared" si="21"/>
        <v>-57.617335844400287</v>
      </c>
      <c r="AD23">
        <v>-4.1170416257647897E-2</v>
      </c>
      <c r="AE23">
        <v>4.6217398975765302E-2</v>
      </c>
      <c r="AF23">
        <v>3.4543353582168002</v>
      </c>
      <c r="AG23">
        <v>0</v>
      </c>
      <c r="AH23">
        <v>0</v>
      </c>
      <c r="AI23">
        <f t="shared" si="22"/>
        <v>1</v>
      </c>
      <c r="AJ23">
        <f t="shared" si="23"/>
        <v>0</v>
      </c>
      <c r="AK23">
        <f t="shared" si="24"/>
        <v>52835.301952729569</v>
      </c>
      <c r="AL23" t="s">
        <v>268</v>
      </c>
      <c r="AM23">
        <v>631.89076923076902</v>
      </c>
      <c r="AN23">
        <v>3514.37</v>
      </c>
      <c r="AO23">
        <f t="shared" si="25"/>
        <v>2882.479230769231</v>
      </c>
      <c r="AP23">
        <f t="shared" si="26"/>
        <v>0.82019799587670938</v>
      </c>
      <c r="AQ23">
        <v>-1.4218795309761501</v>
      </c>
      <c r="AR23" t="s">
        <v>306</v>
      </c>
      <c r="AS23">
        <v>861.10726923076902</v>
      </c>
      <c r="AT23">
        <v>1106.1099999999999</v>
      </c>
      <c r="AU23">
        <f t="shared" si="27"/>
        <v>0.22149942661148614</v>
      </c>
      <c r="AV23">
        <v>0.5</v>
      </c>
      <c r="AW23">
        <f t="shared" si="28"/>
        <v>1471.0698000963446</v>
      </c>
      <c r="AX23">
        <f t="shared" si="29"/>
        <v>13.497662645211278</v>
      </c>
      <c r="AY23">
        <f t="shared" si="30"/>
        <v>162.92055861340694</v>
      </c>
      <c r="AZ23">
        <f t="shared" si="31"/>
        <v>0.4999412355009899</v>
      </c>
      <c r="BA23">
        <f t="shared" si="32"/>
        <v>1.0141967549881253E-2</v>
      </c>
      <c r="BB23">
        <f t="shared" si="33"/>
        <v>2.1772337290142936</v>
      </c>
      <c r="BC23" t="s">
        <v>307</v>
      </c>
      <c r="BD23">
        <v>553.12</v>
      </c>
      <c r="BE23">
        <f t="shared" si="34"/>
        <v>552.9899999999999</v>
      </c>
      <c r="BF23">
        <f t="shared" si="35"/>
        <v>0.44305092455420697</v>
      </c>
      <c r="BG23">
        <f t="shared" si="36"/>
        <v>0.81325791473195452</v>
      </c>
      <c r="BH23">
        <f t="shared" si="37"/>
        <v>0.51664444390374475</v>
      </c>
      <c r="BI23">
        <f t="shared" si="38"/>
        <v>0.83548216906226291</v>
      </c>
      <c r="BJ23">
        <f t="shared" si="39"/>
        <v>1749.84</v>
      </c>
      <c r="BK23">
        <f t="shared" si="40"/>
        <v>1471.0698000963446</v>
      </c>
      <c r="BL23">
        <f t="shared" si="41"/>
        <v>0.84068817725983214</v>
      </c>
      <c r="BM23">
        <f t="shared" si="42"/>
        <v>0.19137635451966445</v>
      </c>
      <c r="BN23">
        <v>6</v>
      </c>
      <c r="BO23">
        <v>0.5</v>
      </c>
      <c r="BP23" t="s">
        <v>271</v>
      </c>
      <c r="BQ23">
        <v>1567879484.9000001</v>
      </c>
      <c r="BR23">
        <v>382.88200000000001</v>
      </c>
      <c r="BS23">
        <v>399.99099999999999</v>
      </c>
      <c r="BT23">
        <v>17.985600000000002</v>
      </c>
      <c r="BU23">
        <v>15.643599999999999</v>
      </c>
      <c r="BV23">
        <v>500.041</v>
      </c>
      <c r="BW23">
        <v>99.265600000000006</v>
      </c>
      <c r="BX23">
        <v>9.9968699999999994E-2</v>
      </c>
      <c r="BY23">
        <v>25.0871</v>
      </c>
      <c r="BZ23">
        <v>26.980899999999998</v>
      </c>
      <c r="CA23">
        <v>999.9</v>
      </c>
      <c r="CB23">
        <v>10001.9</v>
      </c>
      <c r="CC23">
        <v>0</v>
      </c>
      <c r="CD23">
        <v>1819.98</v>
      </c>
      <c r="CE23">
        <v>1749.84</v>
      </c>
      <c r="CF23">
        <v>0.976997</v>
      </c>
      <c r="CG23">
        <v>2.3002600000000002E-2</v>
      </c>
      <c r="CH23">
        <v>0</v>
      </c>
      <c r="CI23">
        <v>861.399</v>
      </c>
      <c r="CJ23">
        <v>4.99986</v>
      </c>
      <c r="CK23">
        <v>17664.400000000001</v>
      </c>
      <c r="CL23">
        <v>14219.4</v>
      </c>
      <c r="CM23">
        <v>45.811999999999998</v>
      </c>
      <c r="CN23">
        <v>48.375</v>
      </c>
      <c r="CO23">
        <v>46.811999999999998</v>
      </c>
      <c r="CP23">
        <v>47.25</v>
      </c>
      <c r="CQ23">
        <v>47.436999999999998</v>
      </c>
      <c r="CR23">
        <v>1704.7</v>
      </c>
      <c r="CS23">
        <v>40.14</v>
      </c>
      <c r="CT23">
        <v>0</v>
      </c>
      <c r="CU23">
        <v>120</v>
      </c>
      <c r="CV23">
        <v>861.10726923076902</v>
      </c>
      <c r="CW23">
        <v>1.6324444405148999</v>
      </c>
      <c r="CX23">
        <v>-351.39145195845401</v>
      </c>
      <c r="CY23">
        <v>17692.230769230799</v>
      </c>
      <c r="CZ23">
        <v>15</v>
      </c>
      <c r="DA23">
        <v>1567879511.4000001</v>
      </c>
      <c r="DB23" t="s">
        <v>308</v>
      </c>
      <c r="DC23">
        <v>69</v>
      </c>
      <c r="DD23">
        <v>-0.30299999999999999</v>
      </c>
      <c r="DE23">
        <v>9.5000000000000001E-2</v>
      </c>
      <c r="DF23">
        <v>400</v>
      </c>
      <c r="DG23">
        <v>15</v>
      </c>
      <c r="DH23">
        <v>0.11</v>
      </c>
      <c r="DI23">
        <v>0.04</v>
      </c>
      <c r="DJ23">
        <v>13.8581161945582</v>
      </c>
      <c r="DK23">
        <v>-1.27005461304157</v>
      </c>
      <c r="DL23">
        <v>0.247042686017727</v>
      </c>
      <c r="DM23">
        <v>0</v>
      </c>
      <c r="DN23">
        <v>0.10697021598617</v>
      </c>
      <c r="DO23">
        <v>8.2201835635144801E-4</v>
      </c>
      <c r="DP23">
        <v>2.2400740688911101E-3</v>
      </c>
      <c r="DQ23">
        <v>1</v>
      </c>
      <c r="DR23">
        <v>1</v>
      </c>
      <c r="DS23">
        <v>2</v>
      </c>
      <c r="DT23" t="s">
        <v>283</v>
      </c>
      <c r="DU23">
        <v>1.8666199999999999</v>
      </c>
      <c r="DV23">
        <v>1.8631</v>
      </c>
      <c r="DW23">
        <v>1.8687800000000001</v>
      </c>
      <c r="DX23">
        <v>1.86676</v>
      </c>
      <c r="DY23">
        <v>1.8714</v>
      </c>
      <c r="DZ23">
        <v>1.8638699999999999</v>
      </c>
      <c r="EA23">
        <v>1.8653900000000001</v>
      </c>
      <c r="EB23">
        <v>1.86538</v>
      </c>
      <c r="EC23" t="s">
        <v>274</v>
      </c>
      <c r="ED23" t="s">
        <v>19</v>
      </c>
      <c r="EE23" t="s">
        <v>19</v>
      </c>
      <c r="EF23" t="s">
        <v>19</v>
      </c>
      <c r="EG23" t="s">
        <v>275</v>
      </c>
      <c r="EH23" t="s">
        <v>276</v>
      </c>
      <c r="EI23" t="s">
        <v>277</v>
      </c>
      <c r="EJ23" t="s">
        <v>277</v>
      </c>
      <c r="EK23" t="s">
        <v>277</v>
      </c>
      <c r="EL23" t="s">
        <v>277</v>
      </c>
      <c r="EM23">
        <v>0</v>
      </c>
      <c r="EN23">
        <v>100</v>
      </c>
      <c r="EO23">
        <v>100</v>
      </c>
      <c r="EP23">
        <v>-0.30299999999999999</v>
      </c>
      <c r="EQ23">
        <v>9.5000000000000001E-2</v>
      </c>
      <c r="ER23">
        <v>2</v>
      </c>
      <c r="ES23">
        <v>509.42399999999998</v>
      </c>
      <c r="ET23">
        <v>484.79199999999997</v>
      </c>
      <c r="EU23">
        <v>16.7181</v>
      </c>
      <c r="EV23">
        <v>31.7971</v>
      </c>
      <c r="EW23">
        <v>30.000900000000001</v>
      </c>
      <c r="EX23">
        <v>31.614599999999999</v>
      </c>
      <c r="EY23">
        <v>31.598299999999998</v>
      </c>
      <c r="EZ23">
        <v>21.8825</v>
      </c>
      <c r="FA23">
        <v>49.231999999999999</v>
      </c>
      <c r="FB23">
        <v>0</v>
      </c>
      <c r="FC23">
        <v>18.204499999999999</v>
      </c>
      <c r="FD23">
        <v>400</v>
      </c>
      <c r="FE23">
        <v>15.4251</v>
      </c>
      <c r="FF23">
        <v>101.044</v>
      </c>
      <c r="FG23">
        <v>101.524</v>
      </c>
    </row>
    <row r="24" spans="1:163" x14ac:dyDescent="0.35">
      <c r="A24">
        <v>8</v>
      </c>
      <c r="B24">
        <v>1567879628.9000001</v>
      </c>
      <c r="C24">
        <v>907</v>
      </c>
      <c r="D24" t="s">
        <v>309</v>
      </c>
      <c r="E24" t="s">
        <v>310</v>
      </c>
      <c r="G24">
        <v>1567879628.9000001</v>
      </c>
      <c r="H24">
        <f t="shared" si="0"/>
        <v>1.7148809775160295E-3</v>
      </c>
      <c r="I24">
        <f t="shared" si="1"/>
        <v>17.138039568094197</v>
      </c>
      <c r="J24">
        <f t="shared" si="2"/>
        <v>478.40899999999999</v>
      </c>
      <c r="K24">
        <f t="shared" si="3"/>
        <v>170.86687701803476</v>
      </c>
      <c r="L24">
        <f t="shared" si="4"/>
        <v>16.978035761410549</v>
      </c>
      <c r="M24">
        <f t="shared" si="5"/>
        <v>47.536686175421501</v>
      </c>
      <c r="N24">
        <f t="shared" si="6"/>
        <v>9.3881020618013816E-2</v>
      </c>
      <c r="O24">
        <f t="shared" si="7"/>
        <v>2.2512000290263119</v>
      </c>
      <c r="P24">
        <f t="shared" si="8"/>
        <v>9.1759003494369842E-2</v>
      </c>
      <c r="Q24">
        <f t="shared" si="9"/>
        <v>5.7536037086083902E-2</v>
      </c>
      <c r="R24">
        <f t="shared" si="10"/>
        <v>281.58383525492866</v>
      </c>
      <c r="S24">
        <f t="shared" si="11"/>
        <v>26.586384112794253</v>
      </c>
      <c r="T24">
        <f t="shared" si="12"/>
        <v>26.931899999999999</v>
      </c>
      <c r="U24">
        <f t="shared" si="13"/>
        <v>3.5648691598784081</v>
      </c>
      <c r="V24">
        <f t="shared" si="14"/>
        <v>55.159934343909157</v>
      </c>
      <c r="W24">
        <f t="shared" si="15"/>
        <v>1.7575921852334002</v>
      </c>
      <c r="X24">
        <f t="shared" si="16"/>
        <v>3.1863565577783834</v>
      </c>
      <c r="Y24">
        <f t="shared" si="17"/>
        <v>1.8072769746450079</v>
      </c>
      <c r="Z24">
        <f t="shared" si="18"/>
        <v>-75.626251108456898</v>
      </c>
      <c r="AA24">
        <f t="shared" si="19"/>
        <v>-230.19621223656225</v>
      </c>
      <c r="AB24">
        <f t="shared" si="20"/>
        <v>-21.844471775374338</v>
      </c>
      <c r="AC24">
        <f t="shared" si="21"/>
        <v>-46.083099865464845</v>
      </c>
      <c r="AD24">
        <v>-4.1216061628485103E-2</v>
      </c>
      <c r="AE24">
        <v>4.6268639903284302E-2</v>
      </c>
      <c r="AF24">
        <v>3.4573664082320699</v>
      </c>
      <c r="AG24">
        <v>0</v>
      </c>
      <c r="AH24">
        <v>0</v>
      </c>
      <c r="AI24">
        <f t="shared" si="22"/>
        <v>1</v>
      </c>
      <c r="AJ24">
        <f t="shared" si="23"/>
        <v>0</v>
      </c>
      <c r="AK24">
        <f t="shared" si="24"/>
        <v>52900.660490514296</v>
      </c>
      <c r="AL24" t="s">
        <v>268</v>
      </c>
      <c r="AM24">
        <v>631.89076923076902</v>
      </c>
      <c r="AN24">
        <v>3514.37</v>
      </c>
      <c r="AO24">
        <f t="shared" si="25"/>
        <v>2882.479230769231</v>
      </c>
      <c r="AP24">
        <f t="shared" si="26"/>
        <v>0.82019799587670938</v>
      </c>
      <c r="AQ24">
        <v>-1.4218795309761501</v>
      </c>
      <c r="AR24" t="s">
        <v>311</v>
      </c>
      <c r="AS24">
        <v>852.46265384615401</v>
      </c>
      <c r="AT24">
        <v>1119.6500000000001</v>
      </c>
      <c r="AU24">
        <f t="shared" si="27"/>
        <v>0.23863470383945529</v>
      </c>
      <c r="AV24">
        <v>0.5</v>
      </c>
      <c r="AW24">
        <f t="shared" si="28"/>
        <v>1471.3638000963253</v>
      </c>
      <c r="AX24">
        <f t="shared" si="29"/>
        <v>17.138039568094197</v>
      </c>
      <c r="AY24">
        <f t="shared" si="30"/>
        <v>175.55923233804106</v>
      </c>
      <c r="AZ24">
        <f t="shared" si="31"/>
        <v>0.50766757468851875</v>
      </c>
      <c r="BA24">
        <f t="shared" si="32"/>
        <v>1.2614092515974153E-2</v>
      </c>
      <c r="BB24">
        <f t="shared" si="33"/>
        <v>2.1388112356539986</v>
      </c>
      <c r="BC24" t="s">
        <v>312</v>
      </c>
      <c r="BD24">
        <v>551.24</v>
      </c>
      <c r="BE24">
        <f t="shared" si="34"/>
        <v>568.41000000000008</v>
      </c>
      <c r="BF24">
        <f t="shared" si="35"/>
        <v>0.47006095275214377</v>
      </c>
      <c r="BG24">
        <f t="shared" si="36"/>
        <v>0.80817243927873561</v>
      </c>
      <c r="BH24">
        <f t="shared" si="37"/>
        <v>0.54778531968010646</v>
      </c>
      <c r="BI24">
        <f t="shared" si="38"/>
        <v>0.83078482385489183</v>
      </c>
      <c r="BJ24">
        <f t="shared" si="39"/>
        <v>1750.19</v>
      </c>
      <c r="BK24">
        <f t="shared" si="40"/>
        <v>1471.3638000963253</v>
      </c>
      <c r="BL24">
        <f t="shared" si="41"/>
        <v>0.84068803963931082</v>
      </c>
      <c r="BM24">
        <f t="shared" si="42"/>
        <v>0.19137607927862182</v>
      </c>
      <c r="BN24">
        <v>6</v>
      </c>
      <c r="BO24">
        <v>0.5</v>
      </c>
      <c r="BP24" t="s">
        <v>271</v>
      </c>
      <c r="BQ24">
        <v>1567879628.9000001</v>
      </c>
      <c r="BR24">
        <v>478.40899999999999</v>
      </c>
      <c r="BS24">
        <v>499.96600000000001</v>
      </c>
      <c r="BT24">
        <v>17.688400000000001</v>
      </c>
      <c r="BU24">
        <v>15.6663</v>
      </c>
      <c r="BV24">
        <v>499.84100000000001</v>
      </c>
      <c r="BW24">
        <v>99.264499999999998</v>
      </c>
      <c r="BX24">
        <v>9.9613499999999994E-2</v>
      </c>
      <c r="BY24">
        <v>25.0352</v>
      </c>
      <c r="BZ24">
        <v>26.931899999999999</v>
      </c>
      <c r="CA24">
        <v>999.9</v>
      </c>
      <c r="CB24">
        <v>10013.1</v>
      </c>
      <c r="CC24">
        <v>0</v>
      </c>
      <c r="CD24">
        <v>1890.28</v>
      </c>
      <c r="CE24">
        <v>1750.19</v>
      </c>
      <c r="CF24">
        <v>0.97700100000000001</v>
      </c>
      <c r="CG24">
        <v>2.2998500000000002E-2</v>
      </c>
      <c r="CH24">
        <v>0</v>
      </c>
      <c r="CI24">
        <v>852.46699999999998</v>
      </c>
      <c r="CJ24">
        <v>4.99986</v>
      </c>
      <c r="CK24">
        <v>17711.5</v>
      </c>
      <c r="CL24">
        <v>14222.3</v>
      </c>
      <c r="CM24">
        <v>45.75</v>
      </c>
      <c r="CN24">
        <v>48.375</v>
      </c>
      <c r="CO24">
        <v>46.936999999999998</v>
      </c>
      <c r="CP24">
        <v>47.125</v>
      </c>
      <c r="CQ24">
        <v>47.375</v>
      </c>
      <c r="CR24">
        <v>1705.05</v>
      </c>
      <c r="CS24">
        <v>40.14</v>
      </c>
      <c r="CT24">
        <v>0</v>
      </c>
      <c r="CU24">
        <v>143.60000014305101</v>
      </c>
      <c r="CV24">
        <v>852.46265384615401</v>
      </c>
      <c r="CW24">
        <v>1.0416752067400601</v>
      </c>
      <c r="CX24">
        <v>35.5042718188012</v>
      </c>
      <c r="CY24">
        <v>17715.026923076901</v>
      </c>
      <c r="CZ24">
        <v>15</v>
      </c>
      <c r="DA24">
        <v>1567879582.9000001</v>
      </c>
      <c r="DB24" t="s">
        <v>313</v>
      </c>
      <c r="DC24">
        <v>70</v>
      </c>
      <c r="DD24">
        <v>-0.3</v>
      </c>
      <c r="DE24">
        <v>7.8E-2</v>
      </c>
      <c r="DF24">
        <v>500</v>
      </c>
      <c r="DG24">
        <v>15</v>
      </c>
      <c r="DH24">
        <v>0.08</v>
      </c>
      <c r="DI24">
        <v>0.03</v>
      </c>
      <c r="DJ24">
        <v>17.084663272841802</v>
      </c>
      <c r="DK24">
        <v>0.20812224816136499</v>
      </c>
      <c r="DL24">
        <v>9.3199506345823593E-2</v>
      </c>
      <c r="DM24">
        <v>1</v>
      </c>
      <c r="DN24">
        <v>9.7816280600170002E-2</v>
      </c>
      <c r="DO24">
        <v>-2.8157153376059198E-2</v>
      </c>
      <c r="DP24">
        <v>5.7403765169938099E-3</v>
      </c>
      <c r="DQ24">
        <v>1</v>
      </c>
      <c r="DR24">
        <v>2</v>
      </c>
      <c r="DS24">
        <v>2</v>
      </c>
      <c r="DT24" t="s">
        <v>273</v>
      </c>
      <c r="DU24">
        <v>1.8667400000000001</v>
      </c>
      <c r="DV24">
        <v>1.8631800000000001</v>
      </c>
      <c r="DW24">
        <v>1.8689</v>
      </c>
      <c r="DX24">
        <v>1.86676</v>
      </c>
      <c r="DY24">
        <v>1.8714900000000001</v>
      </c>
      <c r="DZ24">
        <v>1.8639399999999999</v>
      </c>
      <c r="EA24">
        <v>1.86544</v>
      </c>
      <c r="EB24">
        <v>1.8653900000000001</v>
      </c>
      <c r="EC24" t="s">
        <v>274</v>
      </c>
      <c r="ED24" t="s">
        <v>19</v>
      </c>
      <c r="EE24" t="s">
        <v>19</v>
      </c>
      <c r="EF24" t="s">
        <v>19</v>
      </c>
      <c r="EG24" t="s">
        <v>275</v>
      </c>
      <c r="EH24" t="s">
        <v>276</v>
      </c>
      <c r="EI24" t="s">
        <v>277</v>
      </c>
      <c r="EJ24" t="s">
        <v>277</v>
      </c>
      <c r="EK24" t="s">
        <v>277</v>
      </c>
      <c r="EL24" t="s">
        <v>277</v>
      </c>
      <c r="EM24">
        <v>0</v>
      </c>
      <c r="EN24">
        <v>100</v>
      </c>
      <c r="EO24">
        <v>100</v>
      </c>
      <c r="EP24">
        <v>-0.3</v>
      </c>
      <c r="EQ24">
        <v>7.8E-2</v>
      </c>
      <c r="ER24">
        <v>2</v>
      </c>
      <c r="ES24">
        <v>509.20699999999999</v>
      </c>
      <c r="ET24">
        <v>484.27300000000002</v>
      </c>
      <c r="EU24">
        <v>17.533300000000001</v>
      </c>
      <c r="EV24">
        <v>32.023099999999999</v>
      </c>
      <c r="EW24">
        <v>29.9969</v>
      </c>
      <c r="EX24">
        <v>31.840499999999999</v>
      </c>
      <c r="EY24">
        <v>31.814800000000002</v>
      </c>
      <c r="EZ24">
        <v>26.153700000000001</v>
      </c>
      <c r="FA24">
        <v>48.244900000000001</v>
      </c>
      <c r="FB24">
        <v>0</v>
      </c>
      <c r="FC24">
        <v>17.7956</v>
      </c>
      <c r="FD24">
        <v>500</v>
      </c>
      <c r="FE24">
        <v>15.5753</v>
      </c>
      <c r="FF24">
        <v>101.009</v>
      </c>
      <c r="FG24">
        <v>101.488</v>
      </c>
    </row>
    <row r="25" spans="1:163" x14ac:dyDescent="0.35">
      <c r="A25">
        <v>9</v>
      </c>
      <c r="B25">
        <v>1567879719.4000001</v>
      </c>
      <c r="C25">
        <v>997.5</v>
      </c>
      <c r="D25" t="s">
        <v>314</v>
      </c>
      <c r="E25" t="s">
        <v>315</v>
      </c>
      <c r="G25">
        <v>1567879719.4000001</v>
      </c>
      <c r="H25">
        <f t="shared" si="0"/>
        <v>2.0373923657650748E-3</v>
      </c>
      <c r="I25">
        <f t="shared" si="1"/>
        <v>20.572320362714475</v>
      </c>
      <c r="J25">
        <f t="shared" si="2"/>
        <v>573.92100000000005</v>
      </c>
      <c r="K25">
        <f t="shared" si="3"/>
        <v>256.55302958802253</v>
      </c>
      <c r="L25">
        <f t="shared" si="4"/>
        <v>25.492099314560129</v>
      </c>
      <c r="M25">
        <f t="shared" si="5"/>
        <v>57.027005895060007</v>
      </c>
      <c r="N25">
        <f t="shared" si="6"/>
        <v>0.11050047018582254</v>
      </c>
      <c r="O25">
        <f t="shared" si="7"/>
        <v>2.2475600918637033</v>
      </c>
      <c r="P25">
        <f t="shared" si="8"/>
        <v>0.10756865644065504</v>
      </c>
      <c r="Q25">
        <f t="shared" si="9"/>
        <v>6.7487343032239855E-2</v>
      </c>
      <c r="R25">
        <f t="shared" si="10"/>
        <v>281.56732640686141</v>
      </c>
      <c r="S25">
        <f t="shared" si="11"/>
        <v>26.713585869630865</v>
      </c>
      <c r="T25">
        <f t="shared" si="12"/>
        <v>27.023299999999999</v>
      </c>
      <c r="U25">
        <f t="shared" si="13"/>
        <v>3.5840605799917085</v>
      </c>
      <c r="V25">
        <f t="shared" si="14"/>
        <v>54.246925030985302</v>
      </c>
      <c r="W25">
        <f t="shared" si="15"/>
        <v>1.7526095718380001</v>
      </c>
      <c r="X25">
        <f t="shared" si="16"/>
        <v>3.230799848723088</v>
      </c>
      <c r="Y25">
        <f t="shared" si="17"/>
        <v>1.8314510081537083</v>
      </c>
      <c r="Z25">
        <f t="shared" si="18"/>
        <v>-89.849003330239796</v>
      </c>
      <c r="AA25">
        <f t="shared" si="19"/>
        <v>-212.71474195517175</v>
      </c>
      <c r="AB25">
        <f t="shared" si="20"/>
        <v>-20.251111478567331</v>
      </c>
      <c r="AC25">
        <f t="shared" si="21"/>
        <v>-41.247530357117455</v>
      </c>
      <c r="AD25">
        <v>-4.1118093649505798E-2</v>
      </c>
      <c r="AE25">
        <v>4.6158662264413702E-2</v>
      </c>
      <c r="AF25">
        <v>3.4508594896594298</v>
      </c>
      <c r="AG25">
        <v>0</v>
      </c>
      <c r="AH25">
        <v>0</v>
      </c>
      <c r="AI25">
        <f t="shared" si="22"/>
        <v>1</v>
      </c>
      <c r="AJ25">
        <f t="shared" si="23"/>
        <v>0</v>
      </c>
      <c r="AK25">
        <f t="shared" si="24"/>
        <v>52738.879040452426</v>
      </c>
      <c r="AL25" t="s">
        <v>268</v>
      </c>
      <c r="AM25">
        <v>631.89076923076902</v>
      </c>
      <c r="AN25">
        <v>3514.37</v>
      </c>
      <c r="AO25">
        <f t="shared" si="25"/>
        <v>2882.479230769231</v>
      </c>
      <c r="AP25">
        <f t="shared" si="26"/>
        <v>0.82019799587670938</v>
      </c>
      <c r="AQ25">
        <v>-1.4218795309761501</v>
      </c>
      <c r="AR25" t="s">
        <v>316</v>
      </c>
      <c r="AS25">
        <v>846.04230769230799</v>
      </c>
      <c r="AT25">
        <v>1138.3599999999999</v>
      </c>
      <c r="AU25">
        <f t="shared" si="27"/>
        <v>0.25678844329359074</v>
      </c>
      <c r="AV25">
        <v>0.5</v>
      </c>
      <c r="AW25">
        <f t="shared" si="28"/>
        <v>1471.279506975422</v>
      </c>
      <c r="AX25">
        <f t="shared" si="29"/>
        <v>20.572320362714475</v>
      </c>
      <c r="AY25">
        <f t="shared" si="30"/>
        <v>188.90378712299014</v>
      </c>
      <c r="AZ25">
        <f t="shared" si="31"/>
        <v>0.51727045925717696</v>
      </c>
      <c r="BA25">
        <f t="shared" si="32"/>
        <v>1.4949028916269709E-2</v>
      </c>
      <c r="BB25">
        <f t="shared" si="33"/>
        <v>2.0872219684458346</v>
      </c>
      <c r="BC25" t="s">
        <v>317</v>
      </c>
      <c r="BD25">
        <v>549.52</v>
      </c>
      <c r="BE25">
        <f t="shared" si="34"/>
        <v>588.83999999999992</v>
      </c>
      <c r="BF25">
        <f t="shared" si="35"/>
        <v>0.4964297471430133</v>
      </c>
      <c r="BG25">
        <f t="shared" si="36"/>
        <v>0.80139298784086899</v>
      </c>
      <c r="BH25">
        <f t="shared" si="37"/>
        <v>0.57716772223994073</v>
      </c>
      <c r="BI25">
        <f t="shared" si="38"/>
        <v>0.82429388376405677</v>
      </c>
      <c r="BJ25">
        <f t="shared" si="39"/>
        <v>1750.09</v>
      </c>
      <c r="BK25">
        <f t="shared" si="40"/>
        <v>1471.279506975422</v>
      </c>
      <c r="BL25">
        <f t="shared" si="41"/>
        <v>0.84068791146479449</v>
      </c>
      <c r="BM25">
        <f t="shared" si="42"/>
        <v>0.19137582292958905</v>
      </c>
      <c r="BN25">
        <v>6</v>
      </c>
      <c r="BO25">
        <v>0.5</v>
      </c>
      <c r="BP25" t="s">
        <v>271</v>
      </c>
      <c r="BQ25">
        <v>1567879719.4000001</v>
      </c>
      <c r="BR25">
        <v>573.92100000000005</v>
      </c>
      <c r="BS25">
        <v>600.005</v>
      </c>
      <c r="BT25">
        <v>17.638300000000001</v>
      </c>
      <c r="BU25">
        <v>15.2371</v>
      </c>
      <c r="BV25">
        <v>500.11399999999998</v>
      </c>
      <c r="BW25">
        <v>99.2637</v>
      </c>
      <c r="BX25">
        <v>0.10016</v>
      </c>
      <c r="BY25">
        <v>25.267800000000001</v>
      </c>
      <c r="BZ25">
        <v>27.023299999999999</v>
      </c>
      <c r="CA25">
        <v>999.9</v>
      </c>
      <c r="CB25">
        <v>9989.3799999999992</v>
      </c>
      <c r="CC25">
        <v>0</v>
      </c>
      <c r="CD25">
        <v>1085.3</v>
      </c>
      <c r="CE25">
        <v>1750.09</v>
      </c>
      <c r="CF25">
        <v>0.97700100000000001</v>
      </c>
      <c r="CG25">
        <v>2.2998500000000002E-2</v>
      </c>
      <c r="CH25">
        <v>0</v>
      </c>
      <c r="CI25">
        <v>845.67700000000002</v>
      </c>
      <c r="CJ25">
        <v>4.99986</v>
      </c>
      <c r="CK25">
        <v>16612.900000000001</v>
      </c>
      <c r="CL25">
        <v>14221.5</v>
      </c>
      <c r="CM25">
        <v>45.75</v>
      </c>
      <c r="CN25">
        <v>48.311999999999998</v>
      </c>
      <c r="CO25">
        <v>46.936999999999998</v>
      </c>
      <c r="CP25">
        <v>47</v>
      </c>
      <c r="CQ25">
        <v>47.375</v>
      </c>
      <c r="CR25">
        <v>1704.95</v>
      </c>
      <c r="CS25">
        <v>40.130000000000003</v>
      </c>
      <c r="CT25">
        <v>0</v>
      </c>
      <c r="CU25">
        <v>90</v>
      </c>
      <c r="CV25">
        <v>846.04230769230799</v>
      </c>
      <c r="CW25">
        <v>-2.3763418838641401</v>
      </c>
      <c r="CX25">
        <v>-3183.4735083782998</v>
      </c>
      <c r="CY25">
        <v>16793.192307692301</v>
      </c>
      <c r="CZ25">
        <v>15</v>
      </c>
      <c r="DA25">
        <v>1567879743.9000001</v>
      </c>
      <c r="DB25" t="s">
        <v>318</v>
      </c>
      <c r="DC25">
        <v>71</v>
      </c>
      <c r="DD25">
        <v>-0.28799999999999998</v>
      </c>
      <c r="DE25">
        <v>9.4E-2</v>
      </c>
      <c r="DF25">
        <v>600</v>
      </c>
      <c r="DG25">
        <v>15</v>
      </c>
      <c r="DH25">
        <v>0.1</v>
      </c>
      <c r="DI25">
        <v>0.04</v>
      </c>
      <c r="DJ25">
        <v>20.5286539865387</v>
      </c>
      <c r="DK25">
        <v>-2.0365024318506699E-2</v>
      </c>
      <c r="DL25">
        <v>5.6917075545790202E-2</v>
      </c>
      <c r="DM25">
        <v>1</v>
      </c>
      <c r="DN25">
        <v>0.119782177062215</v>
      </c>
      <c r="DO25">
        <v>-2.5833233191818301E-2</v>
      </c>
      <c r="DP25">
        <v>5.0507172983099398E-3</v>
      </c>
      <c r="DQ25">
        <v>1</v>
      </c>
      <c r="DR25">
        <v>2</v>
      </c>
      <c r="DS25">
        <v>2</v>
      </c>
      <c r="DT25" t="s">
        <v>273</v>
      </c>
      <c r="DU25">
        <v>1.86663</v>
      </c>
      <c r="DV25">
        <v>1.8631</v>
      </c>
      <c r="DW25">
        <v>1.8687800000000001</v>
      </c>
      <c r="DX25">
        <v>1.8667100000000001</v>
      </c>
      <c r="DY25">
        <v>1.8713599999999999</v>
      </c>
      <c r="DZ25">
        <v>1.8638600000000001</v>
      </c>
      <c r="EA25">
        <v>1.8653900000000001</v>
      </c>
      <c r="EB25">
        <v>1.86531</v>
      </c>
      <c r="EC25" t="s">
        <v>274</v>
      </c>
      <c r="ED25" t="s">
        <v>19</v>
      </c>
      <c r="EE25" t="s">
        <v>19</v>
      </c>
      <c r="EF25" t="s">
        <v>19</v>
      </c>
      <c r="EG25" t="s">
        <v>275</v>
      </c>
      <c r="EH25" t="s">
        <v>276</v>
      </c>
      <c r="EI25" t="s">
        <v>277</v>
      </c>
      <c r="EJ25" t="s">
        <v>277</v>
      </c>
      <c r="EK25" t="s">
        <v>277</v>
      </c>
      <c r="EL25" t="s">
        <v>277</v>
      </c>
      <c r="EM25">
        <v>0</v>
      </c>
      <c r="EN25">
        <v>100</v>
      </c>
      <c r="EO25">
        <v>100</v>
      </c>
      <c r="EP25">
        <v>-0.28799999999999998</v>
      </c>
      <c r="EQ25">
        <v>9.4E-2</v>
      </c>
      <c r="ER25">
        <v>2</v>
      </c>
      <c r="ES25">
        <v>510.12400000000002</v>
      </c>
      <c r="ET25">
        <v>483.88299999999998</v>
      </c>
      <c r="EU25">
        <v>18.8764</v>
      </c>
      <c r="EV25">
        <v>32.055100000000003</v>
      </c>
      <c r="EW25">
        <v>30.007899999999999</v>
      </c>
      <c r="EX25">
        <v>31.908000000000001</v>
      </c>
      <c r="EY25">
        <v>31.8855</v>
      </c>
      <c r="EZ25">
        <v>30.263300000000001</v>
      </c>
      <c r="FA25">
        <v>49.8521</v>
      </c>
      <c r="FB25">
        <v>0</v>
      </c>
      <c r="FC25">
        <v>18.440000000000001</v>
      </c>
      <c r="FD25">
        <v>600</v>
      </c>
      <c r="FE25">
        <v>15.4381</v>
      </c>
      <c r="FF25">
        <v>101.005</v>
      </c>
      <c r="FG25">
        <v>101.48699999999999</v>
      </c>
    </row>
    <row r="26" spans="1:163" x14ac:dyDescent="0.35">
      <c r="A26">
        <v>10</v>
      </c>
      <c r="B26">
        <v>1567879855.4000001</v>
      </c>
      <c r="C26">
        <v>1133.5</v>
      </c>
      <c r="D26" t="s">
        <v>319</v>
      </c>
      <c r="E26" t="s">
        <v>320</v>
      </c>
      <c r="G26">
        <v>1567879855.4000001</v>
      </c>
      <c r="H26">
        <f t="shared" si="0"/>
        <v>1.9241047103949374E-3</v>
      </c>
      <c r="I26">
        <f t="shared" si="1"/>
        <v>23.789686278307531</v>
      </c>
      <c r="J26">
        <f t="shared" si="2"/>
        <v>669.92100000000005</v>
      </c>
      <c r="K26">
        <f t="shared" si="3"/>
        <v>289.18467063869497</v>
      </c>
      <c r="L26">
        <f t="shared" si="4"/>
        <v>28.735922248049395</v>
      </c>
      <c r="M26">
        <f t="shared" si="5"/>
        <v>66.569219335928395</v>
      </c>
      <c r="N26">
        <f t="shared" si="6"/>
        <v>0.10618040515000822</v>
      </c>
      <c r="O26">
        <f t="shared" si="7"/>
        <v>2.2478284128610033</v>
      </c>
      <c r="P26">
        <f t="shared" si="8"/>
        <v>0.10347063840443478</v>
      </c>
      <c r="Q26">
        <f t="shared" si="9"/>
        <v>6.490685086207669E-2</v>
      </c>
      <c r="R26">
        <f t="shared" si="10"/>
        <v>281.54553148221589</v>
      </c>
      <c r="S26">
        <f t="shared" si="11"/>
        <v>26.81295554915387</v>
      </c>
      <c r="T26">
        <f t="shared" si="12"/>
        <v>27.041499999999999</v>
      </c>
      <c r="U26">
        <f t="shared" si="13"/>
        <v>3.5878928147089981</v>
      </c>
      <c r="V26">
        <f t="shared" si="14"/>
        <v>55.202064357222568</v>
      </c>
      <c r="W26">
        <f t="shared" si="15"/>
        <v>1.7900685973497599</v>
      </c>
      <c r="X26">
        <f t="shared" si="16"/>
        <v>3.2427566218645403</v>
      </c>
      <c r="Y26">
        <f t="shared" si="17"/>
        <v>1.7978242173592383</v>
      </c>
      <c r="Z26">
        <f t="shared" si="18"/>
        <v>-84.853017728416745</v>
      </c>
      <c r="AA26">
        <f t="shared" si="19"/>
        <v>-207.42011830464847</v>
      </c>
      <c r="AB26">
        <f t="shared" si="20"/>
        <v>-19.752632254845135</v>
      </c>
      <c r="AC26">
        <f t="shared" si="21"/>
        <v>-30.48023680569446</v>
      </c>
      <c r="AD26">
        <v>-4.1125310553558198E-2</v>
      </c>
      <c r="AE26">
        <v>4.6166763871447997E-2</v>
      </c>
      <c r="AF26">
        <v>3.4513390095604102</v>
      </c>
      <c r="AG26">
        <v>0</v>
      </c>
      <c r="AH26">
        <v>0</v>
      </c>
      <c r="AI26">
        <f t="shared" si="22"/>
        <v>1</v>
      </c>
      <c r="AJ26">
        <f t="shared" si="23"/>
        <v>0</v>
      </c>
      <c r="AK26">
        <f t="shared" si="24"/>
        <v>52736.889621318776</v>
      </c>
      <c r="AL26" t="s">
        <v>268</v>
      </c>
      <c r="AM26">
        <v>631.89076923076902</v>
      </c>
      <c r="AN26">
        <v>3514.37</v>
      </c>
      <c r="AO26">
        <f t="shared" si="25"/>
        <v>2882.479230769231</v>
      </c>
      <c r="AP26">
        <f t="shared" si="26"/>
        <v>0.82019799587670938</v>
      </c>
      <c r="AQ26">
        <v>-1.4218795309761501</v>
      </c>
      <c r="AR26" t="s">
        <v>321</v>
      </c>
      <c r="AS26">
        <v>841.58846153846196</v>
      </c>
      <c r="AT26">
        <v>1157</v>
      </c>
      <c r="AU26">
        <f t="shared" si="27"/>
        <v>0.27261152848879688</v>
      </c>
      <c r="AV26">
        <v>0.5</v>
      </c>
      <c r="AW26">
        <f t="shared" si="28"/>
        <v>1471.1622000963389</v>
      </c>
      <c r="AX26">
        <f t="shared" si="29"/>
        <v>23.789686278307531</v>
      </c>
      <c r="AY26">
        <f t="shared" si="30"/>
        <v>200.5278880116021</v>
      </c>
      <c r="AZ26">
        <f t="shared" si="31"/>
        <v>0.52784788245462411</v>
      </c>
      <c r="BA26">
        <f t="shared" si="32"/>
        <v>1.7137176177876717E-2</v>
      </c>
      <c r="BB26">
        <f t="shared" si="33"/>
        <v>2.037484874675886</v>
      </c>
      <c r="BC26" t="s">
        <v>322</v>
      </c>
      <c r="BD26">
        <v>546.28</v>
      </c>
      <c r="BE26">
        <f t="shared" si="34"/>
        <v>610.72</v>
      </c>
      <c r="BF26">
        <f t="shared" si="35"/>
        <v>0.51645850547147309</v>
      </c>
      <c r="BG26">
        <f t="shared" si="36"/>
        <v>0.79423804534229081</v>
      </c>
      <c r="BH26">
        <f t="shared" si="37"/>
        <v>0.60065891052703946</v>
      </c>
      <c r="BI26">
        <f t="shared" si="38"/>
        <v>0.81782722832348109</v>
      </c>
      <c r="BJ26">
        <f t="shared" si="39"/>
        <v>1749.95</v>
      </c>
      <c r="BK26">
        <f t="shared" si="40"/>
        <v>1471.1622000963389</v>
      </c>
      <c r="BL26">
        <f t="shared" si="41"/>
        <v>0.84068813400173648</v>
      </c>
      <c r="BM26">
        <f t="shared" si="42"/>
        <v>0.19137626800347296</v>
      </c>
      <c r="BN26">
        <v>6</v>
      </c>
      <c r="BO26">
        <v>0.5</v>
      </c>
      <c r="BP26" t="s">
        <v>271</v>
      </c>
      <c r="BQ26">
        <v>1567879855.4000001</v>
      </c>
      <c r="BR26">
        <v>669.92100000000005</v>
      </c>
      <c r="BS26">
        <v>700.01499999999999</v>
      </c>
      <c r="BT26">
        <v>18.014399999999998</v>
      </c>
      <c r="BU26">
        <v>15.7471</v>
      </c>
      <c r="BV26">
        <v>500.00700000000001</v>
      </c>
      <c r="BW26">
        <v>99.268799999999999</v>
      </c>
      <c r="BX26">
        <v>9.9960400000000005E-2</v>
      </c>
      <c r="BY26">
        <v>25.329899999999999</v>
      </c>
      <c r="BZ26">
        <v>27.041499999999999</v>
      </c>
      <c r="CA26">
        <v>999.9</v>
      </c>
      <c r="CB26">
        <v>9990.6200000000008</v>
      </c>
      <c r="CC26">
        <v>0</v>
      </c>
      <c r="CD26">
        <v>1895.1</v>
      </c>
      <c r="CE26">
        <v>1749.95</v>
      </c>
      <c r="CF26">
        <v>0.976997</v>
      </c>
      <c r="CG26">
        <v>2.3002600000000002E-2</v>
      </c>
      <c r="CH26">
        <v>0</v>
      </c>
      <c r="CI26">
        <v>841.63</v>
      </c>
      <c r="CJ26">
        <v>4.99986</v>
      </c>
      <c r="CK26">
        <v>17648.3</v>
      </c>
      <c r="CL26">
        <v>14220.3</v>
      </c>
      <c r="CM26">
        <v>45.5</v>
      </c>
      <c r="CN26">
        <v>47.811999999999998</v>
      </c>
      <c r="CO26">
        <v>46.625</v>
      </c>
      <c r="CP26">
        <v>46.625</v>
      </c>
      <c r="CQ26">
        <v>47.186999999999998</v>
      </c>
      <c r="CR26">
        <v>1704.81</v>
      </c>
      <c r="CS26">
        <v>40.14</v>
      </c>
      <c r="CT26">
        <v>0</v>
      </c>
      <c r="CU26">
        <v>135.700000047684</v>
      </c>
      <c r="CV26">
        <v>841.58846153846196</v>
      </c>
      <c r="CW26">
        <v>-2.1560341864997401</v>
      </c>
      <c r="CX26">
        <v>-21.610256299353701</v>
      </c>
      <c r="CY26">
        <v>17568.980769230799</v>
      </c>
      <c r="CZ26">
        <v>15</v>
      </c>
      <c r="DA26">
        <v>1567879808.4000001</v>
      </c>
      <c r="DB26" t="s">
        <v>323</v>
      </c>
      <c r="DC26">
        <v>72</v>
      </c>
      <c r="DD26">
        <v>-0.183</v>
      </c>
      <c r="DE26">
        <v>9.2999999999999999E-2</v>
      </c>
      <c r="DF26">
        <v>700</v>
      </c>
      <c r="DG26">
        <v>15</v>
      </c>
      <c r="DH26">
        <v>0.1</v>
      </c>
      <c r="DI26">
        <v>0.04</v>
      </c>
      <c r="DJ26">
        <v>23.736285937064</v>
      </c>
      <c r="DK26">
        <v>0.26700653506384098</v>
      </c>
      <c r="DL26">
        <v>8.3120482912818899E-2</v>
      </c>
      <c r="DM26">
        <v>1</v>
      </c>
      <c r="DN26">
        <v>0.104425892732497</v>
      </c>
      <c r="DO26">
        <v>-5.6870840845414899E-4</v>
      </c>
      <c r="DP26">
        <v>9.2678149186442799E-4</v>
      </c>
      <c r="DQ26">
        <v>1</v>
      </c>
      <c r="DR26">
        <v>2</v>
      </c>
      <c r="DS26">
        <v>2</v>
      </c>
      <c r="DT26" t="s">
        <v>273</v>
      </c>
      <c r="DU26">
        <v>1.86676</v>
      </c>
      <c r="DV26">
        <v>1.86324</v>
      </c>
      <c r="DW26">
        <v>1.8689</v>
      </c>
      <c r="DX26">
        <v>1.8668</v>
      </c>
      <c r="DY26">
        <v>1.8714900000000001</v>
      </c>
      <c r="DZ26">
        <v>1.86399</v>
      </c>
      <c r="EA26">
        <v>1.86551</v>
      </c>
      <c r="EB26">
        <v>1.86541</v>
      </c>
      <c r="EC26" t="s">
        <v>274</v>
      </c>
      <c r="ED26" t="s">
        <v>19</v>
      </c>
      <c r="EE26" t="s">
        <v>19</v>
      </c>
      <c r="EF26" t="s">
        <v>19</v>
      </c>
      <c r="EG26" t="s">
        <v>275</v>
      </c>
      <c r="EH26" t="s">
        <v>276</v>
      </c>
      <c r="EI26" t="s">
        <v>277</v>
      </c>
      <c r="EJ26" t="s">
        <v>277</v>
      </c>
      <c r="EK26" t="s">
        <v>277</v>
      </c>
      <c r="EL26" t="s">
        <v>277</v>
      </c>
      <c r="EM26">
        <v>0</v>
      </c>
      <c r="EN26">
        <v>100</v>
      </c>
      <c r="EO26">
        <v>100</v>
      </c>
      <c r="EP26">
        <v>-0.183</v>
      </c>
      <c r="EQ26">
        <v>9.2999999999999999E-2</v>
      </c>
      <c r="ER26">
        <v>2</v>
      </c>
      <c r="ES26">
        <v>510.56299999999999</v>
      </c>
      <c r="ET26">
        <v>485.63799999999998</v>
      </c>
      <c r="EU26">
        <v>19.046299999999999</v>
      </c>
      <c r="EV26">
        <v>31.882300000000001</v>
      </c>
      <c r="EW26">
        <v>29.999700000000001</v>
      </c>
      <c r="EX26">
        <v>31.8508</v>
      </c>
      <c r="EY26">
        <v>31.8352</v>
      </c>
      <c r="EZ26">
        <v>34.287100000000002</v>
      </c>
      <c r="FA26">
        <v>48.201300000000003</v>
      </c>
      <c r="FB26">
        <v>0</v>
      </c>
      <c r="FC26">
        <v>19.002300000000002</v>
      </c>
      <c r="FD26">
        <v>700</v>
      </c>
      <c r="FE26">
        <v>15.713900000000001</v>
      </c>
      <c r="FF26">
        <v>101.033</v>
      </c>
      <c r="FG26">
        <v>101.52200000000001</v>
      </c>
    </row>
    <row r="27" spans="1:163" x14ac:dyDescent="0.35">
      <c r="A27">
        <v>11</v>
      </c>
      <c r="B27">
        <v>1567879975.9000001</v>
      </c>
      <c r="C27">
        <v>1254</v>
      </c>
      <c r="D27" t="s">
        <v>324</v>
      </c>
      <c r="E27" t="s">
        <v>325</v>
      </c>
      <c r="G27">
        <v>1567879975.9000001</v>
      </c>
      <c r="H27">
        <f t="shared" si="0"/>
        <v>1.8351316890159897E-3</v>
      </c>
      <c r="I27">
        <f t="shared" si="1"/>
        <v>25.89654693766855</v>
      </c>
      <c r="J27">
        <f t="shared" si="2"/>
        <v>767.12800000000004</v>
      </c>
      <c r="K27">
        <f t="shared" si="3"/>
        <v>330.70378662554089</v>
      </c>
      <c r="L27">
        <f t="shared" si="4"/>
        <v>32.863788007049109</v>
      </c>
      <c r="M27">
        <f t="shared" si="5"/>
        <v>76.233575138399999</v>
      </c>
      <c r="N27">
        <f t="shared" si="6"/>
        <v>0.10073169277482838</v>
      </c>
      <c r="O27">
        <f t="shared" si="7"/>
        <v>2.2491708968073914</v>
      </c>
      <c r="P27">
        <f t="shared" si="8"/>
        <v>9.829087172234148E-2</v>
      </c>
      <c r="Q27">
        <f t="shared" si="9"/>
        <v>6.1646166879854955E-2</v>
      </c>
      <c r="R27">
        <f t="shared" si="10"/>
        <v>281.57585530227499</v>
      </c>
      <c r="S27">
        <f t="shared" si="11"/>
        <v>26.627924505100058</v>
      </c>
      <c r="T27">
        <f t="shared" si="12"/>
        <v>26.994700000000002</v>
      </c>
      <c r="U27">
        <f t="shared" si="13"/>
        <v>3.578045715720195</v>
      </c>
      <c r="V27">
        <f t="shared" si="14"/>
        <v>55.365591581531056</v>
      </c>
      <c r="W27">
        <f t="shared" si="15"/>
        <v>1.7726168512799998</v>
      </c>
      <c r="X27">
        <f t="shared" si="16"/>
        <v>3.2016579262404417</v>
      </c>
      <c r="Y27">
        <f t="shared" si="17"/>
        <v>1.8054288644401952</v>
      </c>
      <c r="Z27">
        <f t="shared" si="18"/>
        <v>-80.92930748560515</v>
      </c>
      <c r="AA27">
        <f t="shared" si="19"/>
        <v>-227.8545950394689</v>
      </c>
      <c r="AB27">
        <f t="shared" si="20"/>
        <v>-21.657318708990072</v>
      </c>
      <c r="AC27">
        <f t="shared" si="21"/>
        <v>-48.865365931789142</v>
      </c>
      <c r="AD27">
        <v>-4.1161430386979302E-2</v>
      </c>
      <c r="AE27">
        <v>4.6207311548734302E-2</v>
      </c>
      <c r="AF27">
        <v>3.4537385214462399</v>
      </c>
      <c r="AG27">
        <v>0</v>
      </c>
      <c r="AH27">
        <v>0</v>
      </c>
      <c r="AI27">
        <f t="shared" si="22"/>
        <v>1</v>
      </c>
      <c r="AJ27">
        <f t="shared" si="23"/>
        <v>0</v>
      </c>
      <c r="AK27">
        <f t="shared" si="24"/>
        <v>52819.400269421407</v>
      </c>
      <c r="AL27" t="s">
        <v>268</v>
      </c>
      <c r="AM27">
        <v>631.89076923076902</v>
      </c>
      <c r="AN27">
        <v>3514.37</v>
      </c>
      <c r="AO27">
        <f t="shared" si="25"/>
        <v>2882.479230769231</v>
      </c>
      <c r="AP27">
        <f t="shared" si="26"/>
        <v>0.82019799587670938</v>
      </c>
      <c r="AQ27">
        <v>-1.4218795309761501</v>
      </c>
      <c r="AR27" t="s">
        <v>326</v>
      </c>
      <c r="AS27">
        <v>839.13457692307702</v>
      </c>
      <c r="AT27">
        <v>1165.81</v>
      </c>
      <c r="AU27">
        <f t="shared" si="27"/>
        <v>0.28021326208981134</v>
      </c>
      <c r="AV27">
        <v>0.5</v>
      </c>
      <c r="AW27">
        <f t="shared" si="28"/>
        <v>1471.3218000963284</v>
      </c>
      <c r="AX27">
        <f t="shared" si="29"/>
        <v>25.89654693766855</v>
      </c>
      <c r="AY27">
        <f t="shared" si="30"/>
        <v>206.14194059442275</v>
      </c>
      <c r="AZ27">
        <f t="shared" si="31"/>
        <v>0.5323594753862122</v>
      </c>
      <c r="BA27">
        <f t="shared" si="32"/>
        <v>1.8567268198470342E-2</v>
      </c>
      <c r="BB27">
        <f t="shared" si="33"/>
        <v>2.0145306696631526</v>
      </c>
      <c r="BC27" t="s">
        <v>327</v>
      </c>
      <c r="BD27">
        <v>545.17999999999995</v>
      </c>
      <c r="BE27">
        <f t="shared" si="34"/>
        <v>620.63</v>
      </c>
      <c r="BF27">
        <f t="shared" si="35"/>
        <v>0.526360992986035</v>
      </c>
      <c r="BG27">
        <f t="shared" si="36"/>
        <v>0.79097666366921615</v>
      </c>
      <c r="BH27">
        <f t="shared" si="37"/>
        <v>0.61184427203768887</v>
      </c>
      <c r="BI27">
        <f t="shared" si="38"/>
        <v>0.81477083162651376</v>
      </c>
      <c r="BJ27">
        <f t="shared" si="39"/>
        <v>1750.14</v>
      </c>
      <c r="BK27">
        <f t="shared" si="40"/>
        <v>1471.3218000963284</v>
      </c>
      <c r="BL27">
        <f t="shared" si="41"/>
        <v>0.84068805929601531</v>
      </c>
      <c r="BM27">
        <f t="shared" si="42"/>
        <v>0.19137611859203069</v>
      </c>
      <c r="BN27">
        <v>6</v>
      </c>
      <c r="BO27">
        <v>0.5</v>
      </c>
      <c r="BP27" t="s">
        <v>271</v>
      </c>
      <c r="BQ27">
        <v>1567879975.9000001</v>
      </c>
      <c r="BR27">
        <v>767.12800000000004</v>
      </c>
      <c r="BS27">
        <v>799.88900000000001</v>
      </c>
      <c r="BT27">
        <v>17.837599999999998</v>
      </c>
      <c r="BU27">
        <v>15.675000000000001</v>
      </c>
      <c r="BV27">
        <v>500.06400000000002</v>
      </c>
      <c r="BW27">
        <v>99.275199999999998</v>
      </c>
      <c r="BX27">
        <v>0.10009999999999999</v>
      </c>
      <c r="BY27">
        <v>25.115600000000001</v>
      </c>
      <c r="BZ27">
        <v>26.994700000000002</v>
      </c>
      <c r="CA27">
        <v>999.9</v>
      </c>
      <c r="CB27">
        <v>9998.75</v>
      </c>
      <c r="CC27">
        <v>0</v>
      </c>
      <c r="CD27">
        <v>1897.86</v>
      </c>
      <c r="CE27">
        <v>1750.14</v>
      </c>
      <c r="CF27">
        <v>0.976997</v>
      </c>
      <c r="CG27">
        <v>2.3002600000000002E-2</v>
      </c>
      <c r="CH27">
        <v>0</v>
      </c>
      <c r="CI27">
        <v>839.07100000000003</v>
      </c>
      <c r="CJ27">
        <v>4.99986</v>
      </c>
      <c r="CK27">
        <v>17603.400000000001</v>
      </c>
      <c r="CL27">
        <v>14221.9</v>
      </c>
      <c r="CM27">
        <v>45.25</v>
      </c>
      <c r="CN27">
        <v>47.561999999999998</v>
      </c>
      <c r="CO27">
        <v>46.311999999999998</v>
      </c>
      <c r="CP27">
        <v>46.375</v>
      </c>
      <c r="CQ27">
        <v>46.875</v>
      </c>
      <c r="CR27">
        <v>1705</v>
      </c>
      <c r="CS27">
        <v>40.14</v>
      </c>
      <c r="CT27">
        <v>0</v>
      </c>
      <c r="CU27">
        <v>119.799999952316</v>
      </c>
      <c r="CV27">
        <v>839.13457692307702</v>
      </c>
      <c r="CW27">
        <v>-2.2402393081548699</v>
      </c>
      <c r="CX27">
        <v>-46.871796379139198</v>
      </c>
      <c r="CY27">
        <v>17621.7153846154</v>
      </c>
      <c r="CZ27">
        <v>15</v>
      </c>
      <c r="DA27">
        <v>1567879945.9000001</v>
      </c>
      <c r="DB27" t="s">
        <v>328</v>
      </c>
      <c r="DC27">
        <v>73</v>
      </c>
      <c r="DD27">
        <v>-0.28999999999999998</v>
      </c>
      <c r="DE27">
        <v>9.6000000000000002E-2</v>
      </c>
      <c r="DF27">
        <v>800</v>
      </c>
      <c r="DG27">
        <v>16</v>
      </c>
      <c r="DH27">
        <v>0.09</v>
      </c>
      <c r="DI27">
        <v>0.03</v>
      </c>
      <c r="DJ27">
        <v>17.2972726891701</v>
      </c>
      <c r="DK27">
        <v>52.218425744948298</v>
      </c>
      <c r="DL27">
        <v>11.851635355011</v>
      </c>
      <c r="DM27">
        <v>0</v>
      </c>
      <c r="DN27">
        <v>6.5240378364588097E-2</v>
      </c>
      <c r="DO27">
        <v>0.19964623376785301</v>
      </c>
      <c r="DP27">
        <v>4.4772569099266198E-2</v>
      </c>
      <c r="DQ27">
        <v>1</v>
      </c>
      <c r="DR27">
        <v>1</v>
      </c>
      <c r="DS27">
        <v>2</v>
      </c>
      <c r="DT27" t="s">
        <v>283</v>
      </c>
      <c r="DU27">
        <v>1.86676</v>
      </c>
      <c r="DV27">
        <v>1.8632500000000001</v>
      </c>
      <c r="DW27">
        <v>1.8689</v>
      </c>
      <c r="DX27">
        <v>1.8668800000000001</v>
      </c>
      <c r="DY27">
        <v>1.8714999999999999</v>
      </c>
      <c r="DZ27">
        <v>1.8640000000000001</v>
      </c>
      <c r="EA27">
        <v>1.86551</v>
      </c>
      <c r="EB27">
        <v>1.86541</v>
      </c>
      <c r="EC27" t="s">
        <v>274</v>
      </c>
      <c r="ED27" t="s">
        <v>19</v>
      </c>
      <c r="EE27" t="s">
        <v>19</v>
      </c>
      <c r="EF27" t="s">
        <v>19</v>
      </c>
      <c r="EG27" t="s">
        <v>275</v>
      </c>
      <c r="EH27" t="s">
        <v>276</v>
      </c>
      <c r="EI27" t="s">
        <v>277</v>
      </c>
      <c r="EJ27" t="s">
        <v>277</v>
      </c>
      <c r="EK27" t="s">
        <v>277</v>
      </c>
      <c r="EL27" t="s">
        <v>277</v>
      </c>
      <c r="EM27">
        <v>0</v>
      </c>
      <c r="EN27">
        <v>100</v>
      </c>
      <c r="EO27">
        <v>100</v>
      </c>
      <c r="EP27">
        <v>-0.28999999999999998</v>
      </c>
      <c r="EQ27">
        <v>9.6000000000000002E-2</v>
      </c>
      <c r="ER27">
        <v>2</v>
      </c>
      <c r="ES27">
        <v>510.55099999999999</v>
      </c>
      <c r="ET27">
        <v>485.72399999999999</v>
      </c>
      <c r="EU27">
        <v>18.318899999999999</v>
      </c>
      <c r="EV27">
        <v>31.763000000000002</v>
      </c>
      <c r="EW27">
        <v>29.994800000000001</v>
      </c>
      <c r="EX27">
        <v>31.7742</v>
      </c>
      <c r="EY27">
        <v>31.770399999999999</v>
      </c>
      <c r="EZ27">
        <v>38.199300000000001</v>
      </c>
      <c r="FA27">
        <v>49.087400000000002</v>
      </c>
      <c r="FB27">
        <v>0</v>
      </c>
      <c r="FC27">
        <v>18.5809</v>
      </c>
      <c r="FD27">
        <v>800</v>
      </c>
      <c r="FE27">
        <v>15.5762</v>
      </c>
      <c r="FF27">
        <v>101.05200000000001</v>
      </c>
      <c r="FG27">
        <v>101.54600000000001</v>
      </c>
    </row>
    <row r="28" spans="1:163" x14ac:dyDescent="0.35">
      <c r="A28">
        <v>12</v>
      </c>
      <c r="B28">
        <v>1567880096.4000001</v>
      </c>
      <c r="C28">
        <v>1374.5</v>
      </c>
      <c r="D28" t="s">
        <v>329</v>
      </c>
      <c r="E28" t="s">
        <v>330</v>
      </c>
      <c r="G28">
        <v>1567880096.4000001</v>
      </c>
      <c r="H28">
        <f t="shared" si="0"/>
        <v>1.783521571959857E-3</v>
      </c>
      <c r="I28">
        <f t="shared" si="1"/>
        <v>29.940875223210103</v>
      </c>
      <c r="J28">
        <f t="shared" si="2"/>
        <v>961.91800000000001</v>
      </c>
      <c r="K28">
        <f t="shared" si="3"/>
        <v>440.79890365810269</v>
      </c>
      <c r="L28">
        <f t="shared" si="4"/>
        <v>43.803779883344035</v>
      </c>
      <c r="M28">
        <f t="shared" si="5"/>
        <v>95.589267550693009</v>
      </c>
      <c r="N28">
        <f t="shared" si="6"/>
        <v>9.7743964684478366E-2</v>
      </c>
      <c r="O28">
        <f t="shared" si="7"/>
        <v>2.2504858605804485</v>
      </c>
      <c r="P28">
        <f t="shared" si="8"/>
        <v>9.5445316299521507E-2</v>
      </c>
      <c r="Q28">
        <f t="shared" si="9"/>
        <v>5.9855344720008488E-2</v>
      </c>
      <c r="R28">
        <f t="shared" si="10"/>
        <v>281.54928528917202</v>
      </c>
      <c r="S28">
        <f t="shared" si="11"/>
        <v>26.623389755932198</v>
      </c>
      <c r="T28">
        <f t="shared" si="12"/>
        <v>26.95</v>
      </c>
      <c r="U28">
        <f t="shared" si="13"/>
        <v>3.5686625094010407</v>
      </c>
      <c r="V28">
        <f t="shared" si="14"/>
        <v>55.087396035969618</v>
      </c>
      <c r="W28">
        <f t="shared" si="15"/>
        <v>1.7615364223464003</v>
      </c>
      <c r="X28">
        <f t="shared" si="16"/>
        <v>3.1977122701465062</v>
      </c>
      <c r="Y28">
        <f t="shared" si="17"/>
        <v>1.8071260870546404</v>
      </c>
      <c r="Z28">
        <f t="shared" si="18"/>
        <v>-78.653301323429687</v>
      </c>
      <c r="AA28">
        <f t="shared" si="19"/>
        <v>-225.07593216183398</v>
      </c>
      <c r="AB28">
        <f t="shared" si="20"/>
        <v>-21.373691756719747</v>
      </c>
      <c r="AC28">
        <f t="shared" si="21"/>
        <v>-43.553639952811352</v>
      </c>
      <c r="AD28">
        <v>-4.1196828667707498E-2</v>
      </c>
      <c r="AE28">
        <v>4.62470492199114E-2</v>
      </c>
      <c r="AF28">
        <v>3.4560893972984501</v>
      </c>
      <c r="AG28">
        <v>0</v>
      </c>
      <c r="AH28">
        <v>0</v>
      </c>
      <c r="AI28">
        <f t="shared" si="22"/>
        <v>1</v>
      </c>
      <c r="AJ28">
        <f t="shared" si="23"/>
        <v>0</v>
      </c>
      <c r="AK28">
        <f t="shared" si="24"/>
        <v>52866.601610867547</v>
      </c>
      <c r="AL28" t="s">
        <v>268</v>
      </c>
      <c r="AM28">
        <v>631.89076923076902</v>
      </c>
      <c r="AN28">
        <v>3514.37</v>
      </c>
      <c r="AO28">
        <f t="shared" si="25"/>
        <v>2882.479230769231</v>
      </c>
      <c r="AP28">
        <f t="shared" si="26"/>
        <v>0.82019799587670938</v>
      </c>
      <c r="AQ28">
        <v>-1.4218795309761501</v>
      </c>
      <c r="AR28" t="s">
        <v>331</v>
      </c>
      <c r="AS28">
        <v>846.23280769230803</v>
      </c>
      <c r="AT28">
        <v>1211.81</v>
      </c>
      <c r="AU28">
        <f t="shared" si="27"/>
        <v>0.30167863964457464</v>
      </c>
      <c r="AV28">
        <v>0.5</v>
      </c>
      <c r="AW28">
        <f t="shared" si="28"/>
        <v>1471.1793000963617</v>
      </c>
      <c r="AX28">
        <f t="shared" si="29"/>
        <v>29.940875223210103</v>
      </c>
      <c r="AY28">
        <f t="shared" si="30"/>
        <v>221.91168496316391</v>
      </c>
      <c r="AZ28">
        <f t="shared" si="31"/>
        <v>0.54860910538780827</v>
      </c>
      <c r="BA28">
        <f t="shared" si="32"/>
        <v>2.1318104973426424E-2</v>
      </c>
      <c r="BB28">
        <f t="shared" si="33"/>
        <v>1.9000998506366511</v>
      </c>
      <c r="BC28" t="s">
        <v>332</v>
      </c>
      <c r="BD28">
        <v>547</v>
      </c>
      <c r="BE28">
        <f t="shared" si="34"/>
        <v>664.81</v>
      </c>
      <c r="BF28">
        <f t="shared" si="35"/>
        <v>0.54989725230921904</v>
      </c>
      <c r="BG28">
        <f t="shared" si="36"/>
        <v>0.77595985670812873</v>
      </c>
      <c r="BH28">
        <f t="shared" si="37"/>
        <v>0.63039329084288842</v>
      </c>
      <c r="BI28">
        <f t="shared" si="38"/>
        <v>0.7988123471701577</v>
      </c>
      <c r="BJ28">
        <f t="shared" si="39"/>
        <v>1749.97</v>
      </c>
      <c r="BK28">
        <f t="shared" si="40"/>
        <v>1471.1793000963617</v>
      </c>
      <c r="BL28">
        <f t="shared" si="41"/>
        <v>0.84068829756873642</v>
      </c>
      <c r="BM28">
        <f t="shared" si="42"/>
        <v>0.19137659513747282</v>
      </c>
      <c r="BN28">
        <v>6</v>
      </c>
      <c r="BO28">
        <v>0.5</v>
      </c>
      <c r="BP28" t="s">
        <v>271</v>
      </c>
      <c r="BQ28">
        <v>1567880096.4000001</v>
      </c>
      <c r="BR28">
        <v>961.91800000000001</v>
      </c>
      <c r="BS28">
        <v>999.90599999999995</v>
      </c>
      <c r="BT28">
        <v>17.726400000000002</v>
      </c>
      <c r="BU28">
        <v>15.6241</v>
      </c>
      <c r="BV28">
        <v>499.99700000000001</v>
      </c>
      <c r="BW28">
        <v>99.273700000000005</v>
      </c>
      <c r="BX28">
        <v>9.9913500000000002E-2</v>
      </c>
      <c r="BY28">
        <v>25.094899999999999</v>
      </c>
      <c r="BZ28">
        <v>26.95</v>
      </c>
      <c r="CA28">
        <v>999.9</v>
      </c>
      <c r="CB28">
        <v>10007.5</v>
      </c>
      <c r="CC28">
        <v>0</v>
      </c>
      <c r="CD28">
        <v>1922.43</v>
      </c>
      <c r="CE28">
        <v>1749.97</v>
      </c>
      <c r="CF28">
        <v>0.976993</v>
      </c>
      <c r="CG28">
        <v>2.3006700000000001E-2</v>
      </c>
      <c r="CH28">
        <v>0</v>
      </c>
      <c r="CI28">
        <v>845.86099999999999</v>
      </c>
      <c r="CJ28">
        <v>4.99986</v>
      </c>
      <c r="CK28">
        <v>17734.099999999999</v>
      </c>
      <c r="CL28">
        <v>14220.5</v>
      </c>
      <c r="CM28">
        <v>45.061999999999998</v>
      </c>
      <c r="CN28">
        <v>47.375</v>
      </c>
      <c r="CO28">
        <v>46.125</v>
      </c>
      <c r="CP28">
        <v>46.125</v>
      </c>
      <c r="CQ28">
        <v>46.686999999999998</v>
      </c>
      <c r="CR28">
        <v>1704.82</v>
      </c>
      <c r="CS28">
        <v>40.15</v>
      </c>
      <c r="CT28">
        <v>0</v>
      </c>
      <c r="CU28">
        <v>119.799999952316</v>
      </c>
      <c r="CV28">
        <v>846.23280769230803</v>
      </c>
      <c r="CW28">
        <v>-6.9725470126141804</v>
      </c>
      <c r="CX28">
        <v>509.16923149411502</v>
      </c>
      <c r="CY28">
        <v>17721.3384615385</v>
      </c>
      <c r="CZ28">
        <v>15</v>
      </c>
      <c r="DA28">
        <v>1567880034.4000001</v>
      </c>
      <c r="DB28" t="s">
        <v>333</v>
      </c>
      <c r="DC28">
        <v>74</v>
      </c>
      <c r="DD28">
        <v>9.1999999999999998E-2</v>
      </c>
      <c r="DE28">
        <v>9.5000000000000001E-2</v>
      </c>
      <c r="DF28">
        <v>1000</v>
      </c>
      <c r="DG28">
        <v>15</v>
      </c>
      <c r="DH28">
        <v>0.05</v>
      </c>
      <c r="DI28">
        <v>0.04</v>
      </c>
      <c r="DJ28">
        <v>30.255224674464198</v>
      </c>
      <c r="DK28">
        <v>-0.88152180850976103</v>
      </c>
      <c r="DL28">
        <v>0.18430312145688599</v>
      </c>
      <c r="DM28">
        <v>0</v>
      </c>
      <c r="DN28">
        <v>9.7712738889102493E-2</v>
      </c>
      <c r="DO28">
        <v>2.8693010027482199E-3</v>
      </c>
      <c r="DP28">
        <v>9.02137021956173E-4</v>
      </c>
      <c r="DQ28">
        <v>1</v>
      </c>
      <c r="DR28">
        <v>1</v>
      </c>
      <c r="DS28">
        <v>2</v>
      </c>
      <c r="DT28" t="s">
        <v>283</v>
      </c>
      <c r="DU28">
        <v>1.86676</v>
      </c>
      <c r="DV28">
        <v>1.8632200000000001</v>
      </c>
      <c r="DW28">
        <v>1.8689</v>
      </c>
      <c r="DX28">
        <v>1.8668199999999999</v>
      </c>
      <c r="DY28">
        <v>1.8714900000000001</v>
      </c>
      <c r="DZ28">
        <v>1.8639699999999999</v>
      </c>
      <c r="EA28">
        <v>1.8655299999999999</v>
      </c>
      <c r="EB28">
        <v>1.8653900000000001</v>
      </c>
      <c r="EC28" t="s">
        <v>274</v>
      </c>
      <c r="ED28" t="s">
        <v>19</v>
      </c>
      <c r="EE28" t="s">
        <v>19</v>
      </c>
      <c r="EF28" t="s">
        <v>19</v>
      </c>
      <c r="EG28" t="s">
        <v>275</v>
      </c>
      <c r="EH28" t="s">
        <v>276</v>
      </c>
      <c r="EI28" t="s">
        <v>277</v>
      </c>
      <c r="EJ28" t="s">
        <v>277</v>
      </c>
      <c r="EK28" t="s">
        <v>277</v>
      </c>
      <c r="EL28" t="s">
        <v>277</v>
      </c>
      <c r="EM28">
        <v>0</v>
      </c>
      <c r="EN28">
        <v>100</v>
      </c>
      <c r="EO28">
        <v>100</v>
      </c>
      <c r="EP28">
        <v>9.1999999999999998E-2</v>
      </c>
      <c r="EQ28">
        <v>9.5000000000000001E-2</v>
      </c>
      <c r="ER28">
        <v>2</v>
      </c>
      <c r="ES28">
        <v>510.94799999999998</v>
      </c>
      <c r="ET28">
        <v>486.31700000000001</v>
      </c>
      <c r="EU28">
        <v>18.805399999999999</v>
      </c>
      <c r="EV28">
        <v>31.6647</v>
      </c>
      <c r="EW28">
        <v>29.999300000000002</v>
      </c>
      <c r="EX28">
        <v>31.6966</v>
      </c>
      <c r="EY28">
        <v>31.697399999999998</v>
      </c>
      <c r="EZ28">
        <v>45.7575</v>
      </c>
      <c r="FA28">
        <v>49.438000000000002</v>
      </c>
      <c r="FB28">
        <v>0</v>
      </c>
      <c r="FC28">
        <v>18.846800000000002</v>
      </c>
      <c r="FD28">
        <v>1000</v>
      </c>
      <c r="FE28">
        <v>15.646800000000001</v>
      </c>
      <c r="FF28">
        <v>101.069</v>
      </c>
      <c r="FG28">
        <v>101.568</v>
      </c>
    </row>
    <row r="29" spans="1:163" x14ac:dyDescent="0.35">
      <c r="A29">
        <v>13</v>
      </c>
      <c r="B29">
        <v>1567880216.9000001</v>
      </c>
      <c r="C29">
        <v>1495</v>
      </c>
      <c r="D29" t="s">
        <v>334</v>
      </c>
      <c r="E29" t="s">
        <v>335</v>
      </c>
      <c r="G29">
        <v>1567880216.9000001</v>
      </c>
      <c r="H29">
        <f t="shared" si="0"/>
        <v>1.5798741633553809E-3</v>
      </c>
      <c r="I29">
        <f t="shared" si="1"/>
        <v>33.432125986116787</v>
      </c>
      <c r="J29">
        <f t="shared" si="2"/>
        <v>1157.74</v>
      </c>
      <c r="K29">
        <f t="shared" si="3"/>
        <v>491.79363522610998</v>
      </c>
      <c r="L29">
        <f t="shared" si="4"/>
        <v>48.872038434120206</v>
      </c>
      <c r="M29">
        <f t="shared" si="5"/>
        <v>115.050520632916</v>
      </c>
      <c r="N29">
        <f t="shared" si="6"/>
        <v>8.4953212657716562E-2</v>
      </c>
      <c r="O29">
        <f t="shared" si="7"/>
        <v>2.2471601210964001</v>
      </c>
      <c r="P29">
        <f t="shared" si="8"/>
        <v>8.3208504631001934E-2</v>
      </c>
      <c r="Q29">
        <f t="shared" si="9"/>
        <v>5.2159086090739722E-2</v>
      </c>
      <c r="R29">
        <f t="shared" si="10"/>
        <v>281.54768929864815</v>
      </c>
      <c r="S29">
        <f t="shared" si="11"/>
        <v>26.755905609823817</v>
      </c>
      <c r="T29">
        <f t="shared" si="12"/>
        <v>27.099399999999999</v>
      </c>
      <c r="U29">
        <f t="shared" si="13"/>
        <v>3.6001081745127967</v>
      </c>
      <c r="V29">
        <f t="shared" si="14"/>
        <v>54.964898444680799</v>
      </c>
      <c r="W29">
        <f t="shared" si="15"/>
        <v>1.7642060331302001</v>
      </c>
      <c r="X29">
        <f t="shared" si="16"/>
        <v>3.2096957932266137</v>
      </c>
      <c r="Y29">
        <f t="shared" si="17"/>
        <v>1.8359021413825967</v>
      </c>
      <c r="Z29">
        <f t="shared" si="18"/>
        <v>-69.672450603972294</v>
      </c>
      <c r="AA29">
        <f t="shared" si="19"/>
        <v>-235.23481223414794</v>
      </c>
      <c r="AB29">
        <f t="shared" si="20"/>
        <v>-22.395303579409884</v>
      </c>
      <c r="AC29">
        <f t="shared" si="21"/>
        <v>-45.75487711888195</v>
      </c>
      <c r="AD29">
        <v>-4.1107337264916603E-2</v>
      </c>
      <c r="AE29">
        <v>4.6146587280401302E-2</v>
      </c>
      <c r="AF29">
        <v>3.4501447389509901</v>
      </c>
      <c r="AG29">
        <v>0</v>
      </c>
      <c r="AH29">
        <v>0</v>
      </c>
      <c r="AI29">
        <f t="shared" si="22"/>
        <v>1</v>
      </c>
      <c r="AJ29">
        <f t="shared" si="23"/>
        <v>0</v>
      </c>
      <c r="AK29">
        <f t="shared" si="24"/>
        <v>52745.357983147274</v>
      </c>
      <c r="AL29" t="s">
        <v>268</v>
      </c>
      <c r="AM29">
        <v>631.89076923076902</v>
      </c>
      <c r="AN29">
        <v>3514.37</v>
      </c>
      <c r="AO29">
        <f t="shared" si="25"/>
        <v>2882.479230769231</v>
      </c>
      <c r="AP29">
        <f t="shared" si="26"/>
        <v>0.82019799587670938</v>
      </c>
      <c r="AQ29">
        <v>-1.4218795309761501</v>
      </c>
      <c r="AR29" t="s">
        <v>336</v>
      </c>
      <c r="AS29">
        <v>853.99549999999999</v>
      </c>
      <c r="AT29">
        <v>1246.96</v>
      </c>
      <c r="AU29">
        <f t="shared" si="27"/>
        <v>0.31513801565407074</v>
      </c>
      <c r="AV29">
        <v>0.5</v>
      </c>
      <c r="AW29">
        <f t="shared" si="28"/>
        <v>1471.1709000963622</v>
      </c>
      <c r="AX29">
        <f t="shared" si="29"/>
        <v>33.432125986116787</v>
      </c>
      <c r="AY29">
        <f t="shared" si="30"/>
        <v>231.81093907219037</v>
      </c>
      <c r="AZ29">
        <f t="shared" si="31"/>
        <v>0.56243985372425742</v>
      </c>
      <c r="BA29">
        <f t="shared" si="32"/>
        <v>2.3691336958071959E-2</v>
      </c>
      <c r="BB29">
        <f t="shared" si="33"/>
        <v>1.8183502277538972</v>
      </c>
      <c r="BC29" t="s">
        <v>337</v>
      </c>
      <c r="BD29">
        <v>545.62</v>
      </c>
      <c r="BE29">
        <f t="shared" si="34"/>
        <v>701.34</v>
      </c>
      <c r="BF29">
        <f t="shared" si="35"/>
        <v>0.5603052727635669</v>
      </c>
      <c r="BG29">
        <f t="shared" si="36"/>
        <v>0.76375915789473681</v>
      </c>
      <c r="BH29">
        <f t="shared" si="37"/>
        <v>0.63889474605735419</v>
      </c>
      <c r="BI29">
        <f t="shared" si="38"/>
        <v>0.78661798350405077</v>
      </c>
      <c r="BJ29">
        <f t="shared" si="39"/>
        <v>1749.96</v>
      </c>
      <c r="BK29">
        <f t="shared" si="40"/>
        <v>1471.1709000963622</v>
      </c>
      <c r="BL29">
        <f t="shared" si="41"/>
        <v>0.8406883015019555</v>
      </c>
      <c r="BM29">
        <f t="shared" si="42"/>
        <v>0.19137660300391116</v>
      </c>
      <c r="BN29">
        <v>6</v>
      </c>
      <c r="BO29">
        <v>0.5</v>
      </c>
      <c r="BP29" t="s">
        <v>271</v>
      </c>
      <c r="BQ29">
        <v>1567880216.9000001</v>
      </c>
      <c r="BR29">
        <v>1157.74</v>
      </c>
      <c r="BS29">
        <v>1200.04</v>
      </c>
      <c r="BT29">
        <v>17.753</v>
      </c>
      <c r="BU29">
        <v>15.891400000000001</v>
      </c>
      <c r="BV29">
        <v>500.15899999999999</v>
      </c>
      <c r="BW29">
        <v>99.275099999999995</v>
      </c>
      <c r="BX29">
        <v>9.9993399999999996E-2</v>
      </c>
      <c r="BY29">
        <v>25.157699999999998</v>
      </c>
      <c r="BZ29">
        <v>27.099399999999999</v>
      </c>
      <c r="CA29">
        <v>999.9</v>
      </c>
      <c r="CB29">
        <v>9985.6200000000008</v>
      </c>
      <c r="CC29">
        <v>0</v>
      </c>
      <c r="CD29">
        <v>1838.94</v>
      </c>
      <c r="CE29">
        <v>1749.96</v>
      </c>
      <c r="CF29">
        <v>0.976993</v>
      </c>
      <c r="CG29">
        <v>2.3006700000000001E-2</v>
      </c>
      <c r="CH29">
        <v>0</v>
      </c>
      <c r="CI29">
        <v>852.69799999999998</v>
      </c>
      <c r="CJ29">
        <v>4.99986</v>
      </c>
      <c r="CK29">
        <v>17913.099999999999</v>
      </c>
      <c r="CL29">
        <v>14220.4</v>
      </c>
      <c r="CM29">
        <v>45.061999999999998</v>
      </c>
      <c r="CN29">
        <v>47.5</v>
      </c>
      <c r="CO29">
        <v>46.125</v>
      </c>
      <c r="CP29">
        <v>46.125</v>
      </c>
      <c r="CQ29">
        <v>46.686999999999998</v>
      </c>
      <c r="CR29">
        <v>1704.81</v>
      </c>
      <c r="CS29">
        <v>40.15</v>
      </c>
      <c r="CT29">
        <v>0</v>
      </c>
      <c r="CU29">
        <v>119.799999952316</v>
      </c>
      <c r="CV29">
        <v>853.99549999999999</v>
      </c>
      <c r="CW29">
        <v>-9.7759658190236696</v>
      </c>
      <c r="CX29">
        <v>-164.38290684242401</v>
      </c>
      <c r="CY29">
        <v>17906.0769230769</v>
      </c>
      <c r="CZ29">
        <v>15</v>
      </c>
      <c r="DA29">
        <v>1567880155.4000001</v>
      </c>
      <c r="DB29" t="s">
        <v>338</v>
      </c>
      <c r="DC29">
        <v>75</v>
      </c>
      <c r="DD29">
        <v>9.0999999999999998E-2</v>
      </c>
      <c r="DE29">
        <v>9.9000000000000005E-2</v>
      </c>
      <c r="DF29">
        <v>1200</v>
      </c>
      <c r="DG29">
        <v>16</v>
      </c>
      <c r="DH29">
        <v>0.04</v>
      </c>
      <c r="DI29">
        <v>0.03</v>
      </c>
      <c r="DJ29">
        <v>33.533476835072399</v>
      </c>
      <c r="DK29">
        <v>-0.48517712568767002</v>
      </c>
      <c r="DL29">
        <v>0.122682209795278</v>
      </c>
      <c r="DM29">
        <v>0</v>
      </c>
      <c r="DN29">
        <v>8.9030591837595194E-2</v>
      </c>
      <c r="DO29">
        <v>-1.6890250830151401E-2</v>
      </c>
      <c r="DP29">
        <v>3.32416056896556E-3</v>
      </c>
      <c r="DQ29">
        <v>1</v>
      </c>
      <c r="DR29">
        <v>1</v>
      </c>
      <c r="DS29">
        <v>2</v>
      </c>
      <c r="DT29" t="s">
        <v>283</v>
      </c>
      <c r="DU29">
        <v>1.86673</v>
      </c>
      <c r="DV29">
        <v>1.8631599999999999</v>
      </c>
      <c r="DW29">
        <v>1.8688899999999999</v>
      </c>
      <c r="DX29">
        <v>1.86676</v>
      </c>
      <c r="DY29">
        <v>1.87147</v>
      </c>
      <c r="DZ29">
        <v>1.86388</v>
      </c>
      <c r="EA29">
        <v>1.86544</v>
      </c>
      <c r="EB29">
        <v>1.8653900000000001</v>
      </c>
      <c r="EC29" t="s">
        <v>274</v>
      </c>
      <c r="ED29" t="s">
        <v>19</v>
      </c>
      <c r="EE29" t="s">
        <v>19</v>
      </c>
      <c r="EF29" t="s">
        <v>19</v>
      </c>
      <c r="EG29" t="s">
        <v>275</v>
      </c>
      <c r="EH29" t="s">
        <v>276</v>
      </c>
      <c r="EI29" t="s">
        <v>277</v>
      </c>
      <c r="EJ29" t="s">
        <v>277</v>
      </c>
      <c r="EK29" t="s">
        <v>277</v>
      </c>
      <c r="EL29" t="s">
        <v>277</v>
      </c>
      <c r="EM29">
        <v>0</v>
      </c>
      <c r="EN29">
        <v>100</v>
      </c>
      <c r="EO29">
        <v>100</v>
      </c>
      <c r="EP29">
        <v>9.0999999999999998E-2</v>
      </c>
      <c r="EQ29">
        <v>9.9000000000000005E-2</v>
      </c>
      <c r="ER29">
        <v>2</v>
      </c>
      <c r="ES29">
        <v>510.738</v>
      </c>
      <c r="ET29">
        <v>486.43900000000002</v>
      </c>
      <c r="EU29">
        <v>18.156600000000001</v>
      </c>
      <c r="EV29">
        <v>31.610099999999999</v>
      </c>
      <c r="EW29">
        <v>30.001000000000001</v>
      </c>
      <c r="EX29">
        <v>31.648299999999999</v>
      </c>
      <c r="EY29">
        <v>31.6556</v>
      </c>
      <c r="EZ29">
        <v>52.989800000000002</v>
      </c>
      <c r="FA29">
        <v>48.363799999999998</v>
      </c>
      <c r="FB29">
        <v>0</v>
      </c>
      <c r="FC29">
        <v>18.034400000000002</v>
      </c>
      <c r="FD29">
        <v>1200</v>
      </c>
      <c r="FE29">
        <v>15.967599999999999</v>
      </c>
      <c r="FF29">
        <v>101.075</v>
      </c>
      <c r="FG29">
        <v>101.57299999999999</v>
      </c>
    </row>
    <row r="30" spans="1:163" x14ac:dyDescent="0.35">
      <c r="A30">
        <v>14</v>
      </c>
      <c r="B30">
        <v>1567880337.5</v>
      </c>
      <c r="C30">
        <v>1615.5999999046301</v>
      </c>
      <c r="D30" t="s">
        <v>339</v>
      </c>
      <c r="E30" t="s">
        <v>340</v>
      </c>
      <c r="G30">
        <v>1567880337.5</v>
      </c>
      <c r="H30">
        <f t="shared" si="0"/>
        <v>1.6585187784685749E-3</v>
      </c>
      <c r="I30">
        <f t="shared" si="1"/>
        <v>36.872187351974134</v>
      </c>
      <c r="J30">
        <f t="shared" si="2"/>
        <v>1452.8</v>
      </c>
      <c r="K30">
        <f t="shared" si="3"/>
        <v>754.12271861027921</v>
      </c>
      <c r="L30">
        <f t="shared" si="4"/>
        <v>74.942747515193972</v>
      </c>
      <c r="M30">
        <f t="shared" si="5"/>
        <v>144.37547219200002</v>
      </c>
      <c r="N30">
        <f t="shared" si="6"/>
        <v>9.0320499403272969E-2</v>
      </c>
      <c r="O30">
        <f t="shared" si="7"/>
        <v>2.2490151159889979</v>
      </c>
      <c r="P30">
        <f t="shared" si="8"/>
        <v>8.8352707938752995E-2</v>
      </c>
      <c r="Q30">
        <f t="shared" si="9"/>
        <v>5.5393669965501727E-2</v>
      </c>
      <c r="R30">
        <f t="shared" si="10"/>
        <v>281.5327635579921</v>
      </c>
      <c r="S30">
        <f t="shared" si="11"/>
        <v>26.503353281179638</v>
      </c>
      <c r="T30">
        <f t="shared" si="12"/>
        <v>26.972100000000001</v>
      </c>
      <c r="U30">
        <f t="shared" si="13"/>
        <v>3.5732989455665223</v>
      </c>
      <c r="V30">
        <f t="shared" si="14"/>
        <v>55.508082245361379</v>
      </c>
      <c r="W30">
        <f t="shared" si="15"/>
        <v>1.7578667762320002</v>
      </c>
      <c r="X30">
        <f t="shared" si="16"/>
        <v>3.1668663465290212</v>
      </c>
      <c r="Y30">
        <f t="shared" si="17"/>
        <v>1.8154321693345221</v>
      </c>
      <c r="Z30">
        <f t="shared" si="18"/>
        <v>-73.140678130464153</v>
      </c>
      <c r="AA30">
        <f t="shared" si="19"/>
        <v>-247.32351220313896</v>
      </c>
      <c r="AB30">
        <f t="shared" si="20"/>
        <v>-23.485215767788226</v>
      </c>
      <c r="AC30">
        <f t="shared" si="21"/>
        <v>-62.416642543399263</v>
      </c>
      <c r="AD30">
        <v>-4.1157238070506398E-2</v>
      </c>
      <c r="AE30">
        <v>4.6202605306226399E-2</v>
      </c>
      <c r="AF30">
        <v>3.4534600546898702</v>
      </c>
      <c r="AG30">
        <v>0</v>
      </c>
      <c r="AH30">
        <v>0</v>
      </c>
      <c r="AI30">
        <f t="shared" si="22"/>
        <v>1</v>
      </c>
      <c r="AJ30">
        <f t="shared" si="23"/>
        <v>0</v>
      </c>
      <c r="AK30">
        <f t="shared" si="24"/>
        <v>52846.783653662475</v>
      </c>
      <c r="AL30" t="s">
        <v>268</v>
      </c>
      <c r="AM30">
        <v>631.89076923076902</v>
      </c>
      <c r="AN30">
        <v>3514.37</v>
      </c>
      <c r="AO30">
        <f t="shared" si="25"/>
        <v>2882.479230769231</v>
      </c>
      <c r="AP30">
        <f t="shared" si="26"/>
        <v>0.82019799587670938</v>
      </c>
      <c r="AQ30">
        <v>-1.4218795309761501</v>
      </c>
      <c r="AR30" t="s">
        <v>341</v>
      </c>
      <c r="AS30">
        <v>868.19942307692304</v>
      </c>
      <c r="AT30">
        <v>1273.55</v>
      </c>
      <c r="AU30">
        <f t="shared" si="27"/>
        <v>0.31828399114528438</v>
      </c>
      <c r="AV30">
        <v>0.5</v>
      </c>
      <c r="AW30">
        <f t="shared" si="28"/>
        <v>1471.095000096343</v>
      </c>
      <c r="AX30">
        <f t="shared" si="29"/>
        <v>36.872187351974134</v>
      </c>
      <c r="AY30">
        <f t="shared" si="30"/>
        <v>234.11299399226829</v>
      </c>
      <c r="AZ30">
        <f t="shared" si="31"/>
        <v>0.57306740999568129</v>
      </c>
      <c r="BA30">
        <f t="shared" si="32"/>
        <v>2.6030995197755671E-2</v>
      </c>
      <c r="BB30">
        <f t="shared" si="33"/>
        <v>1.759506890188842</v>
      </c>
      <c r="BC30" t="s">
        <v>342</v>
      </c>
      <c r="BD30">
        <v>543.72</v>
      </c>
      <c r="BE30">
        <f t="shared" si="34"/>
        <v>729.82999999999993</v>
      </c>
      <c r="BF30">
        <f t="shared" si="35"/>
        <v>0.55540410358998249</v>
      </c>
      <c r="BG30">
        <f t="shared" si="36"/>
        <v>0.75431976166832171</v>
      </c>
      <c r="BH30">
        <f t="shared" si="37"/>
        <v>0.63172250547558773</v>
      </c>
      <c r="BI30">
        <f t="shared" si="38"/>
        <v>0.77739328564112664</v>
      </c>
      <c r="BJ30">
        <f t="shared" si="39"/>
        <v>1749.87</v>
      </c>
      <c r="BK30">
        <f t="shared" si="40"/>
        <v>1471.095000096343</v>
      </c>
      <c r="BL30">
        <f t="shared" si="41"/>
        <v>0.84068816546163039</v>
      </c>
      <c r="BM30">
        <f t="shared" si="42"/>
        <v>0.19137633092326078</v>
      </c>
      <c r="BN30">
        <v>6</v>
      </c>
      <c r="BO30">
        <v>0.5</v>
      </c>
      <c r="BP30" t="s">
        <v>271</v>
      </c>
      <c r="BQ30">
        <v>1567880337.5</v>
      </c>
      <c r="BR30">
        <v>1452.8</v>
      </c>
      <c r="BS30">
        <v>1499.94</v>
      </c>
      <c r="BT30">
        <v>17.688800000000001</v>
      </c>
      <c r="BU30">
        <v>15.733700000000001</v>
      </c>
      <c r="BV30">
        <v>499.97899999999998</v>
      </c>
      <c r="BW30">
        <v>99.277500000000003</v>
      </c>
      <c r="BX30">
        <v>9.9890000000000007E-2</v>
      </c>
      <c r="BY30">
        <v>24.932300000000001</v>
      </c>
      <c r="BZ30">
        <v>26.972100000000001</v>
      </c>
      <c r="CA30">
        <v>999.9</v>
      </c>
      <c r="CB30">
        <v>9997.5</v>
      </c>
      <c r="CC30">
        <v>0</v>
      </c>
      <c r="CD30">
        <v>1852.6</v>
      </c>
      <c r="CE30">
        <v>1749.87</v>
      </c>
      <c r="CF30">
        <v>0.976993</v>
      </c>
      <c r="CG30">
        <v>2.3006700000000001E-2</v>
      </c>
      <c r="CH30">
        <v>0</v>
      </c>
      <c r="CI30">
        <v>866.673</v>
      </c>
      <c r="CJ30">
        <v>4.99986</v>
      </c>
      <c r="CK30">
        <v>18222.5</v>
      </c>
      <c r="CL30">
        <v>14219.7</v>
      </c>
      <c r="CM30">
        <v>45.25</v>
      </c>
      <c r="CN30">
        <v>47.686999999999998</v>
      </c>
      <c r="CO30">
        <v>46.311999999999998</v>
      </c>
      <c r="CP30">
        <v>46.375</v>
      </c>
      <c r="CQ30">
        <v>46.811999999999998</v>
      </c>
      <c r="CR30">
        <v>1704.73</v>
      </c>
      <c r="CS30">
        <v>40.14</v>
      </c>
      <c r="CT30">
        <v>0</v>
      </c>
      <c r="CU30">
        <v>120</v>
      </c>
      <c r="CV30">
        <v>868.19942307692304</v>
      </c>
      <c r="CW30">
        <v>-9.1302222181677397</v>
      </c>
      <c r="CX30">
        <v>-55.008547276808798</v>
      </c>
      <c r="CY30">
        <v>18227.384615384599</v>
      </c>
      <c r="CZ30">
        <v>15</v>
      </c>
      <c r="DA30">
        <v>1567880284</v>
      </c>
      <c r="DB30" t="s">
        <v>343</v>
      </c>
      <c r="DC30">
        <v>76</v>
      </c>
      <c r="DD30">
        <v>0.09</v>
      </c>
      <c r="DE30">
        <v>0.104</v>
      </c>
      <c r="DF30">
        <v>1500</v>
      </c>
      <c r="DG30">
        <v>16</v>
      </c>
      <c r="DH30">
        <v>0.05</v>
      </c>
      <c r="DI30">
        <v>7.0000000000000007E-2</v>
      </c>
      <c r="DJ30">
        <v>37.030888685475198</v>
      </c>
      <c r="DK30">
        <v>-0.63515851423912395</v>
      </c>
      <c r="DL30">
        <v>0.16694183387153799</v>
      </c>
      <c r="DM30">
        <v>0</v>
      </c>
      <c r="DN30">
        <v>8.80768049251833E-2</v>
      </c>
      <c r="DO30">
        <v>3.7102029106638101E-3</v>
      </c>
      <c r="DP30">
        <v>1.2409878664589001E-3</v>
      </c>
      <c r="DQ30">
        <v>1</v>
      </c>
      <c r="DR30">
        <v>1</v>
      </c>
      <c r="DS30">
        <v>2</v>
      </c>
      <c r="DT30" t="s">
        <v>283</v>
      </c>
      <c r="DU30">
        <v>1.86676</v>
      </c>
      <c r="DV30">
        <v>1.86324</v>
      </c>
      <c r="DW30">
        <v>1.8688899999999999</v>
      </c>
      <c r="DX30">
        <v>1.8667899999999999</v>
      </c>
      <c r="DY30">
        <v>1.8714900000000001</v>
      </c>
      <c r="DZ30">
        <v>1.8639699999999999</v>
      </c>
      <c r="EA30">
        <v>1.86551</v>
      </c>
      <c r="EB30">
        <v>1.8653900000000001</v>
      </c>
      <c r="EC30" t="s">
        <v>274</v>
      </c>
      <c r="ED30" t="s">
        <v>19</v>
      </c>
      <c r="EE30" t="s">
        <v>19</v>
      </c>
      <c r="EF30" t="s">
        <v>19</v>
      </c>
      <c r="EG30" t="s">
        <v>275</v>
      </c>
      <c r="EH30" t="s">
        <v>276</v>
      </c>
      <c r="EI30" t="s">
        <v>277</v>
      </c>
      <c r="EJ30" t="s">
        <v>277</v>
      </c>
      <c r="EK30" t="s">
        <v>277</v>
      </c>
      <c r="EL30" t="s">
        <v>277</v>
      </c>
      <c r="EM30">
        <v>0</v>
      </c>
      <c r="EN30">
        <v>100</v>
      </c>
      <c r="EO30">
        <v>100</v>
      </c>
      <c r="EP30">
        <v>0.09</v>
      </c>
      <c r="EQ30">
        <v>0.104</v>
      </c>
      <c r="ER30">
        <v>2</v>
      </c>
      <c r="ES30">
        <v>510.32299999999998</v>
      </c>
      <c r="ET30">
        <v>485.81299999999999</v>
      </c>
      <c r="EU30">
        <v>17.989799999999999</v>
      </c>
      <c r="EV30">
        <v>31.7456</v>
      </c>
      <c r="EW30">
        <v>30.000599999999999</v>
      </c>
      <c r="EX30">
        <v>31.7103</v>
      </c>
      <c r="EY30">
        <v>31.713000000000001</v>
      </c>
      <c r="EZ30">
        <v>63.354300000000002</v>
      </c>
      <c r="FA30">
        <v>49.938499999999998</v>
      </c>
      <c r="FB30">
        <v>0</v>
      </c>
      <c r="FC30">
        <v>17.9817</v>
      </c>
      <c r="FD30">
        <v>1500</v>
      </c>
      <c r="FE30">
        <v>15.5929</v>
      </c>
      <c r="FF30">
        <v>101.059</v>
      </c>
      <c r="FG30">
        <v>101.554</v>
      </c>
    </row>
    <row r="31" spans="1:163" x14ac:dyDescent="0.35">
      <c r="A31">
        <v>15</v>
      </c>
      <c r="B31">
        <v>1567880445.5</v>
      </c>
      <c r="C31">
        <v>1723.5999999046301</v>
      </c>
      <c r="D31" t="s">
        <v>344</v>
      </c>
      <c r="E31" t="s">
        <v>345</v>
      </c>
      <c r="G31">
        <v>1567880445.5</v>
      </c>
      <c r="H31">
        <f t="shared" si="0"/>
        <v>1.4713756974551436E-3</v>
      </c>
      <c r="I31">
        <f t="shared" si="1"/>
        <v>39.045906149030031</v>
      </c>
      <c r="J31">
        <f t="shared" si="2"/>
        <v>1750.01</v>
      </c>
      <c r="K31">
        <f t="shared" si="3"/>
        <v>910.0016204252745</v>
      </c>
      <c r="L31">
        <f t="shared" si="4"/>
        <v>90.432006534822065</v>
      </c>
      <c r="M31">
        <f t="shared" si="5"/>
        <v>173.908388956544</v>
      </c>
      <c r="N31">
        <f t="shared" si="6"/>
        <v>7.9409029421360688E-2</v>
      </c>
      <c r="O31">
        <f t="shared" si="7"/>
        <v>2.2505166834985593</v>
      </c>
      <c r="P31">
        <f t="shared" si="8"/>
        <v>7.7884640111466966E-2</v>
      </c>
      <c r="Q31">
        <f t="shared" si="9"/>
        <v>4.8812423033696074E-2</v>
      </c>
      <c r="R31">
        <f t="shared" si="10"/>
        <v>281.53595553904734</v>
      </c>
      <c r="S31">
        <f t="shared" si="11"/>
        <v>26.550619778067762</v>
      </c>
      <c r="T31">
        <f t="shared" si="12"/>
        <v>26.985900000000001</v>
      </c>
      <c r="U31">
        <f t="shared" si="13"/>
        <v>3.5761967618801154</v>
      </c>
      <c r="V31">
        <f t="shared" si="14"/>
        <v>55.278057346720544</v>
      </c>
      <c r="W31">
        <f t="shared" si="15"/>
        <v>1.7491208306598398</v>
      </c>
      <c r="X31">
        <f t="shared" si="16"/>
        <v>3.1642226854840967</v>
      </c>
      <c r="Y31">
        <f t="shared" si="17"/>
        <v>1.8270759312202756</v>
      </c>
      <c r="Z31">
        <f t="shared" si="18"/>
        <v>-64.887668257771836</v>
      </c>
      <c r="AA31">
        <f t="shared" si="19"/>
        <v>-250.8616091093453</v>
      </c>
      <c r="AB31">
        <f t="shared" si="20"/>
        <v>-23.805274489350683</v>
      </c>
      <c r="AC31">
        <f t="shared" si="21"/>
        <v>-58.018596317420474</v>
      </c>
      <c r="AD31">
        <v>-4.1197658632313797E-2</v>
      </c>
      <c r="AE31">
        <v>4.6247980927890897E-2</v>
      </c>
      <c r="AF31">
        <v>3.4561445086945102</v>
      </c>
      <c r="AG31">
        <v>0</v>
      </c>
      <c r="AH31">
        <v>0</v>
      </c>
      <c r="AI31">
        <f t="shared" si="22"/>
        <v>1</v>
      </c>
      <c r="AJ31">
        <f t="shared" si="23"/>
        <v>0</v>
      </c>
      <c r="AK31">
        <f t="shared" si="24"/>
        <v>52899.005572187343</v>
      </c>
      <c r="AL31" t="s">
        <v>268</v>
      </c>
      <c r="AM31">
        <v>631.89076923076902</v>
      </c>
      <c r="AN31">
        <v>3514.37</v>
      </c>
      <c r="AO31">
        <f t="shared" si="25"/>
        <v>2882.479230769231</v>
      </c>
      <c r="AP31">
        <f t="shared" si="26"/>
        <v>0.82019799587670938</v>
      </c>
      <c r="AQ31">
        <v>-1.4218795309761501</v>
      </c>
      <c r="AR31" t="s">
        <v>346</v>
      </c>
      <c r="AS31">
        <v>872.433615384615</v>
      </c>
      <c r="AT31">
        <v>1274.21</v>
      </c>
      <c r="AU31">
        <f t="shared" si="27"/>
        <v>0.31531410412364136</v>
      </c>
      <c r="AV31">
        <v>0.5</v>
      </c>
      <c r="AW31">
        <f t="shared" si="28"/>
        <v>1471.111800096342</v>
      </c>
      <c r="AX31">
        <f t="shared" si="29"/>
        <v>39.045906149030031</v>
      </c>
      <c r="AY31">
        <f t="shared" si="30"/>
        <v>231.93114965654772</v>
      </c>
      <c r="AZ31">
        <f t="shared" si="31"/>
        <v>0.5725351394197189</v>
      </c>
      <c r="BA31">
        <f t="shared" si="32"/>
        <v>2.7508300645373095E-2</v>
      </c>
      <c r="BB31">
        <f t="shared" si="33"/>
        <v>1.7580775539353795</v>
      </c>
      <c r="BC31" t="s">
        <v>347</v>
      </c>
      <c r="BD31">
        <v>544.67999999999995</v>
      </c>
      <c r="BE31">
        <f t="shared" si="34"/>
        <v>729.53000000000009</v>
      </c>
      <c r="BF31">
        <f t="shared" si="35"/>
        <v>0.5507331907055022</v>
      </c>
      <c r="BG31">
        <f t="shared" si="36"/>
        <v>0.75434136222972759</v>
      </c>
      <c r="BH31">
        <f t="shared" si="37"/>
        <v>0.62550888307395713</v>
      </c>
      <c r="BI31">
        <f t="shared" si="38"/>
        <v>0.77716431608153547</v>
      </c>
      <c r="BJ31">
        <f t="shared" si="39"/>
        <v>1749.89</v>
      </c>
      <c r="BK31">
        <f t="shared" si="40"/>
        <v>1471.111800096342</v>
      </c>
      <c r="BL31">
        <f t="shared" si="41"/>
        <v>0.84068815759638715</v>
      </c>
      <c r="BM31">
        <f t="shared" si="42"/>
        <v>0.19137631519277445</v>
      </c>
      <c r="BN31">
        <v>6</v>
      </c>
      <c r="BO31">
        <v>0.5</v>
      </c>
      <c r="BP31" t="s">
        <v>271</v>
      </c>
      <c r="BQ31">
        <v>1567880445.5</v>
      </c>
      <c r="BR31">
        <v>1750.01</v>
      </c>
      <c r="BS31">
        <v>1799.95</v>
      </c>
      <c r="BT31">
        <v>17.601099999999999</v>
      </c>
      <c r="BU31">
        <v>15.8667</v>
      </c>
      <c r="BV31">
        <v>500.05</v>
      </c>
      <c r="BW31">
        <v>99.275700000000001</v>
      </c>
      <c r="BX31">
        <v>9.9954399999999999E-2</v>
      </c>
      <c r="BY31">
        <v>24.918299999999999</v>
      </c>
      <c r="BZ31">
        <v>26.985900000000001</v>
      </c>
      <c r="CA31">
        <v>999.9</v>
      </c>
      <c r="CB31">
        <v>10007.5</v>
      </c>
      <c r="CC31">
        <v>0</v>
      </c>
      <c r="CD31">
        <v>1901.98</v>
      </c>
      <c r="CE31">
        <v>1749.89</v>
      </c>
      <c r="CF31">
        <v>0.976993</v>
      </c>
      <c r="CG31">
        <v>2.3006700000000001E-2</v>
      </c>
      <c r="CH31">
        <v>0</v>
      </c>
      <c r="CI31">
        <v>872.04499999999996</v>
      </c>
      <c r="CJ31">
        <v>4.99986</v>
      </c>
      <c r="CK31">
        <v>18396.099999999999</v>
      </c>
      <c r="CL31">
        <v>14219.8</v>
      </c>
      <c r="CM31">
        <v>45.311999999999998</v>
      </c>
      <c r="CN31">
        <v>47.875</v>
      </c>
      <c r="CO31">
        <v>46.375</v>
      </c>
      <c r="CP31">
        <v>46.561999999999998</v>
      </c>
      <c r="CQ31">
        <v>46.936999999999998</v>
      </c>
      <c r="CR31">
        <v>1704.75</v>
      </c>
      <c r="CS31">
        <v>40.14</v>
      </c>
      <c r="CT31">
        <v>0</v>
      </c>
      <c r="CU31">
        <v>107.40000009536701</v>
      </c>
      <c r="CV31">
        <v>872.433615384615</v>
      </c>
      <c r="CW31">
        <v>-3.6817777760014798</v>
      </c>
      <c r="CX31">
        <v>-25.7162395083006</v>
      </c>
      <c r="CY31">
        <v>18399.015384615399</v>
      </c>
      <c r="CZ31">
        <v>15</v>
      </c>
      <c r="DA31">
        <v>1567880400</v>
      </c>
      <c r="DB31" t="s">
        <v>348</v>
      </c>
      <c r="DC31">
        <v>77</v>
      </c>
      <c r="DD31">
        <v>0.09</v>
      </c>
      <c r="DE31">
        <v>9.5000000000000001E-2</v>
      </c>
      <c r="DF31">
        <v>1800</v>
      </c>
      <c r="DG31">
        <v>16</v>
      </c>
      <c r="DH31">
        <v>0.05</v>
      </c>
      <c r="DI31">
        <v>0.05</v>
      </c>
      <c r="DJ31">
        <v>39.257994589292402</v>
      </c>
      <c r="DK31">
        <v>-1.26919836638746E-2</v>
      </c>
      <c r="DL31">
        <v>0.14183380248032601</v>
      </c>
      <c r="DM31">
        <v>1</v>
      </c>
      <c r="DN31">
        <v>7.8373736879627898E-2</v>
      </c>
      <c r="DO31">
        <v>8.3613949793577699E-4</v>
      </c>
      <c r="DP31">
        <v>8.0648828027547802E-4</v>
      </c>
      <c r="DQ31">
        <v>1</v>
      </c>
      <c r="DR31">
        <v>2</v>
      </c>
      <c r="DS31">
        <v>2</v>
      </c>
      <c r="DT31" t="s">
        <v>273</v>
      </c>
      <c r="DU31">
        <v>1.8667199999999999</v>
      </c>
      <c r="DV31">
        <v>1.8632200000000001</v>
      </c>
      <c r="DW31">
        <v>1.86886</v>
      </c>
      <c r="DX31">
        <v>1.86677</v>
      </c>
      <c r="DY31">
        <v>1.87148</v>
      </c>
      <c r="DZ31">
        <v>1.8638999999999999</v>
      </c>
      <c r="EA31">
        <v>1.86548</v>
      </c>
      <c r="EB31">
        <v>1.8653900000000001</v>
      </c>
      <c r="EC31" t="s">
        <v>274</v>
      </c>
      <c r="ED31" t="s">
        <v>19</v>
      </c>
      <c r="EE31" t="s">
        <v>19</v>
      </c>
      <c r="EF31" t="s">
        <v>19</v>
      </c>
      <c r="EG31" t="s">
        <v>275</v>
      </c>
      <c r="EH31" t="s">
        <v>276</v>
      </c>
      <c r="EI31" t="s">
        <v>277</v>
      </c>
      <c r="EJ31" t="s">
        <v>277</v>
      </c>
      <c r="EK31" t="s">
        <v>277</v>
      </c>
      <c r="EL31" t="s">
        <v>277</v>
      </c>
      <c r="EM31">
        <v>0</v>
      </c>
      <c r="EN31">
        <v>100</v>
      </c>
      <c r="EO31">
        <v>100</v>
      </c>
      <c r="EP31">
        <v>0.09</v>
      </c>
      <c r="EQ31">
        <v>9.5000000000000001E-2</v>
      </c>
      <c r="ER31">
        <v>2</v>
      </c>
      <c r="ES31">
        <v>510.07299999999998</v>
      </c>
      <c r="ET31">
        <v>485.09100000000001</v>
      </c>
      <c r="EU31">
        <v>17.659500000000001</v>
      </c>
      <c r="EV31">
        <v>31.902999999999999</v>
      </c>
      <c r="EW31">
        <v>30.000299999999999</v>
      </c>
      <c r="EX31">
        <v>31.819900000000001</v>
      </c>
      <c r="EY31">
        <v>31.813300000000002</v>
      </c>
      <c r="EZ31">
        <v>73.114900000000006</v>
      </c>
      <c r="FA31">
        <v>48.936399999999999</v>
      </c>
      <c r="FB31">
        <v>0</v>
      </c>
      <c r="FC31">
        <v>17.661300000000001</v>
      </c>
      <c r="FD31">
        <v>1800</v>
      </c>
      <c r="FE31">
        <v>15.8315</v>
      </c>
      <c r="FF31">
        <v>101.033</v>
      </c>
      <c r="FG31">
        <v>101.52200000000001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Chongya</dc:creator>
  <cp:lastModifiedBy>Jiang, Chongya</cp:lastModifiedBy>
  <dcterms:created xsi:type="dcterms:W3CDTF">2019-09-07T13:22:06Z</dcterms:created>
  <dcterms:modified xsi:type="dcterms:W3CDTF">2019-09-18T16:08:26Z</dcterms:modified>
</cp:coreProperties>
</file>