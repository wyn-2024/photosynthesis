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ongya\Documents\Guapi\A-Ci\raw20190907SY\"/>
    </mc:Choice>
  </mc:AlternateContent>
  <bookViews>
    <workbookView xWindow="240" yWindow="20" windowWidth="16100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M32" i="1" l="1"/>
  <c r="BL32" i="1"/>
  <c r="BJ32" i="1"/>
  <c r="BK32" i="1" s="1"/>
  <c r="BI32" i="1"/>
  <c r="BH32" i="1"/>
  <c r="BG32" i="1"/>
  <c r="BF32" i="1"/>
  <c r="BE32" i="1"/>
  <c r="BB32" i="1"/>
  <c r="AZ32" i="1"/>
  <c r="AU32" i="1"/>
  <c r="AO32" i="1"/>
  <c r="AP32" i="1" s="1"/>
  <c r="AK32" i="1"/>
  <c r="AJ32" i="1"/>
  <c r="AI32" i="1"/>
  <c r="X32" i="1"/>
  <c r="W32" i="1"/>
  <c r="V32" i="1" s="1"/>
  <c r="O32" i="1"/>
  <c r="M32" i="1"/>
  <c r="J32" i="1"/>
  <c r="I32" i="1"/>
  <c r="AX32" i="1" s="1"/>
  <c r="H32" i="1"/>
  <c r="Z32" i="1" s="1"/>
  <c r="BM31" i="1"/>
  <c r="BL31" i="1"/>
  <c r="BJ31" i="1"/>
  <c r="BK31" i="1" s="1"/>
  <c r="AW31" i="1" s="1"/>
  <c r="AY31" i="1" s="1"/>
  <c r="BI31" i="1"/>
  <c r="BH31" i="1"/>
  <c r="BG31" i="1"/>
  <c r="BF31" i="1"/>
  <c r="BE31" i="1"/>
  <c r="AZ31" i="1" s="1"/>
  <c r="BB31" i="1"/>
  <c r="AU31" i="1"/>
  <c r="AP31" i="1"/>
  <c r="AO31" i="1"/>
  <c r="AK31" i="1"/>
  <c r="AI31" i="1"/>
  <c r="X31" i="1"/>
  <c r="W31" i="1"/>
  <c r="V31" i="1"/>
  <c r="O31" i="1"/>
  <c r="J31" i="1"/>
  <c r="BM30" i="1"/>
  <c r="BL30" i="1"/>
  <c r="BJ30" i="1"/>
  <c r="BI30" i="1"/>
  <c r="BH30" i="1"/>
  <c r="BG30" i="1"/>
  <c r="BF30" i="1"/>
  <c r="BE30" i="1"/>
  <c r="BB30" i="1"/>
  <c r="AZ30" i="1"/>
  <c r="AU30" i="1"/>
  <c r="AO30" i="1"/>
  <c r="AP30" i="1" s="1"/>
  <c r="AK30" i="1"/>
  <c r="AJ30" i="1"/>
  <c r="AI30" i="1"/>
  <c r="X30" i="1"/>
  <c r="W30" i="1"/>
  <c r="V30" i="1" s="1"/>
  <c r="O30" i="1"/>
  <c r="M30" i="1"/>
  <c r="J30" i="1"/>
  <c r="I30" i="1"/>
  <c r="AX30" i="1" s="1"/>
  <c r="H30" i="1"/>
  <c r="BM29" i="1"/>
  <c r="BL29" i="1"/>
  <c r="BK29" i="1"/>
  <c r="R29" i="1" s="1"/>
  <c r="BJ29" i="1"/>
  <c r="BI29" i="1"/>
  <c r="BH29" i="1"/>
  <c r="BG29" i="1"/>
  <c r="BF29" i="1"/>
  <c r="BE29" i="1"/>
  <c r="AZ29" i="1" s="1"/>
  <c r="BB29" i="1"/>
  <c r="AU29" i="1"/>
  <c r="AP29" i="1"/>
  <c r="AO29" i="1"/>
  <c r="AK29" i="1"/>
  <c r="AI29" i="1" s="1"/>
  <c r="X29" i="1"/>
  <c r="V29" i="1" s="1"/>
  <c r="W29" i="1"/>
  <c r="O29" i="1"/>
  <c r="H29" i="1"/>
  <c r="Z29" i="1" s="1"/>
  <c r="BM28" i="1"/>
  <c r="BL28" i="1"/>
  <c r="BJ28" i="1"/>
  <c r="BK28" i="1" s="1"/>
  <c r="BI28" i="1"/>
  <c r="BH28" i="1"/>
  <c r="BG28" i="1"/>
  <c r="BF28" i="1"/>
  <c r="BE28" i="1"/>
  <c r="BB28" i="1"/>
  <c r="AZ28" i="1"/>
  <c r="AU28" i="1"/>
  <c r="AO28" i="1"/>
  <c r="AP28" i="1" s="1"/>
  <c r="AK28" i="1"/>
  <c r="AJ28" i="1"/>
  <c r="AI28" i="1"/>
  <c r="X28" i="1"/>
  <c r="W28" i="1"/>
  <c r="V28" i="1" s="1"/>
  <c r="O28" i="1"/>
  <c r="M28" i="1"/>
  <c r="J28" i="1"/>
  <c r="I28" i="1"/>
  <c r="AX28" i="1" s="1"/>
  <c r="H28" i="1"/>
  <c r="Z28" i="1" s="1"/>
  <c r="BM27" i="1"/>
  <c r="BL27" i="1"/>
  <c r="BK27" i="1"/>
  <c r="BJ27" i="1"/>
  <c r="BI27" i="1"/>
  <c r="BH27" i="1"/>
  <c r="BG27" i="1"/>
  <c r="BF27" i="1"/>
  <c r="BE27" i="1"/>
  <c r="AZ27" i="1" s="1"/>
  <c r="BB27" i="1"/>
  <c r="AY27" i="1"/>
  <c r="AW27" i="1"/>
  <c r="AU27" i="1"/>
  <c r="AP27" i="1"/>
  <c r="AO27" i="1"/>
  <c r="AK27" i="1"/>
  <c r="AI27" i="1"/>
  <c r="X27" i="1"/>
  <c r="W27" i="1"/>
  <c r="V27" i="1"/>
  <c r="R27" i="1"/>
  <c r="O27" i="1"/>
  <c r="J27" i="1"/>
  <c r="BM26" i="1"/>
  <c r="BL26" i="1"/>
  <c r="BJ26" i="1"/>
  <c r="BK26" i="1" s="1"/>
  <c r="BI26" i="1"/>
  <c r="BH26" i="1"/>
  <c r="BG26" i="1"/>
  <c r="BF26" i="1"/>
  <c r="BE26" i="1"/>
  <c r="BB26" i="1"/>
  <c r="AZ26" i="1"/>
  <c r="AX26" i="1"/>
  <c r="AU26" i="1"/>
  <c r="AO26" i="1"/>
  <c r="AP26" i="1" s="1"/>
  <c r="AK26" i="1"/>
  <c r="AJ26" i="1"/>
  <c r="AI26" i="1"/>
  <c r="X26" i="1"/>
  <c r="W26" i="1"/>
  <c r="V26" i="1" s="1"/>
  <c r="O26" i="1"/>
  <c r="M26" i="1"/>
  <c r="J26" i="1"/>
  <c r="I26" i="1"/>
  <c r="H26" i="1"/>
  <c r="BM25" i="1"/>
  <c r="BL25" i="1"/>
  <c r="BK25" i="1"/>
  <c r="R25" i="1" s="1"/>
  <c r="BJ25" i="1"/>
  <c r="BI25" i="1"/>
  <c r="BH25" i="1"/>
  <c r="BG25" i="1"/>
  <c r="BF25" i="1"/>
  <c r="BE25" i="1"/>
  <c r="AZ25" i="1" s="1"/>
  <c r="BB25" i="1"/>
  <c r="AW25" i="1"/>
  <c r="AY25" i="1" s="1"/>
  <c r="AU25" i="1"/>
  <c r="AP25" i="1"/>
  <c r="AO25" i="1"/>
  <c r="AK25" i="1"/>
  <c r="AI25" i="1" s="1"/>
  <c r="X25" i="1"/>
  <c r="V25" i="1" s="1"/>
  <c r="W25" i="1"/>
  <c r="O25" i="1"/>
  <c r="BM24" i="1"/>
  <c r="BL24" i="1"/>
  <c r="BJ24" i="1"/>
  <c r="BK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 s="1"/>
  <c r="AJ24" i="1"/>
  <c r="X24" i="1"/>
  <c r="W24" i="1"/>
  <c r="V24" i="1" s="1"/>
  <c r="O24" i="1"/>
  <c r="BM23" i="1"/>
  <c r="R23" i="1" s="1"/>
  <c r="BL23" i="1"/>
  <c r="BK23" i="1"/>
  <c r="BJ23" i="1"/>
  <c r="BI23" i="1"/>
  <c r="BH23" i="1"/>
  <c r="BG23" i="1"/>
  <c r="BF23" i="1"/>
  <c r="BE23" i="1"/>
  <c r="AZ23" i="1" s="1"/>
  <c r="BB23" i="1"/>
  <c r="AY23" i="1"/>
  <c r="AW23" i="1"/>
  <c r="AU23" i="1"/>
  <c r="AP23" i="1"/>
  <c r="AO23" i="1"/>
  <c r="AK23" i="1"/>
  <c r="AI23" i="1"/>
  <c r="X23" i="1"/>
  <c r="W23" i="1"/>
  <c r="V23" i="1"/>
  <c r="O23" i="1"/>
  <c r="J23" i="1"/>
  <c r="BM22" i="1"/>
  <c r="BL22" i="1"/>
  <c r="BJ22" i="1"/>
  <c r="BK22" i="1" s="1"/>
  <c r="BI22" i="1"/>
  <c r="BH22" i="1"/>
  <c r="BG22" i="1"/>
  <c r="BF22" i="1"/>
  <c r="BE22" i="1"/>
  <c r="BB22" i="1"/>
  <c r="AZ22" i="1"/>
  <c r="AX22" i="1"/>
  <c r="AU22" i="1"/>
  <c r="AO22" i="1"/>
  <c r="AP22" i="1" s="1"/>
  <c r="AK22" i="1"/>
  <c r="AJ22" i="1"/>
  <c r="AI22" i="1"/>
  <c r="X22" i="1"/>
  <c r="W22" i="1"/>
  <c r="V22" i="1" s="1"/>
  <c r="O22" i="1"/>
  <c r="M22" i="1"/>
  <c r="J22" i="1"/>
  <c r="I22" i="1"/>
  <c r="H22" i="1"/>
  <c r="BM21" i="1"/>
  <c r="BL21" i="1"/>
  <c r="BK21" i="1"/>
  <c r="BJ21" i="1"/>
  <c r="BI21" i="1"/>
  <c r="BH21" i="1"/>
  <c r="BG21" i="1"/>
  <c r="BF21" i="1"/>
  <c r="BE21" i="1"/>
  <c r="AZ21" i="1" s="1"/>
  <c r="BB21" i="1"/>
  <c r="AW21" i="1"/>
  <c r="AY21" i="1" s="1"/>
  <c r="AU21" i="1"/>
  <c r="AP21" i="1"/>
  <c r="AO21" i="1"/>
  <c r="AK21" i="1"/>
  <c r="AI21" i="1"/>
  <c r="X21" i="1"/>
  <c r="V21" i="1" s="1"/>
  <c r="W21" i="1"/>
  <c r="R21" i="1"/>
  <c r="O21" i="1"/>
  <c r="BM20" i="1"/>
  <c r="BL20" i="1"/>
  <c r="BJ20" i="1"/>
  <c r="BK20" i="1" s="1"/>
  <c r="BI20" i="1"/>
  <c r="BH20" i="1"/>
  <c r="BG20" i="1"/>
  <c r="BF20" i="1"/>
  <c r="BE20" i="1"/>
  <c r="BB20" i="1"/>
  <c r="AZ20" i="1"/>
  <c r="AX20" i="1"/>
  <c r="AU20" i="1"/>
  <c r="AO20" i="1"/>
  <c r="AP20" i="1" s="1"/>
  <c r="AK20" i="1"/>
  <c r="AJ20" i="1"/>
  <c r="AI20" i="1"/>
  <c r="X20" i="1"/>
  <c r="W20" i="1"/>
  <c r="V20" i="1" s="1"/>
  <c r="O20" i="1"/>
  <c r="M20" i="1"/>
  <c r="J20" i="1"/>
  <c r="I20" i="1"/>
  <c r="H20" i="1"/>
  <c r="Z20" i="1" s="1"/>
  <c r="BM19" i="1"/>
  <c r="R19" i="1" s="1"/>
  <c r="BL19" i="1"/>
  <c r="BK19" i="1"/>
  <c r="BJ19" i="1"/>
  <c r="BI19" i="1"/>
  <c r="BH19" i="1"/>
  <c r="BG19" i="1"/>
  <c r="BF19" i="1"/>
  <c r="BE19" i="1"/>
  <c r="AZ19" i="1" s="1"/>
  <c r="BB19" i="1"/>
  <c r="AY19" i="1"/>
  <c r="AW19" i="1"/>
  <c r="AU19" i="1"/>
  <c r="AO19" i="1"/>
  <c r="AP19" i="1" s="1"/>
  <c r="AK19" i="1"/>
  <c r="AI19" i="1" s="1"/>
  <c r="X19" i="1"/>
  <c r="W19" i="1"/>
  <c r="V19" i="1" s="1"/>
  <c r="O19" i="1"/>
  <c r="BM18" i="1"/>
  <c r="BL18" i="1"/>
  <c r="BJ18" i="1"/>
  <c r="BK18" i="1" s="1"/>
  <c r="BI18" i="1"/>
  <c r="BH18" i="1"/>
  <c r="BG18" i="1"/>
  <c r="BF18" i="1"/>
  <c r="BE18" i="1"/>
  <c r="BB18" i="1"/>
  <c r="AZ18" i="1"/>
  <c r="AU18" i="1"/>
  <c r="AP18" i="1"/>
  <c r="AO18" i="1"/>
  <c r="AK18" i="1"/>
  <c r="AI18" i="1" s="1"/>
  <c r="X18" i="1"/>
  <c r="W18" i="1"/>
  <c r="V18" i="1" s="1"/>
  <c r="O18" i="1"/>
  <c r="BM17" i="1"/>
  <c r="BL17" i="1"/>
  <c r="BJ17" i="1"/>
  <c r="BK17" i="1" s="1"/>
  <c r="BI17" i="1"/>
  <c r="BH17" i="1"/>
  <c r="BG17" i="1"/>
  <c r="BF17" i="1"/>
  <c r="BE17" i="1"/>
  <c r="AZ17" i="1" s="1"/>
  <c r="BB17" i="1"/>
  <c r="AU17" i="1"/>
  <c r="AP17" i="1"/>
  <c r="AO17" i="1"/>
  <c r="AK17" i="1"/>
  <c r="AI17" i="1"/>
  <c r="M17" i="1" s="1"/>
  <c r="X17" i="1"/>
  <c r="W17" i="1"/>
  <c r="V17" i="1"/>
  <c r="O17" i="1"/>
  <c r="J17" i="1"/>
  <c r="AJ19" i="1" l="1"/>
  <c r="J19" i="1"/>
  <c r="I19" i="1"/>
  <c r="AX19" i="1" s="1"/>
  <c r="BA19" i="1" s="1"/>
  <c r="M19" i="1"/>
  <c r="H19" i="1"/>
  <c r="AW17" i="1"/>
  <c r="AY17" i="1" s="1"/>
  <c r="R17" i="1"/>
  <c r="J18" i="1"/>
  <c r="H18" i="1"/>
  <c r="M18" i="1"/>
  <c r="I18" i="1"/>
  <c r="AX18" i="1" s="1"/>
  <c r="BA18" i="1" s="1"/>
  <c r="AJ18" i="1"/>
  <c r="AY18" i="1"/>
  <c r="R18" i="1"/>
  <c r="AW18" i="1"/>
  <c r="S19" i="1"/>
  <c r="T19" i="1" s="1"/>
  <c r="AJ21" i="1"/>
  <c r="M21" i="1"/>
  <c r="I21" i="1"/>
  <c r="AX21" i="1" s="1"/>
  <c r="BA21" i="1" s="1"/>
  <c r="AW22" i="1"/>
  <c r="BA22" i="1" s="1"/>
  <c r="R22" i="1"/>
  <c r="AW26" i="1"/>
  <c r="R26" i="1"/>
  <c r="AY24" i="1"/>
  <c r="R24" i="1"/>
  <c r="AW24" i="1"/>
  <c r="AJ29" i="1"/>
  <c r="J29" i="1"/>
  <c r="M29" i="1"/>
  <c r="I29" i="1"/>
  <c r="AX29" i="1" s="1"/>
  <c r="BA29" i="1" s="1"/>
  <c r="AW29" i="1"/>
  <c r="AY29" i="1" s="1"/>
  <c r="BK30" i="1"/>
  <c r="R32" i="1"/>
  <c r="AW32" i="1"/>
  <c r="BA32" i="1" s="1"/>
  <c r="J21" i="1"/>
  <c r="AJ25" i="1"/>
  <c r="J25" i="1"/>
  <c r="M25" i="1"/>
  <c r="I25" i="1"/>
  <c r="AX25" i="1" s="1"/>
  <c r="BA25" i="1" s="1"/>
  <c r="BA26" i="1"/>
  <c r="AJ17" i="1"/>
  <c r="H17" i="1"/>
  <c r="AY28" i="1"/>
  <c r="R28" i="1"/>
  <c r="AW28" i="1"/>
  <c r="BA28" i="1" s="1"/>
  <c r="S29" i="1"/>
  <c r="T29" i="1" s="1"/>
  <c r="R20" i="1"/>
  <c r="AW20" i="1"/>
  <c r="BA20" i="1" s="1"/>
  <c r="H25" i="1"/>
  <c r="M31" i="1"/>
  <c r="I31" i="1"/>
  <c r="AX31" i="1" s="1"/>
  <c r="BA31" i="1" s="1"/>
  <c r="H31" i="1"/>
  <c r="AJ31" i="1"/>
  <c r="I17" i="1"/>
  <c r="AX17" i="1" s="1"/>
  <c r="AY20" i="1"/>
  <c r="H21" i="1"/>
  <c r="AY22" i="1"/>
  <c r="M23" i="1"/>
  <c r="I23" i="1"/>
  <c r="AX23" i="1" s="1"/>
  <c r="BA23" i="1" s="1"/>
  <c r="H23" i="1"/>
  <c r="AJ23" i="1"/>
  <c r="J24" i="1"/>
  <c r="M24" i="1"/>
  <c r="I24" i="1"/>
  <c r="AX24" i="1" s="1"/>
  <c r="BA24" i="1" s="1"/>
  <c r="H24" i="1"/>
  <c r="AY26" i="1"/>
  <c r="M27" i="1"/>
  <c r="I27" i="1"/>
  <c r="AX27" i="1" s="1"/>
  <c r="BA27" i="1" s="1"/>
  <c r="H27" i="1"/>
  <c r="AJ27" i="1"/>
  <c r="AA29" i="1"/>
  <c r="R31" i="1"/>
  <c r="Z22" i="1"/>
  <c r="Z26" i="1"/>
  <c r="Z30" i="1"/>
  <c r="Z21" i="1" l="1"/>
  <c r="S21" i="1"/>
  <c r="T21" i="1" s="1"/>
  <c r="Z27" i="1"/>
  <c r="Z24" i="1"/>
  <c r="P31" i="1"/>
  <c r="N31" i="1" s="1"/>
  <c r="Q31" i="1" s="1"/>
  <c r="K31" i="1" s="1"/>
  <c r="L31" i="1" s="1"/>
  <c r="Z31" i="1"/>
  <c r="Z25" i="1"/>
  <c r="S32" i="1"/>
  <c r="T32" i="1" s="1"/>
  <c r="S26" i="1"/>
  <c r="T26" i="1" s="1"/>
  <c r="U19" i="1"/>
  <c r="Y19" i="1" s="1"/>
  <c r="AB19" i="1"/>
  <c r="S28" i="1"/>
  <c r="T28" i="1" s="1"/>
  <c r="S24" i="1"/>
  <c r="T24" i="1" s="1"/>
  <c r="P24" i="1" s="1"/>
  <c r="N24" i="1" s="1"/>
  <c r="Q24" i="1" s="1"/>
  <c r="K24" i="1" s="1"/>
  <c r="L24" i="1" s="1"/>
  <c r="S22" i="1"/>
  <c r="T22" i="1" s="1"/>
  <c r="S31" i="1"/>
  <c r="T31" i="1" s="1"/>
  <c r="Z23" i="1"/>
  <c r="BA17" i="1"/>
  <c r="U29" i="1"/>
  <c r="Y29" i="1" s="1"/>
  <c r="P29" i="1"/>
  <c r="N29" i="1" s="1"/>
  <c r="Q29" i="1" s="1"/>
  <c r="K29" i="1" s="1"/>
  <c r="L29" i="1" s="1"/>
  <c r="AB29" i="1"/>
  <c r="AC29" i="1" s="1"/>
  <c r="S27" i="1"/>
  <c r="T27" i="1" s="1"/>
  <c r="Z17" i="1"/>
  <c r="AY32" i="1"/>
  <c r="S25" i="1"/>
  <c r="T25" i="1" s="1"/>
  <c r="P25" i="1" s="1"/>
  <c r="N25" i="1" s="1"/>
  <c r="Q25" i="1" s="1"/>
  <c r="K25" i="1" s="1"/>
  <c r="L25" i="1" s="1"/>
  <c r="S23" i="1"/>
  <c r="T23" i="1" s="1"/>
  <c r="P23" i="1" s="1"/>
  <c r="N23" i="1" s="1"/>
  <c r="Q23" i="1" s="1"/>
  <c r="K23" i="1" s="1"/>
  <c r="L23" i="1" s="1"/>
  <c r="Z18" i="1"/>
  <c r="AA19" i="1"/>
  <c r="P19" i="1"/>
  <c r="N19" i="1" s="1"/>
  <c r="Q19" i="1" s="1"/>
  <c r="K19" i="1" s="1"/>
  <c r="L19" i="1" s="1"/>
  <c r="Z19" i="1"/>
  <c r="S20" i="1"/>
  <c r="T20" i="1" s="1"/>
  <c r="AW30" i="1"/>
  <c r="R30" i="1"/>
  <c r="S18" i="1"/>
  <c r="T18" i="1" s="1"/>
  <c r="S17" i="1"/>
  <c r="T17" i="1" s="1"/>
  <c r="AB18" i="1" l="1"/>
  <c r="U18" i="1"/>
  <c r="Y18" i="1" s="1"/>
  <c r="AA18" i="1"/>
  <c r="U27" i="1"/>
  <c r="Y27" i="1" s="1"/>
  <c r="AB27" i="1"/>
  <c r="AA27" i="1"/>
  <c r="P27" i="1"/>
  <c r="N27" i="1" s="1"/>
  <c r="Q27" i="1" s="1"/>
  <c r="K27" i="1" s="1"/>
  <c r="L27" i="1" s="1"/>
  <c r="P18" i="1"/>
  <c r="N18" i="1" s="1"/>
  <c r="Q18" i="1" s="1"/>
  <c r="K18" i="1" s="1"/>
  <c r="L18" i="1" s="1"/>
  <c r="AB22" i="1"/>
  <c r="U22" i="1"/>
  <c r="Y22" i="1" s="1"/>
  <c r="AA22" i="1"/>
  <c r="P22" i="1"/>
  <c r="N22" i="1" s="1"/>
  <c r="Q22" i="1" s="1"/>
  <c r="K22" i="1" s="1"/>
  <c r="L22" i="1" s="1"/>
  <c r="U28" i="1"/>
  <c r="Y28" i="1" s="1"/>
  <c r="AB28" i="1"/>
  <c r="P28" i="1"/>
  <c r="N28" i="1" s="1"/>
  <c r="Q28" i="1" s="1"/>
  <c r="K28" i="1" s="1"/>
  <c r="L28" i="1" s="1"/>
  <c r="AA28" i="1"/>
  <c r="U21" i="1"/>
  <c r="Y21" i="1" s="1"/>
  <c r="AB21" i="1"/>
  <c r="AA21" i="1"/>
  <c r="U25" i="1"/>
  <c r="Y25" i="1" s="1"/>
  <c r="AB25" i="1"/>
  <c r="AA25" i="1"/>
  <c r="U17" i="1"/>
  <c r="Y17" i="1" s="1"/>
  <c r="AB17" i="1"/>
  <c r="AC17" i="1" s="1"/>
  <c r="AA17" i="1"/>
  <c r="S30" i="1"/>
  <c r="T30" i="1" s="1"/>
  <c r="P17" i="1"/>
  <c r="N17" i="1" s="1"/>
  <c r="Q17" i="1" s="1"/>
  <c r="K17" i="1" s="1"/>
  <c r="L17" i="1" s="1"/>
  <c r="AB26" i="1"/>
  <c r="U26" i="1"/>
  <c r="Y26" i="1" s="1"/>
  <c r="P26" i="1"/>
  <c r="N26" i="1" s="1"/>
  <c r="Q26" i="1" s="1"/>
  <c r="K26" i="1" s="1"/>
  <c r="L26" i="1" s="1"/>
  <c r="AA26" i="1"/>
  <c r="AB20" i="1"/>
  <c r="AA20" i="1"/>
  <c r="U20" i="1"/>
  <c r="Y20" i="1" s="1"/>
  <c r="P20" i="1"/>
  <c r="N20" i="1" s="1"/>
  <c r="Q20" i="1" s="1"/>
  <c r="K20" i="1" s="1"/>
  <c r="L20" i="1" s="1"/>
  <c r="AY30" i="1"/>
  <c r="BA30" i="1"/>
  <c r="U23" i="1"/>
  <c r="Y23" i="1" s="1"/>
  <c r="AB23" i="1"/>
  <c r="AC23" i="1" s="1"/>
  <c r="AA23" i="1"/>
  <c r="U31" i="1"/>
  <c r="Y31" i="1" s="1"/>
  <c r="AB31" i="1"/>
  <c r="AA31" i="1"/>
  <c r="U24" i="1"/>
  <c r="Y24" i="1" s="1"/>
  <c r="AB24" i="1"/>
  <c r="AA24" i="1"/>
  <c r="AC19" i="1"/>
  <c r="U32" i="1"/>
  <c r="Y32" i="1" s="1"/>
  <c r="AB32" i="1"/>
  <c r="AA32" i="1"/>
  <c r="P32" i="1"/>
  <c r="N32" i="1" s="1"/>
  <c r="Q32" i="1" s="1"/>
  <c r="K32" i="1" s="1"/>
  <c r="L32" i="1" s="1"/>
  <c r="P21" i="1"/>
  <c r="N21" i="1" s="1"/>
  <c r="Q21" i="1" s="1"/>
  <c r="K21" i="1" s="1"/>
  <c r="L21" i="1" s="1"/>
  <c r="AC31" i="1" l="1"/>
  <c r="AC32" i="1"/>
  <c r="AC24" i="1"/>
  <c r="AB30" i="1"/>
  <c r="AC30" i="1" s="1"/>
  <c r="U30" i="1"/>
  <c r="Y30" i="1" s="1"/>
  <c r="AA30" i="1"/>
  <c r="P30" i="1"/>
  <c r="N30" i="1" s="1"/>
  <c r="Q30" i="1" s="1"/>
  <c r="K30" i="1" s="1"/>
  <c r="L30" i="1" s="1"/>
  <c r="AC21" i="1"/>
  <c r="AC28" i="1"/>
  <c r="AC20" i="1"/>
  <c r="AC26" i="1"/>
  <c r="AC25" i="1"/>
  <c r="AC22" i="1"/>
  <c r="AC27" i="1"/>
  <c r="AC18" i="1"/>
</calcChain>
</file>

<file path=xl/sharedStrings.xml><?xml version="1.0" encoding="utf-8"?>
<sst xmlns="http://schemas.openxmlformats.org/spreadsheetml/2006/main" count="802" uniqueCount="354">
  <si>
    <t>File opened</t>
  </si>
  <si>
    <t>2019-09-07 11:24:23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</si>
  <si>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</si>
  <si>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</si>
  <si>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</si>
  <si>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</si>
  <si>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</si>
  <si>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</si>
  <si>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</si>
  <si>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</si>
  <si>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</si>
  <si>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</si>
  <si>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</si>
  <si>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{"h2oaspan2": "0", "h2obzero": "1.01783", "h2oaspan2a": "0.0661155", "flowbzero": "0.20796", "tbzero": "0.197721", "flowazero": "0.4286", "co2aspan1": "0.992625", "co2aspan2b": "0.163711", "flowmeterzero": "0.991801", "co2bspanconc2": "0", "h2oaspanconc1": "12.19", "h2obspanconc2": "0", "co2bspan1": "0.992131", "h2obspan2a": "0.0975941", "h2oaspan1": "1.00223", "ssa_ref": "36614.9", "h2oaspan2b": "0.0662632", "tazero": "0.00774765", "h2oaspanconc2": "0", "co2aspan2": "0", "co2bzero": "0.880288", "co2aspanconc1": "1002", "co2aspanconc2": "0", "h2obspan2": "0", "co2bspan2": "0", "h2obspan1": "0.998578", "ssb_ref": "36526.8", "co2bspan2a": "0.163389", "co2bspanconc1": "1002", "co2azero": "0.869071", "co2aspan2a": "0.164928", "chamberpressurezero": "2.57337", "h2obspanconc1": "20", "oxygen": "21", "co2bspan2b": "0.162103", "h2obspan2b": "0.0963575", "h2oazero": "1.00263"}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</si>
  <si>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</si>
  <si>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</si>
  <si>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</si>
  <si>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</si>
  <si>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</si>
  <si>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</si>
  <si>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</si>
  <si>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</si>
  <si>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</si>
  <si>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11:24:23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</si>
  <si>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</si>
  <si>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</si>
  <si>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</si>
  <si>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</si>
  <si>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</si>
  <si>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</si>
  <si>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</si>
  <si>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</si>
  <si>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</si>
  <si>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</si>
  <si>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</si>
  <si>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</si>
  <si>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</si>
  <si>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</si>
  <si>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</si>
  <si>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</si>
  <si>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</si>
  <si>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</si>
  <si>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</si>
  <si>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</si>
  <si>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</si>
  <si>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</si>
  <si>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</si>
  <si>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</si>
  <si>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</si>
  <si>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</si>
  <si>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</si>
  <si>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</si>
  <si>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</si>
  <si>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</si>
  <si>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</si>
  <si>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</si>
  <si>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</si>
  <si>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</si>
  <si>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</si>
  <si>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</si>
  <si>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</si>
  <si>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</si>
  <si>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</si>
  <si>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</si>
  <si>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</si>
  <si>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</si>
  <si>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</si>
  <si>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</si>
  <si>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</si>
  <si>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1.85544 75.7987 385.954 620.721 848.766 1059.6 1240.53 1415.17</t>
  </si>
  <si>
    <t>Fs_true</t>
  </si>
  <si>
    <t>-0.153406 100.826 402.933 601.172 799.981 1000.82 1200.66 1401.77</t>
  </si>
  <si>
    <t>leak_wt</t>
  </si>
  <si>
    <t>Sys</t>
  </si>
  <si>
    <t>UserDefVar</t>
  </si>
  <si>
    <t>GasEx</t>
  </si>
  <si>
    <t>Leak</t>
  </si>
  <si>
    <t>FLR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</si>
  <si>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</si>
  <si>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</si>
  <si>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</si>
  <si>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</si>
  <si>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</si>
  <si>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</si>
  <si>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</si>
  <si>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</si>
  <si>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</si>
  <si>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</si>
  <si>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</si>
  <si>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</si>
  <si>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</si>
  <si>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</si>
  <si>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</si>
  <si>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</si>
  <si>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</si>
  <si>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</si>
  <si>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</si>
  <si>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</si>
  <si>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</si>
  <si>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</si>
  <si>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</si>
  <si>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</si>
  <si>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</si>
  <si>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</si>
  <si>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</si>
  <si>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</si>
  <si>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</si>
  <si>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</si>
  <si>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</si>
  <si>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</si>
  <si>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</si>
  <si>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</si>
  <si>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</si>
  <si>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</si>
  <si>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</si>
  <si>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</si>
  <si>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</si>
  <si>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</si>
  <si>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</si>
  <si>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</si>
  <si>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</si>
  <si>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</si>
  <si>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</si>
  <si>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</si>
  <si>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</si>
  <si>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</si>
  <si>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</si>
  <si>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</si>
  <si>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</si>
  <si>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</si>
  <si>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</si>
  <si>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</si>
  <si>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</si>
  <si>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</si>
  <si>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</si>
  <si>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</si>
  <si>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</si>
  <si>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</si>
  <si>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</si>
  <si>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</si>
  <si>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</si>
  <si>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</si>
  <si>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</si>
  <si>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</si>
  <si>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</si>
  <si>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</si>
  <si>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Qin</t>
  </si>
  <si>
    <t>Qabs</t>
  </si>
  <si>
    <t>alpha</t>
  </si>
  <si>
    <t>convert</t>
  </si>
  <si>
    <t>S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</si>
  <si>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</si>
  <si>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</si>
  <si>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</si>
  <si>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</si>
  <si>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</si>
  <si>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</si>
  <si>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</si>
  <si>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</si>
  <si>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</si>
  <si>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</si>
  <si>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</si>
  <si>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</si>
  <si>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</si>
  <si>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</si>
  <si>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</si>
  <si>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</si>
  <si>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</si>
  <si>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</si>
  <si>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</si>
  <si>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</si>
  <si>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</si>
  <si>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</si>
  <si>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</si>
  <si>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</si>
  <si>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</si>
  <si>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</si>
  <si>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</si>
  <si>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</si>
  <si>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</si>
  <si>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</si>
  <si>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</si>
  <si>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</si>
  <si>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</si>
  <si>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</si>
  <si>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</si>
  <si>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</si>
  <si>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</si>
  <si>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</si>
  <si>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</si>
  <si>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</si>
  <si>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</si>
  <si>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</si>
  <si>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</si>
  <si>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</si>
  <si>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</si>
  <si>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</si>
  <si>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</si>
  <si>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</si>
  <si>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</si>
  <si>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</si>
  <si>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</si>
  <si>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</si>
  <si>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</si>
  <si>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</si>
  <si>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</si>
  <si>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</si>
  <si>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</si>
  <si>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</si>
  <si>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</si>
  <si>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</si>
  <si>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</si>
  <si>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</si>
  <si>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</si>
  <si>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</si>
  <si>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</si>
  <si>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</si>
  <si>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</si>
  <si>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</si>
  <si>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</si>
  <si>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</si>
  <si>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</si>
  <si>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</si>
  <si>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</si>
  <si>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</si>
  <si>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</si>
  <si>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</si>
  <si>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</si>
  <si>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</si>
  <si>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</si>
  <si>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</si>
  <si>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</si>
  <si>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</si>
  <si>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</si>
  <si>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</si>
  <si>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</si>
  <si>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</si>
  <si>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</si>
  <si>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</si>
  <si>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</si>
  <si>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</si>
  <si>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</si>
  <si>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</si>
  <si>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</si>
  <si>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</si>
  <si>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</si>
  <si>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</si>
  <si>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</si>
  <si>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</si>
  <si>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</si>
  <si>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</si>
  <si>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</si>
  <si>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</si>
  <si>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</si>
  <si>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</si>
  <si>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J/µmol</t>
  </si>
  <si>
    <t>cm²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</si>
  <si>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</si>
  <si>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</si>
  <si>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</si>
  <si>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</si>
  <si>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</si>
  <si>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</si>
  <si>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</si>
  <si>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</si>
  <si>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</si>
  <si>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20190907 11:33:29</t>
  </si>
  <si>
    <t>11:33:29</t>
  </si>
  <si>
    <t>MPF-2781-20190907-06_45_39</t>
  </si>
  <si>
    <t>MPF-2842-20190907-11_33_30</t>
  </si>
  <si>
    <t>DARK-2843-20190907-11_33_38</t>
  </si>
  <si>
    <t>0: Broadleaf</t>
  </si>
  <si>
    <t>11:33:48</t>
  </si>
  <si>
    <t>2/2</t>
  </si>
  <si>
    <t>5</t>
  </si>
  <si>
    <t>11111111</t>
  </si>
  <si>
    <t>oooooooo</t>
  </si>
  <si>
    <t>off</t>
  </si>
  <si>
    <t>20190907 11:35:40</t>
  </si>
  <si>
    <t>11:35:40</t>
  </si>
  <si>
    <t>MPF-2844-20190907-11_35_42</t>
  </si>
  <si>
    <t>DARK-2845-20190907-11_35_49</t>
  </si>
  <si>
    <t>11:34:55</t>
  </si>
  <si>
    <t>20190907 11:37:29</t>
  </si>
  <si>
    <t>11:37:29</t>
  </si>
  <si>
    <t>MPF-2846-20190907-11_37_31</t>
  </si>
  <si>
    <t>DARK-2847-20190907-11_37_38</t>
  </si>
  <si>
    <t>11:36:44</t>
  </si>
  <si>
    <t>20190907 11:39:28</t>
  </si>
  <si>
    <t>11:39:28</t>
  </si>
  <si>
    <t>MPF-2848-20190907-11_39_29</t>
  </si>
  <si>
    <t>DARK-2849-20190907-11_39_37</t>
  </si>
  <si>
    <t>11:38:43</t>
  </si>
  <si>
    <t>20190907 11:41:05</t>
  </si>
  <si>
    <t>11:41:05</t>
  </si>
  <si>
    <t>MPF-2850-20190907-11_41_06</t>
  </si>
  <si>
    <t>DARK-2851-20190907-11_41_13</t>
  </si>
  <si>
    <t>11:40:51</t>
  </si>
  <si>
    <t>20190907 11:43:05</t>
  </si>
  <si>
    <t>11:43:05</t>
  </si>
  <si>
    <t>MPF-2852-20190907-11_43_07</t>
  </si>
  <si>
    <t>DARK-2853-20190907-11_43_14</t>
  </si>
  <si>
    <t>11:42:24</t>
  </si>
  <si>
    <t>1/2</t>
  </si>
  <si>
    <t>20190907 11:45:06</t>
  </si>
  <si>
    <t>11:45:06</t>
  </si>
  <si>
    <t>MPF-2854-20190907-11_45_07</t>
  </si>
  <si>
    <t>DARK-2855-20190907-11_45_15</t>
  </si>
  <si>
    <t>11:43:57</t>
  </si>
  <si>
    <t>20190907 11:47:07</t>
  </si>
  <si>
    <t>11:47:07</t>
  </si>
  <si>
    <t>MPF-2856-20190907-11_47_08</t>
  </si>
  <si>
    <t>DARK-2857-20190907-11_47_15</t>
  </si>
  <si>
    <t>11:46:25</t>
  </si>
  <si>
    <t>20190907 11:48:52</t>
  </si>
  <si>
    <t>11:48:52</t>
  </si>
  <si>
    <t>MPF-2858-20190907-11_48_53</t>
  </si>
  <si>
    <t>DARK-2859-20190907-11_49_01</t>
  </si>
  <si>
    <t>11:48:07</t>
  </si>
  <si>
    <t>20190907 11:50:53</t>
  </si>
  <si>
    <t>11:50:53</t>
  </si>
  <si>
    <t>MPF-2860-20190907-11_50_54</t>
  </si>
  <si>
    <t>DARK-2861-20190907-11_51_01</t>
  </si>
  <si>
    <t>11:50:08</t>
  </si>
  <si>
    <t>20190907 11:52:53</t>
  </si>
  <si>
    <t>11:52:53</t>
  </si>
  <si>
    <t>MPF-2862-20190907-11_52_54</t>
  </si>
  <si>
    <t>DARK-2863-20190907-11_53_02</t>
  </si>
  <si>
    <t>11:51:49</t>
  </si>
  <si>
    <t>20190907 11:54:54</t>
  </si>
  <si>
    <t>11:54:54</t>
  </si>
  <si>
    <t>MPF-2864-20190907-11_54_55</t>
  </si>
  <si>
    <t>DARK-2865-20190907-11_55_02</t>
  </si>
  <si>
    <t>11:54:14</t>
  </si>
  <si>
    <t>20190907 11:56:49</t>
  </si>
  <si>
    <t>11:56:49</t>
  </si>
  <si>
    <t>MPF-2866-20190907-11_56_50</t>
  </si>
  <si>
    <t>DARK-2867-20190907-11_56_57</t>
  </si>
  <si>
    <t>11:56:04</t>
  </si>
  <si>
    <t>20190907 11:58:49</t>
  </si>
  <si>
    <t>11:58:49</t>
  </si>
  <si>
    <t>MPF-2868-20190907-11_58_50</t>
  </si>
  <si>
    <t>DARK-2869-20190907-11_58_58</t>
  </si>
  <si>
    <t>11:58:02</t>
  </si>
  <si>
    <t>20190907 12:00:50</t>
  </si>
  <si>
    <t>12:00:50</t>
  </si>
  <si>
    <t>MPF-2870-20190907-12_00_51</t>
  </si>
  <si>
    <t>DARK-2871-20190907-12_00_58</t>
  </si>
  <si>
    <t>12:00:05</t>
  </si>
  <si>
    <t>20190907 12:02:50</t>
  </si>
  <si>
    <t>12:02:50</t>
  </si>
  <si>
    <t>MPF-2872-20190907-12_02_51</t>
  </si>
  <si>
    <t>DARK-2873-20190907-12_02_59</t>
  </si>
  <si>
    <t>12:02:25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</si>
</sst>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G32"/>
  <sheetViews>
    <sheetView tabSelected="1" workbookViewId="0"/>
  </sheetViews>
  <sheetFormatPr defaultRowHeight="14.5" x14ac:dyDescent="0.35"/>
  <sheetData>
    <row r="2" spans="1:163" x14ac:dyDescent="0.35">
      <c r="A2" t="s">
        <v>25</v>
      </c>
      <c r="B2" t="s">
        <v>26</v>
      </c>
      <c r="C2" t="s">
        <v>28</v>
      </c>
      <c r="D2" t="s">
        <v>30</v>
      </c>
    </row>
    <row r="3" spans="1:163" x14ac:dyDescent="0.35">
      <c r="B3" t="s">
        <v>27</v>
      </c>
      <c r="C3" t="s">
        <v>29</v>
      </c>
      <c r="D3" t="s">
        <v>15</v>
      </c>
    </row>
    <row r="4" spans="1:163" x14ac:dyDescent="0.35">
      <c r="A4" t="s">
        <v>31</v>
      </c>
      <c r="B4" t="s">
        <v>32</v>
      </c>
    </row>
    <row r="5" spans="1:163" x14ac:dyDescent="0.35">
      <c r="B5">
        <v>2</v>
      </c>
    </row>
    <row r="6" spans="1:163" x14ac:dyDescent="0.35">
      <c r="A6" t="s">
        <v>33</v>
      </c>
      <c r="B6" t="s">
        <v>34</v>
      </c>
      <c r="C6" t="s">
        <v>35</v>
      </c>
      <c r="D6" t="s">
        <v>36</v>
      </c>
      <c r="E6" t="s">
        <v>37</v>
      </c>
    </row>
    <row r="7" spans="1:163" x14ac:dyDescent="0.35">
      <c r="B7">
        <v>0</v>
      </c>
      <c r="C7">
        <v>1</v>
      </c>
      <c r="D7">
        <v>0</v>
      </c>
      <c r="E7">
        <v>0</v>
      </c>
    </row>
    <row r="8" spans="1:163" x14ac:dyDescent="0.35">
      <c r="A8" t="s">
        <v>38</v>
      </c>
      <c r="B8" t="s">
        <v>39</v>
      </c>
      <c r="C8" t="s">
        <v>41</v>
      </c>
      <c r="D8" t="s">
        <v>43</v>
      </c>
      <c r="E8" t="s">
        <v>44</v>
      </c>
      <c r="F8" t="s">
        <v>45</v>
      </c>
      <c r="G8" t="s">
        <v>46</v>
      </c>
      <c r="H8" t="s">
        <v>47</v>
      </c>
      <c r="I8" t="s">
        <v>48</v>
      </c>
      <c r="J8" t="s">
        <v>49</v>
      </c>
      <c r="K8" t="s">
        <v>50</v>
      </c>
      <c r="L8" t="s">
        <v>51</v>
      </c>
      <c r="M8" t="s">
        <v>52</v>
      </c>
      <c r="N8" t="s">
        <v>53</v>
      </c>
      <c r="O8" t="s">
        <v>54</v>
      </c>
      <c r="P8" t="s">
        <v>55</v>
      </c>
      <c r="Q8" t="s">
        <v>56</v>
      </c>
    </row>
    <row r="9" spans="1:163" x14ac:dyDescent="0.35">
      <c r="B9" t="s">
        <v>40</v>
      </c>
      <c r="C9" t="s">
        <v>42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3" x14ac:dyDescent="0.35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</row>
    <row r="11" spans="1:163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3" x14ac:dyDescent="0.35">
      <c r="A12" t="s">
        <v>63</v>
      </c>
      <c r="B12" t="s">
        <v>64</v>
      </c>
      <c r="C12" t="s">
        <v>65</v>
      </c>
      <c r="D12" t="s">
        <v>66</v>
      </c>
      <c r="E12" t="s">
        <v>67</v>
      </c>
      <c r="F12" t="s">
        <v>68</v>
      </c>
      <c r="G12" t="s">
        <v>70</v>
      </c>
      <c r="H12" t="s">
        <v>72</v>
      </c>
    </row>
    <row r="13" spans="1:163" x14ac:dyDescent="0.35">
      <c r="B13">
        <v>-6276</v>
      </c>
      <c r="C13">
        <v>6.6</v>
      </c>
      <c r="D13">
        <v>1.7090000000000001E-5</v>
      </c>
      <c r="E13">
        <v>3.11</v>
      </c>
      <c r="F13" t="s">
        <v>69</v>
      </c>
      <c r="G13" t="s">
        <v>71</v>
      </c>
      <c r="H13">
        <v>2</v>
      </c>
    </row>
    <row r="14" spans="1:163" x14ac:dyDescent="0.35">
      <c r="A14" t="s">
        <v>73</v>
      </c>
      <c r="B14" t="s">
        <v>73</v>
      </c>
      <c r="C14" t="s">
        <v>73</v>
      </c>
      <c r="D14" t="s">
        <v>73</v>
      </c>
      <c r="E14" t="s">
        <v>73</v>
      </c>
      <c r="F14" t="s">
        <v>74</v>
      </c>
      <c r="G14" t="s">
        <v>75</v>
      </c>
      <c r="H14" t="s">
        <v>75</v>
      </c>
      <c r="I14" t="s">
        <v>75</v>
      </c>
      <c r="J14" t="s">
        <v>75</v>
      </c>
      <c r="K14" t="s">
        <v>75</v>
      </c>
      <c r="L14" t="s">
        <v>75</v>
      </c>
      <c r="M14" t="s">
        <v>75</v>
      </c>
      <c r="N14" t="s">
        <v>75</v>
      </c>
      <c r="O14" t="s">
        <v>75</v>
      </c>
      <c r="P14" t="s">
        <v>75</v>
      </c>
      <c r="Q14" t="s">
        <v>75</v>
      </c>
      <c r="R14" t="s">
        <v>75</v>
      </c>
      <c r="S14" t="s">
        <v>75</v>
      </c>
      <c r="T14" t="s">
        <v>75</v>
      </c>
      <c r="U14" t="s">
        <v>75</v>
      </c>
      <c r="V14" t="s">
        <v>75</v>
      </c>
      <c r="W14" t="s">
        <v>75</v>
      </c>
      <c r="X14" t="s">
        <v>75</v>
      </c>
      <c r="Y14" t="s">
        <v>75</v>
      </c>
      <c r="Z14" t="s">
        <v>75</v>
      </c>
      <c r="AA14" t="s">
        <v>75</v>
      </c>
      <c r="AB14" t="s">
        <v>75</v>
      </c>
      <c r="AC14" t="s">
        <v>75</v>
      </c>
      <c r="AD14" t="s">
        <v>75</v>
      </c>
      <c r="AE14" t="s">
        <v>75</v>
      </c>
      <c r="AF14" t="s">
        <v>75</v>
      </c>
      <c r="AG14" t="s">
        <v>76</v>
      </c>
      <c r="AH14" t="s">
        <v>76</v>
      </c>
      <c r="AI14" t="s">
        <v>76</v>
      </c>
      <c r="AJ14" t="s">
        <v>76</v>
      </c>
      <c r="AK14" t="s">
        <v>76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77</v>
      </c>
      <c r="AZ14" t="s">
        <v>77</v>
      </c>
      <c r="BA14" t="s">
        <v>77</v>
      </c>
      <c r="BB14" t="s">
        <v>77</v>
      </c>
      <c r="BC14" t="s">
        <v>77</v>
      </c>
      <c r="BD14" t="s">
        <v>77</v>
      </c>
      <c r="BE14" t="s">
        <v>77</v>
      </c>
      <c r="BF14" t="s">
        <v>77</v>
      </c>
      <c r="BG14" t="s">
        <v>77</v>
      </c>
      <c r="BH14" t="s">
        <v>77</v>
      </c>
      <c r="BI14" t="s">
        <v>77</v>
      </c>
      <c r="BJ14" t="s">
        <v>78</v>
      </c>
      <c r="BK14" t="s">
        <v>78</v>
      </c>
      <c r="BL14" t="s">
        <v>78</v>
      </c>
      <c r="BM14" t="s">
        <v>78</v>
      </c>
      <c r="BN14" t="s">
        <v>31</v>
      </c>
      <c r="BO14" t="s">
        <v>31</v>
      </c>
      <c r="BP14" t="s">
        <v>31</v>
      </c>
      <c r="BQ14" t="s">
        <v>79</v>
      </c>
      <c r="BR14" t="s">
        <v>79</v>
      </c>
      <c r="BS14" t="s">
        <v>79</v>
      </c>
      <c r="BT14" t="s">
        <v>79</v>
      </c>
      <c r="BU14" t="s">
        <v>79</v>
      </c>
      <c r="BV14" t="s">
        <v>79</v>
      </c>
      <c r="BW14" t="s">
        <v>79</v>
      </c>
      <c r="BX14" t="s">
        <v>79</v>
      </c>
      <c r="BY14" t="s">
        <v>79</v>
      </c>
      <c r="BZ14" t="s">
        <v>79</v>
      </c>
      <c r="CA14" t="s">
        <v>79</v>
      </c>
      <c r="CB14" t="s">
        <v>79</v>
      </c>
      <c r="CC14" t="s">
        <v>79</v>
      </c>
      <c r="CD14" t="s">
        <v>79</v>
      </c>
      <c r="CE14" t="s">
        <v>80</v>
      </c>
      <c r="CF14" t="s">
        <v>80</v>
      </c>
      <c r="CG14" t="s">
        <v>80</v>
      </c>
      <c r="CH14" t="s">
        <v>80</v>
      </c>
      <c r="CI14" t="s">
        <v>80</v>
      </c>
      <c r="CJ14" t="s">
        <v>80</v>
      </c>
      <c r="CK14" t="s">
        <v>80</v>
      </c>
      <c r="CL14" t="s">
        <v>80</v>
      </c>
      <c r="CM14" t="s">
        <v>80</v>
      </c>
      <c r="CN14" t="s">
        <v>80</v>
      </c>
      <c r="CO14" t="s">
        <v>80</v>
      </c>
      <c r="CP14" t="s">
        <v>80</v>
      </c>
      <c r="CQ14" t="s">
        <v>80</v>
      </c>
      <c r="CR14" t="s">
        <v>80</v>
      </c>
      <c r="CS14" t="s">
        <v>80</v>
      </c>
      <c r="CT14" t="s">
        <v>80</v>
      </c>
      <c r="CU14" t="s">
        <v>80</v>
      </c>
      <c r="CV14" t="s">
        <v>81</v>
      </c>
      <c r="CW14" t="s">
        <v>81</v>
      </c>
      <c r="CX14" t="s">
        <v>81</v>
      </c>
      <c r="CY14" t="s">
        <v>81</v>
      </c>
      <c r="CZ14" t="s">
        <v>81</v>
      </c>
      <c r="DA14" t="s">
        <v>82</v>
      </c>
      <c r="DB14" t="s">
        <v>82</v>
      </c>
      <c r="DC14" t="s">
        <v>82</v>
      </c>
      <c r="DD14" t="s">
        <v>82</v>
      </c>
      <c r="DE14" t="s">
        <v>82</v>
      </c>
      <c r="DF14" t="s">
        <v>82</v>
      </c>
      <c r="DG14" t="s">
        <v>82</v>
      </c>
      <c r="DH14" t="s">
        <v>82</v>
      </c>
      <c r="DI14" t="s">
        <v>82</v>
      </c>
      <c r="DJ14" t="s">
        <v>83</v>
      </c>
      <c r="DK14" t="s">
        <v>83</v>
      </c>
      <c r="DL14" t="s">
        <v>83</v>
      </c>
      <c r="DM14" t="s">
        <v>83</v>
      </c>
      <c r="DN14" t="s">
        <v>83</v>
      </c>
      <c r="DO14" t="s">
        <v>83</v>
      </c>
      <c r="DP14" t="s">
        <v>83</v>
      </c>
      <c r="DQ14" t="s">
        <v>83</v>
      </c>
      <c r="DR14" t="s">
        <v>83</v>
      </c>
      <c r="DS14" t="s">
        <v>83</v>
      </c>
      <c r="DT14" t="s">
        <v>83</v>
      </c>
      <c r="DU14" t="s">
        <v>84</v>
      </c>
      <c r="DV14" t="s">
        <v>84</v>
      </c>
      <c r="DW14" t="s">
        <v>84</v>
      </c>
      <c r="DX14" t="s">
        <v>84</v>
      </c>
      <c r="DY14" t="s">
        <v>84</v>
      </c>
      <c r="DZ14" t="s">
        <v>84</v>
      </c>
      <c r="EA14" t="s">
        <v>84</v>
      </c>
      <c r="EB14" t="s">
        <v>84</v>
      </c>
      <c r="EC14" t="s">
        <v>84</v>
      </c>
      <c r="ED14" t="s">
        <v>84</v>
      </c>
      <c r="EE14" t="s">
        <v>84</v>
      </c>
      <c r="EF14" t="s">
        <v>84</v>
      </c>
      <c r="EG14" t="s">
        <v>84</v>
      </c>
      <c r="EH14" t="s">
        <v>84</v>
      </c>
      <c r="EI14" t="s">
        <v>84</v>
      </c>
      <c r="EJ14" t="s">
        <v>84</v>
      </c>
      <c r="EK14" t="s">
        <v>84</v>
      </c>
      <c r="EL14" t="s">
        <v>84</v>
      </c>
      <c r="EM14" t="s">
        <v>84</v>
      </c>
      <c r="EN14" t="s">
        <v>85</v>
      </c>
      <c r="EO14" t="s">
        <v>85</v>
      </c>
      <c r="EP14" t="s">
        <v>85</v>
      </c>
      <c r="EQ14" t="s">
        <v>85</v>
      </c>
      <c r="ER14" t="s">
        <v>85</v>
      </c>
      <c r="ES14" t="s">
        <v>85</v>
      </c>
      <c r="ET14" t="s">
        <v>85</v>
      </c>
      <c r="EU14" t="s">
        <v>85</v>
      </c>
      <c r="EV14" t="s">
        <v>85</v>
      </c>
      <c r="EW14" t="s">
        <v>85</v>
      </c>
      <c r="EX14" t="s">
        <v>85</v>
      </c>
      <c r="EY14" t="s">
        <v>85</v>
      </c>
      <c r="EZ14" t="s">
        <v>85</v>
      </c>
      <c r="FA14" t="s">
        <v>85</v>
      </c>
      <c r="FB14" t="s">
        <v>85</v>
      </c>
      <c r="FC14" t="s">
        <v>85</v>
      </c>
      <c r="FD14" t="s">
        <v>85</v>
      </c>
      <c r="FE14" t="s">
        <v>85</v>
      </c>
      <c r="FF14" t="s">
        <v>85</v>
      </c>
      <c r="FG14" t="s">
        <v>85</v>
      </c>
    </row>
    <row r="15" spans="1:163" x14ac:dyDescent="0.35">
      <c r="A15" t="s">
        <v>86</v>
      </c>
      <c r="B15" t="s">
        <v>87</v>
      </c>
      <c r="C15" t="s">
        <v>88</v>
      </c>
      <c r="D15" t="s">
        <v>89</v>
      </c>
      <c r="E15" t="s">
        <v>90</v>
      </c>
      <c r="F15" t="s">
        <v>91</v>
      </c>
      <c r="G15" t="s">
        <v>92</v>
      </c>
      <c r="H15" t="s">
        <v>93</v>
      </c>
      <c r="I15" t="s">
        <v>94</v>
      </c>
      <c r="J15" t="s">
        <v>95</v>
      </c>
      <c r="K15" t="s">
        <v>96</v>
      </c>
      <c r="L15" t="s">
        <v>97</v>
      </c>
      <c r="M15" t="s">
        <v>98</v>
      </c>
      <c r="N15" t="s">
        <v>99</v>
      </c>
      <c r="O15" t="s">
        <v>100</v>
      </c>
      <c r="P15" t="s">
        <v>101</v>
      </c>
      <c r="Q15" t="s">
        <v>102</v>
      </c>
      <c r="R15" t="s">
        <v>103</v>
      </c>
      <c r="S15" t="s">
        <v>104</v>
      </c>
      <c r="T15" t="s">
        <v>105</v>
      </c>
      <c r="U15" t="s">
        <v>106</v>
      </c>
      <c r="V15" t="s">
        <v>107</v>
      </c>
      <c r="W15" t="s">
        <v>108</v>
      </c>
      <c r="X15" t="s">
        <v>109</v>
      </c>
      <c r="Y15" t="s">
        <v>110</v>
      </c>
      <c r="Z15" t="s">
        <v>111</v>
      </c>
      <c r="AA15" t="s">
        <v>112</v>
      </c>
      <c r="AB15" t="s">
        <v>113</v>
      </c>
      <c r="AC15" t="s">
        <v>114</v>
      </c>
      <c r="AD15" t="s">
        <v>115</v>
      </c>
      <c r="AE15" t="s">
        <v>116</v>
      </c>
      <c r="AF15" t="s">
        <v>117</v>
      </c>
      <c r="AG15" t="s">
        <v>76</v>
      </c>
      <c r="AH15" t="s">
        <v>118</v>
      </c>
      <c r="AI15" t="s">
        <v>119</v>
      </c>
      <c r="AJ15" t="s">
        <v>120</v>
      </c>
      <c r="AK15" t="s">
        <v>121</v>
      </c>
      <c r="AL15" t="s">
        <v>122</v>
      </c>
      <c r="AM15" t="s">
        <v>123</v>
      </c>
      <c r="AN15" t="s">
        <v>124</v>
      </c>
      <c r="AO15" t="s">
        <v>125</v>
      </c>
      <c r="AP15" t="s">
        <v>126</v>
      </c>
      <c r="AQ15" t="s">
        <v>127</v>
      </c>
      <c r="AR15" t="s">
        <v>128</v>
      </c>
      <c r="AS15" t="s">
        <v>129</v>
      </c>
      <c r="AT15" t="s">
        <v>130</v>
      </c>
      <c r="AU15" t="s">
        <v>131</v>
      </c>
      <c r="AV15" t="s">
        <v>132</v>
      </c>
      <c r="AW15" t="s">
        <v>133</v>
      </c>
      <c r="AX15" t="s">
        <v>134</v>
      </c>
      <c r="AY15" t="s">
        <v>135</v>
      </c>
      <c r="AZ15" t="s">
        <v>136</v>
      </c>
      <c r="BA15" t="s">
        <v>137</v>
      </c>
      <c r="BB15" t="s">
        <v>138</v>
      </c>
      <c r="BC15" t="s">
        <v>139</v>
      </c>
      <c r="BD15" t="s">
        <v>140</v>
      </c>
      <c r="BE15" t="s">
        <v>141</v>
      </c>
      <c r="BF15" t="s">
        <v>142</v>
      </c>
      <c r="BG15" t="s">
        <v>143</v>
      </c>
      <c r="BH15" t="s">
        <v>144</v>
      </c>
      <c r="BI15" t="s">
        <v>145</v>
      </c>
      <c r="BJ15" t="s">
        <v>146</v>
      </c>
      <c r="BK15" t="s">
        <v>147</v>
      </c>
      <c r="BL15" t="s">
        <v>148</v>
      </c>
      <c r="BM15" t="s">
        <v>149</v>
      </c>
      <c r="BN15" t="s">
        <v>150</v>
      </c>
      <c r="BO15" t="s">
        <v>151</v>
      </c>
      <c r="BP15" t="s">
        <v>152</v>
      </c>
      <c r="BQ15" t="s">
        <v>92</v>
      </c>
      <c r="BR15" t="s">
        <v>153</v>
      </c>
      <c r="BS15" t="s">
        <v>154</v>
      </c>
      <c r="BT15" t="s">
        <v>155</v>
      </c>
      <c r="BU15" t="s">
        <v>156</v>
      </c>
      <c r="BV15" t="s">
        <v>157</v>
      </c>
      <c r="BW15" t="s">
        <v>158</v>
      </c>
      <c r="BX15" t="s">
        <v>159</v>
      </c>
      <c r="BY15" t="s">
        <v>160</v>
      </c>
      <c r="BZ15" t="s">
        <v>161</v>
      </c>
      <c r="CA15" t="s">
        <v>162</v>
      </c>
      <c r="CB15" t="s">
        <v>163</v>
      </c>
      <c r="CC15" t="s">
        <v>164</v>
      </c>
      <c r="CD15" t="s">
        <v>165</v>
      </c>
      <c r="CE15" t="s">
        <v>166</v>
      </c>
      <c r="CF15" t="s">
        <v>167</v>
      </c>
      <c r="CG15" t="s">
        <v>168</v>
      </c>
      <c r="CH15" t="s">
        <v>169</v>
      </c>
      <c r="CI15" t="s">
        <v>170</v>
      </c>
      <c r="CJ15" t="s">
        <v>171</v>
      </c>
      <c r="CK15" t="s">
        <v>172</v>
      </c>
      <c r="CL15" t="s">
        <v>173</v>
      </c>
      <c r="CM15" t="s">
        <v>174</v>
      </c>
      <c r="CN15" t="s">
        <v>175</v>
      </c>
      <c r="CO15" t="s">
        <v>176</v>
      </c>
      <c r="CP15" t="s">
        <v>177</v>
      </c>
      <c r="CQ15" t="s">
        <v>178</v>
      </c>
      <c r="CR15" t="s">
        <v>179</v>
      </c>
      <c r="CS15" t="s">
        <v>180</v>
      </c>
      <c r="CT15" t="s">
        <v>181</v>
      </c>
      <c r="CU15" t="s">
        <v>182</v>
      </c>
      <c r="CV15" t="s">
        <v>183</v>
      </c>
      <c r="CW15" t="s">
        <v>184</v>
      </c>
      <c r="CX15" t="s">
        <v>185</v>
      </c>
      <c r="CY15" t="s">
        <v>186</v>
      </c>
      <c r="CZ15" t="s">
        <v>187</v>
      </c>
      <c r="DA15" t="s">
        <v>87</v>
      </c>
      <c r="DB15" t="s">
        <v>90</v>
      </c>
      <c r="DC15" t="s">
        <v>188</v>
      </c>
      <c r="DD15" t="s">
        <v>189</v>
      </c>
      <c r="DE15" t="s">
        <v>190</v>
      </c>
      <c r="DF15" t="s">
        <v>191</v>
      </c>
      <c r="DG15" t="s">
        <v>192</v>
      </c>
      <c r="DH15" t="s">
        <v>193</v>
      </c>
      <c r="DI15" t="s">
        <v>194</v>
      </c>
      <c r="DJ15" t="s">
        <v>195</v>
      </c>
      <c r="DK15" t="s">
        <v>196</v>
      </c>
      <c r="DL15" t="s">
        <v>197</v>
      </c>
      <c r="DM15" t="s">
        <v>198</v>
      </c>
      <c r="DN15" t="s">
        <v>199</v>
      </c>
      <c r="DO15" t="s">
        <v>200</v>
      </c>
      <c r="DP15" t="s">
        <v>201</v>
      </c>
      <c r="DQ15" t="s">
        <v>202</v>
      </c>
      <c r="DR15" t="s">
        <v>203</v>
      </c>
      <c r="DS15" t="s">
        <v>204</v>
      </c>
      <c r="DT15" t="s">
        <v>205</v>
      </c>
      <c r="DU15" t="s">
        <v>206</v>
      </c>
      <c r="DV15" t="s">
        <v>207</v>
      </c>
      <c r="DW15" t="s">
        <v>208</v>
      </c>
      <c r="DX15" t="s">
        <v>209</v>
      </c>
      <c r="DY15" t="s">
        <v>210</v>
      </c>
      <c r="DZ15" t="s">
        <v>211</v>
      </c>
      <c r="EA15" t="s">
        <v>212</v>
      </c>
      <c r="EB15" t="s">
        <v>213</v>
      </c>
      <c r="EC15" t="s">
        <v>214</v>
      </c>
      <c r="ED15" t="s">
        <v>215</v>
      </c>
      <c r="EE15" t="s">
        <v>216</v>
      </c>
      <c r="EF15" t="s">
        <v>217</v>
      </c>
      <c r="EG15" t="s">
        <v>218</v>
      </c>
      <c r="EH15" t="s">
        <v>219</v>
      </c>
      <c r="EI15" t="s">
        <v>220</v>
      </c>
      <c r="EJ15" t="s">
        <v>221</v>
      </c>
      <c r="EK15" t="s">
        <v>222</v>
      </c>
      <c r="EL15" t="s">
        <v>223</v>
      </c>
      <c r="EM15" t="s">
        <v>224</v>
      </c>
      <c r="EN15" t="s">
        <v>225</v>
      </c>
      <c r="EO15" t="s">
        <v>226</v>
      </c>
      <c r="EP15" t="s">
        <v>227</v>
      </c>
      <c r="EQ15" t="s">
        <v>228</v>
      </c>
      <c r="ER15" t="s">
        <v>229</v>
      </c>
      <c r="ES15" t="s">
        <v>230</v>
      </c>
      <c r="ET15" t="s">
        <v>231</v>
      </c>
      <c r="EU15" t="s">
        <v>232</v>
      </c>
      <c r="EV15" t="s">
        <v>233</v>
      </c>
      <c r="EW15" t="s">
        <v>234</v>
      </c>
      <c r="EX15" t="s">
        <v>235</v>
      </c>
      <c r="EY15" t="s">
        <v>236</v>
      </c>
      <c r="EZ15" t="s">
        <v>237</v>
      </c>
      <c r="FA15" t="s">
        <v>238</v>
      </c>
      <c r="FB15" t="s">
        <v>239</v>
      </c>
      <c r="FC15" t="s">
        <v>240</v>
      </c>
      <c r="FD15" t="s">
        <v>241</v>
      </c>
      <c r="FE15" t="s">
        <v>242</v>
      </c>
      <c r="FF15" t="s">
        <v>243</v>
      </c>
      <c r="FG15" t="s">
        <v>244</v>
      </c>
    </row>
    <row r="16" spans="1:163" x14ac:dyDescent="0.35">
      <c r="B16" t="s">
        <v>245</v>
      </c>
      <c r="C16" t="s">
        <v>245</v>
      </c>
      <c r="G16" t="s">
        <v>245</v>
      </c>
      <c r="H16" t="s">
        <v>246</v>
      </c>
      <c r="I16" t="s">
        <v>247</v>
      </c>
      <c r="J16" t="s">
        <v>248</v>
      </c>
      <c r="K16" t="s">
        <v>248</v>
      </c>
      <c r="L16" t="s">
        <v>158</v>
      </c>
      <c r="M16" t="s">
        <v>158</v>
      </c>
      <c r="N16" t="s">
        <v>246</v>
      </c>
      <c r="O16" t="s">
        <v>246</v>
      </c>
      <c r="P16" t="s">
        <v>246</v>
      </c>
      <c r="Q16" t="s">
        <v>246</v>
      </c>
      <c r="R16" t="s">
        <v>249</v>
      </c>
      <c r="S16" t="s">
        <v>250</v>
      </c>
      <c r="T16" t="s">
        <v>250</v>
      </c>
      <c r="U16" t="s">
        <v>251</v>
      </c>
      <c r="V16" t="s">
        <v>252</v>
      </c>
      <c r="W16" t="s">
        <v>251</v>
      </c>
      <c r="X16" t="s">
        <v>251</v>
      </c>
      <c r="Y16" t="s">
        <v>251</v>
      </c>
      <c r="Z16" t="s">
        <v>249</v>
      </c>
      <c r="AA16" t="s">
        <v>249</v>
      </c>
      <c r="AB16" t="s">
        <v>249</v>
      </c>
      <c r="AC16" t="s">
        <v>249</v>
      </c>
      <c r="AG16" t="s">
        <v>253</v>
      </c>
      <c r="AH16" t="s">
        <v>252</v>
      </c>
      <c r="AJ16" t="s">
        <v>252</v>
      </c>
      <c r="AK16" t="s">
        <v>253</v>
      </c>
      <c r="AQ16" t="s">
        <v>247</v>
      </c>
      <c r="AW16" t="s">
        <v>247</v>
      </c>
      <c r="AX16" t="s">
        <v>247</v>
      </c>
      <c r="AY16" t="s">
        <v>247</v>
      </c>
      <c r="BA16" t="s">
        <v>254</v>
      </c>
      <c r="BJ16" t="s">
        <v>247</v>
      </c>
      <c r="BK16" t="s">
        <v>247</v>
      </c>
      <c r="BM16" t="s">
        <v>255</v>
      </c>
      <c r="BN16" t="s">
        <v>256</v>
      </c>
      <c r="BQ16" t="s">
        <v>245</v>
      </c>
      <c r="BR16" t="s">
        <v>248</v>
      </c>
      <c r="BS16" t="s">
        <v>248</v>
      </c>
      <c r="BT16" t="s">
        <v>257</v>
      </c>
      <c r="BU16" t="s">
        <v>257</v>
      </c>
      <c r="BV16" t="s">
        <v>253</v>
      </c>
      <c r="BW16" t="s">
        <v>251</v>
      </c>
      <c r="BX16" t="s">
        <v>251</v>
      </c>
      <c r="BY16" t="s">
        <v>250</v>
      </c>
      <c r="BZ16" t="s">
        <v>250</v>
      </c>
      <c r="CA16" t="s">
        <v>250</v>
      </c>
      <c r="CB16" t="s">
        <v>258</v>
      </c>
      <c r="CC16" t="s">
        <v>247</v>
      </c>
      <c r="CD16" t="s">
        <v>247</v>
      </c>
      <c r="CE16" t="s">
        <v>247</v>
      </c>
      <c r="CJ16" t="s">
        <v>247</v>
      </c>
      <c r="CM16" t="s">
        <v>250</v>
      </c>
      <c r="CN16" t="s">
        <v>250</v>
      </c>
      <c r="CO16" t="s">
        <v>250</v>
      </c>
      <c r="CP16" t="s">
        <v>250</v>
      </c>
      <c r="CQ16" t="s">
        <v>250</v>
      </c>
      <c r="CR16" t="s">
        <v>247</v>
      </c>
      <c r="CS16" t="s">
        <v>247</v>
      </c>
      <c r="CT16" t="s">
        <v>247</v>
      </c>
      <c r="CU16" t="s">
        <v>245</v>
      </c>
      <c r="CW16" t="s">
        <v>259</v>
      </c>
      <c r="CX16" t="s">
        <v>259</v>
      </c>
      <c r="CZ16" t="s">
        <v>245</v>
      </c>
      <c r="DA16" t="s">
        <v>260</v>
      </c>
      <c r="DD16" t="s">
        <v>261</v>
      </c>
      <c r="DE16" t="s">
        <v>262</v>
      </c>
      <c r="DF16" t="s">
        <v>261</v>
      </c>
      <c r="DG16" t="s">
        <v>262</v>
      </c>
      <c r="DH16" t="s">
        <v>252</v>
      </c>
      <c r="DI16" t="s">
        <v>252</v>
      </c>
      <c r="DJ16" t="s">
        <v>247</v>
      </c>
      <c r="DK16" t="s">
        <v>263</v>
      </c>
      <c r="DL16" t="s">
        <v>247</v>
      </c>
      <c r="DN16" t="s">
        <v>246</v>
      </c>
      <c r="DO16" t="s">
        <v>264</v>
      </c>
      <c r="DP16" t="s">
        <v>246</v>
      </c>
      <c r="DU16" t="s">
        <v>265</v>
      </c>
      <c r="DV16" t="s">
        <v>265</v>
      </c>
      <c r="DW16" t="s">
        <v>265</v>
      </c>
      <c r="DX16" t="s">
        <v>265</v>
      </c>
      <c r="DY16" t="s">
        <v>265</v>
      </c>
      <c r="DZ16" t="s">
        <v>265</v>
      </c>
      <c r="EA16" t="s">
        <v>265</v>
      </c>
      <c r="EB16" t="s">
        <v>265</v>
      </c>
      <c r="EC16" t="s">
        <v>265</v>
      </c>
      <c r="ED16" t="s">
        <v>265</v>
      </c>
      <c r="EE16" t="s">
        <v>265</v>
      </c>
      <c r="EF16" t="s">
        <v>265</v>
      </c>
      <c r="EM16" t="s">
        <v>265</v>
      </c>
      <c r="EN16" t="s">
        <v>252</v>
      </c>
      <c r="EO16" t="s">
        <v>252</v>
      </c>
      <c r="EP16" t="s">
        <v>261</v>
      </c>
      <c r="EQ16" t="s">
        <v>262</v>
      </c>
      <c r="ES16" t="s">
        <v>253</v>
      </c>
      <c r="ET16" t="s">
        <v>253</v>
      </c>
      <c r="EU16" t="s">
        <v>250</v>
      </c>
      <c r="EV16" t="s">
        <v>250</v>
      </c>
      <c r="EW16" t="s">
        <v>250</v>
      </c>
      <c r="EX16" t="s">
        <v>250</v>
      </c>
      <c r="EY16" t="s">
        <v>250</v>
      </c>
      <c r="EZ16" t="s">
        <v>252</v>
      </c>
      <c r="FA16" t="s">
        <v>252</v>
      </c>
      <c r="FB16" t="s">
        <v>252</v>
      </c>
      <c r="FC16" t="s">
        <v>250</v>
      </c>
      <c r="FD16" t="s">
        <v>248</v>
      </c>
      <c r="FE16" t="s">
        <v>257</v>
      </c>
      <c r="FF16" t="s">
        <v>252</v>
      </c>
      <c r="FG16" t="s">
        <v>252</v>
      </c>
    </row>
    <row r="17" spans="1:163" x14ac:dyDescent="0.35">
      <c r="A17">
        <v>1</v>
      </c>
      <c r="B17">
        <v>1567874009.4000001</v>
      </c>
      <c r="C17">
        <v>0</v>
      </c>
      <c r="D17" t="s">
        <v>266</v>
      </c>
      <c r="E17" t="s">
        <v>267</v>
      </c>
      <c r="G17">
        <v>1567874009.4000001</v>
      </c>
      <c r="H17">
        <f t="shared" ref="H17:H32" si="0">BV17*AI17*(BT17-BU17)/(100*BN17*(1000-AI17*BT17))</f>
        <v>1.0711654181032794E-3</v>
      </c>
      <c r="I17">
        <f t="shared" ref="I17:I32" si="1">BV17*AI17*(BS17-BR17*(1000-AI17*BU17)/(1000-AI17*BT17))/(100*BN17)</f>
        <v>7.1281941737775893</v>
      </c>
      <c r="J17">
        <f t="shared" ref="J17:J32" si="2">BR17 - IF(AI17&gt;1, I17*BN17*100/(AK17*CB17), 0)</f>
        <v>390.93799999999999</v>
      </c>
      <c r="K17">
        <f t="shared" ref="K17:K32" si="3">((Q17-H17/2)*J17-I17)/(Q17+H17/2)</f>
        <v>169.21899677613166</v>
      </c>
      <c r="L17">
        <f t="shared" ref="L17:L32" si="4">K17*(BW17+BX17)/1000</f>
        <v>16.828586366282121</v>
      </c>
      <c r="M17">
        <f t="shared" ref="M17:M32" si="5">(BR17 - IF(AI17&gt;1, I17*BN17*100/(AK17*CB17), 0))*(BW17+BX17)/1000</f>
        <v>38.878223025782397</v>
      </c>
      <c r="N17">
        <f t="shared" ref="N17:N32" si="6">2/((1/P17-1/O17)+SIGN(P17)*SQRT((1/P17-1/O17)*(1/P17-1/O17) + 4*BO17/((BO17+1)*(BO17+1))*(2*1/P17*1/O17-1/O17*1/O17)))</f>
        <v>5.4217962533232154E-2</v>
      </c>
      <c r="O17">
        <f t="shared" ref="O17:O32" si="7">AF17+AE17*BN17+AD17*BN17*BN17</f>
        <v>2.251442646930359</v>
      </c>
      <c r="P17">
        <f t="shared" ref="P17:P32" si="8">H17*(1000-(1000*0.61365*EXP(17.502*T17/(240.97+T17))/(BW17+BX17)+BT17)/2)/(1000*0.61365*EXP(17.502*T17/(240.97+T17))/(BW17+BX17)-BT17)</f>
        <v>5.3502927688108992E-2</v>
      </c>
      <c r="Q17">
        <f t="shared" ref="Q17:Q32" si="9">1/((BO17+1)/(N17/1.6)+1/(O17/1.37)) + BO17/((BO17+1)/(N17/1.6) + BO17/(O17/1.37))</f>
        <v>3.3502787165721491E-2</v>
      </c>
      <c r="R17">
        <f t="shared" ref="R17:R32" si="10">(BK17*BM17)</f>
        <v>281.56571753345264</v>
      </c>
      <c r="S17">
        <f t="shared" ref="S17:S32" si="11">(BY17+(R17+2*0.95*0.0000000567*(((BY17+$B$7)+273)^4-(BY17+273)^4)-44100*H17)/(1.84*29.3*O17+8*0.95*0.0000000567*(BY17+273)^3))</f>
        <v>26.258405405683149</v>
      </c>
      <c r="T17">
        <f t="shared" ref="T17:T32" si="12">($C$7*BZ17+$D$7*CA17+$E$7*S17)</f>
        <v>27.161000000000001</v>
      </c>
      <c r="U17">
        <f t="shared" ref="U17:U32" si="13">0.61365*EXP(17.502*T17/(240.97+T17))</f>
        <v>3.6131439761888848</v>
      </c>
      <c r="V17">
        <f t="shared" ref="V17:V32" si="14">(W17/X17*100)</f>
        <v>54.300050554019343</v>
      </c>
      <c r="W17">
        <f t="shared" ref="W17:W32" si="15">BT17*(BW17+BX17)/1000</f>
        <v>1.6750519563523198</v>
      </c>
      <c r="X17">
        <f t="shared" ref="X17:X32" si="16">0.61365*EXP(17.502*BY17/(240.97+BY17))</f>
        <v>3.0848073606965194</v>
      </c>
      <c r="Y17">
        <f t="shared" ref="Y17:Y32" si="17">(U17-BT17*(BW17+BX17)/1000)</f>
        <v>1.938092019836565</v>
      </c>
      <c r="Z17">
        <f t="shared" ref="Z17:Z32" si="18">(-H17*44100)</f>
        <v>-47.238394938354624</v>
      </c>
      <c r="AA17">
        <f t="shared" ref="AA17:AA32" si="19">2*29.3*O17*0.92*(BY17-T17)</f>
        <v>-323.85338029573222</v>
      </c>
      <c r="AB17">
        <f t="shared" ref="AB17:AB32" si="20">2*0.95*0.0000000567*(((BY17+$B$7)+273)^4-(T17+273)^4)</f>
        <v>-30.680801150431506</v>
      </c>
      <c r="AC17">
        <f t="shared" ref="AC17:AC32" si="21">R17+AB17+Z17+AA17</f>
        <v>-120.2068588510657</v>
      </c>
      <c r="AD17">
        <v>-4.1222596723351899E-2</v>
      </c>
      <c r="AE17">
        <v>4.6275976119777899E-2</v>
      </c>
      <c r="AF17">
        <v>3.45780027225236</v>
      </c>
      <c r="AG17">
        <v>0</v>
      </c>
      <c r="AH17">
        <v>0</v>
      </c>
      <c r="AI17">
        <f t="shared" ref="AI17:AI32" si="22">IF(AG17*$H$13&gt;=AK17,1,(AK17/(AK17-AG17*$H$13)))</f>
        <v>1</v>
      </c>
      <c r="AJ17">
        <f t="shared" ref="AJ17:AJ32" si="23">(AI17-1)*100</f>
        <v>0</v>
      </c>
      <c r="AK17">
        <f t="shared" ref="AK17:AK32" si="24">MAX(0,($B$13+$C$13*CB17)/(1+$D$13*CB17)*BW17/(BY17+273)*$E$13)</f>
        <v>53006.998133333371</v>
      </c>
      <c r="AL17" t="s">
        <v>268</v>
      </c>
      <c r="AM17">
        <v>631.89076923076902</v>
      </c>
      <c r="AN17">
        <v>3514.37</v>
      </c>
      <c r="AO17">
        <f t="shared" ref="AO17:AO32" si="25">AN17-AM17</f>
        <v>2882.479230769231</v>
      </c>
      <c r="AP17">
        <f t="shared" ref="AP17:AP32" si="26">AO17/AN17</f>
        <v>0.82019799587670938</v>
      </c>
      <c r="AQ17">
        <v>-1.4218795309761501</v>
      </c>
      <c r="AR17" t="s">
        <v>269</v>
      </c>
      <c r="AS17">
        <v>866.22223076923103</v>
      </c>
      <c r="AT17">
        <v>1023.07</v>
      </c>
      <c r="AU17">
        <f t="shared" ref="AU17:AU32" si="27">1-AS17/AT17</f>
        <v>0.15331088706615281</v>
      </c>
      <c r="AV17">
        <v>0.5</v>
      </c>
      <c r="AW17">
        <f t="shared" ref="AW17:AW32" si="28">BK17</f>
        <v>1471.2711000963075</v>
      </c>
      <c r="AX17">
        <f t="shared" ref="AX17:AX32" si="29">I17</f>
        <v>7.1281941737775893</v>
      </c>
      <c r="AY17">
        <f t="shared" ref="AY17:AY32" si="30">AU17*AV17*AW17</f>
        <v>112.7809387352797</v>
      </c>
      <c r="AZ17">
        <f t="shared" ref="AZ17:AZ32" si="31">BE17/AT17</f>
        <v>0.44412405798234722</v>
      </c>
      <c r="BA17">
        <f t="shared" ref="BA17:BA32" si="32">(AX17-AQ17)/AW17</f>
        <v>5.8113516293455793E-3</v>
      </c>
      <c r="BB17">
        <f t="shared" ref="BB17:BB32" si="33">(AN17-AT17)/AT17</f>
        <v>2.4351217414253177</v>
      </c>
      <c r="BC17" t="s">
        <v>270</v>
      </c>
      <c r="BD17">
        <v>568.70000000000005</v>
      </c>
      <c r="BE17">
        <f t="shared" ref="BE17:BE32" si="34">AT17-BD17</f>
        <v>454.37</v>
      </c>
      <c r="BF17">
        <f t="shared" ref="BF17:BF32" si="35">(AT17-AS17)/(AT17-BD17)</f>
        <v>0.34519833886649431</v>
      </c>
      <c r="BG17">
        <f t="shared" ref="BG17:BG32" si="36">(AN17-AT17)/(AN17-BD17)</f>
        <v>0.84574986335876035</v>
      </c>
      <c r="BH17">
        <f t="shared" ref="BH17:BH32" si="37">(AT17-AS17)/(AT17-AM17)</f>
        <v>0.40096139286929183</v>
      </c>
      <c r="BI17">
        <f t="shared" ref="BI17:BI32" si="38">(AN17-AT17)/(AN17-AM17)</f>
        <v>0.8642907027417368</v>
      </c>
      <c r="BJ17">
        <f t="shared" ref="BJ17:BJ32" si="39">$B$11*CC17+$C$11*CD17+$F$11*CE17</f>
        <v>1750.08</v>
      </c>
      <c r="BK17">
        <f t="shared" ref="BK17:BK32" si="40">BJ17*BL17</f>
        <v>1471.2711000963075</v>
      </c>
      <c r="BL17">
        <f t="shared" ref="BL17:BL32" si="41">($B$11*$D$9+$C$11*$D$9+$F$11*((CR17+CJ17)/MAX(CR17+CJ17+CS17, 0.1)*$I$9+CS17/MAX(CR17+CJ17+CS17, 0.1)*$J$9))/($B$11+$C$11+$F$11)</f>
        <v>0.84068791146479449</v>
      </c>
      <c r="BM17">
        <f t="shared" ref="BM17:BM32" si="42">($B$11*$K$9+$C$11*$K$9+$F$11*((CR17+CJ17)/MAX(CR17+CJ17+CS17, 0.1)*$P$9+CS17/MAX(CR17+CJ17+CS17, 0.1)*$Q$9))/($B$11+$C$11+$F$11)</f>
        <v>0.19137582292958905</v>
      </c>
      <c r="BN17">
        <v>6</v>
      </c>
      <c r="BO17">
        <v>0.5</v>
      </c>
      <c r="BP17" t="s">
        <v>271</v>
      </c>
      <c r="BQ17">
        <v>1567874009.4000001</v>
      </c>
      <c r="BR17">
        <v>390.93799999999999</v>
      </c>
      <c r="BS17">
        <v>399.99400000000003</v>
      </c>
      <c r="BT17">
        <v>16.843399999999999</v>
      </c>
      <c r="BU17">
        <v>15.579700000000001</v>
      </c>
      <c r="BV17">
        <v>500.01900000000001</v>
      </c>
      <c r="BW17">
        <v>99.348699999999994</v>
      </c>
      <c r="BX17">
        <v>9.9864800000000004E-2</v>
      </c>
      <c r="BY17">
        <v>24.492899999999999</v>
      </c>
      <c r="BZ17">
        <v>27.161000000000001</v>
      </c>
      <c r="CA17">
        <v>999.9</v>
      </c>
      <c r="CB17">
        <v>10006.200000000001</v>
      </c>
      <c r="CC17">
        <v>0</v>
      </c>
      <c r="CD17">
        <v>1383.21</v>
      </c>
      <c r="CE17">
        <v>1750.08</v>
      </c>
      <c r="CF17">
        <v>0.97700500000000001</v>
      </c>
      <c r="CG17">
        <v>2.29946E-2</v>
      </c>
      <c r="CH17">
        <v>0</v>
      </c>
      <c r="CI17">
        <v>865.67499999999995</v>
      </c>
      <c r="CJ17">
        <v>4.99986</v>
      </c>
      <c r="CK17">
        <v>17583.3</v>
      </c>
      <c r="CL17">
        <v>14221.4</v>
      </c>
      <c r="CM17">
        <v>42.375</v>
      </c>
      <c r="CN17">
        <v>44.25</v>
      </c>
      <c r="CO17">
        <v>43.125</v>
      </c>
      <c r="CP17">
        <v>43.186999999999998</v>
      </c>
      <c r="CQ17">
        <v>44.125</v>
      </c>
      <c r="CR17">
        <v>1704.95</v>
      </c>
      <c r="CS17">
        <v>40.130000000000003</v>
      </c>
      <c r="CT17">
        <v>0</v>
      </c>
      <c r="CU17">
        <v>600.59999990463302</v>
      </c>
      <c r="CV17">
        <v>866.22223076923103</v>
      </c>
      <c r="CW17">
        <v>-1.72116240089081</v>
      </c>
      <c r="CX17">
        <v>-84.239315907420107</v>
      </c>
      <c r="CY17">
        <v>17617.2153846154</v>
      </c>
      <c r="CZ17">
        <v>15</v>
      </c>
      <c r="DA17">
        <v>1567874028.4000001</v>
      </c>
      <c r="DB17" t="s">
        <v>272</v>
      </c>
      <c r="DC17">
        <v>32</v>
      </c>
      <c r="DD17">
        <v>-0.20599999999999999</v>
      </c>
      <c r="DE17">
        <v>0.1</v>
      </c>
      <c r="DF17">
        <v>400</v>
      </c>
      <c r="DG17">
        <v>16</v>
      </c>
      <c r="DH17">
        <v>0.2</v>
      </c>
      <c r="DI17">
        <v>0.08</v>
      </c>
      <c r="DJ17">
        <v>6.8190803589835003</v>
      </c>
      <c r="DK17">
        <v>-0.12690078440003</v>
      </c>
      <c r="DL17">
        <v>4.9822304496065901E-2</v>
      </c>
      <c r="DM17">
        <v>1</v>
      </c>
      <c r="DN17">
        <v>5.9243778901423801E-2</v>
      </c>
      <c r="DO17">
        <v>1.06906821860777E-3</v>
      </c>
      <c r="DP17">
        <v>5.1815795043164302E-3</v>
      </c>
      <c r="DQ17">
        <v>1</v>
      </c>
      <c r="DR17">
        <v>2</v>
      </c>
      <c r="DS17">
        <v>2</v>
      </c>
      <c r="DT17" t="s">
        <v>273</v>
      </c>
      <c r="DU17">
        <v>1.86676</v>
      </c>
      <c r="DV17">
        <v>1.8632500000000001</v>
      </c>
      <c r="DW17">
        <v>1.8689</v>
      </c>
      <c r="DX17">
        <v>1.8668800000000001</v>
      </c>
      <c r="DY17">
        <v>1.8715299999999999</v>
      </c>
      <c r="DZ17">
        <v>1.8640099999999999</v>
      </c>
      <c r="EA17">
        <v>1.8655999999999999</v>
      </c>
      <c r="EB17">
        <v>1.86554</v>
      </c>
      <c r="EC17" t="s">
        <v>274</v>
      </c>
      <c r="ED17" t="s">
        <v>19</v>
      </c>
      <c r="EE17" t="s">
        <v>19</v>
      </c>
      <c r="EF17" t="s">
        <v>19</v>
      </c>
      <c r="EG17" t="s">
        <v>275</v>
      </c>
      <c r="EH17" t="s">
        <v>276</v>
      </c>
      <c r="EI17" t="s">
        <v>277</v>
      </c>
      <c r="EJ17" t="s">
        <v>277</v>
      </c>
      <c r="EK17" t="s">
        <v>277</v>
      </c>
      <c r="EL17" t="s">
        <v>277</v>
      </c>
      <c r="EM17">
        <v>0</v>
      </c>
      <c r="EN17">
        <v>100</v>
      </c>
      <c r="EO17">
        <v>100</v>
      </c>
      <c r="EP17">
        <v>-0.20599999999999999</v>
      </c>
      <c r="EQ17">
        <v>0.1</v>
      </c>
      <c r="ER17">
        <v>2</v>
      </c>
      <c r="ES17">
        <v>503.65600000000001</v>
      </c>
      <c r="ET17">
        <v>506.21499999999997</v>
      </c>
      <c r="EU17">
        <v>19.162800000000001</v>
      </c>
      <c r="EV17">
        <v>30.857099999999999</v>
      </c>
      <c r="EW17">
        <v>30.001899999999999</v>
      </c>
      <c r="EX17">
        <v>30.742899999999999</v>
      </c>
      <c r="EY17">
        <v>30.719799999999999</v>
      </c>
      <c r="EZ17">
        <v>21.770299999999999</v>
      </c>
      <c r="FA17">
        <v>42.861600000000003</v>
      </c>
      <c r="FB17">
        <v>0</v>
      </c>
      <c r="FC17">
        <v>18.985499999999998</v>
      </c>
      <c r="FD17">
        <v>400</v>
      </c>
      <c r="FE17">
        <v>15.8249</v>
      </c>
      <c r="FF17">
        <v>101.20399999999999</v>
      </c>
      <c r="FG17">
        <v>101.651</v>
      </c>
    </row>
    <row r="18" spans="1:163" x14ac:dyDescent="0.35">
      <c r="A18">
        <v>2</v>
      </c>
      <c r="B18">
        <v>1567874140.9000001</v>
      </c>
      <c r="C18">
        <v>131.5</v>
      </c>
      <c r="D18" t="s">
        <v>278</v>
      </c>
      <c r="E18" t="s">
        <v>279</v>
      </c>
      <c r="G18">
        <v>1567874140.9000001</v>
      </c>
      <c r="H18">
        <f t="shared" si="0"/>
        <v>1.2457956467738867E-3</v>
      </c>
      <c r="I18">
        <f t="shared" si="1"/>
        <v>5.2685960929652689</v>
      </c>
      <c r="J18">
        <f t="shared" si="2"/>
        <v>293.35300000000001</v>
      </c>
      <c r="K18">
        <f t="shared" si="3"/>
        <v>154.1505374919187</v>
      </c>
      <c r="L18">
        <f t="shared" si="4"/>
        <v>15.329500200883855</v>
      </c>
      <c r="M18">
        <f t="shared" si="5"/>
        <v>29.172489084999999</v>
      </c>
      <c r="N18">
        <f t="shared" si="6"/>
        <v>6.4631382513733099E-2</v>
      </c>
      <c r="O18">
        <f t="shared" si="7"/>
        <v>2.2510185793853097</v>
      </c>
      <c r="P18">
        <f t="shared" si="8"/>
        <v>6.3617883073396289E-2</v>
      </c>
      <c r="Q18">
        <f t="shared" si="9"/>
        <v>3.985091191978659E-2</v>
      </c>
      <c r="R18">
        <f t="shared" si="10"/>
        <v>281.5513536186462</v>
      </c>
      <c r="S18">
        <f t="shared" si="11"/>
        <v>25.916486376004791</v>
      </c>
      <c r="T18">
        <f t="shared" si="12"/>
        <v>26.993500000000001</v>
      </c>
      <c r="U18">
        <f t="shared" si="13"/>
        <v>3.5777935365245201</v>
      </c>
      <c r="V18">
        <f t="shared" si="14"/>
        <v>55.459761634296044</v>
      </c>
      <c r="W18">
        <f t="shared" si="15"/>
        <v>1.6819132849999998</v>
      </c>
      <c r="X18">
        <f t="shared" si="16"/>
        <v>3.0326731227058015</v>
      </c>
      <c r="Y18">
        <f t="shared" si="17"/>
        <v>1.8958802515245203</v>
      </c>
      <c r="Z18">
        <f t="shared" si="18"/>
        <v>-54.939588022728401</v>
      </c>
      <c r="AA18">
        <f t="shared" si="19"/>
        <v>-337.99114021168617</v>
      </c>
      <c r="AB18">
        <f t="shared" si="20"/>
        <v>-31.953647883332209</v>
      </c>
      <c r="AC18">
        <f t="shared" si="21"/>
        <v>-143.33302249910059</v>
      </c>
      <c r="AD18">
        <v>-4.1211174563423401E-2</v>
      </c>
      <c r="AE18">
        <v>4.6263153744621997E-2</v>
      </c>
      <c r="AF18">
        <v>3.4570419412008202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53043.558691215039</v>
      </c>
      <c r="AL18" t="s">
        <v>268</v>
      </c>
      <c r="AM18">
        <v>631.89076923076902</v>
      </c>
      <c r="AN18">
        <v>3514.37</v>
      </c>
      <c r="AO18">
        <f t="shared" si="25"/>
        <v>2882.479230769231</v>
      </c>
      <c r="AP18">
        <f t="shared" si="26"/>
        <v>0.82019799587670938</v>
      </c>
      <c r="AQ18">
        <v>-1.4218795309761501</v>
      </c>
      <c r="AR18" t="s">
        <v>280</v>
      </c>
      <c r="AS18">
        <v>865.21911538461495</v>
      </c>
      <c r="AT18">
        <v>1008.1</v>
      </c>
      <c r="AU18">
        <f t="shared" si="27"/>
        <v>0.14173284854219326</v>
      </c>
      <c r="AV18">
        <v>0.5</v>
      </c>
      <c r="AW18">
        <f t="shared" si="28"/>
        <v>1471.1955000963123</v>
      </c>
      <c r="AX18">
        <f t="shared" si="29"/>
        <v>5.2685960929652689</v>
      </c>
      <c r="AY18">
        <f t="shared" si="30"/>
        <v>104.25836449555345</v>
      </c>
      <c r="AZ18">
        <f t="shared" si="31"/>
        <v>0.43352841979962314</v>
      </c>
      <c r="BA18">
        <f t="shared" si="32"/>
        <v>4.5476455192416127E-3</v>
      </c>
      <c r="BB18">
        <f t="shared" si="33"/>
        <v>2.4861323281420495</v>
      </c>
      <c r="BC18" t="s">
        <v>281</v>
      </c>
      <c r="BD18">
        <v>571.05999999999995</v>
      </c>
      <c r="BE18">
        <f t="shared" si="34"/>
        <v>437.04000000000008</v>
      </c>
      <c r="BF18">
        <f t="shared" si="35"/>
        <v>0.32692862121404231</v>
      </c>
      <c r="BG18">
        <f t="shared" si="36"/>
        <v>0.85151411166339941</v>
      </c>
      <c r="BH18">
        <f t="shared" si="37"/>
        <v>0.37979101236627832</v>
      </c>
      <c r="BI18">
        <f t="shared" si="38"/>
        <v>0.86948414866155543</v>
      </c>
      <c r="BJ18">
        <f t="shared" si="39"/>
        <v>1749.99</v>
      </c>
      <c r="BK18">
        <f t="shared" si="40"/>
        <v>1471.1955000963123</v>
      </c>
      <c r="BL18">
        <f t="shared" si="41"/>
        <v>0.84068794684330328</v>
      </c>
      <c r="BM18">
        <f t="shared" si="42"/>
        <v>0.19137589368660682</v>
      </c>
      <c r="BN18">
        <v>6</v>
      </c>
      <c r="BO18">
        <v>0.5</v>
      </c>
      <c r="BP18" t="s">
        <v>271</v>
      </c>
      <c r="BQ18">
        <v>1567874140.9000001</v>
      </c>
      <c r="BR18">
        <v>293.35300000000001</v>
      </c>
      <c r="BS18">
        <v>300.11399999999998</v>
      </c>
      <c r="BT18">
        <v>16.913</v>
      </c>
      <c r="BU18">
        <v>15.443300000000001</v>
      </c>
      <c r="BV18">
        <v>499.99</v>
      </c>
      <c r="BW18">
        <v>99.344999999999999</v>
      </c>
      <c r="BX18">
        <v>0.1</v>
      </c>
      <c r="BY18">
        <v>24.208400000000001</v>
      </c>
      <c r="BZ18">
        <v>26.993500000000001</v>
      </c>
      <c r="CA18">
        <v>999.9</v>
      </c>
      <c r="CB18">
        <v>10003.799999999999</v>
      </c>
      <c r="CC18">
        <v>0</v>
      </c>
      <c r="CD18">
        <v>1397.79</v>
      </c>
      <c r="CE18">
        <v>1749.99</v>
      </c>
      <c r="CF18">
        <v>0.97700500000000001</v>
      </c>
      <c r="CG18">
        <v>2.29946E-2</v>
      </c>
      <c r="CH18">
        <v>0</v>
      </c>
      <c r="CI18">
        <v>864.94</v>
      </c>
      <c r="CJ18">
        <v>4.99986</v>
      </c>
      <c r="CK18">
        <v>17659.599999999999</v>
      </c>
      <c r="CL18">
        <v>14220.7</v>
      </c>
      <c r="CM18">
        <v>42.561999999999998</v>
      </c>
      <c r="CN18">
        <v>44.561999999999998</v>
      </c>
      <c r="CO18">
        <v>43.436999999999998</v>
      </c>
      <c r="CP18">
        <v>43.375</v>
      </c>
      <c r="CQ18">
        <v>44.375</v>
      </c>
      <c r="CR18">
        <v>1704.86</v>
      </c>
      <c r="CS18">
        <v>40.130000000000003</v>
      </c>
      <c r="CT18">
        <v>0</v>
      </c>
      <c r="CU18">
        <v>130.90000009536701</v>
      </c>
      <c r="CV18">
        <v>865.21911538461495</v>
      </c>
      <c r="CW18">
        <v>-1.72940172268613</v>
      </c>
      <c r="CX18">
        <v>-201.60000008850301</v>
      </c>
      <c r="CY18">
        <v>17652.592307692299</v>
      </c>
      <c r="CZ18">
        <v>15</v>
      </c>
      <c r="DA18">
        <v>1567874095.9000001</v>
      </c>
      <c r="DB18" t="s">
        <v>282</v>
      </c>
      <c r="DC18">
        <v>33</v>
      </c>
      <c r="DD18">
        <v>-0.29799999999999999</v>
      </c>
      <c r="DE18">
        <v>0.108</v>
      </c>
      <c r="DF18">
        <v>300</v>
      </c>
      <c r="DG18">
        <v>16</v>
      </c>
      <c r="DH18">
        <v>0.28999999999999998</v>
      </c>
      <c r="DI18">
        <v>0.1</v>
      </c>
      <c r="DJ18">
        <v>5.2049107922788203</v>
      </c>
      <c r="DK18">
        <v>0.25954552962202299</v>
      </c>
      <c r="DL18">
        <v>0.117711352491389</v>
      </c>
      <c r="DM18">
        <v>1</v>
      </c>
      <c r="DN18">
        <v>5.3118127397864603E-2</v>
      </c>
      <c r="DO18">
        <v>3.5033282925967899E-2</v>
      </c>
      <c r="DP18">
        <v>6.9493683178419603E-3</v>
      </c>
      <c r="DQ18">
        <v>1</v>
      </c>
      <c r="DR18">
        <v>2</v>
      </c>
      <c r="DS18">
        <v>2</v>
      </c>
      <c r="DT18" t="s">
        <v>273</v>
      </c>
      <c r="DU18">
        <v>1.8667499999999999</v>
      </c>
      <c r="DV18">
        <v>1.8632500000000001</v>
      </c>
      <c r="DW18">
        <v>1.86896</v>
      </c>
      <c r="DX18">
        <v>1.8668899999999999</v>
      </c>
      <c r="DY18">
        <v>1.87158</v>
      </c>
      <c r="DZ18">
        <v>1.8640099999999999</v>
      </c>
      <c r="EA18">
        <v>1.86564</v>
      </c>
      <c r="EB18">
        <v>1.86555</v>
      </c>
      <c r="EC18" t="s">
        <v>274</v>
      </c>
      <c r="ED18" t="s">
        <v>19</v>
      </c>
      <c r="EE18" t="s">
        <v>19</v>
      </c>
      <c r="EF18" t="s">
        <v>19</v>
      </c>
      <c r="EG18" t="s">
        <v>275</v>
      </c>
      <c r="EH18" t="s">
        <v>276</v>
      </c>
      <c r="EI18" t="s">
        <v>277</v>
      </c>
      <c r="EJ18" t="s">
        <v>277</v>
      </c>
      <c r="EK18" t="s">
        <v>277</v>
      </c>
      <c r="EL18" t="s">
        <v>277</v>
      </c>
      <c r="EM18">
        <v>0</v>
      </c>
      <c r="EN18">
        <v>100</v>
      </c>
      <c r="EO18">
        <v>100</v>
      </c>
      <c r="EP18">
        <v>-0.29799999999999999</v>
      </c>
      <c r="EQ18">
        <v>0.108</v>
      </c>
      <c r="ER18">
        <v>2</v>
      </c>
      <c r="ES18">
        <v>503.78500000000003</v>
      </c>
      <c r="ET18">
        <v>505.904</v>
      </c>
      <c r="EU18">
        <v>18.517299999999999</v>
      </c>
      <c r="EV18">
        <v>30.9359</v>
      </c>
      <c r="EW18">
        <v>30.001300000000001</v>
      </c>
      <c r="EX18">
        <v>30.850100000000001</v>
      </c>
      <c r="EY18">
        <v>30.831399999999999</v>
      </c>
      <c r="EZ18">
        <v>17.363099999999999</v>
      </c>
      <c r="FA18">
        <v>44.948799999999999</v>
      </c>
      <c r="FB18">
        <v>0</v>
      </c>
      <c r="FC18">
        <v>18.466000000000001</v>
      </c>
      <c r="FD18">
        <v>300</v>
      </c>
      <c r="FE18">
        <v>15.398</v>
      </c>
      <c r="FF18">
        <v>101.19499999999999</v>
      </c>
      <c r="FG18">
        <v>101.643</v>
      </c>
    </row>
    <row r="19" spans="1:163" x14ac:dyDescent="0.35">
      <c r="A19">
        <v>3</v>
      </c>
      <c r="B19">
        <v>1567874249.9000001</v>
      </c>
      <c r="C19">
        <v>240.5</v>
      </c>
      <c r="D19" t="s">
        <v>283</v>
      </c>
      <c r="E19" t="s">
        <v>284</v>
      </c>
      <c r="G19">
        <v>1567874249.9000001</v>
      </c>
      <c r="H19">
        <f t="shared" si="0"/>
        <v>1.0121321628785659E-3</v>
      </c>
      <c r="I19">
        <f t="shared" si="1"/>
        <v>3.3774343978568009</v>
      </c>
      <c r="J19">
        <f t="shared" si="2"/>
        <v>195.69900000000001</v>
      </c>
      <c r="K19">
        <f t="shared" si="3"/>
        <v>87.178517202440929</v>
      </c>
      <c r="L19">
        <f t="shared" si="4"/>
        <v>8.669327198605524</v>
      </c>
      <c r="M19">
        <f t="shared" si="5"/>
        <v>19.460971783911003</v>
      </c>
      <c r="N19">
        <f t="shared" si="6"/>
        <v>5.2483020007331925E-2</v>
      </c>
      <c r="O19">
        <f t="shared" si="7"/>
        <v>2.2466783144683427</v>
      </c>
      <c r="P19">
        <f t="shared" si="8"/>
        <v>5.1811307437988598E-2</v>
      </c>
      <c r="Q19">
        <f t="shared" si="9"/>
        <v>3.2441701545709502E-2</v>
      </c>
      <c r="R19">
        <f t="shared" si="10"/>
        <v>281.52844792564287</v>
      </c>
      <c r="S19">
        <f t="shared" si="11"/>
        <v>25.938629550282567</v>
      </c>
      <c r="T19">
        <f t="shared" si="12"/>
        <v>26.989599999999999</v>
      </c>
      <c r="U19">
        <f t="shared" si="13"/>
        <v>3.5769740612854717</v>
      </c>
      <c r="V19">
        <f t="shared" si="14"/>
        <v>55.782168210385052</v>
      </c>
      <c r="W19">
        <f t="shared" si="15"/>
        <v>1.6857543859890998</v>
      </c>
      <c r="X19">
        <f t="shared" si="16"/>
        <v>3.0220309465763293</v>
      </c>
      <c r="Y19">
        <f t="shared" si="17"/>
        <v>1.8912196752963719</v>
      </c>
      <c r="Z19">
        <f t="shared" si="18"/>
        <v>-44.635028382944753</v>
      </c>
      <c r="AA19">
        <f t="shared" si="19"/>
        <v>-343.96487187825522</v>
      </c>
      <c r="AB19">
        <f t="shared" si="20"/>
        <v>-32.571024810432391</v>
      </c>
      <c r="AC19">
        <f t="shared" si="21"/>
        <v>-139.64247714598952</v>
      </c>
      <c r="AD19">
        <v>-4.1094382364751797E-2</v>
      </c>
      <c r="AE19">
        <v>4.6132044270054601E-2</v>
      </c>
      <c r="AF19">
        <v>3.44928381397908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52909.727505386145</v>
      </c>
      <c r="AL19" t="s">
        <v>268</v>
      </c>
      <c r="AM19">
        <v>631.89076923076902</v>
      </c>
      <c r="AN19">
        <v>3514.37</v>
      </c>
      <c r="AO19">
        <f t="shared" si="25"/>
        <v>2882.479230769231</v>
      </c>
      <c r="AP19">
        <f t="shared" si="26"/>
        <v>0.82019799587670938</v>
      </c>
      <c r="AQ19">
        <v>-1.4218795309761501</v>
      </c>
      <c r="AR19" t="s">
        <v>285</v>
      </c>
      <c r="AS19">
        <v>866.25673076923101</v>
      </c>
      <c r="AT19">
        <v>1001.74</v>
      </c>
      <c r="AU19">
        <f t="shared" si="27"/>
        <v>0.13524793781896405</v>
      </c>
      <c r="AV19">
        <v>0.5</v>
      </c>
      <c r="AW19">
        <f t="shared" si="28"/>
        <v>1471.0776000962962</v>
      </c>
      <c r="AX19">
        <f t="shared" si="29"/>
        <v>3.3774343978568009</v>
      </c>
      <c r="AY19">
        <f t="shared" si="30"/>
        <v>99.480105892347368</v>
      </c>
      <c r="AZ19">
        <f t="shared" si="31"/>
        <v>0.42516022121508573</v>
      </c>
      <c r="BA19">
        <f t="shared" si="32"/>
        <v>3.2624478331522342E-3</v>
      </c>
      <c r="BB19">
        <f t="shared" si="33"/>
        <v>2.5082656178249847</v>
      </c>
      <c r="BC19" t="s">
        <v>286</v>
      </c>
      <c r="BD19">
        <v>575.84</v>
      </c>
      <c r="BE19">
        <f t="shared" si="34"/>
        <v>425.9</v>
      </c>
      <c r="BF19">
        <f t="shared" si="35"/>
        <v>0.31811051709501997</v>
      </c>
      <c r="BG19">
        <f t="shared" si="36"/>
        <v>0.85506358621487621</v>
      </c>
      <c r="BH19">
        <f t="shared" si="37"/>
        <v>0.36632026771823778</v>
      </c>
      <c r="BI19">
        <f t="shared" si="38"/>
        <v>0.87169058259943433</v>
      </c>
      <c r="BJ19">
        <f t="shared" si="39"/>
        <v>1749.85</v>
      </c>
      <c r="BK19">
        <f t="shared" si="40"/>
        <v>1471.0776000962962</v>
      </c>
      <c r="BL19">
        <f t="shared" si="41"/>
        <v>0.84068783044049278</v>
      </c>
      <c r="BM19">
        <f t="shared" si="42"/>
        <v>0.19137566088098554</v>
      </c>
      <c r="BN19">
        <v>6</v>
      </c>
      <c r="BO19">
        <v>0.5</v>
      </c>
      <c r="BP19" t="s">
        <v>271</v>
      </c>
      <c r="BQ19">
        <v>1567874249.9000001</v>
      </c>
      <c r="BR19">
        <v>195.69900000000001</v>
      </c>
      <c r="BS19">
        <v>199.989</v>
      </c>
      <c r="BT19">
        <v>16.951899999999998</v>
      </c>
      <c r="BU19">
        <v>15.758100000000001</v>
      </c>
      <c r="BV19">
        <v>500.07100000000003</v>
      </c>
      <c r="BW19">
        <v>99.343299999999999</v>
      </c>
      <c r="BX19">
        <v>0.100089</v>
      </c>
      <c r="BY19">
        <v>24.149799999999999</v>
      </c>
      <c r="BZ19">
        <v>26.989599999999999</v>
      </c>
      <c r="CA19">
        <v>999.9</v>
      </c>
      <c r="CB19">
        <v>9975.6200000000008</v>
      </c>
      <c r="CC19">
        <v>0</v>
      </c>
      <c r="CD19">
        <v>1380.68</v>
      </c>
      <c r="CE19">
        <v>1749.85</v>
      </c>
      <c r="CF19">
        <v>0.97700500000000001</v>
      </c>
      <c r="CG19">
        <v>2.29946E-2</v>
      </c>
      <c r="CH19">
        <v>0</v>
      </c>
      <c r="CI19">
        <v>866.51900000000001</v>
      </c>
      <c r="CJ19">
        <v>4.99986</v>
      </c>
      <c r="CK19">
        <v>17666</v>
      </c>
      <c r="CL19">
        <v>14219.5</v>
      </c>
      <c r="CM19">
        <v>42.875</v>
      </c>
      <c r="CN19">
        <v>44.811999999999998</v>
      </c>
      <c r="CO19">
        <v>43.686999999999998</v>
      </c>
      <c r="CP19">
        <v>43.686999999999998</v>
      </c>
      <c r="CQ19">
        <v>44.561999999999998</v>
      </c>
      <c r="CR19">
        <v>1704.73</v>
      </c>
      <c r="CS19">
        <v>40.119999999999997</v>
      </c>
      <c r="CT19">
        <v>0</v>
      </c>
      <c r="CU19">
        <v>108.59999990463299</v>
      </c>
      <c r="CV19">
        <v>866.25673076923101</v>
      </c>
      <c r="CW19">
        <v>1.03976067022247</v>
      </c>
      <c r="CX19">
        <v>25.264957480245901</v>
      </c>
      <c r="CY19">
        <v>17665.807692307699</v>
      </c>
      <c r="CZ19">
        <v>15</v>
      </c>
      <c r="DA19">
        <v>1567874204.9000001</v>
      </c>
      <c r="DB19" t="s">
        <v>287</v>
      </c>
      <c r="DC19">
        <v>34</v>
      </c>
      <c r="DD19">
        <v>-0.34399999999999997</v>
      </c>
      <c r="DE19">
        <v>9.9000000000000005E-2</v>
      </c>
      <c r="DF19">
        <v>200</v>
      </c>
      <c r="DG19">
        <v>15</v>
      </c>
      <c r="DH19">
        <v>0.36</v>
      </c>
      <c r="DI19">
        <v>0.08</v>
      </c>
      <c r="DJ19">
        <v>3.3420957754475702</v>
      </c>
      <c r="DK19">
        <v>0.25856545066981301</v>
      </c>
      <c r="DL19">
        <v>9.4546376740753904E-2</v>
      </c>
      <c r="DM19">
        <v>1</v>
      </c>
      <c r="DN19">
        <v>4.7907793320351097E-2</v>
      </c>
      <c r="DO19">
        <v>2.8103899386208498E-3</v>
      </c>
      <c r="DP19">
        <v>1.53332968972789E-3</v>
      </c>
      <c r="DQ19">
        <v>1</v>
      </c>
      <c r="DR19">
        <v>2</v>
      </c>
      <c r="DS19">
        <v>2</v>
      </c>
      <c r="DT19" t="s">
        <v>273</v>
      </c>
      <c r="DU19">
        <v>1.8667499999999999</v>
      </c>
      <c r="DV19">
        <v>1.8632500000000001</v>
      </c>
      <c r="DW19">
        <v>1.8689199999999999</v>
      </c>
      <c r="DX19">
        <v>1.86686</v>
      </c>
      <c r="DY19">
        <v>1.87151</v>
      </c>
      <c r="DZ19">
        <v>1.8640099999999999</v>
      </c>
      <c r="EA19">
        <v>1.8655999999999999</v>
      </c>
      <c r="EB19">
        <v>1.86554</v>
      </c>
      <c r="EC19" t="s">
        <v>274</v>
      </c>
      <c r="ED19" t="s">
        <v>19</v>
      </c>
      <c r="EE19" t="s">
        <v>19</v>
      </c>
      <c r="EF19" t="s">
        <v>19</v>
      </c>
      <c r="EG19" t="s">
        <v>275</v>
      </c>
      <c r="EH19" t="s">
        <v>276</v>
      </c>
      <c r="EI19" t="s">
        <v>277</v>
      </c>
      <c r="EJ19" t="s">
        <v>277</v>
      </c>
      <c r="EK19" t="s">
        <v>277</v>
      </c>
      <c r="EL19" t="s">
        <v>277</v>
      </c>
      <c r="EM19">
        <v>0</v>
      </c>
      <c r="EN19">
        <v>100</v>
      </c>
      <c r="EO19">
        <v>100</v>
      </c>
      <c r="EP19">
        <v>-0.34399999999999997</v>
      </c>
      <c r="EQ19">
        <v>9.9000000000000005E-2</v>
      </c>
      <c r="ER19">
        <v>2</v>
      </c>
      <c r="ES19">
        <v>503.74400000000003</v>
      </c>
      <c r="ET19">
        <v>506.00599999999997</v>
      </c>
      <c r="EU19">
        <v>17.629300000000001</v>
      </c>
      <c r="EV19">
        <v>30.956</v>
      </c>
      <c r="EW19">
        <v>29.9998</v>
      </c>
      <c r="EX19">
        <v>30.899100000000001</v>
      </c>
      <c r="EY19">
        <v>30.885300000000001</v>
      </c>
      <c r="EZ19">
        <v>12.794499999999999</v>
      </c>
      <c r="FA19">
        <v>43.2836</v>
      </c>
      <c r="FB19">
        <v>0</v>
      </c>
      <c r="FC19">
        <v>17.6511</v>
      </c>
      <c r="FD19">
        <v>200</v>
      </c>
      <c r="FE19">
        <v>15.5335</v>
      </c>
      <c r="FF19">
        <v>101.19499999999999</v>
      </c>
      <c r="FG19">
        <v>101.648</v>
      </c>
    </row>
    <row r="20" spans="1:163" x14ac:dyDescent="0.35">
      <c r="A20">
        <v>4</v>
      </c>
      <c r="B20">
        <v>1567874368.4000001</v>
      </c>
      <c r="C20">
        <v>359</v>
      </c>
      <c r="D20" t="s">
        <v>288</v>
      </c>
      <c r="E20" t="s">
        <v>289</v>
      </c>
      <c r="G20">
        <v>1567874368.4000001</v>
      </c>
      <c r="H20">
        <f t="shared" si="0"/>
        <v>1.1438120401565022E-3</v>
      </c>
      <c r="I20">
        <f t="shared" si="1"/>
        <v>1.2415046097707216</v>
      </c>
      <c r="J20">
        <f t="shared" si="2"/>
        <v>98.343900000000005</v>
      </c>
      <c r="K20">
        <f t="shared" si="3"/>
        <v>61.758045013503761</v>
      </c>
      <c r="L20">
        <f t="shared" si="4"/>
        <v>6.1411289030264191</v>
      </c>
      <c r="M20">
        <f t="shared" si="5"/>
        <v>9.7791723587475001</v>
      </c>
      <c r="N20">
        <f t="shared" si="6"/>
        <v>5.9025975035433643E-2</v>
      </c>
      <c r="O20">
        <f t="shared" si="7"/>
        <v>2.2486154265680947</v>
      </c>
      <c r="P20">
        <f t="shared" si="8"/>
        <v>5.8178519303570028E-2</v>
      </c>
      <c r="Q20">
        <f t="shared" si="9"/>
        <v>3.6436701464055268E-2</v>
      </c>
      <c r="R20">
        <f t="shared" si="10"/>
        <v>281.51887198242417</v>
      </c>
      <c r="S20">
        <f t="shared" si="11"/>
        <v>26.015148593298107</v>
      </c>
      <c r="T20">
        <f t="shared" si="12"/>
        <v>27.006399999999999</v>
      </c>
      <c r="U20">
        <f t="shared" si="13"/>
        <v>3.5805052761308582</v>
      </c>
      <c r="V20">
        <f t="shared" si="14"/>
        <v>55.094167892578319</v>
      </c>
      <c r="W20">
        <f t="shared" si="15"/>
        <v>1.6771898257649998</v>
      </c>
      <c r="X20">
        <f t="shared" si="16"/>
        <v>3.0442238986804488</v>
      </c>
      <c r="Y20">
        <f t="shared" si="17"/>
        <v>1.9033154503658585</v>
      </c>
      <c r="Z20">
        <f t="shared" si="18"/>
        <v>-50.442110970901744</v>
      </c>
      <c r="AA20">
        <f t="shared" si="19"/>
        <v>-331.50832464702472</v>
      </c>
      <c r="AB20">
        <f t="shared" si="20"/>
        <v>-31.38626003508389</v>
      </c>
      <c r="AC20">
        <f t="shared" si="21"/>
        <v>-131.81782367058619</v>
      </c>
      <c r="AD20">
        <v>-4.1146482974259498E-2</v>
      </c>
      <c r="AE20">
        <v>4.6190531768491097E-2</v>
      </c>
      <c r="AF20">
        <v>3.45274562303049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52952.249357117595</v>
      </c>
      <c r="AL20" t="s">
        <v>268</v>
      </c>
      <c r="AM20">
        <v>631.89076923076902</v>
      </c>
      <c r="AN20">
        <v>3514.37</v>
      </c>
      <c r="AO20">
        <f t="shared" si="25"/>
        <v>2882.479230769231</v>
      </c>
      <c r="AP20">
        <f t="shared" si="26"/>
        <v>0.82019799587670938</v>
      </c>
      <c r="AQ20">
        <v>-1.4218795309761501</v>
      </c>
      <c r="AR20" t="s">
        <v>290</v>
      </c>
      <c r="AS20">
        <v>869.37157692307699</v>
      </c>
      <c r="AT20">
        <v>989.07399999999996</v>
      </c>
      <c r="AU20">
        <f t="shared" si="27"/>
        <v>0.12102473937938207</v>
      </c>
      <c r="AV20">
        <v>0.5</v>
      </c>
      <c r="AW20">
        <f t="shared" si="28"/>
        <v>1471.0272000962993</v>
      </c>
      <c r="AX20">
        <f t="shared" si="29"/>
        <v>1.2415046097707216</v>
      </c>
      <c r="AY20">
        <f t="shared" si="30"/>
        <v>89.015341755818369</v>
      </c>
      <c r="AZ20">
        <f t="shared" si="31"/>
        <v>0.41450285822901012</v>
      </c>
      <c r="BA20">
        <f t="shared" si="32"/>
        <v>1.810560770441577E-3</v>
      </c>
      <c r="BB20">
        <f t="shared" si="33"/>
        <v>2.5531921777339206</v>
      </c>
      <c r="BC20" t="s">
        <v>291</v>
      </c>
      <c r="BD20">
        <v>579.1</v>
      </c>
      <c r="BE20">
        <f t="shared" si="34"/>
        <v>409.97399999999993</v>
      </c>
      <c r="BF20">
        <f t="shared" si="35"/>
        <v>0.29197564498461609</v>
      </c>
      <c r="BG20">
        <f t="shared" si="36"/>
        <v>0.86032835139527197</v>
      </c>
      <c r="BH20">
        <f t="shared" si="37"/>
        <v>0.33512889958224368</v>
      </c>
      <c r="BI20">
        <f t="shared" si="38"/>
        <v>0.87608471660213427</v>
      </c>
      <c r="BJ20">
        <f t="shared" si="39"/>
        <v>1749.79</v>
      </c>
      <c r="BK20">
        <f t="shared" si="40"/>
        <v>1471.0272000962993</v>
      </c>
      <c r="BL20">
        <f t="shared" si="41"/>
        <v>0.84068785402608281</v>
      </c>
      <c r="BM20">
        <f t="shared" si="42"/>
        <v>0.19137570805216575</v>
      </c>
      <c r="BN20">
        <v>6</v>
      </c>
      <c r="BO20">
        <v>0.5</v>
      </c>
      <c r="BP20" t="s">
        <v>271</v>
      </c>
      <c r="BQ20">
        <v>1567874368.4000001</v>
      </c>
      <c r="BR20">
        <v>98.343900000000005</v>
      </c>
      <c r="BS20">
        <v>99.968299999999999</v>
      </c>
      <c r="BT20">
        <v>16.866599999999998</v>
      </c>
      <c r="BU20">
        <v>15.5175</v>
      </c>
      <c r="BV20">
        <v>500.12</v>
      </c>
      <c r="BW20">
        <v>99.338499999999996</v>
      </c>
      <c r="BX20">
        <v>0.100025</v>
      </c>
      <c r="BY20">
        <v>24.271799999999999</v>
      </c>
      <c r="BZ20">
        <v>27.006399999999999</v>
      </c>
      <c r="CA20">
        <v>999.9</v>
      </c>
      <c r="CB20">
        <v>9988.75</v>
      </c>
      <c r="CC20">
        <v>0</v>
      </c>
      <c r="CD20">
        <v>1384.45</v>
      </c>
      <c r="CE20">
        <v>1749.79</v>
      </c>
      <c r="CF20">
        <v>0.97700500000000001</v>
      </c>
      <c r="CG20">
        <v>2.29946E-2</v>
      </c>
      <c r="CH20">
        <v>0</v>
      </c>
      <c r="CI20">
        <v>869.19500000000005</v>
      </c>
      <c r="CJ20">
        <v>4.99986</v>
      </c>
      <c r="CK20">
        <v>17727.2</v>
      </c>
      <c r="CL20">
        <v>14219.1</v>
      </c>
      <c r="CM20">
        <v>42.936999999999998</v>
      </c>
      <c r="CN20">
        <v>44.936999999999998</v>
      </c>
      <c r="CO20">
        <v>43.811999999999998</v>
      </c>
      <c r="CP20">
        <v>43.686999999999998</v>
      </c>
      <c r="CQ20">
        <v>44.561999999999998</v>
      </c>
      <c r="CR20">
        <v>1704.67</v>
      </c>
      <c r="CS20">
        <v>40.119999999999997</v>
      </c>
      <c r="CT20">
        <v>0</v>
      </c>
      <c r="CU20">
        <v>118.200000047684</v>
      </c>
      <c r="CV20">
        <v>869.37157692307699</v>
      </c>
      <c r="CW20">
        <v>-0.153196582176296</v>
      </c>
      <c r="CX20">
        <v>-39.487179502659203</v>
      </c>
      <c r="CY20">
        <v>17731.823076923101</v>
      </c>
      <c r="CZ20">
        <v>15</v>
      </c>
      <c r="DA20">
        <v>1567874323.9000001</v>
      </c>
      <c r="DB20" t="s">
        <v>292</v>
      </c>
      <c r="DC20">
        <v>35</v>
      </c>
      <c r="DD20">
        <v>-0.23200000000000001</v>
      </c>
      <c r="DE20">
        <v>9.5000000000000001E-2</v>
      </c>
      <c r="DF20">
        <v>100</v>
      </c>
      <c r="DG20">
        <v>15</v>
      </c>
      <c r="DH20">
        <v>0.22</v>
      </c>
      <c r="DI20">
        <v>0.04</v>
      </c>
      <c r="DJ20">
        <v>1.20227764101254</v>
      </c>
      <c r="DK20">
        <v>0.21472575506740599</v>
      </c>
      <c r="DL20">
        <v>6.0770732008737498E-2</v>
      </c>
      <c r="DM20">
        <v>1</v>
      </c>
      <c r="DN20">
        <v>5.7154515413330498E-2</v>
      </c>
      <c r="DO20">
        <v>-1.44561095845912E-3</v>
      </c>
      <c r="DP20">
        <v>2.0756239645799601E-3</v>
      </c>
      <c r="DQ20">
        <v>1</v>
      </c>
      <c r="DR20">
        <v>2</v>
      </c>
      <c r="DS20">
        <v>2</v>
      </c>
      <c r="DT20" t="s">
        <v>273</v>
      </c>
      <c r="DU20">
        <v>1.86676</v>
      </c>
      <c r="DV20">
        <v>1.8632500000000001</v>
      </c>
      <c r="DW20">
        <v>1.8689199999999999</v>
      </c>
      <c r="DX20">
        <v>1.8669100000000001</v>
      </c>
      <c r="DY20">
        <v>1.8715299999999999</v>
      </c>
      <c r="DZ20">
        <v>1.8640099999999999</v>
      </c>
      <c r="EA20">
        <v>1.8656699999999999</v>
      </c>
      <c r="EB20">
        <v>1.86554</v>
      </c>
      <c r="EC20" t="s">
        <v>274</v>
      </c>
      <c r="ED20" t="s">
        <v>19</v>
      </c>
      <c r="EE20" t="s">
        <v>19</v>
      </c>
      <c r="EF20" t="s">
        <v>19</v>
      </c>
      <c r="EG20" t="s">
        <v>275</v>
      </c>
      <c r="EH20" t="s">
        <v>276</v>
      </c>
      <c r="EI20" t="s">
        <v>277</v>
      </c>
      <c r="EJ20" t="s">
        <v>277</v>
      </c>
      <c r="EK20" t="s">
        <v>277</v>
      </c>
      <c r="EL20" t="s">
        <v>277</v>
      </c>
      <c r="EM20">
        <v>0</v>
      </c>
      <c r="EN20">
        <v>100</v>
      </c>
      <c r="EO20">
        <v>100</v>
      </c>
      <c r="EP20">
        <v>-0.23200000000000001</v>
      </c>
      <c r="EQ20">
        <v>9.5000000000000001E-2</v>
      </c>
      <c r="ER20">
        <v>2</v>
      </c>
      <c r="ES20">
        <v>504.10899999999998</v>
      </c>
      <c r="ET20">
        <v>505.726</v>
      </c>
      <c r="EU20">
        <v>18.273700000000002</v>
      </c>
      <c r="EV20">
        <v>30.9481</v>
      </c>
      <c r="EW20">
        <v>29.999199999999998</v>
      </c>
      <c r="EX20">
        <v>30.923500000000001</v>
      </c>
      <c r="EY20">
        <v>30.912299999999998</v>
      </c>
      <c r="EZ20">
        <v>8.0290400000000002</v>
      </c>
      <c r="FA20">
        <v>44.009799999999998</v>
      </c>
      <c r="FB20">
        <v>0</v>
      </c>
      <c r="FC20">
        <v>18.292400000000001</v>
      </c>
      <c r="FD20">
        <v>100</v>
      </c>
      <c r="FE20">
        <v>15.5191</v>
      </c>
      <c r="FF20">
        <v>101.19499999999999</v>
      </c>
      <c r="FG20">
        <v>101.648</v>
      </c>
    </row>
    <row r="21" spans="1:163" x14ac:dyDescent="0.35">
      <c r="A21">
        <v>5</v>
      </c>
      <c r="B21">
        <v>1567874465</v>
      </c>
      <c r="C21">
        <v>455.59999990463302</v>
      </c>
      <c r="D21" t="s">
        <v>293</v>
      </c>
      <c r="E21" t="s">
        <v>294</v>
      </c>
      <c r="G21">
        <v>1567874465</v>
      </c>
      <c r="H21">
        <f t="shared" si="0"/>
        <v>1.2912571823157112E-3</v>
      </c>
      <c r="I21">
        <f t="shared" si="1"/>
        <v>-0.83027714322165747</v>
      </c>
      <c r="J21">
        <f t="shared" si="2"/>
        <v>15.996</v>
      </c>
      <c r="K21">
        <f t="shared" si="3"/>
        <v>35.350024423013352</v>
      </c>
      <c r="L21">
        <f t="shared" si="4"/>
        <v>3.5152081607756447</v>
      </c>
      <c r="M21">
        <f t="shared" si="5"/>
        <v>1.5906430238039999</v>
      </c>
      <c r="N21">
        <f t="shared" si="6"/>
        <v>6.6828500050965425E-2</v>
      </c>
      <c r="O21">
        <f t="shared" si="7"/>
        <v>2.250265409680519</v>
      </c>
      <c r="P21">
        <f t="shared" si="8"/>
        <v>6.5745188665118734E-2</v>
      </c>
      <c r="Q21">
        <f t="shared" si="9"/>
        <v>4.118661134187826E-2</v>
      </c>
      <c r="R21">
        <f t="shared" si="10"/>
        <v>281.55566925126851</v>
      </c>
      <c r="S21">
        <f t="shared" si="11"/>
        <v>25.997486062695618</v>
      </c>
      <c r="T21">
        <f t="shared" si="12"/>
        <v>27.0276</v>
      </c>
      <c r="U21">
        <f t="shared" si="13"/>
        <v>3.5849656755723847</v>
      </c>
      <c r="V21">
        <f t="shared" si="14"/>
        <v>55.200035634172572</v>
      </c>
      <c r="W21">
        <f t="shared" si="15"/>
        <v>1.6836691896434999</v>
      </c>
      <c r="X21">
        <f t="shared" si="16"/>
        <v>3.0501233745602772</v>
      </c>
      <c r="Y21">
        <f t="shared" si="17"/>
        <v>1.9012964859288848</v>
      </c>
      <c r="Z21">
        <f t="shared" si="18"/>
        <v>-56.944441740122862</v>
      </c>
      <c r="AA21">
        <f t="shared" si="19"/>
        <v>-330.40496692609707</v>
      </c>
      <c r="AB21">
        <f t="shared" si="20"/>
        <v>-31.267255413168904</v>
      </c>
      <c r="AC21">
        <f t="shared" si="21"/>
        <v>-137.06099482812033</v>
      </c>
      <c r="AD21">
        <v>-4.1190892915515698E-2</v>
      </c>
      <c r="AE21">
        <v>4.6240385818075699E-2</v>
      </c>
      <c r="AF21">
        <v>3.45569523973063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53001.346175737068</v>
      </c>
      <c r="AL21" t="s">
        <v>268</v>
      </c>
      <c r="AM21">
        <v>631.89076923076902</v>
      </c>
      <c r="AN21">
        <v>3514.37</v>
      </c>
      <c r="AO21">
        <f t="shared" si="25"/>
        <v>2882.479230769231</v>
      </c>
      <c r="AP21">
        <f t="shared" si="26"/>
        <v>0.82019799587670938</v>
      </c>
      <c r="AQ21">
        <v>-1.4218795309761501</v>
      </c>
      <c r="AR21" t="s">
        <v>295</v>
      </c>
      <c r="AS21">
        <v>873.63607692307698</v>
      </c>
      <c r="AT21">
        <v>978.57799999999997</v>
      </c>
      <c r="AU21">
        <f t="shared" si="27"/>
        <v>0.10723920124601516</v>
      </c>
      <c r="AV21">
        <v>0.5</v>
      </c>
      <c r="AW21">
        <f t="shared" si="28"/>
        <v>1471.2129000963594</v>
      </c>
      <c r="AX21">
        <f t="shared" si="29"/>
        <v>-0.83027714322165747</v>
      </c>
      <c r="AY21">
        <f t="shared" si="30"/>
        <v>78.88584813458354</v>
      </c>
      <c r="AZ21">
        <f t="shared" si="31"/>
        <v>0.40660836438178666</v>
      </c>
      <c r="BA21">
        <f t="shared" si="32"/>
        <v>4.0211881483349194E-4</v>
      </c>
      <c r="BB21">
        <f t="shared" si="33"/>
        <v>2.5913028905207351</v>
      </c>
      <c r="BC21" t="s">
        <v>296</v>
      </c>
      <c r="BD21">
        <v>580.67999999999995</v>
      </c>
      <c r="BE21">
        <f t="shared" si="34"/>
        <v>397.89800000000002</v>
      </c>
      <c r="BF21">
        <f t="shared" si="35"/>
        <v>0.26374076541456098</v>
      </c>
      <c r="BG21">
        <f t="shared" si="36"/>
        <v>0.8643694459878174</v>
      </c>
      <c r="BH21">
        <f t="shared" si="37"/>
        <v>0.30269912982972419</v>
      </c>
      <c r="BI21">
        <f t="shared" si="38"/>
        <v>0.87972602644678466</v>
      </c>
      <c r="BJ21">
        <f t="shared" si="39"/>
        <v>1750.01</v>
      </c>
      <c r="BK21">
        <f t="shared" si="40"/>
        <v>1471.2129000963594</v>
      </c>
      <c r="BL21">
        <f t="shared" si="41"/>
        <v>0.84068828183630917</v>
      </c>
      <c r="BM21">
        <f t="shared" si="42"/>
        <v>0.1913765636726184</v>
      </c>
      <c r="BN21">
        <v>6</v>
      </c>
      <c r="BO21">
        <v>0.5</v>
      </c>
      <c r="BP21" t="s">
        <v>271</v>
      </c>
      <c r="BQ21">
        <v>1567874465</v>
      </c>
      <c r="BR21">
        <v>15.996</v>
      </c>
      <c r="BS21">
        <v>15.0245</v>
      </c>
      <c r="BT21">
        <v>16.9315</v>
      </c>
      <c r="BU21">
        <v>15.408300000000001</v>
      </c>
      <c r="BV21">
        <v>500.024</v>
      </c>
      <c r="BW21">
        <v>99.34</v>
      </c>
      <c r="BX21">
        <v>0.100049</v>
      </c>
      <c r="BY21">
        <v>24.304099999999998</v>
      </c>
      <c r="BZ21">
        <v>27.0276</v>
      </c>
      <c r="CA21">
        <v>999.9</v>
      </c>
      <c r="CB21">
        <v>9999.3799999999992</v>
      </c>
      <c r="CC21">
        <v>0</v>
      </c>
      <c r="CD21">
        <v>1405.16</v>
      </c>
      <c r="CE21">
        <v>1750.01</v>
      </c>
      <c r="CF21">
        <v>0.97699100000000005</v>
      </c>
      <c r="CG21">
        <v>2.3009499999999999E-2</v>
      </c>
      <c r="CH21">
        <v>0</v>
      </c>
      <c r="CI21">
        <v>873.90499999999997</v>
      </c>
      <c r="CJ21">
        <v>4.99986</v>
      </c>
      <c r="CK21">
        <v>17858</v>
      </c>
      <c r="CL21">
        <v>14220.8</v>
      </c>
      <c r="CM21">
        <v>43.061999999999998</v>
      </c>
      <c r="CN21">
        <v>45.125</v>
      </c>
      <c r="CO21">
        <v>43.936999999999998</v>
      </c>
      <c r="CP21">
        <v>43.936999999999998</v>
      </c>
      <c r="CQ21">
        <v>44.75</v>
      </c>
      <c r="CR21">
        <v>1704.86</v>
      </c>
      <c r="CS21">
        <v>40.15</v>
      </c>
      <c r="CT21">
        <v>0</v>
      </c>
      <c r="CU21">
        <v>96.399999856948895</v>
      </c>
      <c r="CV21">
        <v>873.63607692307698</v>
      </c>
      <c r="CW21">
        <v>0.58817093040092305</v>
      </c>
      <c r="CX21">
        <v>97.172650053769701</v>
      </c>
      <c r="CY21">
        <v>17847.273076923098</v>
      </c>
      <c r="CZ21">
        <v>15</v>
      </c>
      <c r="DA21">
        <v>1567874451.4000001</v>
      </c>
      <c r="DB21" t="s">
        <v>297</v>
      </c>
      <c r="DC21">
        <v>36</v>
      </c>
      <c r="DD21">
        <v>-0.39800000000000002</v>
      </c>
      <c r="DE21">
        <v>9.8000000000000004E-2</v>
      </c>
      <c r="DF21">
        <v>15</v>
      </c>
      <c r="DG21">
        <v>15</v>
      </c>
      <c r="DH21">
        <v>0.32</v>
      </c>
      <c r="DI21">
        <v>0.06</v>
      </c>
      <c r="DJ21">
        <v>-0.45811499736216199</v>
      </c>
      <c r="DK21">
        <v>1.09703624993376E-2</v>
      </c>
      <c r="DL21">
        <v>0.38559095101422303</v>
      </c>
      <c r="DM21">
        <v>1</v>
      </c>
      <c r="DN21">
        <v>2.6190331473944801E-2</v>
      </c>
      <c r="DO21">
        <v>2.92179423484322E-2</v>
      </c>
      <c r="DP21">
        <v>3.0314725896665499E-2</v>
      </c>
      <c r="DQ21">
        <v>1</v>
      </c>
      <c r="DR21">
        <v>2</v>
      </c>
      <c r="DS21">
        <v>2</v>
      </c>
      <c r="DT21" t="s">
        <v>273</v>
      </c>
      <c r="DU21">
        <v>1.86676</v>
      </c>
      <c r="DV21">
        <v>1.8632500000000001</v>
      </c>
      <c r="DW21">
        <v>1.8689199999999999</v>
      </c>
      <c r="DX21">
        <v>1.8668899999999999</v>
      </c>
      <c r="DY21">
        <v>1.8715599999999999</v>
      </c>
      <c r="DZ21">
        <v>1.8640099999999999</v>
      </c>
      <c r="EA21">
        <v>1.86564</v>
      </c>
      <c r="EB21">
        <v>1.86554</v>
      </c>
      <c r="EC21" t="s">
        <v>274</v>
      </c>
      <c r="ED21" t="s">
        <v>19</v>
      </c>
      <c r="EE21" t="s">
        <v>19</v>
      </c>
      <c r="EF21" t="s">
        <v>19</v>
      </c>
      <c r="EG21" t="s">
        <v>275</v>
      </c>
      <c r="EH21" t="s">
        <v>276</v>
      </c>
      <c r="EI21" t="s">
        <v>277</v>
      </c>
      <c r="EJ21" t="s">
        <v>277</v>
      </c>
      <c r="EK21" t="s">
        <v>277</v>
      </c>
      <c r="EL21" t="s">
        <v>277</v>
      </c>
      <c r="EM21">
        <v>0</v>
      </c>
      <c r="EN21">
        <v>100</v>
      </c>
      <c r="EO21">
        <v>100</v>
      </c>
      <c r="EP21">
        <v>-0.39800000000000002</v>
      </c>
      <c r="EQ21">
        <v>9.8000000000000004E-2</v>
      </c>
      <c r="ER21">
        <v>2</v>
      </c>
      <c r="ES21">
        <v>503.11500000000001</v>
      </c>
      <c r="ET21">
        <v>504.8</v>
      </c>
      <c r="EU21">
        <v>18.035499999999999</v>
      </c>
      <c r="EV21">
        <v>30.929200000000002</v>
      </c>
      <c r="EW21">
        <v>29.9998</v>
      </c>
      <c r="EX21">
        <v>30.921600000000002</v>
      </c>
      <c r="EY21">
        <v>30.912500000000001</v>
      </c>
      <c r="EZ21">
        <v>3.9710200000000002</v>
      </c>
      <c r="FA21">
        <v>45.066000000000003</v>
      </c>
      <c r="FB21">
        <v>0</v>
      </c>
      <c r="FC21">
        <v>18.019400000000001</v>
      </c>
      <c r="FD21">
        <v>15</v>
      </c>
      <c r="FE21">
        <v>15.3535</v>
      </c>
      <c r="FF21">
        <v>101.205</v>
      </c>
      <c r="FG21">
        <v>101.664</v>
      </c>
    </row>
    <row r="22" spans="1:163" x14ac:dyDescent="0.35">
      <c r="A22">
        <v>6</v>
      </c>
      <c r="B22">
        <v>1567874585.9000001</v>
      </c>
      <c r="C22">
        <v>576.5</v>
      </c>
      <c r="D22" t="s">
        <v>298</v>
      </c>
      <c r="E22" t="s">
        <v>299</v>
      </c>
      <c r="G22">
        <v>1567874585.9000001</v>
      </c>
      <c r="H22">
        <f t="shared" si="0"/>
        <v>1.6361934510896799E-3</v>
      </c>
      <c r="I22">
        <f t="shared" si="1"/>
        <v>10.430836786823841</v>
      </c>
      <c r="J22">
        <f t="shared" si="2"/>
        <v>386.755</v>
      </c>
      <c r="K22">
        <f t="shared" si="3"/>
        <v>181.03115999627244</v>
      </c>
      <c r="L22">
        <f t="shared" si="4"/>
        <v>18.00181331589841</v>
      </c>
      <c r="M22">
        <f t="shared" si="5"/>
        <v>38.459076929815005</v>
      </c>
      <c r="N22">
        <f t="shared" si="6"/>
        <v>8.6281069486376261E-2</v>
      </c>
      <c r="O22">
        <f t="shared" si="7"/>
        <v>2.2500787855953517</v>
      </c>
      <c r="P22">
        <f t="shared" si="8"/>
        <v>8.448429765612829E-2</v>
      </c>
      <c r="Q22">
        <f t="shared" si="9"/>
        <v>5.296100240462677E-2</v>
      </c>
      <c r="R22">
        <f t="shared" si="10"/>
        <v>281.5833500244957</v>
      </c>
      <c r="S22">
        <f t="shared" si="11"/>
        <v>25.973707339723266</v>
      </c>
      <c r="T22">
        <f t="shared" si="12"/>
        <v>26.925999999999998</v>
      </c>
      <c r="U22">
        <f t="shared" si="13"/>
        <v>3.5636334146085971</v>
      </c>
      <c r="V22">
        <f t="shared" si="14"/>
        <v>55.063220093394435</v>
      </c>
      <c r="W22">
        <f t="shared" si="15"/>
        <v>1.6886473733595</v>
      </c>
      <c r="X22">
        <f t="shared" si="16"/>
        <v>3.0667428648294321</v>
      </c>
      <c r="Y22">
        <f t="shared" si="17"/>
        <v>1.8749860412490971</v>
      </c>
      <c r="Z22">
        <f t="shared" si="18"/>
        <v>-72.15613119305489</v>
      </c>
      <c r="AA22">
        <f t="shared" si="19"/>
        <v>-307.05037364419866</v>
      </c>
      <c r="AB22">
        <f t="shared" si="20"/>
        <v>-29.057874174823542</v>
      </c>
      <c r="AC22">
        <f t="shared" si="21"/>
        <v>-126.68102898758139</v>
      </c>
      <c r="AD22">
        <v>-4.1185868378541698E-2</v>
      </c>
      <c r="AE22">
        <v>4.6234745335148798E-2</v>
      </c>
      <c r="AF22">
        <v>3.4553615752119602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52978.991177405434</v>
      </c>
      <c r="AL22" t="s">
        <v>268</v>
      </c>
      <c r="AM22">
        <v>631.89076923076902</v>
      </c>
      <c r="AN22">
        <v>3514.37</v>
      </c>
      <c r="AO22">
        <f t="shared" si="25"/>
        <v>2882.479230769231</v>
      </c>
      <c r="AP22">
        <f t="shared" si="26"/>
        <v>0.82019799587670938</v>
      </c>
      <c r="AQ22">
        <v>-1.4218795309761501</v>
      </c>
      <c r="AR22" t="s">
        <v>300</v>
      </c>
      <c r="AS22">
        <v>845.47276923076902</v>
      </c>
      <c r="AT22">
        <v>1007.52</v>
      </c>
      <c r="AU22">
        <f t="shared" si="27"/>
        <v>0.16083773103187127</v>
      </c>
      <c r="AV22">
        <v>0.5</v>
      </c>
      <c r="AW22">
        <f t="shared" si="28"/>
        <v>1471.355993212549</v>
      </c>
      <c r="AX22">
        <f t="shared" si="29"/>
        <v>10.430836786823841</v>
      </c>
      <c r="AY22">
        <f t="shared" si="30"/>
        <v>118.32477974422588</v>
      </c>
      <c r="AZ22">
        <f t="shared" si="31"/>
        <v>0.45071065586787362</v>
      </c>
      <c r="BA22">
        <f t="shared" si="32"/>
        <v>8.0556414439994558E-3</v>
      </c>
      <c r="BB22">
        <f t="shared" si="33"/>
        <v>2.488139193266635</v>
      </c>
      <c r="BC22" t="s">
        <v>301</v>
      </c>
      <c r="BD22">
        <v>553.41999999999996</v>
      </c>
      <c r="BE22">
        <f t="shared" si="34"/>
        <v>454.1</v>
      </c>
      <c r="BF22">
        <f t="shared" si="35"/>
        <v>0.3568536242440673</v>
      </c>
      <c r="BG22">
        <f t="shared" si="36"/>
        <v>0.84663705905199349</v>
      </c>
      <c r="BH22">
        <f t="shared" si="37"/>
        <v>0.43140207815399012</v>
      </c>
      <c r="BI22">
        <f t="shared" si="38"/>
        <v>0.86968536433513555</v>
      </c>
      <c r="BJ22">
        <f t="shared" si="39"/>
        <v>1750.18</v>
      </c>
      <c r="BK22">
        <f t="shared" si="40"/>
        <v>1471.355993212549</v>
      </c>
      <c r="BL22">
        <f t="shared" si="41"/>
        <v>0.8406883824592607</v>
      </c>
      <c r="BM22">
        <f t="shared" si="42"/>
        <v>0.19137676491852149</v>
      </c>
      <c r="BN22">
        <v>6</v>
      </c>
      <c r="BO22">
        <v>0.5</v>
      </c>
      <c r="BP22" t="s">
        <v>271</v>
      </c>
      <c r="BQ22">
        <v>1567874585.9000001</v>
      </c>
      <c r="BR22">
        <v>386.755</v>
      </c>
      <c r="BS22">
        <v>400.02800000000002</v>
      </c>
      <c r="BT22">
        <v>16.9815</v>
      </c>
      <c r="BU22">
        <v>15.0519</v>
      </c>
      <c r="BV22">
        <v>500.12700000000001</v>
      </c>
      <c r="BW22">
        <v>99.340400000000002</v>
      </c>
      <c r="BX22">
        <v>0.100013</v>
      </c>
      <c r="BY22">
        <v>24.3948</v>
      </c>
      <c r="BZ22">
        <v>26.925999999999998</v>
      </c>
      <c r="CA22">
        <v>999.9</v>
      </c>
      <c r="CB22">
        <v>9998.1200000000008</v>
      </c>
      <c r="CC22">
        <v>0</v>
      </c>
      <c r="CD22">
        <v>1408.65</v>
      </c>
      <c r="CE22">
        <v>1750.18</v>
      </c>
      <c r="CF22">
        <v>0.97699100000000005</v>
      </c>
      <c r="CG22">
        <v>2.3009499999999999E-2</v>
      </c>
      <c r="CH22">
        <v>0</v>
      </c>
      <c r="CI22">
        <v>845.45100000000002</v>
      </c>
      <c r="CJ22">
        <v>4.99986</v>
      </c>
      <c r="CK22">
        <v>17372.3</v>
      </c>
      <c r="CL22">
        <v>14222.2</v>
      </c>
      <c r="CM22">
        <v>43.186999999999998</v>
      </c>
      <c r="CN22">
        <v>45.25</v>
      </c>
      <c r="CO22">
        <v>44.061999999999998</v>
      </c>
      <c r="CP22">
        <v>43.875</v>
      </c>
      <c r="CQ22">
        <v>44.811999999999998</v>
      </c>
      <c r="CR22">
        <v>1705.03</v>
      </c>
      <c r="CS22">
        <v>40.159999999999997</v>
      </c>
      <c r="CT22">
        <v>0</v>
      </c>
      <c r="CU22">
        <v>120.39999985694899</v>
      </c>
      <c r="CV22">
        <v>845.47276923076902</v>
      </c>
      <c r="CW22">
        <v>-1.27083762048428</v>
      </c>
      <c r="CX22">
        <v>29.264958270895399</v>
      </c>
      <c r="CY22">
        <v>17365.007692307699</v>
      </c>
      <c r="CZ22">
        <v>15</v>
      </c>
      <c r="DA22">
        <v>1567874544.4000001</v>
      </c>
      <c r="DB22" t="s">
        <v>302</v>
      </c>
      <c r="DC22">
        <v>37</v>
      </c>
      <c r="DD22">
        <v>-0.17299999999999999</v>
      </c>
      <c r="DE22">
        <v>9.2999999999999999E-2</v>
      </c>
      <c r="DF22">
        <v>400</v>
      </c>
      <c r="DG22">
        <v>15</v>
      </c>
      <c r="DH22">
        <v>0.11</v>
      </c>
      <c r="DI22">
        <v>0.06</v>
      </c>
      <c r="DJ22">
        <v>9.6544146587505395</v>
      </c>
      <c r="DK22">
        <v>6.4554807093827398</v>
      </c>
      <c r="DL22">
        <v>2.3945255702970498</v>
      </c>
      <c r="DM22">
        <v>0</v>
      </c>
      <c r="DN22">
        <v>7.7481459966868296E-2</v>
      </c>
      <c r="DO22">
        <v>6.7474703002050704E-2</v>
      </c>
      <c r="DP22">
        <v>1.9925762837213701E-2</v>
      </c>
      <c r="DQ22">
        <v>1</v>
      </c>
      <c r="DR22">
        <v>1</v>
      </c>
      <c r="DS22">
        <v>2</v>
      </c>
      <c r="DT22" t="s">
        <v>303</v>
      </c>
      <c r="DU22">
        <v>1.86676</v>
      </c>
      <c r="DV22">
        <v>1.8632500000000001</v>
      </c>
      <c r="DW22">
        <v>1.86894</v>
      </c>
      <c r="DX22">
        <v>1.8669100000000001</v>
      </c>
      <c r="DY22">
        <v>1.87155</v>
      </c>
      <c r="DZ22">
        <v>1.86402</v>
      </c>
      <c r="EA22">
        <v>1.86565</v>
      </c>
      <c r="EB22">
        <v>1.86555</v>
      </c>
      <c r="EC22" t="s">
        <v>274</v>
      </c>
      <c r="ED22" t="s">
        <v>19</v>
      </c>
      <c r="EE22" t="s">
        <v>19</v>
      </c>
      <c r="EF22" t="s">
        <v>19</v>
      </c>
      <c r="EG22" t="s">
        <v>275</v>
      </c>
      <c r="EH22" t="s">
        <v>276</v>
      </c>
      <c r="EI22" t="s">
        <v>277</v>
      </c>
      <c r="EJ22" t="s">
        <v>277</v>
      </c>
      <c r="EK22" t="s">
        <v>277</v>
      </c>
      <c r="EL22" t="s">
        <v>277</v>
      </c>
      <c r="EM22">
        <v>0</v>
      </c>
      <c r="EN22">
        <v>100</v>
      </c>
      <c r="EO22">
        <v>100</v>
      </c>
      <c r="EP22">
        <v>-0.17299999999999999</v>
      </c>
      <c r="EQ22">
        <v>9.2999999999999999E-2</v>
      </c>
      <c r="ER22">
        <v>2</v>
      </c>
      <c r="ES22">
        <v>504.42200000000003</v>
      </c>
      <c r="ET22">
        <v>505.34500000000003</v>
      </c>
      <c r="EU22">
        <v>18.989799999999999</v>
      </c>
      <c r="EV22">
        <v>30.9481</v>
      </c>
      <c r="EW22">
        <v>30.0002</v>
      </c>
      <c r="EX22">
        <v>30.9435</v>
      </c>
      <c r="EY22">
        <v>30.938600000000001</v>
      </c>
      <c r="EZ22">
        <v>21.7652</v>
      </c>
      <c r="FA22">
        <v>46.840400000000002</v>
      </c>
      <c r="FB22">
        <v>0</v>
      </c>
      <c r="FC22">
        <v>19.040600000000001</v>
      </c>
      <c r="FD22">
        <v>400</v>
      </c>
      <c r="FE22">
        <v>14.979100000000001</v>
      </c>
      <c r="FF22">
        <v>101.196</v>
      </c>
      <c r="FG22">
        <v>101.649</v>
      </c>
    </row>
    <row r="23" spans="1:163" x14ac:dyDescent="0.35">
      <c r="A23">
        <v>7</v>
      </c>
      <c r="B23">
        <v>1567874706.4000001</v>
      </c>
      <c r="C23">
        <v>697</v>
      </c>
      <c r="D23" t="s">
        <v>304</v>
      </c>
      <c r="E23" t="s">
        <v>305</v>
      </c>
      <c r="G23">
        <v>1567874706.4000001</v>
      </c>
      <c r="H23">
        <f t="shared" si="0"/>
        <v>1.0898916747203282E-3</v>
      </c>
      <c r="I23">
        <f t="shared" si="1"/>
        <v>8.4833731352731103</v>
      </c>
      <c r="J23">
        <f t="shared" si="2"/>
        <v>389.29300000000001</v>
      </c>
      <c r="K23">
        <f t="shared" si="3"/>
        <v>136.54742955808061</v>
      </c>
      <c r="L23">
        <f t="shared" si="4"/>
        <v>13.578085638496443</v>
      </c>
      <c r="M23">
        <f t="shared" si="5"/>
        <v>38.710752077679004</v>
      </c>
      <c r="N23">
        <f t="shared" si="6"/>
        <v>5.6178326906432048E-2</v>
      </c>
      <c r="O23">
        <f t="shared" si="7"/>
        <v>2.244114929504943</v>
      </c>
      <c r="P23">
        <f t="shared" si="8"/>
        <v>5.5408576286284761E-2</v>
      </c>
      <c r="Q23">
        <f t="shared" si="9"/>
        <v>3.4698640506903702E-2</v>
      </c>
      <c r="R23">
        <f t="shared" si="10"/>
        <v>281.530133402893</v>
      </c>
      <c r="S23">
        <f t="shared" si="11"/>
        <v>26.162710758470642</v>
      </c>
      <c r="T23">
        <f t="shared" si="12"/>
        <v>27.077200000000001</v>
      </c>
      <c r="U23">
        <f t="shared" si="13"/>
        <v>3.5954202808462425</v>
      </c>
      <c r="V23">
        <f t="shared" si="14"/>
        <v>55.1430684620276</v>
      </c>
      <c r="W23">
        <f t="shared" si="15"/>
        <v>1.69145063703</v>
      </c>
      <c r="X23">
        <f t="shared" si="16"/>
        <v>3.067385773417306</v>
      </c>
      <c r="Y23">
        <f t="shared" si="17"/>
        <v>1.9039696438162426</v>
      </c>
      <c r="Z23">
        <f t="shared" si="18"/>
        <v>-48.06422285516647</v>
      </c>
      <c r="AA23">
        <f t="shared" si="19"/>
        <v>-324.10597733649377</v>
      </c>
      <c r="AB23">
        <f t="shared" si="20"/>
        <v>-30.777419303275789</v>
      </c>
      <c r="AC23">
        <f t="shared" si="21"/>
        <v>-121.41748609204302</v>
      </c>
      <c r="AD23">
        <v>-4.1025499647521502E-2</v>
      </c>
      <c r="AE23">
        <v>4.6054717385506198E-2</v>
      </c>
      <c r="AF23">
        <v>3.4447046125026799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52780.350918587974</v>
      </c>
      <c r="AL23" t="s">
        <v>268</v>
      </c>
      <c r="AM23">
        <v>631.89076923076902</v>
      </c>
      <c r="AN23">
        <v>3514.37</v>
      </c>
      <c r="AO23">
        <f t="shared" si="25"/>
        <v>2882.479230769231</v>
      </c>
      <c r="AP23">
        <f t="shared" si="26"/>
        <v>0.82019799587670938</v>
      </c>
      <c r="AQ23">
        <v>-1.4218795309761501</v>
      </c>
      <c r="AR23" t="s">
        <v>306</v>
      </c>
      <c r="AS23">
        <v>844.15657692307695</v>
      </c>
      <c r="AT23">
        <v>1000.66</v>
      </c>
      <c r="AU23">
        <f t="shared" si="27"/>
        <v>0.15640019894561896</v>
      </c>
      <c r="AV23">
        <v>0.5</v>
      </c>
      <c r="AW23">
        <f t="shared" si="28"/>
        <v>1471.0785000963681</v>
      </c>
      <c r="AX23">
        <f t="shared" si="29"/>
        <v>8.4833731352731103</v>
      </c>
      <c r="AY23">
        <f t="shared" si="30"/>
        <v>115.03848503984736</v>
      </c>
      <c r="AZ23">
        <f t="shared" si="31"/>
        <v>0.44586572861911139</v>
      </c>
      <c r="BA23">
        <f t="shared" si="32"/>
        <v>6.7333270560343194E-3</v>
      </c>
      <c r="BB23">
        <f t="shared" si="33"/>
        <v>2.5120520456498712</v>
      </c>
      <c r="BC23" t="s">
        <v>307</v>
      </c>
      <c r="BD23">
        <v>554.5</v>
      </c>
      <c r="BE23">
        <f t="shared" si="34"/>
        <v>446.15999999999997</v>
      </c>
      <c r="BF23">
        <f t="shared" si="35"/>
        <v>0.35077869615591495</v>
      </c>
      <c r="BG23">
        <f t="shared" si="36"/>
        <v>0.84926365009274063</v>
      </c>
      <c r="BH23">
        <f t="shared" si="37"/>
        <v>0.42439392991239011</v>
      </c>
      <c r="BI23">
        <f t="shared" si="38"/>
        <v>0.87206526006058349</v>
      </c>
      <c r="BJ23">
        <f t="shared" si="39"/>
        <v>1749.85</v>
      </c>
      <c r="BK23">
        <f t="shared" si="40"/>
        <v>1471.0785000963681</v>
      </c>
      <c r="BL23">
        <f t="shared" si="41"/>
        <v>0.8406883447703335</v>
      </c>
      <c r="BM23">
        <f t="shared" si="42"/>
        <v>0.19137668954066719</v>
      </c>
      <c r="BN23">
        <v>6</v>
      </c>
      <c r="BO23">
        <v>0.5</v>
      </c>
      <c r="BP23" t="s">
        <v>271</v>
      </c>
      <c r="BQ23">
        <v>1567874706.4000001</v>
      </c>
      <c r="BR23">
        <v>389.29300000000001</v>
      </c>
      <c r="BS23">
        <v>399.98200000000003</v>
      </c>
      <c r="BT23">
        <v>17.010000000000002</v>
      </c>
      <c r="BU23">
        <v>15.724399999999999</v>
      </c>
      <c r="BV23">
        <v>500.00900000000001</v>
      </c>
      <c r="BW23">
        <v>99.338499999999996</v>
      </c>
      <c r="BX23">
        <v>0.100103</v>
      </c>
      <c r="BY23">
        <v>24.398299999999999</v>
      </c>
      <c r="BZ23">
        <v>27.077200000000001</v>
      </c>
      <c r="CA23">
        <v>999.9</v>
      </c>
      <c r="CB23">
        <v>9959.3799999999992</v>
      </c>
      <c r="CC23">
        <v>0</v>
      </c>
      <c r="CD23">
        <v>1419.91</v>
      </c>
      <c r="CE23">
        <v>1749.85</v>
      </c>
      <c r="CF23">
        <v>0.97699100000000005</v>
      </c>
      <c r="CG23">
        <v>2.3009499999999999E-2</v>
      </c>
      <c r="CH23">
        <v>0</v>
      </c>
      <c r="CI23">
        <v>844.202</v>
      </c>
      <c r="CJ23">
        <v>4.99986</v>
      </c>
      <c r="CK23">
        <v>17368.400000000001</v>
      </c>
      <c r="CL23">
        <v>14219.5</v>
      </c>
      <c r="CM23">
        <v>43.186999999999998</v>
      </c>
      <c r="CN23">
        <v>45.186999999999998</v>
      </c>
      <c r="CO23">
        <v>44.125</v>
      </c>
      <c r="CP23">
        <v>43.936999999999998</v>
      </c>
      <c r="CQ23">
        <v>44.875</v>
      </c>
      <c r="CR23">
        <v>1704.7</v>
      </c>
      <c r="CS23">
        <v>40.15</v>
      </c>
      <c r="CT23">
        <v>0</v>
      </c>
      <c r="CU23">
        <v>120</v>
      </c>
      <c r="CV23">
        <v>844.15657692307695</v>
      </c>
      <c r="CW23">
        <v>0.84680341894975597</v>
      </c>
      <c r="CX23">
        <v>47.199999959280902</v>
      </c>
      <c r="CY23">
        <v>17363.392307692298</v>
      </c>
      <c r="CZ23">
        <v>15</v>
      </c>
      <c r="DA23">
        <v>1567874637.9000001</v>
      </c>
      <c r="DB23" t="s">
        <v>308</v>
      </c>
      <c r="DC23">
        <v>38</v>
      </c>
      <c r="DD23">
        <v>-0.219</v>
      </c>
      <c r="DE23">
        <v>0.09</v>
      </c>
      <c r="DF23">
        <v>400</v>
      </c>
      <c r="DG23">
        <v>15</v>
      </c>
      <c r="DH23">
        <v>0.11</v>
      </c>
      <c r="DI23">
        <v>7.0000000000000007E-2</v>
      </c>
      <c r="DJ23">
        <v>8.8782399591363497</v>
      </c>
      <c r="DK23">
        <v>-1.1808384997185899</v>
      </c>
      <c r="DL23">
        <v>0.23052491812047299</v>
      </c>
      <c r="DM23">
        <v>0</v>
      </c>
      <c r="DN23">
        <v>5.9013842740309103E-2</v>
      </c>
      <c r="DO23">
        <v>-5.8918726682883997E-3</v>
      </c>
      <c r="DP23">
        <v>1.2899658573407001E-3</v>
      </c>
      <c r="DQ23">
        <v>1</v>
      </c>
      <c r="DR23">
        <v>1</v>
      </c>
      <c r="DS23">
        <v>2</v>
      </c>
      <c r="DT23" t="s">
        <v>303</v>
      </c>
      <c r="DU23">
        <v>1.86673</v>
      </c>
      <c r="DV23">
        <v>1.8632200000000001</v>
      </c>
      <c r="DW23">
        <v>1.8689</v>
      </c>
      <c r="DX23">
        <v>1.8668499999999999</v>
      </c>
      <c r="DY23">
        <v>1.8714900000000001</v>
      </c>
      <c r="DZ23">
        <v>1.8640099999999999</v>
      </c>
      <c r="EA23">
        <v>1.86555</v>
      </c>
      <c r="EB23">
        <v>1.86554</v>
      </c>
      <c r="EC23" t="s">
        <v>274</v>
      </c>
      <c r="ED23" t="s">
        <v>19</v>
      </c>
      <c r="EE23" t="s">
        <v>19</v>
      </c>
      <c r="EF23" t="s">
        <v>19</v>
      </c>
      <c r="EG23" t="s">
        <v>275</v>
      </c>
      <c r="EH23" t="s">
        <v>276</v>
      </c>
      <c r="EI23" t="s">
        <v>277</v>
      </c>
      <c r="EJ23" t="s">
        <v>277</v>
      </c>
      <c r="EK23" t="s">
        <v>277</v>
      </c>
      <c r="EL23" t="s">
        <v>277</v>
      </c>
      <c r="EM23">
        <v>0</v>
      </c>
      <c r="EN23">
        <v>100</v>
      </c>
      <c r="EO23">
        <v>100</v>
      </c>
      <c r="EP23">
        <v>-0.219</v>
      </c>
      <c r="EQ23">
        <v>0.09</v>
      </c>
      <c r="ER23">
        <v>2</v>
      </c>
      <c r="ES23">
        <v>504.416</v>
      </c>
      <c r="ET23">
        <v>505.42899999999997</v>
      </c>
      <c r="EU23">
        <v>17.754899999999999</v>
      </c>
      <c r="EV23">
        <v>30.964300000000001</v>
      </c>
      <c r="EW23">
        <v>30.000299999999999</v>
      </c>
      <c r="EX23">
        <v>30.9666</v>
      </c>
      <c r="EY23">
        <v>30.9617</v>
      </c>
      <c r="EZ23">
        <v>21.7745</v>
      </c>
      <c r="FA23">
        <v>43.962400000000002</v>
      </c>
      <c r="FB23">
        <v>0</v>
      </c>
      <c r="FC23">
        <v>17.679200000000002</v>
      </c>
      <c r="FD23">
        <v>400</v>
      </c>
      <c r="FE23">
        <v>15.7536</v>
      </c>
      <c r="FF23">
        <v>101.187</v>
      </c>
      <c r="FG23">
        <v>101.64</v>
      </c>
    </row>
    <row r="24" spans="1:163" x14ac:dyDescent="0.35">
      <c r="A24">
        <v>8</v>
      </c>
      <c r="B24">
        <v>1567874827</v>
      </c>
      <c r="C24">
        <v>817.59999990463302</v>
      </c>
      <c r="D24" t="s">
        <v>309</v>
      </c>
      <c r="E24" t="s">
        <v>310</v>
      </c>
      <c r="G24">
        <v>1567874827</v>
      </c>
      <c r="H24">
        <f t="shared" si="0"/>
        <v>1.051976840730744E-3</v>
      </c>
      <c r="I24">
        <f t="shared" si="1"/>
        <v>9.7211449707805588</v>
      </c>
      <c r="J24">
        <f t="shared" si="2"/>
        <v>487.72899999999998</v>
      </c>
      <c r="K24">
        <f t="shared" si="3"/>
        <v>188.72252325877042</v>
      </c>
      <c r="L24">
        <f t="shared" si="4"/>
        <v>18.766021361147299</v>
      </c>
      <c r="M24">
        <f t="shared" si="5"/>
        <v>48.498359784545002</v>
      </c>
      <c r="N24">
        <f t="shared" si="6"/>
        <v>5.4543947599489259E-2</v>
      </c>
      <c r="O24">
        <f t="shared" si="7"/>
        <v>2.2485938745356648</v>
      </c>
      <c r="P24">
        <f t="shared" si="8"/>
        <v>5.3819446900579541E-2</v>
      </c>
      <c r="Q24">
        <f t="shared" si="9"/>
        <v>3.3701446031465486E-2</v>
      </c>
      <c r="R24">
        <f t="shared" si="10"/>
        <v>281.52055745975929</v>
      </c>
      <c r="S24">
        <f t="shared" si="11"/>
        <v>25.972942838291132</v>
      </c>
      <c r="T24">
        <f t="shared" si="12"/>
        <v>26.943100000000001</v>
      </c>
      <c r="U24">
        <f t="shared" si="13"/>
        <v>3.5672160104926687</v>
      </c>
      <c r="V24">
        <f t="shared" si="14"/>
        <v>55.256986382121468</v>
      </c>
      <c r="W24">
        <f t="shared" si="15"/>
        <v>1.6748092158045</v>
      </c>
      <c r="X24">
        <f t="shared" si="16"/>
        <v>3.0309456332319793</v>
      </c>
      <c r="Y24">
        <f t="shared" si="17"/>
        <v>1.8924067946881686</v>
      </c>
      <c r="Z24">
        <f t="shared" si="18"/>
        <v>-46.392178676225811</v>
      </c>
      <c r="AA24">
        <f t="shared" si="19"/>
        <v>-332.66891873171795</v>
      </c>
      <c r="AB24">
        <f t="shared" si="20"/>
        <v>-31.474906678689372</v>
      </c>
      <c r="AC24">
        <f t="shared" si="21"/>
        <v>-129.01544662687382</v>
      </c>
      <c r="AD24">
        <v>-4.1145903087547203E-2</v>
      </c>
      <c r="AE24">
        <v>4.6189880794855698E-2</v>
      </c>
      <c r="AF24">
        <v>3.45270710091823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52964.491577833716</v>
      </c>
      <c r="AL24" t="s">
        <v>268</v>
      </c>
      <c r="AM24">
        <v>631.89076923076902</v>
      </c>
      <c r="AN24">
        <v>3514.37</v>
      </c>
      <c r="AO24">
        <f t="shared" si="25"/>
        <v>2882.479230769231</v>
      </c>
      <c r="AP24">
        <f t="shared" si="26"/>
        <v>0.82019799587670938</v>
      </c>
      <c r="AQ24">
        <v>-1.4218795309761501</v>
      </c>
      <c r="AR24" t="s">
        <v>311</v>
      </c>
      <c r="AS24">
        <v>840.64796153846203</v>
      </c>
      <c r="AT24">
        <v>999.81600000000003</v>
      </c>
      <c r="AU24">
        <f t="shared" si="27"/>
        <v>0.15919733077039977</v>
      </c>
      <c r="AV24">
        <v>0.5</v>
      </c>
      <c r="AW24">
        <f t="shared" si="28"/>
        <v>1471.0281000963712</v>
      </c>
      <c r="AX24">
        <f t="shared" si="29"/>
        <v>9.7211449707805588</v>
      </c>
      <c r="AY24">
        <f t="shared" si="30"/>
        <v>117.09187351179737</v>
      </c>
      <c r="AZ24">
        <f t="shared" si="31"/>
        <v>0.44391768085327699</v>
      </c>
      <c r="BA24">
        <f t="shared" si="32"/>
        <v>7.5749909203139615E-3</v>
      </c>
      <c r="BB24">
        <f t="shared" si="33"/>
        <v>2.5150167630844074</v>
      </c>
      <c r="BC24" t="s">
        <v>312</v>
      </c>
      <c r="BD24">
        <v>555.98</v>
      </c>
      <c r="BE24">
        <f t="shared" si="34"/>
        <v>443.83600000000001</v>
      </c>
      <c r="BF24">
        <f t="shared" si="35"/>
        <v>0.35861903599874279</v>
      </c>
      <c r="BG24">
        <f t="shared" si="36"/>
        <v>0.8499738033186971</v>
      </c>
      <c r="BH24">
        <f t="shared" si="37"/>
        <v>0.43260974010605679</v>
      </c>
      <c r="BI24">
        <f t="shared" si="38"/>
        <v>0.87235806355800016</v>
      </c>
      <c r="BJ24">
        <f t="shared" si="39"/>
        <v>1749.79</v>
      </c>
      <c r="BK24">
        <f t="shared" si="40"/>
        <v>1471.0281000963712</v>
      </c>
      <c r="BL24">
        <f t="shared" si="41"/>
        <v>0.84068836837355987</v>
      </c>
      <c r="BM24">
        <f t="shared" si="42"/>
        <v>0.19137673674712</v>
      </c>
      <c r="BN24">
        <v>6</v>
      </c>
      <c r="BO24">
        <v>0.5</v>
      </c>
      <c r="BP24" t="s">
        <v>271</v>
      </c>
      <c r="BQ24">
        <v>1567874827</v>
      </c>
      <c r="BR24">
        <v>487.72899999999998</v>
      </c>
      <c r="BS24">
        <v>500.00700000000001</v>
      </c>
      <c r="BT24">
        <v>16.8429</v>
      </c>
      <c r="BU24">
        <v>15.6021</v>
      </c>
      <c r="BV24">
        <v>500.125</v>
      </c>
      <c r="BW24">
        <v>99.337100000000007</v>
      </c>
      <c r="BX24">
        <v>0.100005</v>
      </c>
      <c r="BY24">
        <v>24.198899999999998</v>
      </c>
      <c r="BZ24">
        <v>26.943100000000001</v>
      </c>
      <c r="CA24">
        <v>999.9</v>
      </c>
      <c r="CB24">
        <v>9988.75</v>
      </c>
      <c r="CC24">
        <v>0</v>
      </c>
      <c r="CD24">
        <v>1425.95</v>
      </c>
      <c r="CE24">
        <v>1749.79</v>
      </c>
      <c r="CF24">
        <v>0.97699100000000005</v>
      </c>
      <c r="CG24">
        <v>2.3009499999999999E-2</v>
      </c>
      <c r="CH24">
        <v>0</v>
      </c>
      <c r="CI24">
        <v>840.50900000000001</v>
      </c>
      <c r="CJ24">
        <v>4.99986</v>
      </c>
      <c r="CK24">
        <v>17307.900000000001</v>
      </c>
      <c r="CL24">
        <v>14219</v>
      </c>
      <c r="CM24">
        <v>43.375</v>
      </c>
      <c r="CN24">
        <v>45.375</v>
      </c>
      <c r="CO24">
        <v>44.25</v>
      </c>
      <c r="CP24">
        <v>44.061999999999998</v>
      </c>
      <c r="CQ24">
        <v>45.061999999999998</v>
      </c>
      <c r="CR24">
        <v>1704.64</v>
      </c>
      <c r="CS24">
        <v>40.15</v>
      </c>
      <c r="CT24">
        <v>0</v>
      </c>
      <c r="CU24">
        <v>120</v>
      </c>
      <c r="CV24">
        <v>840.64796153846203</v>
      </c>
      <c r="CW24">
        <v>-0.24304274690362099</v>
      </c>
      <c r="CX24">
        <v>-185.466666404362</v>
      </c>
      <c r="CY24">
        <v>17322.650000000001</v>
      </c>
      <c r="CZ24">
        <v>15</v>
      </c>
      <c r="DA24">
        <v>1567874785</v>
      </c>
      <c r="DB24" t="s">
        <v>313</v>
      </c>
      <c r="DC24">
        <v>39</v>
      </c>
      <c r="DD24">
        <v>-0.2</v>
      </c>
      <c r="DE24">
        <v>0.10100000000000001</v>
      </c>
      <c r="DF24">
        <v>500</v>
      </c>
      <c r="DG24">
        <v>16</v>
      </c>
      <c r="DH24">
        <v>0.08</v>
      </c>
      <c r="DI24">
        <v>0.08</v>
      </c>
      <c r="DJ24">
        <v>9.3708933742867693</v>
      </c>
      <c r="DK24">
        <v>3.6115757570694802</v>
      </c>
      <c r="DL24">
        <v>1.67242773870301</v>
      </c>
      <c r="DM24">
        <v>0</v>
      </c>
      <c r="DN24">
        <v>5.1966762590896401E-2</v>
      </c>
      <c r="DO24">
        <v>2.2228481862618599E-2</v>
      </c>
      <c r="DP24">
        <v>9.4874657815844504E-3</v>
      </c>
      <c r="DQ24">
        <v>1</v>
      </c>
      <c r="DR24">
        <v>1</v>
      </c>
      <c r="DS24">
        <v>2</v>
      </c>
      <c r="DT24" t="s">
        <v>303</v>
      </c>
      <c r="DU24">
        <v>1.86676</v>
      </c>
      <c r="DV24">
        <v>1.8632500000000001</v>
      </c>
      <c r="DW24">
        <v>1.8689100000000001</v>
      </c>
      <c r="DX24">
        <v>1.8669</v>
      </c>
      <c r="DY24">
        <v>1.8715299999999999</v>
      </c>
      <c r="DZ24">
        <v>1.8640099999999999</v>
      </c>
      <c r="EA24">
        <v>1.8656299999999999</v>
      </c>
      <c r="EB24">
        <v>1.86554</v>
      </c>
      <c r="EC24" t="s">
        <v>274</v>
      </c>
      <c r="ED24" t="s">
        <v>19</v>
      </c>
      <c r="EE24" t="s">
        <v>19</v>
      </c>
      <c r="EF24" t="s">
        <v>19</v>
      </c>
      <c r="EG24" t="s">
        <v>275</v>
      </c>
      <c r="EH24" t="s">
        <v>276</v>
      </c>
      <c r="EI24" t="s">
        <v>277</v>
      </c>
      <c r="EJ24" t="s">
        <v>277</v>
      </c>
      <c r="EK24" t="s">
        <v>277</v>
      </c>
      <c r="EL24" t="s">
        <v>277</v>
      </c>
      <c r="EM24">
        <v>0</v>
      </c>
      <c r="EN24">
        <v>100</v>
      </c>
      <c r="EO24">
        <v>100</v>
      </c>
      <c r="EP24">
        <v>-0.2</v>
      </c>
      <c r="EQ24">
        <v>0.10100000000000001</v>
      </c>
      <c r="ER24">
        <v>2</v>
      </c>
      <c r="ES24">
        <v>504.52100000000002</v>
      </c>
      <c r="ET24">
        <v>504.18299999999999</v>
      </c>
      <c r="EU24">
        <v>18.207599999999999</v>
      </c>
      <c r="EV24">
        <v>31.052600000000002</v>
      </c>
      <c r="EW24">
        <v>30.0002</v>
      </c>
      <c r="EX24">
        <v>31.029900000000001</v>
      </c>
      <c r="EY24">
        <v>31.0244</v>
      </c>
      <c r="EZ24">
        <v>26.0002</v>
      </c>
      <c r="FA24">
        <v>45.643099999999997</v>
      </c>
      <c r="FB24">
        <v>0</v>
      </c>
      <c r="FC24">
        <v>18.251899999999999</v>
      </c>
      <c r="FD24">
        <v>500</v>
      </c>
      <c r="FE24">
        <v>15.5313</v>
      </c>
      <c r="FF24">
        <v>101.175</v>
      </c>
      <c r="FG24">
        <v>101.623</v>
      </c>
    </row>
    <row r="25" spans="1:163" x14ac:dyDescent="0.35">
      <c r="A25">
        <v>9</v>
      </c>
      <c r="B25">
        <v>1567874932.5</v>
      </c>
      <c r="C25">
        <v>923.09999990463302</v>
      </c>
      <c r="D25" t="s">
        <v>314</v>
      </c>
      <c r="E25" t="s">
        <v>315</v>
      </c>
      <c r="G25">
        <v>1567874932.5</v>
      </c>
      <c r="H25">
        <f t="shared" si="0"/>
        <v>9.3358127722381026E-4</v>
      </c>
      <c r="I25">
        <f t="shared" si="1"/>
        <v>11.350719018051432</v>
      </c>
      <c r="J25">
        <f t="shared" si="2"/>
        <v>585.678</v>
      </c>
      <c r="K25">
        <f t="shared" si="3"/>
        <v>190.3367391515963</v>
      </c>
      <c r="L25">
        <f t="shared" si="4"/>
        <v>18.926768620900788</v>
      </c>
      <c r="M25">
        <f t="shared" si="5"/>
        <v>58.238845751808</v>
      </c>
      <c r="N25">
        <f t="shared" si="6"/>
        <v>4.7883756180454838E-2</v>
      </c>
      <c r="O25">
        <f t="shared" si="7"/>
        <v>2.2485143558503715</v>
      </c>
      <c r="P25">
        <f t="shared" si="8"/>
        <v>4.7324388123961912E-2</v>
      </c>
      <c r="Q25">
        <f t="shared" si="9"/>
        <v>2.9627455046245907E-2</v>
      </c>
      <c r="R25">
        <f t="shared" si="10"/>
        <v>281.55031945380148</v>
      </c>
      <c r="S25">
        <f t="shared" si="11"/>
        <v>26.115359493536197</v>
      </c>
      <c r="T25">
        <f t="shared" si="12"/>
        <v>27.034199999999998</v>
      </c>
      <c r="U25">
        <f t="shared" si="13"/>
        <v>3.5863552801839513</v>
      </c>
      <c r="V25">
        <f t="shared" si="14"/>
        <v>54.976496487324965</v>
      </c>
      <c r="W25">
        <f t="shared" si="15"/>
        <v>1.6766198394624003</v>
      </c>
      <c r="X25">
        <f t="shared" si="16"/>
        <v>3.0497029577884271</v>
      </c>
      <c r="Y25">
        <f t="shared" si="17"/>
        <v>1.909735440721551</v>
      </c>
      <c r="Z25">
        <f t="shared" si="18"/>
        <v>-41.17093432557003</v>
      </c>
      <c r="AA25">
        <f t="shared" si="19"/>
        <v>-331.22673582489836</v>
      </c>
      <c r="AB25">
        <f t="shared" si="20"/>
        <v>-31.37011395464102</v>
      </c>
      <c r="AC25">
        <f t="shared" si="21"/>
        <v>-122.21746465130792</v>
      </c>
      <c r="AD25">
        <v>-4.1143763572689597E-2</v>
      </c>
      <c r="AE25">
        <v>4.6187479001996198E-2</v>
      </c>
      <c r="AF25">
        <v>3.4525649704552199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52943.542330199372</v>
      </c>
      <c r="AL25" t="s">
        <v>268</v>
      </c>
      <c r="AM25">
        <v>631.89076923076902</v>
      </c>
      <c r="AN25">
        <v>3514.37</v>
      </c>
      <c r="AO25">
        <f t="shared" si="25"/>
        <v>2882.479230769231</v>
      </c>
      <c r="AP25">
        <f t="shared" si="26"/>
        <v>0.82019799587670938</v>
      </c>
      <c r="AQ25">
        <v>-1.4218795309761501</v>
      </c>
      <c r="AR25" t="s">
        <v>316</v>
      </c>
      <c r="AS25">
        <v>836.468692307693</v>
      </c>
      <c r="AT25">
        <v>1008.05</v>
      </c>
      <c r="AU25">
        <f t="shared" si="27"/>
        <v>0.17021110827072761</v>
      </c>
      <c r="AV25">
        <v>0.5</v>
      </c>
      <c r="AW25">
        <f t="shared" si="28"/>
        <v>1471.1874000963369</v>
      </c>
      <c r="AX25">
        <f t="shared" si="29"/>
        <v>11.350719018051432</v>
      </c>
      <c r="AY25">
        <f t="shared" si="30"/>
        <v>125.20621892216393</v>
      </c>
      <c r="AZ25">
        <f t="shared" si="31"/>
        <v>0.44949159267893452</v>
      </c>
      <c r="BA25">
        <f t="shared" si="32"/>
        <v>8.6818297575082561E-3</v>
      </c>
      <c r="BB25">
        <f t="shared" si="33"/>
        <v>2.4863052427954959</v>
      </c>
      <c r="BC25" t="s">
        <v>317</v>
      </c>
      <c r="BD25">
        <v>554.94000000000005</v>
      </c>
      <c r="BE25">
        <f t="shared" si="34"/>
        <v>453.1099999999999</v>
      </c>
      <c r="BF25">
        <f t="shared" si="35"/>
        <v>0.37867473172586563</v>
      </c>
      <c r="BG25">
        <f t="shared" si="36"/>
        <v>0.84689281381887727</v>
      </c>
      <c r="BH25">
        <f t="shared" si="37"/>
        <v>0.45614009615404061</v>
      </c>
      <c r="BI25">
        <f t="shared" si="38"/>
        <v>0.86950149484031225</v>
      </c>
      <c r="BJ25">
        <f t="shared" si="39"/>
        <v>1749.98</v>
      </c>
      <c r="BK25">
        <f t="shared" si="40"/>
        <v>1471.1874000963369</v>
      </c>
      <c r="BL25">
        <f t="shared" si="41"/>
        <v>0.84068812220501765</v>
      </c>
      <c r="BM25">
        <f t="shared" si="42"/>
        <v>0.19137624441003565</v>
      </c>
      <c r="BN25">
        <v>6</v>
      </c>
      <c r="BO25">
        <v>0.5</v>
      </c>
      <c r="BP25" t="s">
        <v>271</v>
      </c>
      <c r="BQ25">
        <v>1567874932.5</v>
      </c>
      <c r="BR25">
        <v>585.678</v>
      </c>
      <c r="BS25">
        <v>599.95100000000002</v>
      </c>
      <c r="BT25">
        <v>16.860900000000001</v>
      </c>
      <c r="BU25">
        <v>15.7598</v>
      </c>
      <c r="BV25">
        <v>500.14</v>
      </c>
      <c r="BW25">
        <v>99.338200000000001</v>
      </c>
      <c r="BX25">
        <v>0.100136</v>
      </c>
      <c r="BY25">
        <v>24.3018</v>
      </c>
      <c r="BZ25">
        <v>27.034199999999998</v>
      </c>
      <c r="CA25">
        <v>999.9</v>
      </c>
      <c r="CB25">
        <v>9988.1200000000008</v>
      </c>
      <c r="CC25">
        <v>0</v>
      </c>
      <c r="CD25">
        <v>1448.78</v>
      </c>
      <c r="CE25">
        <v>1749.98</v>
      </c>
      <c r="CF25">
        <v>0.97699499999999995</v>
      </c>
      <c r="CG25">
        <v>2.3005399999999999E-2</v>
      </c>
      <c r="CH25">
        <v>0</v>
      </c>
      <c r="CI25">
        <v>836.53599999999994</v>
      </c>
      <c r="CJ25">
        <v>4.99986</v>
      </c>
      <c r="CK25">
        <v>17257.099999999999</v>
      </c>
      <c r="CL25">
        <v>14220.6</v>
      </c>
      <c r="CM25">
        <v>43.5</v>
      </c>
      <c r="CN25">
        <v>45.561999999999998</v>
      </c>
      <c r="CO25">
        <v>44.436999999999998</v>
      </c>
      <c r="CP25">
        <v>44.25</v>
      </c>
      <c r="CQ25">
        <v>45.186999999999998</v>
      </c>
      <c r="CR25">
        <v>1704.84</v>
      </c>
      <c r="CS25">
        <v>40.14</v>
      </c>
      <c r="CT25">
        <v>0</v>
      </c>
      <c r="CU25">
        <v>104.90000009536701</v>
      </c>
      <c r="CV25">
        <v>836.468692307693</v>
      </c>
      <c r="CW25">
        <v>-0.52246152526407896</v>
      </c>
      <c r="CX25">
        <v>-25.258119371871299</v>
      </c>
      <c r="CY25">
        <v>17252.007692307699</v>
      </c>
      <c r="CZ25">
        <v>15</v>
      </c>
      <c r="DA25">
        <v>1567874887.5</v>
      </c>
      <c r="DB25" t="s">
        <v>318</v>
      </c>
      <c r="DC25">
        <v>40</v>
      </c>
      <c r="DD25">
        <v>-0.14499999999999999</v>
      </c>
      <c r="DE25">
        <v>9.9000000000000005E-2</v>
      </c>
      <c r="DF25">
        <v>600</v>
      </c>
      <c r="DG25">
        <v>16</v>
      </c>
      <c r="DH25">
        <v>0.15</v>
      </c>
      <c r="DI25">
        <v>0.09</v>
      </c>
      <c r="DJ25">
        <v>11.423231167897599</v>
      </c>
      <c r="DK25">
        <v>8.5824870557809199E-2</v>
      </c>
      <c r="DL25">
        <v>0.20806372792876601</v>
      </c>
      <c r="DM25">
        <v>1</v>
      </c>
      <c r="DN25">
        <v>4.9393444829162803E-2</v>
      </c>
      <c r="DO25">
        <v>-2.9201611277242701E-3</v>
      </c>
      <c r="DP25">
        <v>1.31974411281288E-3</v>
      </c>
      <c r="DQ25">
        <v>1</v>
      </c>
      <c r="DR25">
        <v>2</v>
      </c>
      <c r="DS25">
        <v>2</v>
      </c>
      <c r="DT25" t="s">
        <v>273</v>
      </c>
      <c r="DU25">
        <v>1.86676</v>
      </c>
      <c r="DV25">
        <v>1.8632500000000001</v>
      </c>
      <c r="DW25">
        <v>1.8689</v>
      </c>
      <c r="DX25">
        <v>1.86687</v>
      </c>
      <c r="DY25">
        <v>1.87151</v>
      </c>
      <c r="DZ25">
        <v>1.8640099999999999</v>
      </c>
      <c r="EA25">
        <v>1.8656200000000001</v>
      </c>
      <c r="EB25">
        <v>1.86554</v>
      </c>
      <c r="EC25" t="s">
        <v>274</v>
      </c>
      <c r="ED25" t="s">
        <v>19</v>
      </c>
      <c r="EE25" t="s">
        <v>19</v>
      </c>
      <c r="EF25" t="s">
        <v>19</v>
      </c>
      <c r="EG25" t="s">
        <v>275</v>
      </c>
      <c r="EH25" t="s">
        <v>276</v>
      </c>
      <c r="EI25" t="s">
        <v>277</v>
      </c>
      <c r="EJ25" t="s">
        <v>277</v>
      </c>
      <c r="EK25" t="s">
        <v>277</v>
      </c>
      <c r="EL25" t="s">
        <v>277</v>
      </c>
      <c r="EM25">
        <v>0</v>
      </c>
      <c r="EN25">
        <v>100</v>
      </c>
      <c r="EO25">
        <v>100</v>
      </c>
      <c r="EP25">
        <v>-0.14499999999999999</v>
      </c>
      <c r="EQ25">
        <v>9.9000000000000005E-2</v>
      </c>
      <c r="ER25">
        <v>2</v>
      </c>
      <c r="ES25">
        <v>504.40199999999999</v>
      </c>
      <c r="ET25">
        <v>503.74200000000002</v>
      </c>
      <c r="EU25">
        <v>18.255299999999998</v>
      </c>
      <c r="EV25">
        <v>31.143899999999999</v>
      </c>
      <c r="EW25">
        <v>30.000800000000002</v>
      </c>
      <c r="EX25">
        <v>31.1129</v>
      </c>
      <c r="EY25">
        <v>31.106000000000002</v>
      </c>
      <c r="EZ25">
        <v>30.099599999999999</v>
      </c>
      <c r="FA25">
        <v>44.930199999999999</v>
      </c>
      <c r="FB25">
        <v>0</v>
      </c>
      <c r="FC25">
        <v>18.2058</v>
      </c>
      <c r="FD25">
        <v>600</v>
      </c>
      <c r="FE25">
        <v>15.771100000000001</v>
      </c>
      <c r="FF25">
        <v>101.155</v>
      </c>
      <c r="FG25">
        <v>101.6</v>
      </c>
    </row>
    <row r="26" spans="1:163" x14ac:dyDescent="0.35">
      <c r="A26">
        <v>10</v>
      </c>
      <c r="B26">
        <v>1567875053</v>
      </c>
      <c r="C26">
        <v>1043.5999999046301</v>
      </c>
      <c r="D26" t="s">
        <v>319</v>
      </c>
      <c r="E26" t="s">
        <v>320</v>
      </c>
      <c r="G26">
        <v>1567875053</v>
      </c>
      <c r="H26">
        <f t="shared" si="0"/>
        <v>9.2162822224909691E-4</v>
      </c>
      <c r="I26">
        <f t="shared" si="1"/>
        <v>12.292439103037456</v>
      </c>
      <c r="J26">
        <f t="shared" si="2"/>
        <v>684.48699999999997</v>
      </c>
      <c r="K26">
        <f t="shared" si="3"/>
        <v>252.0550886603807</v>
      </c>
      <c r="L26">
        <f t="shared" si="4"/>
        <v>25.063492963323974</v>
      </c>
      <c r="M26">
        <f t="shared" si="5"/>
        <v>68.063038120616</v>
      </c>
      <c r="N26">
        <f t="shared" si="6"/>
        <v>4.7552326001482605E-2</v>
      </c>
      <c r="O26">
        <f t="shared" si="7"/>
        <v>2.2476276095322874</v>
      </c>
      <c r="P26">
        <f t="shared" si="8"/>
        <v>4.7000411491593397E-2</v>
      </c>
      <c r="Q26">
        <f t="shared" si="9"/>
        <v>2.9424310693761811E-2</v>
      </c>
      <c r="R26">
        <f t="shared" si="10"/>
        <v>281.58758906177673</v>
      </c>
      <c r="S26">
        <f t="shared" si="11"/>
        <v>26.039799902068282</v>
      </c>
      <c r="T26">
        <f t="shared" si="12"/>
        <v>26.984500000000001</v>
      </c>
      <c r="U26">
        <f t="shared" si="13"/>
        <v>3.575902687044715</v>
      </c>
      <c r="V26">
        <f t="shared" si="14"/>
        <v>55.273916816797488</v>
      </c>
      <c r="W26">
        <f t="shared" si="15"/>
        <v>1.6775645077575998</v>
      </c>
      <c r="X26">
        <f t="shared" si="16"/>
        <v>3.0350020486476468</v>
      </c>
      <c r="Y26">
        <f t="shared" si="17"/>
        <v>1.8983381792871152</v>
      </c>
      <c r="Z26">
        <f t="shared" si="18"/>
        <v>-40.643804601185174</v>
      </c>
      <c r="AA26">
        <f t="shared" si="19"/>
        <v>-334.8403896598499</v>
      </c>
      <c r="AB26">
        <f t="shared" si="20"/>
        <v>-31.704129385128581</v>
      </c>
      <c r="AC26">
        <f t="shared" si="21"/>
        <v>-125.60073458438691</v>
      </c>
      <c r="AD26">
        <v>-4.1119909567445802E-2</v>
      </c>
      <c r="AE26">
        <v>4.6160700791384401E-2</v>
      </c>
      <c r="AF26">
        <v>3.4509801492120298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52928.402988043614</v>
      </c>
      <c r="AL26" t="s">
        <v>268</v>
      </c>
      <c r="AM26">
        <v>631.89076923076902</v>
      </c>
      <c r="AN26">
        <v>3514.37</v>
      </c>
      <c r="AO26">
        <f t="shared" si="25"/>
        <v>2882.479230769231</v>
      </c>
      <c r="AP26">
        <f t="shared" si="26"/>
        <v>0.82019799587670938</v>
      </c>
      <c r="AQ26">
        <v>-1.4218795309761501</v>
      </c>
      <c r="AR26" t="s">
        <v>321</v>
      </c>
      <c r="AS26">
        <v>833.77911538461501</v>
      </c>
      <c r="AT26">
        <v>1014.28</v>
      </c>
      <c r="AU26">
        <f t="shared" si="27"/>
        <v>0.17795962122430198</v>
      </c>
      <c r="AV26">
        <v>0.5</v>
      </c>
      <c r="AW26">
        <f t="shared" si="28"/>
        <v>1471.3809000963483</v>
      </c>
      <c r="AX26">
        <f t="shared" si="29"/>
        <v>12.292439103037456</v>
      </c>
      <c r="AY26">
        <f t="shared" si="30"/>
        <v>130.92319382890932</v>
      </c>
      <c r="AZ26">
        <f t="shared" si="31"/>
        <v>0.45273494498560551</v>
      </c>
      <c r="BA26">
        <f t="shared" si="32"/>
        <v>9.3207126945276855E-3</v>
      </c>
      <c r="BB26">
        <f t="shared" si="33"/>
        <v>2.4648913515005719</v>
      </c>
      <c r="BC26" t="s">
        <v>322</v>
      </c>
      <c r="BD26">
        <v>555.08000000000004</v>
      </c>
      <c r="BE26">
        <f t="shared" si="34"/>
        <v>459.19999999999993</v>
      </c>
      <c r="BF26">
        <f t="shared" si="35"/>
        <v>0.39307683931921816</v>
      </c>
      <c r="BG26">
        <f t="shared" si="36"/>
        <v>0.84482764446877467</v>
      </c>
      <c r="BH26">
        <f t="shared" si="37"/>
        <v>0.47203443531158412</v>
      </c>
      <c r="BI26">
        <f t="shared" si="38"/>
        <v>0.86734016096720157</v>
      </c>
      <c r="BJ26">
        <f t="shared" si="39"/>
        <v>1750.21</v>
      </c>
      <c r="BK26">
        <f t="shared" si="40"/>
        <v>1471.3809000963483</v>
      </c>
      <c r="BL26">
        <f t="shared" si="41"/>
        <v>0.84068820318495974</v>
      </c>
      <c r="BM26">
        <f t="shared" si="42"/>
        <v>0.19137640636991954</v>
      </c>
      <c r="BN26">
        <v>6</v>
      </c>
      <c r="BO26">
        <v>0.5</v>
      </c>
      <c r="BP26" t="s">
        <v>271</v>
      </c>
      <c r="BQ26">
        <v>1567875053</v>
      </c>
      <c r="BR26">
        <v>684.48699999999997</v>
      </c>
      <c r="BS26">
        <v>699.995</v>
      </c>
      <c r="BT26">
        <v>16.870699999999999</v>
      </c>
      <c r="BU26">
        <v>15.7834</v>
      </c>
      <c r="BV26">
        <v>499.99799999999999</v>
      </c>
      <c r="BW26">
        <v>99.336500000000001</v>
      </c>
      <c r="BX26">
        <v>0.100068</v>
      </c>
      <c r="BY26">
        <v>24.2212</v>
      </c>
      <c r="BZ26">
        <v>26.984500000000001</v>
      </c>
      <c r="CA26">
        <v>999.9</v>
      </c>
      <c r="CB26">
        <v>9982.5</v>
      </c>
      <c r="CC26">
        <v>0</v>
      </c>
      <c r="CD26">
        <v>1465.24</v>
      </c>
      <c r="CE26">
        <v>1750.21</v>
      </c>
      <c r="CF26">
        <v>0.97699499999999995</v>
      </c>
      <c r="CG26">
        <v>2.3005399999999999E-2</v>
      </c>
      <c r="CH26">
        <v>0</v>
      </c>
      <c r="CI26">
        <v>833.654</v>
      </c>
      <c r="CJ26">
        <v>4.99986</v>
      </c>
      <c r="CK26">
        <v>17186.400000000001</v>
      </c>
      <c r="CL26">
        <v>14222.5</v>
      </c>
      <c r="CM26">
        <v>43.436999999999998</v>
      </c>
      <c r="CN26">
        <v>45.5</v>
      </c>
      <c r="CO26">
        <v>44.436999999999998</v>
      </c>
      <c r="CP26">
        <v>43.75</v>
      </c>
      <c r="CQ26">
        <v>45.25</v>
      </c>
      <c r="CR26">
        <v>1705.06</v>
      </c>
      <c r="CS26">
        <v>40.15</v>
      </c>
      <c r="CT26">
        <v>0</v>
      </c>
      <c r="CU26">
        <v>120</v>
      </c>
      <c r="CV26">
        <v>833.77911538461501</v>
      </c>
      <c r="CW26">
        <v>-0.37658118819234099</v>
      </c>
      <c r="CX26">
        <v>-552.99145399905103</v>
      </c>
      <c r="CY26">
        <v>17136.492307692301</v>
      </c>
      <c r="CZ26">
        <v>15</v>
      </c>
      <c r="DA26">
        <v>1567875008.5</v>
      </c>
      <c r="DB26" t="s">
        <v>323</v>
      </c>
      <c r="DC26">
        <v>41</v>
      </c>
      <c r="DD26">
        <v>-0.10199999999999999</v>
      </c>
      <c r="DE26">
        <v>0.10299999999999999</v>
      </c>
      <c r="DF26">
        <v>700</v>
      </c>
      <c r="DG26">
        <v>16</v>
      </c>
      <c r="DH26">
        <v>0.12</v>
      </c>
      <c r="DI26">
        <v>7.0000000000000007E-2</v>
      </c>
      <c r="DJ26">
        <v>12.358290440406</v>
      </c>
      <c r="DK26">
        <v>8.4015760884919299E-3</v>
      </c>
      <c r="DL26">
        <v>0.25888965406642001</v>
      </c>
      <c r="DM26">
        <v>1</v>
      </c>
      <c r="DN26">
        <v>4.5185832895286798E-2</v>
      </c>
      <c r="DO26">
        <v>5.4891344870602998E-3</v>
      </c>
      <c r="DP26">
        <v>1.3518759376511199E-3</v>
      </c>
      <c r="DQ26">
        <v>1</v>
      </c>
      <c r="DR26">
        <v>2</v>
      </c>
      <c r="DS26">
        <v>2</v>
      </c>
      <c r="DT26" t="s">
        <v>273</v>
      </c>
      <c r="DU26">
        <v>1.86676</v>
      </c>
      <c r="DV26">
        <v>1.8632500000000001</v>
      </c>
      <c r="DW26">
        <v>1.8689100000000001</v>
      </c>
      <c r="DX26">
        <v>1.86686</v>
      </c>
      <c r="DY26">
        <v>1.87154</v>
      </c>
      <c r="DZ26">
        <v>1.8640099999999999</v>
      </c>
      <c r="EA26">
        <v>1.86558</v>
      </c>
      <c r="EB26">
        <v>1.86554</v>
      </c>
      <c r="EC26" t="s">
        <v>274</v>
      </c>
      <c r="ED26" t="s">
        <v>19</v>
      </c>
      <c r="EE26" t="s">
        <v>19</v>
      </c>
      <c r="EF26" t="s">
        <v>19</v>
      </c>
      <c r="EG26" t="s">
        <v>275</v>
      </c>
      <c r="EH26" t="s">
        <v>276</v>
      </c>
      <c r="EI26" t="s">
        <v>277</v>
      </c>
      <c r="EJ26" t="s">
        <v>277</v>
      </c>
      <c r="EK26" t="s">
        <v>277</v>
      </c>
      <c r="EL26" t="s">
        <v>277</v>
      </c>
      <c r="EM26">
        <v>0</v>
      </c>
      <c r="EN26">
        <v>100</v>
      </c>
      <c r="EO26">
        <v>100</v>
      </c>
      <c r="EP26">
        <v>-0.10199999999999999</v>
      </c>
      <c r="EQ26">
        <v>0.10299999999999999</v>
      </c>
      <c r="ER26">
        <v>2</v>
      </c>
      <c r="ES26">
        <v>504.27600000000001</v>
      </c>
      <c r="ET26">
        <v>503.12400000000002</v>
      </c>
      <c r="EU26">
        <v>18.352399999999999</v>
      </c>
      <c r="EV26">
        <v>31.2376</v>
      </c>
      <c r="EW26">
        <v>30.000599999999999</v>
      </c>
      <c r="EX26">
        <v>31.208300000000001</v>
      </c>
      <c r="EY26">
        <v>31.1981</v>
      </c>
      <c r="EZ26">
        <v>34.079799999999999</v>
      </c>
      <c r="FA26">
        <v>45.413600000000002</v>
      </c>
      <c r="FB26">
        <v>0</v>
      </c>
      <c r="FC26">
        <v>18.331499999999998</v>
      </c>
      <c r="FD26">
        <v>700</v>
      </c>
      <c r="FE26">
        <v>15.691700000000001</v>
      </c>
      <c r="FF26">
        <v>101.136</v>
      </c>
      <c r="FG26">
        <v>101.577</v>
      </c>
    </row>
    <row r="27" spans="1:163" x14ac:dyDescent="0.35">
      <c r="A27">
        <v>11</v>
      </c>
      <c r="B27">
        <v>1567875173.5</v>
      </c>
      <c r="C27">
        <v>1164.0999999046301</v>
      </c>
      <c r="D27" t="s">
        <v>324</v>
      </c>
      <c r="E27" t="s">
        <v>325</v>
      </c>
      <c r="G27">
        <v>1567875173.5</v>
      </c>
      <c r="H27">
        <f t="shared" si="0"/>
        <v>8.2675994353231417E-4</v>
      </c>
      <c r="I27">
        <f t="shared" si="1"/>
        <v>12.972671223982006</v>
      </c>
      <c r="J27">
        <f t="shared" si="2"/>
        <v>783.61</v>
      </c>
      <c r="K27">
        <f t="shared" si="3"/>
        <v>277.69404819387694</v>
      </c>
      <c r="L27">
        <f t="shared" si="4"/>
        <v>27.612660247268231</v>
      </c>
      <c r="M27">
        <f t="shared" si="5"/>
        <v>77.918690865334014</v>
      </c>
      <c r="N27">
        <f t="shared" si="6"/>
        <v>4.2797838010403329E-2</v>
      </c>
      <c r="O27">
        <f t="shared" si="7"/>
        <v>2.2516384385818533</v>
      </c>
      <c r="P27">
        <f t="shared" si="8"/>
        <v>4.2350999723498518E-2</v>
      </c>
      <c r="Q27">
        <f t="shared" si="9"/>
        <v>2.6509132620904603E-2</v>
      </c>
      <c r="R27">
        <f t="shared" si="10"/>
        <v>281.55886123231733</v>
      </c>
      <c r="S27">
        <f t="shared" si="11"/>
        <v>26.092707345541367</v>
      </c>
      <c r="T27">
        <f t="shared" si="12"/>
        <v>26.980399999999999</v>
      </c>
      <c r="U27">
        <f t="shared" si="13"/>
        <v>3.575041589312848</v>
      </c>
      <c r="V27">
        <f t="shared" si="14"/>
        <v>55.445087164899967</v>
      </c>
      <c r="W27">
        <f t="shared" si="15"/>
        <v>1.6852436347861401</v>
      </c>
      <c r="X27">
        <f t="shared" si="16"/>
        <v>3.0394823436277316</v>
      </c>
      <c r="Y27">
        <f t="shared" si="17"/>
        <v>1.8897979545267078</v>
      </c>
      <c r="Z27">
        <f t="shared" si="18"/>
        <v>-36.460113509775056</v>
      </c>
      <c r="AA27">
        <f t="shared" si="19"/>
        <v>-331.95400052215575</v>
      </c>
      <c r="AB27">
        <f t="shared" si="20"/>
        <v>-31.378063248581036</v>
      </c>
      <c r="AC27">
        <f t="shared" si="21"/>
        <v>-118.23331604819452</v>
      </c>
      <c r="AD27">
        <v>-4.1227870983178302E-2</v>
      </c>
      <c r="AE27">
        <v>4.6281896938483703E-2</v>
      </c>
      <c r="AF27">
        <v>3.4581504123453701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53057.284533050748</v>
      </c>
      <c r="AL27" t="s">
        <v>268</v>
      </c>
      <c r="AM27">
        <v>631.89076923076902</v>
      </c>
      <c r="AN27">
        <v>3514.37</v>
      </c>
      <c r="AO27">
        <f t="shared" si="25"/>
        <v>2882.479230769231</v>
      </c>
      <c r="AP27">
        <f t="shared" si="26"/>
        <v>0.82019799587670938</v>
      </c>
      <c r="AQ27">
        <v>-1.4218795309761501</v>
      </c>
      <c r="AR27" t="s">
        <v>326</v>
      </c>
      <c r="AS27">
        <v>832.02380769230797</v>
      </c>
      <c r="AT27">
        <v>1020.92</v>
      </c>
      <c r="AU27">
        <f t="shared" si="27"/>
        <v>0.18502545969095718</v>
      </c>
      <c r="AV27">
        <v>0.5</v>
      </c>
      <c r="AW27">
        <f t="shared" si="28"/>
        <v>1471.2297000963581</v>
      </c>
      <c r="AX27">
        <f t="shared" si="29"/>
        <v>12.972671223982006</v>
      </c>
      <c r="AY27">
        <f t="shared" si="30"/>
        <v>136.10747578565886</v>
      </c>
      <c r="AZ27">
        <f t="shared" si="31"/>
        <v>0.45521686322140814</v>
      </c>
      <c r="BA27">
        <f t="shared" si="32"/>
        <v>9.7840267593941217E-3</v>
      </c>
      <c r="BB27">
        <f t="shared" si="33"/>
        <v>2.4423559142734006</v>
      </c>
      <c r="BC27" t="s">
        <v>327</v>
      </c>
      <c r="BD27">
        <v>556.17999999999995</v>
      </c>
      <c r="BE27">
        <f t="shared" si="34"/>
        <v>464.74</v>
      </c>
      <c r="BF27">
        <f t="shared" si="35"/>
        <v>0.40645563607111929</v>
      </c>
      <c r="BG27">
        <f t="shared" si="36"/>
        <v>0.84289717698998368</v>
      </c>
      <c r="BH27">
        <f t="shared" si="37"/>
        <v>0.48555783824826193</v>
      </c>
      <c r="BI27">
        <f t="shared" si="38"/>
        <v>0.86503658842828401</v>
      </c>
      <c r="BJ27">
        <f t="shared" si="39"/>
        <v>1750.03</v>
      </c>
      <c r="BK27">
        <f t="shared" si="40"/>
        <v>1471.2297000963581</v>
      </c>
      <c r="BL27">
        <f t="shared" si="41"/>
        <v>0.84068827397036516</v>
      </c>
      <c r="BM27">
        <f t="shared" si="42"/>
        <v>0.19137654794073056</v>
      </c>
      <c r="BN27">
        <v>6</v>
      </c>
      <c r="BO27">
        <v>0.5</v>
      </c>
      <c r="BP27" t="s">
        <v>271</v>
      </c>
      <c r="BQ27">
        <v>1567875173.5</v>
      </c>
      <c r="BR27">
        <v>783.61</v>
      </c>
      <c r="BS27">
        <v>799.95299999999997</v>
      </c>
      <c r="BT27">
        <v>16.9481</v>
      </c>
      <c r="BU27">
        <v>15.972899999999999</v>
      </c>
      <c r="BV27">
        <v>500.05</v>
      </c>
      <c r="BW27">
        <v>99.335599999999999</v>
      </c>
      <c r="BX27">
        <v>9.9949399999999994E-2</v>
      </c>
      <c r="BY27">
        <v>24.245799999999999</v>
      </c>
      <c r="BZ27">
        <v>26.980399999999999</v>
      </c>
      <c r="CA27">
        <v>999.9</v>
      </c>
      <c r="CB27">
        <v>10008.799999999999</v>
      </c>
      <c r="CC27">
        <v>0</v>
      </c>
      <c r="CD27">
        <v>1426.09</v>
      </c>
      <c r="CE27">
        <v>1750.03</v>
      </c>
      <c r="CF27">
        <v>0.97699100000000005</v>
      </c>
      <c r="CG27">
        <v>2.3009499999999999E-2</v>
      </c>
      <c r="CH27">
        <v>0</v>
      </c>
      <c r="CI27">
        <v>831.90200000000004</v>
      </c>
      <c r="CJ27">
        <v>4.99986</v>
      </c>
      <c r="CK27">
        <v>17073.099999999999</v>
      </c>
      <c r="CL27">
        <v>14221</v>
      </c>
      <c r="CM27">
        <v>43.186999999999998</v>
      </c>
      <c r="CN27">
        <v>45.25</v>
      </c>
      <c r="CO27">
        <v>44.186999999999998</v>
      </c>
      <c r="CP27">
        <v>43.5</v>
      </c>
      <c r="CQ27">
        <v>45</v>
      </c>
      <c r="CR27">
        <v>1704.88</v>
      </c>
      <c r="CS27">
        <v>40.15</v>
      </c>
      <c r="CT27">
        <v>0</v>
      </c>
      <c r="CU27">
        <v>120</v>
      </c>
      <c r="CV27">
        <v>832.02380769230797</v>
      </c>
      <c r="CW27">
        <v>0.277230777983413</v>
      </c>
      <c r="CX27">
        <v>-308.683759054392</v>
      </c>
      <c r="CY27">
        <v>17110.5</v>
      </c>
      <c r="CZ27">
        <v>15</v>
      </c>
      <c r="DA27">
        <v>1567875109</v>
      </c>
      <c r="DB27" t="s">
        <v>328</v>
      </c>
      <c r="DC27">
        <v>42</v>
      </c>
      <c r="DD27">
        <v>-0.13100000000000001</v>
      </c>
      <c r="DE27">
        <v>0.10100000000000001</v>
      </c>
      <c r="DF27">
        <v>800</v>
      </c>
      <c r="DG27">
        <v>16</v>
      </c>
      <c r="DH27">
        <v>0.17</v>
      </c>
      <c r="DI27">
        <v>0.09</v>
      </c>
      <c r="DJ27">
        <v>13.2317847148715</v>
      </c>
      <c r="DK27">
        <v>-0.62831370443115397</v>
      </c>
      <c r="DL27">
        <v>0.126979957608987</v>
      </c>
      <c r="DM27">
        <v>0</v>
      </c>
      <c r="DN27">
        <v>4.0344249661083201E-2</v>
      </c>
      <c r="DO27">
        <v>5.9964232859391602E-3</v>
      </c>
      <c r="DP27">
        <v>1.20898026063683E-3</v>
      </c>
      <c r="DQ27">
        <v>1</v>
      </c>
      <c r="DR27">
        <v>1</v>
      </c>
      <c r="DS27">
        <v>2</v>
      </c>
      <c r="DT27" t="s">
        <v>303</v>
      </c>
      <c r="DU27">
        <v>1.86676</v>
      </c>
      <c r="DV27">
        <v>1.8632500000000001</v>
      </c>
      <c r="DW27">
        <v>1.8689</v>
      </c>
      <c r="DX27">
        <v>1.8668899999999999</v>
      </c>
      <c r="DY27">
        <v>1.87154</v>
      </c>
      <c r="DZ27">
        <v>1.86402</v>
      </c>
      <c r="EA27">
        <v>1.86557</v>
      </c>
      <c r="EB27">
        <v>1.86554</v>
      </c>
      <c r="EC27" t="s">
        <v>274</v>
      </c>
      <c r="ED27" t="s">
        <v>19</v>
      </c>
      <c r="EE27" t="s">
        <v>19</v>
      </c>
      <c r="EF27" t="s">
        <v>19</v>
      </c>
      <c r="EG27" t="s">
        <v>275</v>
      </c>
      <c r="EH27" t="s">
        <v>276</v>
      </c>
      <c r="EI27" t="s">
        <v>277</v>
      </c>
      <c r="EJ27" t="s">
        <v>277</v>
      </c>
      <c r="EK27" t="s">
        <v>277</v>
      </c>
      <c r="EL27" t="s">
        <v>277</v>
      </c>
      <c r="EM27">
        <v>0</v>
      </c>
      <c r="EN27">
        <v>100</v>
      </c>
      <c r="EO27">
        <v>100</v>
      </c>
      <c r="EP27">
        <v>-0.13100000000000001</v>
      </c>
      <c r="EQ27">
        <v>0.10100000000000001</v>
      </c>
      <c r="ER27">
        <v>2</v>
      </c>
      <c r="ES27">
        <v>504.79599999999999</v>
      </c>
      <c r="ET27">
        <v>503.26400000000001</v>
      </c>
      <c r="EU27">
        <v>18.3154</v>
      </c>
      <c r="EV27">
        <v>31.238499999999998</v>
      </c>
      <c r="EW27">
        <v>29.9999</v>
      </c>
      <c r="EX27">
        <v>31.243500000000001</v>
      </c>
      <c r="EY27">
        <v>31.232299999999999</v>
      </c>
      <c r="EZ27">
        <v>37.967500000000001</v>
      </c>
      <c r="FA27">
        <v>45.379399999999997</v>
      </c>
      <c r="FB27">
        <v>0</v>
      </c>
      <c r="FC27">
        <v>18.584800000000001</v>
      </c>
      <c r="FD27">
        <v>800</v>
      </c>
      <c r="FE27">
        <v>15.8462</v>
      </c>
      <c r="FF27">
        <v>101.129</v>
      </c>
      <c r="FG27">
        <v>101.572</v>
      </c>
    </row>
    <row r="28" spans="1:163" x14ac:dyDescent="0.35">
      <c r="A28">
        <v>12</v>
      </c>
      <c r="B28">
        <v>1567875294</v>
      </c>
      <c r="C28">
        <v>1284.5999999046301</v>
      </c>
      <c r="D28" t="s">
        <v>329</v>
      </c>
      <c r="E28" t="s">
        <v>330</v>
      </c>
      <c r="G28">
        <v>1567875294</v>
      </c>
      <c r="H28">
        <f t="shared" si="0"/>
        <v>7.3542480921122606E-4</v>
      </c>
      <c r="I28">
        <f t="shared" si="1"/>
        <v>14.883150143476341</v>
      </c>
      <c r="J28">
        <f t="shared" si="2"/>
        <v>981.197</v>
      </c>
      <c r="K28">
        <f t="shared" si="3"/>
        <v>328.05099344793712</v>
      </c>
      <c r="L28">
        <f t="shared" si="4"/>
        <v>32.618882280931267</v>
      </c>
      <c r="M28">
        <f t="shared" si="5"/>
        <v>97.562726760900105</v>
      </c>
      <c r="N28">
        <f t="shared" si="6"/>
        <v>3.7939854179599261E-2</v>
      </c>
      <c r="O28">
        <f t="shared" si="7"/>
        <v>2.2513903543230045</v>
      </c>
      <c r="P28">
        <f t="shared" si="8"/>
        <v>3.7588211934601178E-2</v>
      </c>
      <c r="Q28">
        <f t="shared" si="9"/>
        <v>2.3523954394946495E-2</v>
      </c>
      <c r="R28">
        <f t="shared" si="10"/>
        <v>281.52046797296049</v>
      </c>
      <c r="S28">
        <f t="shared" si="11"/>
        <v>26.10928088328313</v>
      </c>
      <c r="T28">
        <f t="shared" si="12"/>
        <v>26.9619</v>
      </c>
      <c r="U28">
        <f t="shared" si="13"/>
        <v>3.5711583989649465</v>
      </c>
      <c r="V28">
        <f t="shared" si="14"/>
        <v>55.221706879089218</v>
      </c>
      <c r="W28">
        <f t="shared" si="15"/>
        <v>1.6770757869344499</v>
      </c>
      <c r="X28">
        <f t="shared" si="16"/>
        <v>3.0369865071474416</v>
      </c>
      <c r="Y28">
        <f t="shared" si="17"/>
        <v>1.8940826120304965</v>
      </c>
      <c r="Z28">
        <f t="shared" si="18"/>
        <v>-32.432234086215068</v>
      </c>
      <c r="AA28">
        <f t="shared" si="19"/>
        <v>-331.33481662421843</v>
      </c>
      <c r="AB28">
        <f t="shared" si="20"/>
        <v>-31.317917449867664</v>
      </c>
      <c r="AC28">
        <f t="shared" si="21"/>
        <v>-113.56450018734066</v>
      </c>
      <c r="AD28">
        <v>-4.1221188128902103E-2</v>
      </c>
      <c r="AE28">
        <v>4.6274394849108398E-2</v>
      </c>
      <c r="AF28">
        <v>3.4577067578688299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53051.412307050312</v>
      </c>
      <c r="AL28" t="s">
        <v>268</v>
      </c>
      <c r="AM28">
        <v>631.89076923076902</v>
      </c>
      <c r="AN28">
        <v>3514.37</v>
      </c>
      <c r="AO28">
        <f t="shared" si="25"/>
        <v>2882.479230769231</v>
      </c>
      <c r="AP28">
        <f t="shared" si="26"/>
        <v>0.82019799587670938</v>
      </c>
      <c r="AQ28">
        <v>-1.4218795309761501</v>
      </c>
      <c r="AR28" t="s">
        <v>331</v>
      </c>
      <c r="AS28">
        <v>831.48084615384596</v>
      </c>
      <c r="AT28">
        <v>1035.03</v>
      </c>
      <c r="AU28">
        <f t="shared" si="27"/>
        <v>0.19666014883254979</v>
      </c>
      <c r="AV28">
        <v>0.5</v>
      </c>
      <c r="AW28">
        <f t="shared" si="28"/>
        <v>1471.035600096299</v>
      </c>
      <c r="AX28">
        <f t="shared" si="29"/>
        <v>14.883150143476341</v>
      </c>
      <c r="AY28">
        <f t="shared" si="30"/>
        <v>144.64704002645868</v>
      </c>
      <c r="AZ28">
        <f t="shared" si="31"/>
        <v>0.46382230466749752</v>
      </c>
      <c r="BA28">
        <f t="shared" si="32"/>
        <v>1.1084048321730017E-2</v>
      </c>
      <c r="BB28">
        <f t="shared" si="33"/>
        <v>2.3954281518410094</v>
      </c>
      <c r="BC28" t="s">
        <v>332</v>
      </c>
      <c r="BD28">
        <v>554.96</v>
      </c>
      <c r="BE28">
        <f t="shared" si="34"/>
        <v>480.06999999999994</v>
      </c>
      <c r="BF28">
        <f t="shared" si="35"/>
        <v>0.42399890400598672</v>
      </c>
      <c r="BG28">
        <f t="shared" si="36"/>
        <v>0.83778185516707726</v>
      </c>
      <c r="BH28">
        <f t="shared" si="37"/>
        <v>0.50491030966587247</v>
      </c>
      <c r="BI28">
        <f t="shared" si="38"/>
        <v>0.86014149678308438</v>
      </c>
      <c r="BJ28">
        <f t="shared" si="39"/>
        <v>1749.8</v>
      </c>
      <c r="BK28">
        <f t="shared" si="40"/>
        <v>1471.035600096299</v>
      </c>
      <c r="BL28">
        <f t="shared" si="41"/>
        <v>0.84068785009503888</v>
      </c>
      <c r="BM28">
        <f t="shared" si="42"/>
        <v>0.19137570019007777</v>
      </c>
      <c r="BN28">
        <v>6</v>
      </c>
      <c r="BO28">
        <v>0.5</v>
      </c>
      <c r="BP28" t="s">
        <v>271</v>
      </c>
      <c r="BQ28">
        <v>1567875294</v>
      </c>
      <c r="BR28">
        <v>981.197</v>
      </c>
      <c r="BS28">
        <v>999.92</v>
      </c>
      <c r="BT28">
        <v>16.866499999999998</v>
      </c>
      <c r="BU28">
        <v>15.999000000000001</v>
      </c>
      <c r="BV28">
        <v>500.072</v>
      </c>
      <c r="BW28">
        <v>99.332400000000007</v>
      </c>
      <c r="BX28">
        <v>9.9953299999999995E-2</v>
      </c>
      <c r="BY28">
        <v>24.232099999999999</v>
      </c>
      <c r="BZ28">
        <v>26.9619</v>
      </c>
      <c r="CA28">
        <v>999.9</v>
      </c>
      <c r="CB28">
        <v>10007.5</v>
      </c>
      <c r="CC28">
        <v>0</v>
      </c>
      <c r="CD28">
        <v>1449.27</v>
      </c>
      <c r="CE28">
        <v>1749.8</v>
      </c>
      <c r="CF28">
        <v>0.97700500000000001</v>
      </c>
      <c r="CG28">
        <v>2.29946E-2</v>
      </c>
      <c r="CH28">
        <v>0</v>
      </c>
      <c r="CI28">
        <v>831.4</v>
      </c>
      <c r="CJ28">
        <v>4.99986</v>
      </c>
      <c r="CK28">
        <v>17052.2</v>
      </c>
      <c r="CL28">
        <v>14219.2</v>
      </c>
      <c r="CM28">
        <v>42.936999999999998</v>
      </c>
      <c r="CN28">
        <v>44.936999999999998</v>
      </c>
      <c r="CO28">
        <v>43.875</v>
      </c>
      <c r="CP28">
        <v>43.061999999999998</v>
      </c>
      <c r="CQ28">
        <v>44.686999999999998</v>
      </c>
      <c r="CR28">
        <v>1704.68</v>
      </c>
      <c r="CS28">
        <v>40.119999999999997</v>
      </c>
      <c r="CT28">
        <v>0</v>
      </c>
      <c r="CU28">
        <v>120</v>
      </c>
      <c r="CV28">
        <v>831.48084615384596</v>
      </c>
      <c r="CW28">
        <v>-0.191247877010599</v>
      </c>
      <c r="CX28">
        <v>178.29059718576801</v>
      </c>
      <c r="CY28">
        <v>17063.484615384601</v>
      </c>
      <c r="CZ28">
        <v>15</v>
      </c>
      <c r="DA28">
        <v>1567875254</v>
      </c>
      <c r="DB28" t="s">
        <v>333</v>
      </c>
      <c r="DC28">
        <v>43</v>
      </c>
      <c r="DD28">
        <v>0.21</v>
      </c>
      <c r="DE28">
        <v>0.104</v>
      </c>
      <c r="DF28">
        <v>1000</v>
      </c>
      <c r="DG28">
        <v>16</v>
      </c>
      <c r="DH28">
        <v>0.16</v>
      </c>
      <c r="DI28">
        <v>7.0000000000000007E-2</v>
      </c>
      <c r="DJ28">
        <v>13.6732804739689</v>
      </c>
      <c r="DK28">
        <v>11.537143984943</v>
      </c>
      <c r="DL28">
        <v>3.99875924797196</v>
      </c>
      <c r="DM28">
        <v>0</v>
      </c>
      <c r="DN28">
        <v>3.2552065557118599E-2</v>
      </c>
      <c r="DO28">
        <v>2.9533319514880401E-2</v>
      </c>
      <c r="DP28">
        <v>9.5188866211679199E-3</v>
      </c>
      <c r="DQ28">
        <v>1</v>
      </c>
      <c r="DR28">
        <v>1</v>
      </c>
      <c r="DS28">
        <v>2</v>
      </c>
      <c r="DT28" t="s">
        <v>303</v>
      </c>
      <c r="DU28">
        <v>1.86676</v>
      </c>
      <c r="DV28">
        <v>1.8632500000000001</v>
      </c>
      <c r="DW28">
        <v>1.8689</v>
      </c>
      <c r="DX28">
        <v>1.8669</v>
      </c>
      <c r="DY28">
        <v>1.8715599999999999</v>
      </c>
      <c r="DZ28">
        <v>1.86402</v>
      </c>
      <c r="EA28">
        <v>1.86557</v>
      </c>
      <c r="EB28">
        <v>1.86554</v>
      </c>
      <c r="EC28" t="s">
        <v>274</v>
      </c>
      <c r="ED28" t="s">
        <v>19</v>
      </c>
      <c r="EE28" t="s">
        <v>19</v>
      </c>
      <c r="EF28" t="s">
        <v>19</v>
      </c>
      <c r="EG28" t="s">
        <v>275</v>
      </c>
      <c r="EH28" t="s">
        <v>276</v>
      </c>
      <c r="EI28" t="s">
        <v>277</v>
      </c>
      <c r="EJ28" t="s">
        <v>277</v>
      </c>
      <c r="EK28" t="s">
        <v>277</v>
      </c>
      <c r="EL28" t="s">
        <v>277</v>
      </c>
      <c r="EM28">
        <v>0</v>
      </c>
      <c r="EN28">
        <v>100</v>
      </c>
      <c r="EO28">
        <v>100</v>
      </c>
      <c r="EP28">
        <v>0.21</v>
      </c>
      <c r="EQ28">
        <v>0.104</v>
      </c>
      <c r="ER28">
        <v>2</v>
      </c>
      <c r="ES28">
        <v>504.64499999999998</v>
      </c>
      <c r="ET28">
        <v>503.52699999999999</v>
      </c>
      <c r="EU28">
        <v>18.6891</v>
      </c>
      <c r="EV28">
        <v>31.177399999999999</v>
      </c>
      <c r="EW28">
        <v>29.999199999999998</v>
      </c>
      <c r="EX28">
        <v>31.224399999999999</v>
      </c>
      <c r="EY28">
        <v>31.218699999999998</v>
      </c>
      <c r="EZ28">
        <v>45.460700000000003</v>
      </c>
      <c r="FA28">
        <v>45.0854</v>
      </c>
      <c r="FB28">
        <v>0</v>
      </c>
      <c r="FC28">
        <v>18.7209</v>
      </c>
      <c r="FD28">
        <v>1000</v>
      </c>
      <c r="FE28">
        <v>15.957000000000001</v>
      </c>
      <c r="FF28">
        <v>101.136</v>
      </c>
      <c r="FG28">
        <v>101.581</v>
      </c>
    </row>
    <row r="29" spans="1:163" x14ac:dyDescent="0.35">
      <c r="A29">
        <v>13</v>
      </c>
      <c r="B29">
        <v>1567875409</v>
      </c>
      <c r="C29">
        <v>1399.5999999046301</v>
      </c>
      <c r="D29" t="s">
        <v>334</v>
      </c>
      <c r="E29" t="s">
        <v>335</v>
      </c>
      <c r="G29">
        <v>1567875409</v>
      </c>
      <c r="H29">
        <f t="shared" si="0"/>
        <v>6.2508211403838724E-4</v>
      </c>
      <c r="I29">
        <f t="shared" si="1"/>
        <v>16.12145092842659</v>
      </c>
      <c r="J29">
        <f t="shared" si="2"/>
        <v>1179.72</v>
      </c>
      <c r="K29">
        <f t="shared" si="3"/>
        <v>349.05778111005316</v>
      </c>
      <c r="L29">
        <f t="shared" si="4"/>
        <v>34.703692365239668</v>
      </c>
      <c r="M29">
        <f t="shared" si="5"/>
        <v>117.28900535299201</v>
      </c>
      <c r="N29">
        <f t="shared" si="6"/>
        <v>3.2190179108794958E-2</v>
      </c>
      <c r="O29">
        <f t="shared" si="7"/>
        <v>2.2537074383381439</v>
      </c>
      <c r="P29">
        <f t="shared" si="8"/>
        <v>3.1936915796979139E-2</v>
      </c>
      <c r="Q29">
        <f t="shared" si="9"/>
        <v>1.9983160874060883E-2</v>
      </c>
      <c r="R29">
        <f t="shared" si="10"/>
        <v>281.57153967017467</v>
      </c>
      <c r="S29">
        <f t="shared" si="11"/>
        <v>26.102107303385125</v>
      </c>
      <c r="T29">
        <f t="shared" si="12"/>
        <v>26.977699999999999</v>
      </c>
      <c r="U29">
        <f t="shared" si="13"/>
        <v>3.5744746238074647</v>
      </c>
      <c r="V29">
        <f t="shared" si="14"/>
        <v>55.458749623339777</v>
      </c>
      <c r="W29">
        <f t="shared" si="15"/>
        <v>1.6799871374167201</v>
      </c>
      <c r="X29">
        <f t="shared" si="16"/>
        <v>3.029255345327329</v>
      </c>
      <c r="Y29">
        <f t="shared" si="17"/>
        <v>1.8944874863907446</v>
      </c>
      <c r="Z29">
        <f t="shared" si="18"/>
        <v>-27.566121229092879</v>
      </c>
      <c r="AA29">
        <f t="shared" si="19"/>
        <v>-338.75937884647425</v>
      </c>
      <c r="AB29">
        <f t="shared" si="20"/>
        <v>-31.982509132161404</v>
      </c>
      <c r="AC29">
        <f t="shared" si="21"/>
        <v>-116.73646953755386</v>
      </c>
      <c r="AD29">
        <v>-4.1283631372559797E-2</v>
      </c>
      <c r="AE29">
        <v>4.6344492860442801E-2</v>
      </c>
      <c r="AF29">
        <v>3.46185121058764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53135.807375595403</v>
      </c>
      <c r="AL29" t="s">
        <v>268</v>
      </c>
      <c r="AM29">
        <v>631.89076923076902</v>
      </c>
      <c r="AN29">
        <v>3514.37</v>
      </c>
      <c r="AO29">
        <f t="shared" si="25"/>
        <v>2882.479230769231</v>
      </c>
      <c r="AP29">
        <f t="shared" si="26"/>
        <v>0.82019799587670938</v>
      </c>
      <c r="AQ29">
        <v>-1.4218795309761501</v>
      </c>
      <c r="AR29" t="s">
        <v>336</v>
      </c>
      <c r="AS29">
        <v>831.78057692307698</v>
      </c>
      <c r="AT29">
        <v>1040.52</v>
      </c>
      <c r="AU29">
        <f t="shared" si="27"/>
        <v>0.20061067838861624</v>
      </c>
      <c r="AV29">
        <v>0.5</v>
      </c>
      <c r="AW29">
        <f t="shared" si="28"/>
        <v>1471.3044000962814</v>
      </c>
      <c r="AX29">
        <f t="shared" si="29"/>
        <v>16.12145092842659</v>
      </c>
      <c r="AY29">
        <f t="shared" si="30"/>
        <v>147.57968690973553</v>
      </c>
      <c r="AZ29">
        <f t="shared" si="31"/>
        <v>0.46649752047053394</v>
      </c>
      <c r="BA29">
        <f t="shared" si="32"/>
        <v>1.19236579855635E-2</v>
      </c>
      <c r="BB29">
        <f t="shared" si="33"/>
        <v>2.3775131664936762</v>
      </c>
      <c r="BC29" t="s">
        <v>337</v>
      </c>
      <c r="BD29">
        <v>555.12</v>
      </c>
      <c r="BE29">
        <f t="shared" si="34"/>
        <v>485.4</v>
      </c>
      <c r="BF29">
        <f t="shared" si="35"/>
        <v>0.43003589426642563</v>
      </c>
      <c r="BG29">
        <f t="shared" si="36"/>
        <v>0.83597195235279209</v>
      </c>
      <c r="BH29">
        <f t="shared" si="37"/>
        <v>0.51082841695876224</v>
      </c>
      <c r="BI29">
        <f t="shared" si="38"/>
        <v>0.85823688635557571</v>
      </c>
      <c r="BJ29">
        <f t="shared" si="39"/>
        <v>1750.12</v>
      </c>
      <c r="BK29">
        <f t="shared" si="40"/>
        <v>1471.3044000962814</v>
      </c>
      <c r="BL29">
        <f t="shared" si="41"/>
        <v>0.84068772432534999</v>
      </c>
      <c r="BM29">
        <f t="shared" si="42"/>
        <v>0.19137544865069986</v>
      </c>
      <c r="BN29">
        <v>6</v>
      </c>
      <c r="BO29">
        <v>0.5</v>
      </c>
      <c r="BP29" t="s">
        <v>271</v>
      </c>
      <c r="BQ29">
        <v>1567875409</v>
      </c>
      <c r="BR29">
        <v>1179.72</v>
      </c>
      <c r="BS29">
        <v>1199.95</v>
      </c>
      <c r="BT29">
        <v>16.8977</v>
      </c>
      <c r="BU29">
        <v>16.160299999999999</v>
      </c>
      <c r="BV29">
        <v>500.01600000000002</v>
      </c>
      <c r="BW29">
        <v>99.321100000000001</v>
      </c>
      <c r="BX29">
        <v>9.9953600000000004E-2</v>
      </c>
      <c r="BY29">
        <v>24.189599999999999</v>
      </c>
      <c r="BZ29">
        <v>26.977699999999999</v>
      </c>
      <c r="CA29">
        <v>999.9</v>
      </c>
      <c r="CB29">
        <v>10023.799999999999</v>
      </c>
      <c r="CC29">
        <v>0</v>
      </c>
      <c r="CD29">
        <v>1454.19</v>
      </c>
      <c r="CE29">
        <v>1750.12</v>
      </c>
      <c r="CF29">
        <v>0.97701000000000005</v>
      </c>
      <c r="CG29">
        <v>2.2990500000000001E-2</v>
      </c>
      <c r="CH29">
        <v>0</v>
      </c>
      <c r="CI29">
        <v>831.721</v>
      </c>
      <c r="CJ29">
        <v>4.99986</v>
      </c>
      <c r="CK29">
        <v>17165.2</v>
      </c>
      <c r="CL29">
        <v>14221.8</v>
      </c>
      <c r="CM29">
        <v>42.686999999999998</v>
      </c>
      <c r="CN29">
        <v>44.625</v>
      </c>
      <c r="CO29">
        <v>43.686999999999998</v>
      </c>
      <c r="CP29">
        <v>43.125</v>
      </c>
      <c r="CQ29">
        <v>44.436999999999998</v>
      </c>
      <c r="CR29">
        <v>1705</v>
      </c>
      <c r="CS29">
        <v>40.119999999999997</v>
      </c>
      <c r="CT29">
        <v>0</v>
      </c>
      <c r="CU29">
        <v>114.59999990463299</v>
      </c>
      <c r="CV29">
        <v>831.78057692307698</v>
      </c>
      <c r="CW29">
        <v>0.53965812359932996</v>
      </c>
      <c r="CX29">
        <v>202.505982903708</v>
      </c>
      <c r="CY29">
        <v>17150.45</v>
      </c>
      <c r="CZ29">
        <v>15</v>
      </c>
      <c r="DA29">
        <v>1567875364</v>
      </c>
      <c r="DB29" t="s">
        <v>338</v>
      </c>
      <c r="DC29">
        <v>44</v>
      </c>
      <c r="DD29">
        <v>0.27</v>
      </c>
      <c r="DE29">
        <v>0.107</v>
      </c>
      <c r="DF29">
        <v>1200</v>
      </c>
      <c r="DG29">
        <v>16</v>
      </c>
      <c r="DH29">
        <v>0.23</v>
      </c>
      <c r="DI29">
        <v>0.1</v>
      </c>
      <c r="DJ29">
        <v>16.360333702777101</v>
      </c>
      <c r="DK29">
        <v>-0.24635254971509701</v>
      </c>
      <c r="DL29">
        <v>0.33549511776586</v>
      </c>
      <c r="DM29">
        <v>1</v>
      </c>
      <c r="DN29">
        <v>3.1245169022062001E-2</v>
      </c>
      <c r="DO29">
        <v>-1.9923981698313901E-3</v>
      </c>
      <c r="DP29">
        <v>1.21076933689035E-3</v>
      </c>
      <c r="DQ29">
        <v>1</v>
      </c>
      <c r="DR29">
        <v>2</v>
      </c>
      <c r="DS29">
        <v>2</v>
      </c>
      <c r="DT29" t="s">
        <v>273</v>
      </c>
      <c r="DU29">
        <v>1.86676</v>
      </c>
      <c r="DV29">
        <v>1.8632500000000001</v>
      </c>
      <c r="DW29">
        <v>1.8689100000000001</v>
      </c>
      <c r="DX29">
        <v>1.8668800000000001</v>
      </c>
      <c r="DY29">
        <v>1.87154</v>
      </c>
      <c r="DZ29">
        <v>1.8640099999999999</v>
      </c>
      <c r="EA29">
        <v>1.8655600000000001</v>
      </c>
      <c r="EB29">
        <v>1.86554</v>
      </c>
      <c r="EC29" t="s">
        <v>274</v>
      </c>
      <c r="ED29" t="s">
        <v>19</v>
      </c>
      <c r="EE29" t="s">
        <v>19</v>
      </c>
      <c r="EF29" t="s">
        <v>19</v>
      </c>
      <c r="EG29" t="s">
        <v>275</v>
      </c>
      <c r="EH29" t="s">
        <v>276</v>
      </c>
      <c r="EI29" t="s">
        <v>277</v>
      </c>
      <c r="EJ29" t="s">
        <v>277</v>
      </c>
      <c r="EK29" t="s">
        <v>277</v>
      </c>
      <c r="EL29" t="s">
        <v>277</v>
      </c>
      <c r="EM29">
        <v>0</v>
      </c>
      <c r="EN29">
        <v>100</v>
      </c>
      <c r="EO29">
        <v>100</v>
      </c>
      <c r="EP29">
        <v>0.27</v>
      </c>
      <c r="EQ29">
        <v>0.107</v>
      </c>
      <c r="ER29">
        <v>2</v>
      </c>
      <c r="ES29">
        <v>504.70800000000003</v>
      </c>
      <c r="ET29">
        <v>504.221</v>
      </c>
      <c r="EU29">
        <v>18.0396</v>
      </c>
      <c r="EV29">
        <v>31.081600000000002</v>
      </c>
      <c r="EW29">
        <v>29.999199999999998</v>
      </c>
      <c r="EX29">
        <v>31.158000000000001</v>
      </c>
      <c r="EY29">
        <v>31.157699999999998</v>
      </c>
      <c r="EZ29">
        <v>52.647100000000002</v>
      </c>
      <c r="FA29">
        <v>44.285499999999999</v>
      </c>
      <c r="FB29">
        <v>0</v>
      </c>
      <c r="FC29">
        <v>18.055399999999999</v>
      </c>
      <c r="FD29">
        <v>1200</v>
      </c>
      <c r="FE29">
        <v>16.073799999999999</v>
      </c>
      <c r="FF29">
        <v>101.154</v>
      </c>
      <c r="FG29">
        <v>101.607</v>
      </c>
    </row>
    <row r="30" spans="1:163" x14ac:dyDescent="0.35">
      <c r="A30">
        <v>14</v>
      </c>
      <c r="B30">
        <v>1567875529.5</v>
      </c>
      <c r="C30">
        <v>1520.0999999046301</v>
      </c>
      <c r="D30" t="s">
        <v>339</v>
      </c>
      <c r="E30" t="s">
        <v>340</v>
      </c>
      <c r="G30">
        <v>1567875529.5</v>
      </c>
      <c r="H30">
        <f t="shared" si="0"/>
        <v>5.9201663196588122E-4</v>
      </c>
      <c r="I30">
        <f t="shared" si="1"/>
        <v>18.44411781241044</v>
      </c>
      <c r="J30">
        <f t="shared" si="2"/>
        <v>1476.73</v>
      </c>
      <c r="K30">
        <f t="shared" si="3"/>
        <v>465.88911105959363</v>
      </c>
      <c r="L30">
        <f t="shared" si="4"/>
        <v>46.317738951199793</v>
      </c>
      <c r="M30">
        <f t="shared" si="5"/>
        <v>146.81346487331001</v>
      </c>
      <c r="N30">
        <f t="shared" si="6"/>
        <v>3.0296780872697854E-2</v>
      </c>
      <c r="O30">
        <f t="shared" si="7"/>
        <v>2.2526955650323583</v>
      </c>
      <c r="P30">
        <f t="shared" si="8"/>
        <v>3.0072222694342142E-2</v>
      </c>
      <c r="Q30">
        <f t="shared" si="9"/>
        <v>1.8815175990761424E-2</v>
      </c>
      <c r="R30">
        <f t="shared" si="10"/>
        <v>281.54928528917202</v>
      </c>
      <c r="S30">
        <f t="shared" si="11"/>
        <v>26.067585775509315</v>
      </c>
      <c r="T30">
        <f t="shared" si="12"/>
        <v>26.999199999999998</v>
      </c>
      <c r="U30">
        <f t="shared" si="13"/>
        <v>3.5789915258989589</v>
      </c>
      <c r="V30">
        <f t="shared" si="14"/>
        <v>55.39801271306645</v>
      </c>
      <c r="W30">
        <f t="shared" si="15"/>
        <v>1.6735023018509998</v>
      </c>
      <c r="X30">
        <f t="shared" si="16"/>
        <v>3.0208706411886852</v>
      </c>
      <c r="Y30">
        <f t="shared" si="17"/>
        <v>1.9054892240479591</v>
      </c>
      <c r="Z30">
        <f t="shared" si="18"/>
        <v>-26.107933469695361</v>
      </c>
      <c r="AA30">
        <f t="shared" si="19"/>
        <v>-346.82926588592142</v>
      </c>
      <c r="AB30">
        <f t="shared" si="20"/>
        <v>-32.755071414050207</v>
      </c>
      <c r="AC30">
        <f t="shared" si="21"/>
        <v>-124.14298548049496</v>
      </c>
      <c r="AD30">
        <v>-4.1256355168179999E-2</v>
      </c>
      <c r="AE30">
        <v>4.6313872931499703E-2</v>
      </c>
      <c r="AF30">
        <v>3.4600411134978399</v>
      </c>
      <c r="AG30">
        <v>0</v>
      </c>
      <c r="AH30">
        <v>0</v>
      </c>
      <c r="AI30">
        <f t="shared" si="22"/>
        <v>1</v>
      </c>
      <c r="AJ30">
        <f t="shared" si="23"/>
        <v>0</v>
      </c>
      <c r="AK30">
        <f t="shared" si="24"/>
        <v>53110.337855778242</v>
      </c>
      <c r="AL30" t="s">
        <v>268</v>
      </c>
      <c r="AM30">
        <v>631.89076923076902</v>
      </c>
      <c r="AN30">
        <v>3514.37</v>
      </c>
      <c r="AO30">
        <f t="shared" si="25"/>
        <v>2882.479230769231</v>
      </c>
      <c r="AP30">
        <f t="shared" si="26"/>
        <v>0.82019799587670938</v>
      </c>
      <c r="AQ30">
        <v>-1.4218795309761501</v>
      </c>
      <c r="AR30" t="s">
        <v>341</v>
      </c>
      <c r="AS30">
        <v>834.92096153846103</v>
      </c>
      <c r="AT30">
        <v>1060.92</v>
      </c>
      <c r="AU30">
        <f t="shared" si="27"/>
        <v>0.21302175325334527</v>
      </c>
      <c r="AV30">
        <v>0.5</v>
      </c>
      <c r="AW30">
        <f t="shared" si="28"/>
        <v>1471.1793000963617</v>
      </c>
      <c r="AX30">
        <f t="shared" si="29"/>
        <v>18.44411781241044</v>
      </c>
      <c r="AY30">
        <f t="shared" si="30"/>
        <v>156.69659692827818</v>
      </c>
      <c r="AZ30">
        <f t="shared" si="31"/>
        <v>0.47521019492515931</v>
      </c>
      <c r="BA30">
        <f t="shared" si="32"/>
        <v>1.3503450831645995E-2</v>
      </c>
      <c r="BB30">
        <f t="shared" si="33"/>
        <v>2.3125683369151298</v>
      </c>
      <c r="BC30" t="s">
        <v>342</v>
      </c>
      <c r="BD30">
        <v>556.76</v>
      </c>
      <c r="BE30">
        <f t="shared" si="34"/>
        <v>504.16000000000008</v>
      </c>
      <c r="BF30">
        <f t="shared" si="35"/>
        <v>0.44826848314332557</v>
      </c>
      <c r="BG30">
        <f t="shared" si="36"/>
        <v>0.82953803915999746</v>
      </c>
      <c r="BH30">
        <f t="shared" si="37"/>
        <v>0.52676839304476397</v>
      </c>
      <c r="BI30">
        <f t="shared" si="38"/>
        <v>0.85115964542275691</v>
      </c>
      <c r="BJ30">
        <f t="shared" si="39"/>
        <v>1749.97</v>
      </c>
      <c r="BK30">
        <f t="shared" si="40"/>
        <v>1471.1793000963617</v>
      </c>
      <c r="BL30">
        <f t="shared" si="41"/>
        <v>0.84068829756873642</v>
      </c>
      <c r="BM30">
        <f t="shared" si="42"/>
        <v>0.19137659513747282</v>
      </c>
      <c r="BN30">
        <v>6</v>
      </c>
      <c r="BO30">
        <v>0.5</v>
      </c>
      <c r="BP30" t="s">
        <v>271</v>
      </c>
      <c r="BQ30">
        <v>1567875529.5</v>
      </c>
      <c r="BR30">
        <v>1476.73</v>
      </c>
      <c r="BS30">
        <v>1499.91</v>
      </c>
      <c r="BT30">
        <v>16.832999999999998</v>
      </c>
      <c r="BU30">
        <v>16.134599999999999</v>
      </c>
      <c r="BV30">
        <v>500.04399999999998</v>
      </c>
      <c r="BW30">
        <v>99.317899999999995</v>
      </c>
      <c r="BX30">
        <v>0.100047</v>
      </c>
      <c r="BY30">
        <v>24.1434</v>
      </c>
      <c r="BZ30">
        <v>26.999199999999998</v>
      </c>
      <c r="CA30">
        <v>999.9</v>
      </c>
      <c r="CB30">
        <v>10017.5</v>
      </c>
      <c r="CC30">
        <v>0</v>
      </c>
      <c r="CD30">
        <v>1462.66</v>
      </c>
      <c r="CE30">
        <v>1749.97</v>
      </c>
      <c r="CF30">
        <v>0.97699100000000005</v>
      </c>
      <c r="CG30">
        <v>2.3009499999999999E-2</v>
      </c>
      <c r="CH30">
        <v>0</v>
      </c>
      <c r="CI30">
        <v>834.61500000000001</v>
      </c>
      <c r="CJ30">
        <v>4.99986</v>
      </c>
      <c r="CK30">
        <v>16951</v>
      </c>
      <c r="CL30">
        <v>14220.5</v>
      </c>
      <c r="CM30">
        <v>42.875</v>
      </c>
      <c r="CN30">
        <v>44.875</v>
      </c>
      <c r="CO30">
        <v>43.75</v>
      </c>
      <c r="CP30">
        <v>43.625</v>
      </c>
      <c r="CQ30">
        <v>44.625</v>
      </c>
      <c r="CR30">
        <v>1704.82</v>
      </c>
      <c r="CS30">
        <v>40.15</v>
      </c>
      <c r="CT30">
        <v>0</v>
      </c>
      <c r="CU30">
        <v>120</v>
      </c>
      <c r="CV30">
        <v>834.92096153846103</v>
      </c>
      <c r="CW30">
        <v>-1.2261538352180901</v>
      </c>
      <c r="CX30">
        <v>2346.93674929083</v>
      </c>
      <c r="CY30">
        <v>16805.7961538462</v>
      </c>
      <c r="CZ30">
        <v>15</v>
      </c>
      <c r="DA30">
        <v>1567875482</v>
      </c>
      <c r="DB30" t="s">
        <v>343</v>
      </c>
      <c r="DC30">
        <v>45</v>
      </c>
      <c r="DD30">
        <v>0.25700000000000001</v>
      </c>
      <c r="DE30">
        <v>0.107</v>
      </c>
      <c r="DF30">
        <v>1500</v>
      </c>
      <c r="DG30">
        <v>16</v>
      </c>
      <c r="DH30">
        <v>0.11</v>
      </c>
      <c r="DI30">
        <v>0.14000000000000001</v>
      </c>
      <c r="DJ30">
        <v>18.798332297321899</v>
      </c>
      <c r="DK30">
        <v>-0.90955846344048397</v>
      </c>
      <c r="DL30">
        <v>0.195223595297941</v>
      </c>
      <c r="DM30">
        <v>0</v>
      </c>
      <c r="DN30">
        <v>2.8299255689751699E-2</v>
      </c>
      <c r="DO30">
        <v>6.1831538623567201E-3</v>
      </c>
      <c r="DP30">
        <v>1.3359649665032401E-3</v>
      </c>
      <c r="DQ30">
        <v>1</v>
      </c>
      <c r="DR30">
        <v>1</v>
      </c>
      <c r="DS30">
        <v>2</v>
      </c>
      <c r="DT30" t="s">
        <v>303</v>
      </c>
      <c r="DU30">
        <v>1.86676</v>
      </c>
      <c r="DV30">
        <v>1.8632500000000001</v>
      </c>
      <c r="DW30">
        <v>1.8689</v>
      </c>
      <c r="DX30">
        <v>1.86686</v>
      </c>
      <c r="DY30">
        <v>1.87151</v>
      </c>
      <c r="DZ30">
        <v>1.8640099999999999</v>
      </c>
      <c r="EA30">
        <v>1.86557</v>
      </c>
      <c r="EB30">
        <v>1.8655299999999999</v>
      </c>
      <c r="EC30" t="s">
        <v>274</v>
      </c>
      <c r="ED30" t="s">
        <v>19</v>
      </c>
      <c r="EE30" t="s">
        <v>19</v>
      </c>
      <c r="EF30" t="s">
        <v>19</v>
      </c>
      <c r="EG30" t="s">
        <v>275</v>
      </c>
      <c r="EH30" t="s">
        <v>276</v>
      </c>
      <c r="EI30" t="s">
        <v>277</v>
      </c>
      <c r="EJ30" t="s">
        <v>277</v>
      </c>
      <c r="EK30" t="s">
        <v>277</v>
      </c>
      <c r="EL30" t="s">
        <v>277</v>
      </c>
      <c r="EM30">
        <v>0</v>
      </c>
      <c r="EN30">
        <v>100</v>
      </c>
      <c r="EO30">
        <v>100</v>
      </c>
      <c r="EP30">
        <v>0.25700000000000001</v>
      </c>
      <c r="EQ30">
        <v>0.107</v>
      </c>
      <c r="ER30">
        <v>2</v>
      </c>
      <c r="ES30">
        <v>504.87099999999998</v>
      </c>
      <c r="ET30">
        <v>504.22800000000001</v>
      </c>
      <c r="EU30">
        <v>17.761900000000001</v>
      </c>
      <c r="EV30">
        <v>31.069800000000001</v>
      </c>
      <c r="EW30">
        <v>29.9999</v>
      </c>
      <c r="EX30">
        <v>31.1264</v>
      </c>
      <c r="EY30">
        <v>31.1296</v>
      </c>
      <c r="EZ30">
        <v>62.943100000000001</v>
      </c>
      <c r="FA30">
        <v>44.748399999999997</v>
      </c>
      <c r="FB30">
        <v>0</v>
      </c>
      <c r="FC30">
        <v>17.7636</v>
      </c>
      <c r="FD30">
        <v>1500</v>
      </c>
      <c r="FE30">
        <v>16.137</v>
      </c>
      <c r="FF30">
        <v>101.16200000000001</v>
      </c>
      <c r="FG30">
        <v>101.61799999999999</v>
      </c>
    </row>
    <row r="31" spans="1:163" x14ac:dyDescent="0.35">
      <c r="A31">
        <v>15</v>
      </c>
      <c r="B31">
        <v>1567875650</v>
      </c>
      <c r="C31">
        <v>1640.5999999046301</v>
      </c>
      <c r="D31" t="s">
        <v>344</v>
      </c>
      <c r="E31" t="s">
        <v>345</v>
      </c>
      <c r="G31">
        <v>1567875650</v>
      </c>
      <c r="H31">
        <f t="shared" si="0"/>
        <v>5.0739643131892927E-4</v>
      </c>
      <c r="I31">
        <f t="shared" si="1"/>
        <v>20.618962970483082</v>
      </c>
      <c r="J31">
        <f t="shared" si="2"/>
        <v>1773.9</v>
      </c>
      <c r="K31">
        <f t="shared" si="3"/>
        <v>457.48235613077696</v>
      </c>
      <c r="L31">
        <f t="shared" si="4"/>
        <v>45.477673227944251</v>
      </c>
      <c r="M31">
        <f t="shared" si="5"/>
        <v>176.34088715760001</v>
      </c>
      <c r="N31">
        <f t="shared" si="6"/>
        <v>2.5889830240482314E-2</v>
      </c>
      <c r="O31">
        <f t="shared" si="7"/>
        <v>2.2466223016853069</v>
      </c>
      <c r="P31">
        <f t="shared" si="8"/>
        <v>2.5725217166577524E-2</v>
      </c>
      <c r="Q31">
        <f t="shared" si="9"/>
        <v>1.6092963195494865E-2</v>
      </c>
      <c r="R31">
        <f t="shared" si="10"/>
        <v>281.53970934603058</v>
      </c>
      <c r="S31">
        <f t="shared" si="11"/>
        <v>26.203377041351761</v>
      </c>
      <c r="T31">
        <f t="shared" si="12"/>
        <v>26.9846</v>
      </c>
      <c r="U31">
        <f t="shared" si="13"/>
        <v>3.5759236916900243</v>
      </c>
      <c r="V31">
        <f t="shared" si="14"/>
        <v>54.840027038692</v>
      </c>
      <c r="W31">
        <f t="shared" si="15"/>
        <v>1.6669228999455998</v>
      </c>
      <c r="X31">
        <f t="shared" si="16"/>
        <v>3.0396099162560843</v>
      </c>
      <c r="Y31">
        <f t="shared" si="17"/>
        <v>1.9090007917444245</v>
      </c>
      <c r="Z31">
        <f t="shared" si="18"/>
        <v>-22.37618262116478</v>
      </c>
      <c r="AA31">
        <f t="shared" si="19"/>
        <v>-331.63840237507145</v>
      </c>
      <c r="AB31">
        <f t="shared" si="20"/>
        <v>-31.418998869185803</v>
      </c>
      <c r="AC31">
        <f t="shared" si="21"/>
        <v>-103.89387451939146</v>
      </c>
      <c r="AD31">
        <v>-4.10928764456625E-2</v>
      </c>
      <c r="AE31">
        <v>4.6130353743951101E-2</v>
      </c>
      <c r="AF31">
        <v>3.4491837312654501</v>
      </c>
      <c r="AG31">
        <v>0</v>
      </c>
      <c r="AH31">
        <v>0</v>
      </c>
      <c r="AI31">
        <f t="shared" si="22"/>
        <v>1</v>
      </c>
      <c r="AJ31">
        <f t="shared" si="23"/>
        <v>0</v>
      </c>
      <c r="AK31">
        <f t="shared" si="24"/>
        <v>52889.9076348823</v>
      </c>
      <c r="AL31" t="s">
        <v>268</v>
      </c>
      <c r="AM31">
        <v>631.89076923076902</v>
      </c>
      <c r="AN31">
        <v>3514.37</v>
      </c>
      <c r="AO31">
        <f t="shared" si="25"/>
        <v>2882.479230769231</v>
      </c>
      <c r="AP31">
        <f t="shared" si="26"/>
        <v>0.82019799587670938</v>
      </c>
      <c r="AQ31">
        <v>-1.4218795309761501</v>
      </c>
      <c r="AR31" t="s">
        <v>346</v>
      </c>
      <c r="AS31">
        <v>840.36015384615405</v>
      </c>
      <c r="AT31">
        <v>1080.3</v>
      </c>
      <c r="AU31">
        <f t="shared" si="27"/>
        <v>0.22210482843084878</v>
      </c>
      <c r="AV31">
        <v>0.5</v>
      </c>
      <c r="AW31">
        <f t="shared" si="28"/>
        <v>1471.128900096365</v>
      </c>
      <c r="AX31">
        <f t="shared" si="29"/>
        <v>20.618962970483082</v>
      </c>
      <c r="AY31">
        <f t="shared" si="30"/>
        <v>163.37241597778322</v>
      </c>
      <c r="AZ31">
        <f t="shared" si="31"/>
        <v>0.48373599925946492</v>
      </c>
      <c r="BA31">
        <f t="shared" si="32"/>
        <v>1.4982264640450925E-2</v>
      </c>
      <c r="BB31">
        <f t="shared" si="33"/>
        <v>2.2531426455614181</v>
      </c>
      <c r="BC31" t="s">
        <v>347</v>
      </c>
      <c r="BD31">
        <v>557.72</v>
      </c>
      <c r="BE31">
        <f t="shared" si="34"/>
        <v>522.57999999999993</v>
      </c>
      <c r="BF31">
        <f t="shared" si="35"/>
        <v>0.45914471689281244</v>
      </c>
      <c r="BG31">
        <f t="shared" si="36"/>
        <v>0.8232526677151506</v>
      </c>
      <c r="BH31">
        <f t="shared" si="37"/>
        <v>0.53509122847947888</v>
      </c>
      <c r="BI31">
        <f t="shared" si="38"/>
        <v>0.84443626653657911</v>
      </c>
      <c r="BJ31">
        <f t="shared" si="39"/>
        <v>1749.91</v>
      </c>
      <c r="BK31">
        <f t="shared" si="40"/>
        <v>1471.128900096365</v>
      </c>
      <c r="BL31">
        <f t="shared" si="41"/>
        <v>0.84068832116872572</v>
      </c>
      <c r="BM31">
        <f t="shared" si="42"/>
        <v>0.19137664233745158</v>
      </c>
      <c r="BN31">
        <v>6</v>
      </c>
      <c r="BO31">
        <v>0.5</v>
      </c>
      <c r="BP31" t="s">
        <v>271</v>
      </c>
      <c r="BQ31">
        <v>1567875650</v>
      </c>
      <c r="BR31">
        <v>1773.9</v>
      </c>
      <c r="BS31">
        <v>1799.72</v>
      </c>
      <c r="BT31">
        <v>16.7684</v>
      </c>
      <c r="BU31">
        <v>16.169799999999999</v>
      </c>
      <c r="BV31">
        <v>500.05500000000001</v>
      </c>
      <c r="BW31">
        <v>99.308499999999995</v>
      </c>
      <c r="BX31">
        <v>0.10008400000000001</v>
      </c>
      <c r="BY31">
        <v>24.246500000000001</v>
      </c>
      <c r="BZ31">
        <v>26.9846</v>
      </c>
      <c r="CA31">
        <v>999.9</v>
      </c>
      <c r="CB31">
        <v>9978.75</v>
      </c>
      <c r="CC31">
        <v>0</v>
      </c>
      <c r="CD31">
        <v>1448.17</v>
      </c>
      <c r="CE31">
        <v>1749.91</v>
      </c>
      <c r="CF31">
        <v>0.97699100000000005</v>
      </c>
      <c r="CG31">
        <v>2.3009499999999999E-2</v>
      </c>
      <c r="CH31">
        <v>0</v>
      </c>
      <c r="CI31">
        <v>839.86900000000003</v>
      </c>
      <c r="CJ31">
        <v>4.99986</v>
      </c>
      <c r="CK31">
        <v>17260.900000000001</v>
      </c>
      <c r="CL31">
        <v>14220</v>
      </c>
      <c r="CM31">
        <v>42.811999999999998</v>
      </c>
      <c r="CN31">
        <v>44.875</v>
      </c>
      <c r="CO31">
        <v>43.75</v>
      </c>
      <c r="CP31">
        <v>43.5</v>
      </c>
      <c r="CQ31">
        <v>44.5</v>
      </c>
      <c r="CR31">
        <v>1704.76</v>
      </c>
      <c r="CS31">
        <v>40.15</v>
      </c>
      <c r="CT31">
        <v>0</v>
      </c>
      <c r="CU31">
        <v>120</v>
      </c>
      <c r="CV31">
        <v>840.36015384615405</v>
      </c>
      <c r="CW31">
        <v>-2.64061538251346</v>
      </c>
      <c r="CX31">
        <v>29.7675212280684</v>
      </c>
      <c r="CY31">
        <v>17260.503846153799</v>
      </c>
      <c r="CZ31">
        <v>15</v>
      </c>
      <c r="DA31">
        <v>1567875605.5</v>
      </c>
      <c r="DB31" t="s">
        <v>348</v>
      </c>
      <c r="DC31">
        <v>46</v>
      </c>
      <c r="DD31">
        <v>0.14000000000000001</v>
      </c>
      <c r="DE31">
        <v>0.10100000000000001</v>
      </c>
      <c r="DF31">
        <v>1800</v>
      </c>
      <c r="DG31">
        <v>16</v>
      </c>
      <c r="DH31">
        <v>0.14000000000000001</v>
      </c>
      <c r="DI31">
        <v>0.08</v>
      </c>
      <c r="DJ31">
        <v>20.6290766970749</v>
      </c>
      <c r="DK31">
        <v>1.04472920226546</v>
      </c>
      <c r="DL31">
        <v>0.82935236139893798</v>
      </c>
      <c r="DM31">
        <v>0</v>
      </c>
      <c r="DN31">
        <v>2.8561486030560902E-2</v>
      </c>
      <c r="DO31">
        <v>-1.4113562031420101E-2</v>
      </c>
      <c r="DP31">
        <v>3.0719130939116201E-3</v>
      </c>
      <c r="DQ31">
        <v>1</v>
      </c>
      <c r="DR31">
        <v>1</v>
      </c>
      <c r="DS31">
        <v>2</v>
      </c>
      <c r="DT31" t="s">
        <v>303</v>
      </c>
      <c r="DU31">
        <v>1.86676</v>
      </c>
      <c r="DV31">
        <v>1.8632500000000001</v>
      </c>
      <c r="DW31">
        <v>1.8689100000000001</v>
      </c>
      <c r="DX31">
        <v>1.8668800000000001</v>
      </c>
      <c r="DY31">
        <v>1.8715299999999999</v>
      </c>
      <c r="DZ31">
        <v>1.8640099999999999</v>
      </c>
      <c r="EA31">
        <v>1.86557</v>
      </c>
      <c r="EB31">
        <v>1.86554</v>
      </c>
      <c r="EC31" t="s">
        <v>274</v>
      </c>
      <c r="ED31" t="s">
        <v>19</v>
      </c>
      <c r="EE31" t="s">
        <v>19</v>
      </c>
      <c r="EF31" t="s">
        <v>19</v>
      </c>
      <c r="EG31" t="s">
        <v>275</v>
      </c>
      <c r="EH31" t="s">
        <v>276</v>
      </c>
      <c r="EI31" t="s">
        <v>277</v>
      </c>
      <c r="EJ31" t="s">
        <v>277</v>
      </c>
      <c r="EK31" t="s">
        <v>277</v>
      </c>
      <c r="EL31" t="s">
        <v>277</v>
      </c>
      <c r="EM31">
        <v>0</v>
      </c>
      <c r="EN31">
        <v>100</v>
      </c>
      <c r="EO31">
        <v>100</v>
      </c>
      <c r="EP31">
        <v>0.14000000000000001</v>
      </c>
      <c r="EQ31">
        <v>0.10100000000000001</v>
      </c>
      <c r="ER31">
        <v>2</v>
      </c>
      <c r="ES31">
        <v>505.02199999999999</v>
      </c>
      <c r="ET31">
        <v>504.90899999999999</v>
      </c>
      <c r="EU31">
        <v>18.5671</v>
      </c>
      <c r="EV31">
        <v>30.973299999999998</v>
      </c>
      <c r="EW31">
        <v>29.997800000000002</v>
      </c>
      <c r="EX31">
        <v>31.060400000000001</v>
      </c>
      <c r="EY31">
        <v>31.064900000000002</v>
      </c>
      <c r="EZ31">
        <v>72.638900000000007</v>
      </c>
      <c r="FA31">
        <v>44.570599999999999</v>
      </c>
      <c r="FB31">
        <v>0</v>
      </c>
      <c r="FC31">
        <v>18.644100000000002</v>
      </c>
      <c r="FD31">
        <v>1800</v>
      </c>
      <c r="FE31">
        <v>16.263400000000001</v>
      </c>
      <c r="FF31">
        <v>101.181</v>
      </c>
      <c r="FG31">
        <v>101.643</v>
      </c>
    </row>
    <row r="32" spans="1:163" x14ac:dyDescent="0.35">
      <c r="A32">
        <v>16</v>
      </c>
      <c r="B32">
        <v>1567875770.5</v>
      </c>
      <c r="C32">
        <v>1761.0999999046301</v>
      </c>
      <c r="D32" t="s">
        <v>349</v>
      </c>
      <c r="E32" t="s">
        <v>350</v>
      </c>
      <c r="G32">
        <v>1567875770.5</v>
      </c>
      <c r="H32">
        <f t="shared" si="0"/>
        <v>5.3194225004482912E-4</v>
      </c>
      <c r="I32">
        <f t="shared" si="1"/>
        <v>21.684248472941828</v>
      </c>
      <c r="J32">
        <f t="shared" si="2"/>
        <v>1972.52</v>
      </c>
      <c r="K32">
        <f t="shared" si="3"/>
        <v>638.20411818958883</v>
      </c>
      <c r="L32">
        <f t="shared" si="4"/>
        <v>63.436633707783869</v>
      </c>
      <c r="M32">
        <f t="shared" si="5"/>
        <v>196.06584344243598</v>
      </c>
      <c r="N32">
        <f t="shared" si="6"/>
        <v>2.6987439573056455E-2</v>
      </c>
      <c r="O32">
        <f t="shared" si="7"/>
        <v>2.25259824821921</v>
      </c>
      <c r="P32">
        <f t="shared" si="8"/>
        <v>2.6809095976648198E-2</v>
      </c>
      <c r="Q32">
        <f t="shared" si="9"/>
        <v>1.6771610087872414E-2</v>
      </c>
      <c r="R32">
        <f t="shared" si="10"/>
        <v>281.54553148221589</v>
      </c>
      <c r="S32">
        <f t="shared" si="11"/>
        <v>26.219370065015415</v>
      </c>
      <c r="T32">
        <f t="shared" si="12"/>
        <v>27.052600000000002</v>
      </c>
      <c r="U32">
        <f t="shared" si="13"/>
        <v>3.5902318122971932</v>
      </c>
      <c r="V32">
        <f t="shared" si="14"/>
        <v>54.851598155245263</v>
      </c>
      <c r="W32">
        <f t="shared" si="15"/>
        <v>1.67016585262011</v>
      </c>
      <c r="X32">
        <f t="shared" si="16"/>
        <v>3.0448809310771154</v>
      </c>
      <c r="Y32">
        <f t="shared" si="17"/>
        <v>1.9200659596770833</v>
      </c>
      <c r="Z32">
        <f t="shared" si="18"/>
        <v>-23.458653226976963</v>
      </c>
      <c r="AA32">
        <f t="shared" si="19"/>
        <v>-337.26893557230119</v>
      </c>
      <c r="AB32">
        <f t="shared" si="20"/>
        <v>-31.883194426565819</v>
      </c>
      <c r="AC32">
        <f t="shared" si="21"/>
        <v>-111.06525174362807</v>
      </c>
      <c r="AD32">
        <v>-4.1253732467998599E-2</v>
      </c>
      <c r="AE32">
        <v>4.6310928720784898E-2</v>
      </c>
      <c r="AF32">
        <v>3.4598670447424502</v>
      </c>
      <c r="AG32">
        <v>0</v>
      </c>
      <c r="AH32">
        <v>0</v>
      </c>
      <c r="AI32">
        <f t="shared" si="22"/>
        <v>1</v>
      </c>
      <c r="AJ32">
        <f t="shared" si="23"/>
        <v>0</v>
      </c>
      <c r="AK32">
        <f t="shared" si="24"/>
        <v>53083.095809153419</v>
      </c>
      <c r="AL32" t="s">
        <v>268</v>
      </c>
      <c r="AM32">
        <v>631.89076923076902</v>
      </c>
      <c r="AN32">
        <v>3514.37</v>
      </c>
      <c r="AO32">
        <f t="shared" si="25"/>
        <v>2882.479230769231</v>
      </c>
      <c r="AP32">
        <f t="shared" si="26"/>
        <v>0.82019799587670938</v>
      </c>
      <c r="AQ32">
        <v>-1.4218795309761501</v>
      </c>
      <c r="AR32" t="s">
        <v>351</v>
      </c>
      <c r="AS32">
        <v>840.49265384615398</v>
      </c>
      <c r="AT32">
        <v>1093.19</v>
      </c>
      <c r="AU32">
        <f t="shared" si="27"/>
        <v>0.23115592546020913</v>
      </c>
      <c r="AV32">
        <v>0.5</v>
      </c>
      <c r="AW32">
        <f t="shared" si="28"/>
        <v>1471.1622000963389</v>
      </c>
      <c r="AX32">
        <f t="shared" si="29"/>
        <v>21.684248472941828</v>
      </c>
      <c r="AY32">
        <f t="shared" si="30"/>
        <v>170.03392993267329</v>
      </c>
      <c r="AZ32">
        <f t="shared" si="31"/>
        <v>0.49024414786084763</v>
      </c>
      <c r="BA32">
        <f t="shared" si="32"/>
        <v>1.5706037038203453E-2</v>
      </c>
      <c r="BB32">
        <f t="shared" si="33"/>
        <v>2.2147842552529751</v>
      </c>
      <c r="BC32" t="s">
        <v>352</v>
      </c>
      <c r="BD32">
        <v>557.26</v>
      </c>
      <c r="BE32">
        <f t="shared" si="34"/>
        <v>535.93000000000006</v>
      </c>
      <c r="BF32">
        <f t="shared" si="35"/>
        <v>0.47151185071529123</v>
      </c>
      <c r="BG32">
        <f t="shared" si="36"/>
        <v>0.81876561913489865</v>
      </c>
      <c r="BH32">
        <f t="shared" si="37"/>
        <v>0.54779485700087827</v>
      </c>
      <c r="BI32">
        <f t="shared" si="38"/>
        <v>0.83996442165304797</v>
      </c>
      <c r="BJ32">
        <f t="shared" si="39"/>
        <v>1749.95</v>
      </c>
      <c r="BK32">
        <f t="shared" si="40"/>
        <v>1471.1622000963389</v>
      </c>
      <c r="BL32">
        <f t="shared" si="41"/>
        <v>0.84068813400173648</v>
      </c>
      <c r="BM32">
        <f t="shared" si="42"/>
        <v>0.19137626800347296</v>
      </c>
      <c r="BN32">
        <v>6</v>
      </c>
      <c r="BO32">
        <v>0.5</v>
      </c>
      <c r="BP32" t="s">
        <v>271</v>
      </c>
      <c r="BQ32">
        <v>1567875770.5</v>
      </c>
      <c r="BR32">
        <v>1972.52</v>
      </c>
      <c r="BS32">
        <v>1999.8</v>
      </c>
      <c r="BT32">
        <v>16.802700000000002</v>
      </c>
      <c r="BU32">
        <v>16.1751</v>
      </c>
      <c r="BV32">
        <v>500.00400000000002</v>
      </c>
      <c r="BW32">
        <v>99.298699999999997</v>
      </c>
      <c r="BX32">
        <v>9.9959300000000001E-2</v>
      </c>
      <c r="BY32">
        <v>24.275400000000001</v>
      </c>
      <c r="BZ32">
        <v>27.052600000000002</v>
      </c>
      <c r="CA32">
        <v>999.9</v>
      </c>
      <c r="CB32">
        <v>10018.799999999999</v>
      </c>
      <c r="CC32">
        <v>0</v>
      </c>
      <c r="CD32">
        <v>997.26</v>
      </c>
      <c r="CE32">
        <v>1749.95</v>
      </c>
      <c r="CF32">
        <v>0.97699499999999995</v>
      </c>
      <c r="CG32">
        <v>2.3005399999999999E-2</v>
      </c>
      <c r="CH32">
        <v>0</v>
      </c>
      <c r="CI32">
        <v>839.81200000000001</v>
      </c>
      <c r="CJ32">
        <v>4.99986</v>
      </c>
      <c r="CK32">
        <v>16367.3</v>
      </c>
      <c r="CL32">
        <v>14220.3</v>
      </c>
      <c r="CM32">
        <v>43.125</v>
      </c>
      <c r="CN32">
        <v>45.186999999999998</v>
      </c>
      <c r="CO32">
        <v>43.936999999999998</v>
      </c>
      <c r="CP32">
        <v>44</v>
      </c>
      <c r="CQ32">
        <v>44.811999999999998</v>
      </c>
      <c r="CR32">
        <v>1704.81</v>
      </c>
      <c r="CS32">
        <v>40.14</v>
      </c>
      <c r="CT32">
        <v>0</v>
      </c>
      <c r="CU32">
        <v>120</v>
      </c>
      <c r="CV32">
        <v>840.49265384615398</v>
      </c>
      <c r="CW32">
        <v>-2.65268377351277</v>
      </c>
      <c r="CX32">
        <v>-2851.5316241871901</v>
      </c>
      <c r="CY32">
        <v>17066.219230769198</v>
      </c>
      <c r="CZ32">
        <v>15</v>
      </c>
      <c r="DA32">
        <v>1567875745.5999999</v>
      </c>
      <c r="DB32" t="s">
        <v>353</v>
      </c>
      <c r="DC32">
        <v>47</v>
      </c>
      <c r="DD32">
        <v>0.13700000000000001</v>
      </c>
      <c r="DE32">
        <v>0.109</v>
      </c>
      <c r="DF32">
        <v>2000</v>
      </c>
      <c r="DG32">
        <v>16</v>
      </c>
      <c r="DH32">
        <v>0.17</v>
      </c>
      <c r="DI32">
        <v>0.14000000000000001</v>
      </c>
      <c r="DJ32">
        <v>11.2082401205379</v>
      </c>
      <c r="DK32">
        <v>49.039055206925902</v>
      </c>
      <c r="DL32">
        <v>10.5429681363656</v>
      </c>
      <c r="DM32">
        <v>0</v>
      </c>
      <c r="DN32">
        <v>1.39912778678133E-2</v>
      </c>
      <c r="DO32">
        <v>6.0194292672849203E-2</v>
      </c>
      <c r="DP32">
        <v>1.31023307914328E-2</v>
      </c>
      <c r="DQ32">
        <v>1</v>
      </c>
      <c r="DR32">
        <v>1</v>
      </c>
      <c r="DS32">
        <v>2</v>
      </c>
      <c r="DT32" t="s">
        <v>303</v>
      </c>
      <c r="DU32">
        <v>1.8667499999999999</v>
      </c>
      <c r="DV32">
        <v>1.8632500000000001</v>
      </c>
      <c r="DW32">
        <v>1.8689100000000001</v>
      </c>
      <c r="DX32">
        <v>1.8668400000000001</v>
      </c>
      <c r="DY32">
        <v>1.87151</v>
      </c>
      <c r="DZ32">
        <v>1.8640099999999999</v>
      </c>
      <c r="EA32">
        <v>1.86558</v>
      </c>
      <c r="EB32">
        <v>1.86554</v>
      </c>
      <c r="EC32" t="s">
        <v>274</v>
      </c>
      <c r="ED32" t="s">
        <v>19</v>
      </c>
      <c r="EE32" t="s">
        <v>19</v>
      </c>
      <c r="EF32" t="s">
        <v>19</v>
      </c>
      <c r="EG32" t="s">
        <v>275</v>
      </c>
      <c r="EH32" t="s">
        <v>276</v>
      </c>
      <c r="EI32" t="s">
        <v>277</v>
      </c>
      <c r="EJ32" t="s">
        <v>277</v>
      </c>
      <c r="EK32" t="s">
        <v>277</v>
      </c>
      <c r="EL32" t="s">
        <v>277</v>
      </c>
      <c r="EM32">
        <v>0</v>
      </c>
      <c r="EN32">
        <v>100</v>
      </c>
      <c r="EO32">
        <v>100</v>
      </c>
      <c r="EP32">
        <v>0.13700000000000001</v>
      </c>
      <c r="EQ32">
        <v>0.109</v>
      </c>
      <c r="ER32">
        <v>2</v>
      </c>
      <c r="ES32">
        <v>504.255</v>
      </c>
      <c r="ET32">
        <v>504.55</v>
      </c>
      <c r="EU32">
        <v>18.3018</v>
      </c>
      <c r="EV32">
        <v>30.931899999999999</v>
      </c>
      <c r="EW32">
        <v>30.000499999999999</v>
      </c>
      <c r="EX32">
        <v>31.017900000000001</v>
      </c>
      <c r="EY32">
        <v>31.0274</v>
      </c>
      <c r="EZ32">
        <v>78.793800000000005</v>
      </c>
      <c r="FA32">
        <v>44.927500000000002</v>
      </c>
      <c r="FB32">
        <v>0</v>
      </c>
      <c r="FC32">
        <v>18.248799999999999</v>
      </c>
      <c r="FD32">
        <v>2000</v>
      </c>
      <c r="FE32">
        <v>16.2789</v>
      </c>
      <c r="FF32">
        <v>101.18600000000001</v>
      </c>
      <c r="FG32">
        <v>101.64700000000001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Chongya</dc:creator>
  <cp:lastModifiedBy>Jiang, Chongya</cp:lastModifiedBy>
  <dcterms:created xsi:type="dcterms:W3CDTF">2019-09-07T12:03:11Z</dcterms:created>
  <dcterms:modified xsi:type="dcterms:W3CDTF">2019-09-18T16:07:25Z</dcterms:modified>
</cp:coreProperties>
</file>