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ongya\Documents\Guapi\A-Ci\raw20190907SY\"/>
    </mc:Choice>
  </mc:AlternateContent>
  <bookViews>
    <workbookView xWindow="0" yWindow="0" windowWidth="15530" windowHeight="705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M32" i="1" l="1"/>
  <c r="BL32" i="1"/>
  <c r="BJ32" i="1"/>
  <c r="BK32" i="1" s="1"/>
  <c r="BI32" i="1"/>
  <c r="BH32" i="1"/>
  <c r="BG32" i="1"/>
  <c r="BF32" i="1"/>
  <c r="BE32" i="1"/>
  <c r="BB32" i="1"/>
  <c r="AZ32" i="1"/>
  <c r="AU32" i="1"/>
  <c r="AO32" i="1"/>
  <c r="AP32" i="1" s="1"/>
  <c r="AK32" i="1"/>
  <c r="AJ32" i="1"/>
  <c r="AI32" i="1"/>
  <c r="M32" i="1" s="1"/>
  <c r="X32" i="1"/>
  <c r="W32" i="1"/>
  <c r="V32" i="1" s="1"/>
  <c r="O32" i="1"/>
  <c r="J32" i="1"/>
  <c r="H32" i="1"/>
  <c r="Z32" i="1" s="1"/>
  <c r="BM31" i="1"/>
  <c r="R31" i="1" s="1"/>
  <c r="BL31" i="1"/>
  <c r="BJ31" i="1"/>
  <c r="BK31" i="1" s="1"/>
  <c r="AW31" i="1" s="1"/>
  <c r="AY31" i="1" s="1"/>
  <c r="BI31" i="1"/>
  <c r="BH31" i="1"/>
  <c r="BG31" i="1"/>
  <c r="BF31" i="1"/>
  <c r="BE31" i="1"/>
  <c r="AZ31" i="1" s="1"/>
  <c r="BB31" i="1"/>
  <c r="AU31" i="1"/>
  <c r="AP31" i="1"/>
  <c r="AO31" i="1"/>
  <c r="AK31" i="1"/>
  <c r="AI31" i="1"/>
  <c r="X31" i="1"/>
  <c r="W31" i="1"/>
  <c r="V31" i="1"/>
  <c r="O31" i="1"/>
  <c r="J31" i="1"/>
  <c r="BM30" i="1"/>
  <c r="BL30" i="1"/>
  <c r="BK30" i="1" s="1"/>
  <c r="BJ30" i="1"/>
  <c r="BI30" i="1"/>
  <c r="BH30" i="1"/>
  <c r="BG30" i="1"/>
  <c r="BF30" i="1"/>
  <c r="BE30" i="1"/>
  <c r="AZ30" i="1" s="1"/>
  <c r="BB30" i="1"/>
  <c r="AU30" i="1"/>
  <c r="AO30" i="1"/>
  <c r="AP30" i="1" s="1"/>
  <c r="AK30" i="1"/>
  <c r="AI30" i="1"/>
  <c r="H30" i="1" s="1"/>
  <c r="X30" i="1"/>
  <c r="W30" i="1"/>
  <c r="V30" i="1"/>
  <c r="O30" i="1"/>
  <c r="M30" i="1"/>
  <c r="J30" i="1"/>
  <c r="I30" i="1"/>
  <c r="AX30" i="1" s="1"/>
  <c r="BM29" i="1"/>
  <c r="BL29" i="1"/>
  <c r="BK29" i="1"/>
  <c r="R29" i="1" s="1"/>
  <c r="BJ29" i="1"/>
  <c r="BI29" i="1"/>
  <c r="BH29" i="1"/>
  <c r="BG29" i="1"/>
  <c r="BF29" i="1"/>
  <c r="BE29" i="1"/>
  <c r="AZ29" i="1" s="1"/>
  <c r="BB29" i="1"/>
  <c r="AW29" i="1"/>
  <c r="AU29" i="1"/>
  <c r="AY29" i="1" s="1"/>
  <c r="AO29" i="1"/>
  <c r="AP29" i="1" s="1"/>
  <c r="AK29" i="1"/>
  <c r="AI29" i="1" s="1"/>
  <c r="X29" i="1"/>
  <c r="W29" i="1"/>
  <c r="O29" i="1"/>
  <c r="H29" i="1"/>
  <c r="Z29" i="1" s="1"/>
  <c r="BM28" i="1"/>
  <c r="BL28" i="1"/>
  <c r="BJ28" i="1"/>
  <c r="BK28" i="1" s="1"/>
  <c r="BI28" i="1"/>
  <c r="BH28" i="1"/>
  <c r="BG28" i="1"/>
  <c r="BF28" i="1"/>
  <c r="BE28" i="1"/>
  <c r="BB28" i="1"/>
  <c r="AZ28" i="1"/>
  <c r="AU28" i="1"/>
  <c r="AO28" i="1"/>
  <c r="AP28" i="1" s="1"/>
  <c r="AK28" i="1"/>
  <c r="AI28" i="1" s="1"/>
  <c r="AJ28" i="1"/>
  <c r="X28" i="1"/>
  <c r="W28" i="1"/>
  <c r="V28" i="1" s="1"/>
  <c r="O28" i="1"/>
  <c r="BM27" i="1"/>
  <c r="R27" i="1" s="1"/>
  <c r="BL27" i="1"/>
  <c r="BJ27" i="1"/>
  <c r="BK27" i="1" s="1"/>
  <c r="AW27" i="1" s="1"/>
  <c r="BI27" i="1"/>
  <c r="BH27" i="1"/>
  <c r="BG27" i="1"/>
  <c r="BF27" i="1"/>
  <c r="BE27" i="1"/>
  <c r="AZ27" i="1" s="1"/>
  <c r="BB27" i="1"/>
  <c r="AY27" i="1"/>
  <c r="AU27" i="1"/>
  <c r="AP27" i="1"/>
  <c r="AO27" i="1"/>
  <c r="AK27" i="1"/>
  <c r="AI27" i="1"/>
  <c r="X27" i="1"/>
  <c r="W27" i="1"/>
  <c r="V27" i="1"/>
  <c r="O27" i="1"/>
  <c r="J27" i="1"/>
  <c r="BM26" i="1"/>
  <c r="BL26" i="1"/>
  <c r="BJ26" i="1"/>
  <c r="BK26" i="1" s="1"/>
  <c r="BI26" i="1"/>
  <c r="BH26" i="1"/>
  <c r="BG26" i="1"/>
  <c r="BF26" i="1"/>
  <c r="BE26" i="1"/>
  <c r="AZ26" i="1" s="1"/>
  <c r="BB26" i="1"/>
  <c r="AX26" i="1"/>
  <c r="AU26" i="1"/>
  <c r="AO26" i="1"/>
  <c r="AP26" i="1" s="1"/>
  <c r="AK26" i="1"/>
  <c r="AI26" i="1"/>
  <c r="H26" i="1" s="1"/>
  <c r="X26" i="1"/>
  <c r="W26" i="1"/>
  <c r="V26" i="1"/>
  <c r="O26" i="1"/>
  <c r="M26" i="1"/>
  <c r="J26" i="1"/>
  <c r="I26" i="1"/>
  <c r="BM25" i="1"/>
  <c r="BL25" i="1"/>
  <c r="BK25" i="1"/>
  <c r="R25" i="1" s="1"/>
  <c r="BJ25" i="1"/>
  <c r="BI25" i="1"/>
  <c r="BH25" i="1"/>
  <c r="BG25" i="1"/>
  <c r="BF25" i="1"/>
  <c r="BE25" i="1"/>
  <c r="AZ25" i="1" s="1"/>
  <c r="BB25" i="1"/>
  <c r="AW25" i="1"/>
  <c r="AY25" i="1" s="1"/>
  <c r="AU25" i="1"/>
  <c r="AO25" i="1"/>
  <c r="AP25" i="1" s="1"/>
  <c r="AK25" i="1"/>
  <c r="AI25" i="1" s="1"/>
  <c r="X25" i="1"/>
  <c r="V25" i="1" s="1"/>
  <c r="W25" i="1"/>
  <c r="O25" i="1"/>
  <c r="H25" i="1"/>
  <c r="Z25" i="1" s="1"/>
  <c r="BM24" i="1"/>
  <c r="BL24" i="1"/>
  <c r="BJ24" i="1"/>
  <c r="BK24" i="1" s="1"/>
  <c r="BI24" i="1"/>
  <c r="BH24" i="1"/>
  <c r="BG24" i="1"/>
  <c r="BF24" i="1"/>
  <c r="BE24" i="1"/>
  <c r="BB24" i="1"/>
  <c r="AZ24" i="1"/>
  <c r="AU24" i="1"/>
  <c r="AO24" i="1"/>
  <c r="AP24" i="1" s="1"/>
  <c r="AK24" i="1"/>
  <c r="AI24" i="1" s="1"/>
  <c r="AJ24" i="1"/>
  <c r="X24" i="1"/>
  <c r="W24" i="1"/>
  <c r="V24" i="1" s="1"/>
  <c r="O24" i="1"/>
  <c r="BM23" i="1"/>
  <c r="BL23" i="1"/>
  <c r="BJ23" i="1"/>
  <c r="BK23" i="1" s="1"/>
  <c r="BI23" i="1"/>
  <c r="BH23" i="1"/>
  <c r="BG23" i="1"/>
  <c r="BF23" i="1"/>
  <c r="BE23" i="1"/>
  <c r="AZ23" i="1" s="1"/>
  <c r="BB23" i="1"/>
  <c r="AU23" i="1"/>
  <c r="AP23" i="1"/>
  <c r="AO23" i="1"/>
  <c r="AK23" i="1"/>
  <c r="AI23" i="1"/>
  <c r="X23" i="1"/>
  <c r="W23" i="1"/>
  <c r="V23" i="1" s="1"/>
  <c r="O23" i="1"/>
  <c r="BM22" i="1"/>
  <c r="BL22" i="1"/>
  <c r="BJ22" i="1"/>
  <c r="BI22" i="1"/>
  <c r="BH22" i="1"/>
  <c r="BG22" i="1"/>
  <c r="BF22" i="1"/>
  <c r="BE22" i="1"/>
  <c r="AZ22" i="1" s="1"/>
  <c r="BB22" i="1"/>
  <c r="AU22" i="1"/>
  <c r="AO22" i="1"/>
  <c r="AP22" i="1" s="1"/>
  <c r="AK22" i="1"/>
  <c r="AI22" i="1"/>
  <c r="X22" i="1"/>
  <c r="W22" i="1"/>
  <c r="V22" i="1"/>
  <c r="O22" i="1"/>
  <c r="J22" i="1"/>
  <c r="I22" i="1"/>
  <c r="AX22" i="1" s="1"/>
  <c r="BM21" i="1"/>
  <c r="BL21" i="1"/>
  <c r="BK21" i="1"/>
  <c r="BJ21" i="1"/>
  <c r="BI21" i="1"/>
  <c r="BH21" i="1"/>
  <c r="BG21" i="1"/>
  <c r="BF21" i="1"/>
  <c r="BE21" i="1"/>
  <c r="AZ21" i="1" s="1"/>
  <c r="BB21" i="1"/>
  <c r="AU21" i="1"/>
  <c r="AO21" i="1"/>
  <c r="AP21" i="1" s="1"/>
  <c r="AK21" i="1"/>
  <c r="AI21" i="1" s="1"/>
  <c r="X21" i="1"/>
  <c r="V21" i="1" s="1"/>
  <c r="W21" i="1"/>
  <c r="O21" i="1"/>
  <c r="BM20" i="1"/>
  <c r="BL20" i="1"/>
  <c r="BJ20" i="1"/>
  <c r="BK20" i="1" s="1"/>
  <c r="BI20" i="1"/>
  <c r="BH20" i="1"/>
  <c r="BG20" i="1"/>
  <c r="BF20" i="1"/>
  <c r="BE20" i="1"/>
  <c r="BB20" i="1"/>
  <c r="AZ20" i="1"/>
  <c r="AW20" i="1"/>
  <c r="AU20" i="1"/>
  <c r="AY20" i="1" s="1"/>
  <c r="AO20" i="1"/>
  <c r="AP20" i="1" s="1"/>
  <c r="AK20" i="1"/>
  <c r="AI20" i="1"/>
  <c r="AJ20" i="1" s="1"/>
  <c r="X20" i="1"/>
  <c r="W20" i="1"/>
  <c r="V20" i="1" s="1"/>
  <c r="R20" i="1"/>
  <c r="O20" i="1"/>
  <c r="BM19" i="1"/>
  <c r="BL19" i="1"/>
  <c r="BJ19" i="1"/>
  <c r="BK19" i="1" s="1"/>
  <c r="AW19" i="1" s="1"/>
  <c r="AY19" i="1" s="1"/>
  <c r="BI19" i="1"/>
  <c r="BH19" i="1"/>
  <c r="BG19" i="1"/>
  <c r="BF19" i="1"/>
  <c r="BE19" i="1"/>
  <c r="AZ19" i="1" s="1"/>
  <c r="BB19" i="1"/>
  <c r="AX19" i="1"/>
  <c r="BA19" i="1" s="1"/>
  <c r="AU19" i="1"/>
  <c r="AP19" i="1"/>
  <c r="AO19" i="1"/>
  <c r="AK19" i="1"/>
  <c r="AI19" i="1"/>
  <c r="X19" i="1"/>
  <c r="W19" i="1"/>
  <c r="V19" i="1"/>
  <c r="O19" i="1"/>
  <c r="M19" i="1"/>
  <c r="J19" i="1"/>
  <c r="I19" i="1"/>
  <c r="BM18" i="1"/>
  <c r="BL18" i="1"/>
  <c r="BK18" i="1"/>
  <c r="R18" i="1" s="1"/>
  <c r="BJ18" i="1"/>
  <c r="BI18" i="1"/>
  <c r="BH18" i="1"/>
  <c r="BG18" i="1"/>
  <c r="BF18" i="1"/>
  <c r="BE18" i="1"/>
  <c r="AZ18" i="1" s="1"/>
  <c r="BB18" i="1"/>
  <c r="AU18" i="1"/>
  <c r="AO18" i="1"/>
  <c r="AP18" i="1" s="1"/>
  <c r="AK18" i="1"/>
  <c r="AI18" i="1" s="1"/>
  <c r="H18" i="1" s="1"/>
  <c r="X18" i="1"/>
  <c r="V18" i="1" s="1"/>
  <c r="W18" i="1"/>
  <c r="O18" i="1"/>
  <c r="M18" i="1"/>
  <c r="I18" i="1"/>
  <c r="AX18" i="1" s="1"/>
  <c r="BM17" i="1"/>
  <c r="BL17" i="1"/>
  <c r="BK17" i="1"/>
  <c r="R17" i="1" s="1"/>
  <c r="BJ17" i="1"/>
  <c r="BI17" i="1"/>
  <c r="BH17" i="1"/>
  <c r="BG17" i="1"/>
  <c r="BF17" i="1"/>
  <c r="BE17" i="1"/>
  <c r="BB17" i="1"/>
  <c r="AZ17" i="1"/>
  <c r="AW17" i="1"/>
  <c r="AU17" i="1"/>
  <c r="AO17" i="1"/>
  <c r="AP17" i="1" s="1"/>
  <c r="AK17" i="1"/>
  <c r="AI17" i="1" s="1"/>
  <c r="AJ17" i="1"/>
  <c r="X17" i="1"/>
  <c r="W17" i="1"/>
  <c r="V17" i="1" s="1"/>
  <c r="O17" i="1"/>
  <c r="H17" i="1"/>
  <c r="Z17" i="1" s="1"/>
  <c r="Z18" i="1" l="1"/>
  <c r="AJ21" i="1"/>
  <c r="J21" i="1"/>
  <c r="I21" i="1"/>
  <c r="AX21" i="1" s="1"/>
  <c r="BA21" i="1" s="1"/>
  <c r="H21" i="1"/>
  <c r="R21" i="1"/>
  <c r="AW21" i="1"/>
  <c r="AY21" i="1" s="1"/>
  <c r="M23" i="1"/>
  <c r="I23" i="1"/>
  <c r="AX23" i="1" s="1"/>
  <c r="H23" i="1"/>
  <c r="AJ23" i="1"/>
  <c r="J23" i="1"/>
  <c r="AW23" i="1"/>
  <c r="AY23" i="1" s="1"/>
  <c r="R23" i="1"/>
  <c r="J17" i="1"/>
  <c r="M17" i="1"/>
  <c r="I17" i="1"/>
  <c r="AX17" i="1" s="1"/>
  <c r="BA17" i="1" s="1"/>
  <c r="R19" i="1"/>
  <c r="H19" i="1"/>
  <c r="AJ19" i="1"/>
  <c r="J20" i="1"/>
  <c r="M21" i="1"/>
  <c r="Z26" i="1"/>
  <c r="J28" i="1"/>
  <c r="M28" i="1"/>
  <c r="I28" i="1"/>
  <c r="AX28" i="1" s="1"/>
  <c r="H28" i="1"/>
  <c r="S18" i="1"/>
  <c r="T18" i="1" s="1"/>
  <c r="AA18" i="1" s="1"/>
  <c r="S17" i="1"/>
  <c r="T17" i="1" s="1"/>
  <c r="AW18" i="1"/>
  <c r="AY18" i="1" s="1"/>
  <c r="Z30" i="1"/>
  <c r="AW30" i="1"/>
  <c r="AY30" i="1" s="1"/>
  <c r="R30" i="1"/>
  <c r="S31" i="1"/>
  <c r="T31" i="1" s="1"/>
  <c r="M20" i="1"/>
  <c r="I20" i="1"/>
  <c r="AX20" i="1" s="1"/>
  <c r="BA20" i="1" s="1"/>
  <c r="H20" i="1"/>
  <c r="AW26" i="1"/>
  <c r="AY26" i="1" s="1"/>
  <c r="R26" i="1"/>
  <c r="AY17" i="1"/>
  <c r="AJ18" i="1"/>
  <c r="J18" i="1"/>
  <c r="AY24" i="1"/>
  <c r="R24" i="1"/>
  <c r="AW24" i="1"/>
  <c r="H22" i="1"/>
  <c r="AJ22" i="1"/>
  <c r="J24" i="1"/>
  <c r="M24" i="1"/>
  <c r="I24" i="1"/>
  <c r="AX24" i="1" s="1"/>
  <c r="BA24" i="1" s="1"/>
  <c r="H24" i="1"/>
  <c r="AJ29" i="1"/>
  <c r="J29" i="1"/>
  <c r="M29" i="1"/>
  <c r="I29" i="1"/>
  <c r="AX29" i="1" s="1"/>
  <c r="BA29" i="1" s="1"/>
  <c r="S29" i="1"/>
  <c r="T29" i="1" s="1"/>
  <c r="M31" i="1"/>
  <c r="I31" i="1"/>
  <c r="AX31" i="1" s="1"/>
  <c r="BA31" i="1" s="1"/>
  <c r="H31" i="1"/>
  <c r="AJ31" i="1"/>
  <c r="R32" i="1"/>
  <c r="AW32" i="1"/>
  <c r="AY32" i="1" s="1"/>
  <c r="M22" i="1"/>
  <c r="BK22" i="1"/>
  <c r="AJ25" i="1"/>
  <c r="J25" i="1"/>
  <c r="M25" i="1"/>
  <c r="I25" i="1"/>
  <c r="AX25" i="1" s="1"/>
  <c r="BA25" i="1" s="1"/>
  <c r="S25" i="1"/>
  <c r="T25" i="1" s="1"/>
  <c r="M27" i="1"/>
  <c r="I27" i="1"/>
  <c r="AX27" i="1" s="1"/>
  <c r="BA27" i="1" s="1"/>
  <c r="H27" i="1"/>
  <c r="AJ27" i="1"/>
  <c r="R28" i="1"/>
  <c r="AW28" i="1"/>
  <c r="AY28" i="1" s="1"/>
  <c r="V29" i="1"/>
  <c r="AJ26" i="1"/>
  <c r="AJ30" i="1"/>
  <c r="I32" i="1"/>
  <c r="AX32" i="1" s="1"/>
  <c r="U17" i="1" l="1"/>
  <c r="Y17" i="1" s="1"/>
  <c r="AB17" i="1"/>
  <c r="P17" i="1"/>
  <c r="N17" i="1" s="1"/>
  <c r="Q17" i="1" s="1"/>
  <c r="K17" i="1" s="1"/>
  <c r="L17" i="1" s="1"/>
  <c r="BA23" i="1"/>
  <c r="Z21" i="1"/>
  <c r="U25" i="1"/>
  <c r="Y25" i="1" s="1"/>
  <c r="AB25" i="1"/>
  <c r="P25" i="1"/>
  <c r="N25" i="1" s="1"/>
  <c r="Q25" i="1" s="1"/>
  <c r="K25" i="1" s="1"/>
  <c r="L25" i="1" s="1"/>
  <c r="U31" i="1"/>
  <c r="Y31" i="1" s="1"/>
  <c r="AB31" i="1"/>
  <c r="AA31" i="1"/>
  <c r="S23" i="1"/>
  <c r="T23" i="1" s="1"/>
  <c r="P23" i="1"/>
  <c r="N23" i="1" s="1"/>
  <c r="Q23" i="1" s="1"/>
  <c r="K23" i="1" s="1"/>
  <c r="L23" i="1" s="1"/>
  <c r="Z23" i="1"/>
  <c r="S21" i="1"/>
  <c r="T21" i="1" s="1"/>
  <c r="P21" i="1" s="1"/>
  <c r="N21" i="1" s="1"/>
  <c r="Q21" i="1" s="1"/>
  <c r="K21" i="1" s="1"/>
  <c r="L21" i="1" s="1"/>
  <c r="S28" i="1"/>
  <c r="T28" i="1" s="1"/>
  <c r="AW22" i="1"/>
  <c r="R22" i="1"/>
  <c r="S32" i="1"/>
  <c r="T32" i="1" s="1"/>
  <c r="Z22" i="1"/>
  <c r="P20" i="1"/>
  <c r="N20" i="1" s="1"/>
  <c r="Q20" i="1" s="1"/>
  <c r="K20" i="1" s="1"/>
  <c r="L20" i="1" s="1"/>
  <c r="Z20" i="1"/>
  <c r="S20" i="1"/>
  <c r="T20" i="1" s="1"/>
  <c r="S26" i="1"/>
  <c r="T26" i="1" s="1"/>
  <c r="S30" i="1"/>
  <c r="T30" i="1" s="1"/>
  <c r="Z28" i="1"/>
  <c r="BA18" i="1"/>
  <c r="BA30" i="1"/>
  <c r="Z27" i="1"/>
  <c r="Z24" i="1"/>
  <c r="S27" i="1"/>
  <c r="T27" i="1" s="1"/>
  <c r="S19" i="1"/>
  <c r="T19" i="1" s="1"/>
  <c r="P19" i="1" s="1"/>
  <c r="N19" i="1" s="1"/>
  <c r="Q19" i="1" s="1"/>
  <c r="K19" i="1" s="1"/>
  <c r="L19" i="1" s="1"/>
  <c r="BA32" i="1"/>
  <c r="P31" i="1"/>
  <c r="N31" i="1" s="1"/>
  <c r="Q31" i="1" s="1"/>
  <c r="K31" i="1" s="1"/>
  <c r="L31" i="1" s="1"/>
  <c r="Z31" i="1"/>
  <c r="U29" i="1"/>
  <c r="Y29" i="1" s="1"/>
  <c r="AB29" i="1"/>
  <c r="P29" i="1"/>
  <c r="N29" i="1" s="1"/>
  <c r="Q29" i="1" s="1"/>
  <c r="K29" i="1" s="1"/>
  <c r="L29" i="1" s="1"/>
  <c r="AA29" i="1"/>
  <c r="S24" i="1"/>
  <c r="T24" i="1" s="1"/>
  <c r="AB18" i="1"/>
  <c r="AC18" i="1" s="1"/>
  <c r="U18" i="1"/>
  <c r="Y18" i="1" s="1"/>
  <c r="BA28" i="1"/>
  <c r="BA26" i="1"/>
  <c r="Z19" i="1"/>
  <c r="AA25" i="1"/>
  <c r="P18" i="1"/>
  <c r="N18" i="1" s="1"/>
  <c r="Q18" i="1" s="1"/>
  <c r="K18" i="1" s="1"/>
  <c r="L18" i="1" s="1"/>
  <c r="AA17" i="1"/>
  <c r="U32" i="1" l="1"/>
  <c r="Y32" i="1" s="1"/>
  <c r="AB32" i="1"/>
  <c r="AA32" i="1"/>
  <c r="P32" i="1"/>
  <c r="N32" i="1" s="1"/>
  <c r="Q32" i="1" s="1"/>
  <c r="K32" i="1" s="1"/>
  <c r="L32" i="1" s="1"/>
  <c r="AC25" i="1"/>
  <c r="AC31" i="1"/>
  <c r="U27" i="1"/>
  <c r="Y27" i="1" s="1"/>
  <c r="AB27" i="1"/>
  <c r="AC27" i="1" s="1"/>
  <c r="AA27" i="1"/>
  <c r="P27" i="1"/>
  <c r="N27" i="1" s="1"/>
  <c r="Q27" i="1" s="1"/>
  <c r="K27" i="1" s="1"/>
  <c r="L27" i="1" s="1"/>
  <c r="AB26" i="1"/>
  <c r="AC26" i="1" s="1"/>
  <c r="U26" i="1"/>
  <c r="Y26" i="1" s="1"/>
  <c r="AA26" i="1"/>
  <c r="P26" i="1"/>
  <c r="N26" i="1" s="1"/>
  <c r="Q26" i="1" s="1"/>
  <c r="K26" i="1" s="1"/>
  <c r="L26" i="1" s="1"/>
  <c r="S22" i="1"/>
  <c r="T22" i="1" s="1"/>
  <c r="U23" i="1"/>
  <c r="Y23" i="1" s="1"/>
  <c r="AB23" i="1"/>
  <c r="AA23" i="1"/>
  <c r="AC17" i="1"/>
  <c r="AB30" i="1"/>
  <c r="U30" i="1"/>
  <c r="Y30" i="1" s="1"/>
  <c r="P30" i="1"/>
  <c r="N30" i="1" s="1"/>
  <c r="Q30" i="1" s="1"/>
  <c r="K30" i="1" s="1"/>
  <c r="L30" i="1" s="1"/>
  <c r="AA30" i="1"/>
  <c r="U28" i="1"/>
  <c r="Y28" i="1" s="1"/>
  <c r="AB28" i="1"/>
  <c r="AA28" i="1"/>
  <c r="AB19" i="1"/>
  <c r="AC19" i="1" s="1"/>
  <c r="U19" i="1"/>
  <c r="Y19" i="1" s="1"/>
  <c r="AA19" i="1"/>
  <c r="P28" i="1"/>
  <c r="N28" i="1" s="1"/>
  <c r="Q28" i="1" s="1"/>
  <c r="K28" i="1" s="1"/>
  <c r="L28" i="1" s="1"/>
  <c r="U24" i="1"/>
  <c r="Y24" i="1" s="1"/>
  <c r="AB24" i="1"/>
  <c r="AA24" i="1"/>
  <c r="AC29" i="1"/>
  <c r="P24" i="1"/>
  <c r="N24" i="1" s="1"/>
  <c r="Q24" i="1" s="1"/>
  <c r="K24" i="1" s="1"/>
  <c r="L24" i="1" s="1"/>
  <c r="U20" i="1"/>
  <c r="Y20" i="1" s="1"/>
  <c r="AB20" i="1"/>
  <c r="AA20" i="1"/>
  <c r="AY22" i="1"/>
  <c r="BA22" i="1"/>
  <c r="AB21" i="1"/>
  <c r="U21" i="1"/>
  <c r="Y21" i="1" s="1"/>
  <c r="AA21" i="1"/>
  <c r="AB22" i="1" l="1"/>
  <c r="AC22" i="1" s="1"/>
  <c r="U22" i="1"/>
  <c r="Y22" i="1" s="1"/>
  <c r="AA22" i="1"/>
  <c r="P22" i="1"/>
  <c r="N22" i="1" s="1"/>
  <c r="Q22" i="1" s="1"/>
  <c r="K22" i="1" s="1"/>
  <c r="L22" i="1" s="1"/>
  <c r="AC21" i="1"/>
  <c r="AC32" i="1"/>
  <c r="AC20" i="1"/>
  <c r="AC28" i="1"/>
  <c r="AC23" i="1"/>
  <c r="AC24" i="1"/>
  <c r="AC30" i="1"/>
</calcChain>
</file>

<file path=xl/sharedStrings.xml><?xml version="1.0" encoding="utf-8"?>
<sst xmlns="http://schemas.openxmlformats.org/spreadsheetml/2006/main" count="802" uniqueCount="354">
  <si>
    <t>File opened</t>
  </si>
  <si>
    <t>2019-09-07 13:22:40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</si>
  <si>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</si>
  <si>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</si>
  <si>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</si>
  <si>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</si>
  <si>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</si>
  <si>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</si>
  <si>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</si>
  <si>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</si>
  <si>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</si>
  <si>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1.3.0</t>
  </si>
  <si>
    <t>Head cal</t>
  </si>
  <si>
    <t>{"h2oaspan2": "0", "h2obzero": "1.01783", "h2oaspan2a": "0.0661155", "flowbzero": "0.20796", "tbzero": "0.197721", "flowazero": "0.4286", "co2aspan1": "0.992625", "co2aspan2b": "0.163711", "flowmeterzero": "0.991801", "co2bspanconc2": "0", "h2oaspanconc1": "12.19", "h2obspanconc2": "0", "co2bspan1": "0.992131", "h2obspan2a": "0.0975941", "h2oaspan1": "1.00223", "ssa_ref": "36614.9", "h2oaspan2b": "0.0662632", "tazero": "0.00774765", "h2oaspanconc2": "0", "co2aspan2": "0", "co2bzero": "0.880288", "co2aspanconc1": "1002", "co2aspanconc2": "0", "h2obspan2": "0", "co2bspan2": "0", "h2obspan1": "0.998578", "ssb_ref": "36526.8", "co2bspan2a": "0.163389", "co2bspanconc1": "1002", "co2azero": "0.869071", "co2aspan2a": "0.164928", "chamberpressurezero": "2.57337", "h2obspanconc1": "20", "oxygen": "21", "co2bspan2b": "0.162103", "h2obspan2b": "0.0963575", "h2oazero": "1.00263"}</t>
  </si>
  <si>
    <t>Chamber type</t>
  </si>
  <si>
    <t>6800-01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</si>
  <si>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</si>
  <si>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</si>
  <si>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</si>
  <si>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</si>
  <si>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</si>
  <si>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</si>
  <si>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</si>
  <si>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13:22:40</t>
  </si>
  <si>
    <t>Stability Definition:	A (GasEx): Slp&lt;0.3 Std&lt;0.5	gsw (GasEx): Slp&lt;1 Std&lt;0.5</t>
  </si>
  <si>
    <t>SysConst</t>
  </si>
  <si>
    <t>AvgTime</t>
  </si>
  <si>
    <t>4</t>
  </si>
  <si>
    <t>Oxygen</t>
  </si>
  <si>
    <t>21</t>
  </si>
  <si>
    <t>Chamber</t>
  </si>
  <si>
    <t>Const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</si>
  <si>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</si>
  <si>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</si>
  <si>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</si>
  <si>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</si>
  <si>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</si>
  <si>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</si>
  <si>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</si>
  <si>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</si>
  <si>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</si>
  <si>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</si>
  <si>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</si>
  <si>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</si>
  <si>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</si>
  <si>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</si>
  <si>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</si>
  <si>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</si>
  <si>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</si>
  <si>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</si>
  <si>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</si>
  <si>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</si>
  <si>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</si>
  <si>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</si>
  <si>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</si>
  <si>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</si>
  <si>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</si>
  <si>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</si>
  <si>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</si>
  <si>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</si>
  <si>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</si>
  <si>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</si>
  <si>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</si>
  <si>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</si>
  <si>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</si>
  <si>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</si>
  <si>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</si>
  <si>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</si>
  <si>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</si>
  <si>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1.85544 75.7987 385.954 620.721 848.766 1059.6 1240.53 1415.17</t>
  </si>
  <si>
    <t>Fs_true</t>
  </si>
  <si>
    <t>-0.153406 100.826 402.933 601.172 799.981 1000.82 1200.66 1401.77</t>
  </si>
  <si>
    <t>leak_wt</t>
  </si>
  <si>
    <t>Sys</t>
  </si>
  <si>
    <t>UserDefVar</t>
  </si>
  <si>
    <t>GasEx</t>
  </si>
  <si>
    <t>Leak</t>
  </si>
  <si>
    <t>FLR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</si>
  <si>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</si>
  <si>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</si>
  <si>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</si>
  <si>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</si>
  <si>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</si>
  <si>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</si>
  <si>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</si>
  <si>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</si>
  <si>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</si>
  <si>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</si>
  <si>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</si>
  <si>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</si>
  <si>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</si>
  <si>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</si>
  <si>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</si>
  <si>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</si>
  <si>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</si>
  <si>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</si>
  <si>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</si>
  <si>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</si>
  <si>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</si>
  <si>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</si>
  <si>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</si>
  <si>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</si>
  <si>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</si>
  <si>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</si>
  <si>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</si>
  <si>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</si>
  <si>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</si>
  <si>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</si>
  <si>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</si>
  <si>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</si>
  <si>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</si>
  <si>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</si>
  <si>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</si>
  <si>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</si>
  <si>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</si>
  <si>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</si>
  <si>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</si>
  <si>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</si>
  <si>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</si>
  <si>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</si>
  <si>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</si>
  <si>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</si>
  <si>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</si>
  <si>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</si>
  <si>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</si>
  <si>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</si>
  <si>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</si>
  <si>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</si>
  <si>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</si>
  <si>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</si>
  <si>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</si>
  <si>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</si>
  <si>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</si>
  <si>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</si>
  <si>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</si>
  <si>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</si>
  <si>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</si>
  <si>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</si>
  <si>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</si>
  <si>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</si>
  <si>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</si>
  <si>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</si>
  <si>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</si>
  <si>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</si>
  <si>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</si>
  <si>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</si>
  <si>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Qin</t>
  </si>
  <si>
    <t>Qabs</t>
  </si>
  <si>
    <t>alpha</t>
  </si>
  <si>
    <t>convert</t>
  </si>
  <si>
    <t>S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</si>
  <si>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</si>
  <si>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</si>
  <si>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</si>
  <si>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</si>
  <si>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</si>
  <si>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</si>
  <si>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</si>
  <si>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</si>
  <si>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</si>
  <si>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</si>
  <si>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</si>
  <si>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</si>
  <si>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</si>
  <si>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</si>
  <si>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</si>
  <si>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</si>
  <si>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</si>
  <si>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</si>
  <si>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</si>
  <si>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</si>
  <si>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</si>
  <si>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</si>
  <si>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</si>
  <si>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</si>
  <si>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</si>
  <si>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</si>
  <si>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</si>
  <si>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</si>
  <si>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</si>
  <si>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</si>
  <si>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</si>
  <si>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</si>
  <si>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</si>
  <si>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</si>
  <si>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</si>
  <si>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</si>
  <si>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</si>
  <si>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</si>
  <si>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</si>
  <si>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</si>
  <si>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</si>
  <si>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</si>
  <si>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</si>
  <si>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</si>
  <si>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A:MN</t>
  </si>
  <si>
    <t>A:SLP</t>
  </si>
  <si>
    <t>A:SD</t>
  </si>
  <si>
    <t>A:OK</t>
  </si>
  <si>
    <t>gsw:MN</t>
  </si>
  <si>
    <t>gsw:SLP</t>
  </si>
  <si>
    <t>gsw:SD</t>
  </si>
  <si>
    <t>gsw:OK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</si>
  <si>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</si>
  <si>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</si>
  <si>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</si>
  <si>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</si>
  <si>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</si>
  <si>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</si>
  <si>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</si>
  <si>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</si>
  <si>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</si>
  <si>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</si>
  <si>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</si>
  <si>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</si>
  <si>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</si>
  <si>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</si>
  <si>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</si>
  <si>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</si>
  <si>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</si>
  <si>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</si>
  <si>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</si>
  <si>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</si>
  <si>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</si>
  <si>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</si>
  <si>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</si>
  <si>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</si>
  <si>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</si>
  <si>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</si>
  <si>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</si>
  <si>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</si>
  <si>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</si>
  <si>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</si>
  <si>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</si>
  <si>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</si>
  <si>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</si>
  <si>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</si>
  <si>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</si>
  <si>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</si>
  <si>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</si>
  <si>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</si>
  <si>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</si>
  <si>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</si>
  <si>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</si>
  <si>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</si>
  <si>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</si>
  <si>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</si>
  <si>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</si>
  <si>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</si>
  <si>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</si>
  <si>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</si>
  <si>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</si>
  <si>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</si>
  <si>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</si>
  <si>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</si>
  <si>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J/µmol</t>
  </si>
  <si>
    <t>cm²</t>
  </si>
  <si>
    <t>mmol mol⁻¹</t>
  </si>
  <si>
    <t>rpm</t>
  </si>
  <si>
    <t>min⁻¹</t>
  </si>
  <si>
    <t>secs</t>
  </si>
  <si>
    <t>µmol/mol</t>
  </si>
  <si>
    <t>mmol/mol</t>
  </si>
  <si>
    <t>µmol m⁻² s⁻¹ min⁻¹</t>
  </si>
  <si>
    <t>mol m⁻² s⁻¹ min⁻¹</t>
  </si>
  <si>
    <t>V</t>
  </si>
  <si>
    <t>20190907 13:29:03</t>
  </si>
  <si>
    <t>13:29:03</t>
  </si>
  <si>
    <t>MPF-2781-20190907-06_45_39</t>
  </si>
  <si>
    <t>MPF-2934-20190907-13_29_04</t>
  </si>
  <si>
    <t>DARK-2935-20190907-13_29_12</t>
  </si>
  <si>
    <t>0: Broadleaf</t>
  </si>
  <si>
    <t>13:28:17</t>
  </si>
  <si>
    <t>2/2</t>
  </si>
  <si>
    <t>5</t>
  </si>
  <si>
    <t>11111111</t>
  </si>
  <si>
    <t>oooooooo</t>
  </si>
  <si>
    <t>off</t>
  </si>
  <si>
    <t>20190907 13:31:03</t>
  </si>
  <si>
    <t>13:31:03</t>
  </si>
  <si>
    <t>MPF-2936-20190907-13_31_05</t>
  </si>
  <si>
    <t>DARK-2937-20190907-13_31_12</t>
  </si>
  <si>
    <t>13:30:27</t>
  </si>
  <si>
    <t>1/2</t>
  </si>
  <si>
    <t>20190907 13:32:56</t>
  </si>
  <si>
    <t>13:32:56</t>
  </si>
  <si>
    <t>MPF-2938-20190907-13_32_57</t>
  </si>
  <si>
    <t>DARK-2939-20190907-13_33_05</t>
  </si>
  <si>
    <t>13:32:10</t>
  </si>
  <si>
    <t>20190907 13:34:51</t>
  </si>
  <si>
    <t>13:34:51</t>
  </si>
  <si>
    <t>MPF-2940-20190907-13_34_53</t>
  </si>
  <si>
    <t>DARK-2941-20190907-13_35_00</t>
  </si>
  <si>
    <t>13:34:06</t>
  </si>
  <si>
    <t>20190907 13:36:38</t>
  </si>
  <si>
    <t>13:36:38</t>
  </si>
  <si>
    <t>MPF-2942-20190907-13_36_40</t>
  </si>
  <si>
    <t>DARK-2943-20190907-13_36_47</t>
  </si>
  <si>
    <t>13:35:54</t>
  </si>
  <si>
    <t>20190907 13:38:39</t>
  </si>
  <si>
    <t>13:38:39</t>
  </si>
  <si>
    <t>MPF-2944-20190907-13_38_40</t>
  </si>
  <si>
    <t>DARK-2945-20190907-13_38_48</t>
  </si>
  <si>
    <t>13:39:14</t>
  </si>
  <si>
    <t>20190907 13:41:15</t>
  </si>
  <si>
    <t>13:41:15</t>
  </si>
  <si>
    <t>MPF-2946-20190907-13_41_17</t>
  </si>
  <si>
    <t>DARK-2947-20190907-13_41_24</t>
  </si>
  <si>
    <t>13:40:09</t>
  </si>
  <si>
    <t>20190907 13:43:16</t>
  </si>
  <si>
    <t>13:43:16</t>
  </si>
  <si>
    <t>MPF-2948-20190907-13_43_17</t>
  </si>
  <si>
    <t>DARK-2949-20190907-13_43_25</t>
  </si>
  <si>
    <t>13:43:42</t>
  </si>
  <si>
    <t>20190907 13:45:35</t>
  </si>
  <si>
    <t>13:45:35</t>
  </si>
  <si>
    <t>MPF-2950-20190907-13_45_36</t>
  </si>
  <si>
    <t>DARK-2951-20190907-13_45_44</t>
  </si>
  <si>
    <t>13:44:50</t>
  </si>
  <si>
    <t>20190907 13:47:35</t>
  </si>
  <si>
    <t>13:47:35</t>
  </si>
  <si>
    <t>MPF-2952-20190907-13_47_37</t>
  </si>
  <si>
    <t>DARK-2953-20190907-13_47_44</t>
  </si>
  <si>
    <t>13:47:02</t>
  </si>
  <si>
    <t>20190907 13:49:36</t>
  </si>
  <si>
    <t>13:49:36</t>
  </si>
  <si>
    <t>MPF-2954-20190907-13_49_37</t>
  </si>
  <si>
    <t>DARK-2955-20190907-13_49_45</t>
  </si>
  <si>
    <t>13:48:53</t>
  </si>
  <si>
    <t>20190907 13:51:36</t>
  </si>
  <si>
    <t>13:51:36</t>
  </si>
  <si>
    <t>MPF-2956-20190907-13_51_38</t>
  </si>
  <si>
    <t>DARK-2957-20190907-13_51_45</t>
  </si>
  <si>
    <t>13:52:00</t>
  </si>
  <si>
    <t>20190907 13:54:01</t>
  </si>
  <si>
    <t>13:54:01</t>
  </si>
  <si>
    <t>MPF-2958-20190907-13_54_03</t>
  </si>
  <si>
    <t>DARK-2959-20190907-13_54_10</t>
  </si>
  <si>
    <t>13:53:16</t>
  </si>
  <si>
    <t>20190907 13:56:02</t>
  </si>
  <si>
    <t>13:56:02</t>
  </si>
  <si>
    <t>MPF-2960-20190907-13_56_03</t>
  </si>
  <si>
    <t>DARK-2961-20190907-13_56_11</t>
  </si>
  <si>
    <t>13:55:05</t>
  </si>
  <si>
    <t>20190907 13:58:02</t>
  </si>
  <si>
    <t>13:58:02</t>
  </si>
  <si>
    <t>MPF-2962-20190907-13_58_04</t>
  </si>
  <si>
    <t>DARK-2963-20190907-13_58_11</t>
  </si>
  <si>
    <t>13:57:02</t>
  </si>
  <si>
    <t>20190907 14:00:03</t>
  </si>
  <si>
    <t>14:00:03</t>
  </si>
  <si>
    <t>MPF-2964-20190907-14_00_04</t>
  </si>
  <si>
    <t>DARK-2965-20190907-14_00_12</t>
  </si>
  <si>
    <t>13:59:32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</si>
</sst>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G32"/>
  <sheetViews>
    <sheetView tabSelected="1" workbookViewId="0"/>
  </sheetViews>
  <sheetFormatPr defaultRowHeight="14.5" x14ac:dyDescent="0.35"/>
  <sheetData>
    <row r="2" spans="1:163" x14ac:dyDescent="0.35">
      <c r="A2" t="s">
        <v>25</v>
      </c>
      <c r="B2" t="s">
        <v>26</v>
      </c>
      <c r="C2" t="s">
        <v>28</v>
      </c>
      <c r="D2" t="s">
        <v>30</v>
      </c>
    </row>
    <row r="3" spans="1:163" x14ac:dyDescent="0.35">
      <c r="B3" t="s">
        <v>27</v>
      </c>
      <c r="C3" t="s">
        <v>29</v>
      </c>
      <c r="D3" t="s">
        <v>15</v>
      </c>
    </row>
    <row r="4" spans="1:163" x14ac:dyDescent="0.35">
      <c r="A4" t="s">
        <v>31</v>
      </c>
      <c r="B4" t="s">
        <v>32</v>
      </c>
    </row>
    <row r="5" spans="1:163" x14ac:dyDescent="0.35">
      <c r="B5">
        <v>2</v>
      </c>
    </row>
    <row r="6" spans="1:163" x14ac:dyDescent="0.35">
      <c r="A6" t="s">
        <v>33</v>
      </c>
      <c r="B6" t="s">
        <v>34</v>
      </c>
      <c r="C6" t="s">
        <v>35</v>
      </c>
      <c r="D6" t="s">
        <v>36</v>
      </c>
      <c r="E6" t="s">
        <v>37</v>
      </c>
    </row>
    <row r="7" spans="1:163" x14ac:dyDescent="0.35">
      <c r="B7">
        <v>0</v>
      </c>
      <c r="C7">
        <v>1</v>
      </c>
      <c r="D7">
        <v>0</v>
      </c>
      <c r="E7">
        <v>0</v>
      </c>
    </row>
    <row r="8" spans="1:163" x14ac:dyDescent="0.35">
      <c r="A8" t="s">
        <v>38</v>
      </c>
      <c r="B8" t="s">
        <v>39</v>
      </c>
      <c r="C8" t="s">
        <v>41</v>
      </c>
      <c r="D8" t="s">
        <v>43</v>
      </c>
      <c r="E8" t="s">
        <v>44</v>
      </c>
      <c r="F8" t="s">
        <v>45</v>
      </c>
      <c r="G8" t="s">
        <v>46</v>
      </c>
      <c r="H8" t="s">
        <v>47</v>
      </c>
      <c r="I8" t="s">
        <v>48</v>
      </c>
      <c r="J8" t="s">
        <v>49</v>
      </c>
      <c r="K8" t="s">
        <v>50</v>
      </c>
      <c r="L8" t="s">
        <v>51</v>
      </c>
      <c r="M8" t="s">
        <v>52</v>
      </c>
      <c r="N8" t="s">
        <v>53</v>
      </c>
      <c r="O8" t="s">
        <v>54</v>
      </c>
      <c r="P8" t="s">
        <v>55</v>
      </c>
      <c r="Q8" t="s">
        <v>56</v>
      </c>
    </row>
    <row r="9" spans="1:163" x14ac:dyDescent="0.35">
      <c r="B9" t="s">
        <v>40</v>
      </c>
      <c r="C9" t="s">
        <v>42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63" x14ac:dyDescent="0.35">
      <c r="A10" t="s">
        <v>57</v>
      </c>
      <c r="B10" t="s">
        <v>58</v>
      </c>
      <c r="C10" t="s">
        <v>59</v>
      </c>
      <c r="D10" t="s">
        <v>60</v>
      </c>
      <c r="E10" t="s">
        <v>61</v>
      </c>
      <c r="F10" t="s">
        <v>62</v>
      </c>
    </row>
    <row r="11" spans="1:163" x14ac:dyDescent="0.35">
      <c r="B11">
        <v>0</v>
      </c>
      <c r="C11">
        <v>0</v>
      </c>
      <c r="D11">
        <v>0</v>
      </c>
      <c r="E11">
        <v>0</v>
      </c>
      <c r="F11">
        <v>1</v>
      </c>
    </row>
    <row r="12" spans="1:163" x14ac:dyDescent="0.35">
      <c r="A12" t="s">
        <v>63</v>
      </c>
      <c r="B12" t="s">
        <v>64</v>
      </c>
      <c r="C12" t="s">
        <v>65</v>
      </c>
      <c r="D12" t="s">
        <v>66</v>
      </c>
      <c r="E12" t="s">
        <v>67</v>
      </c>
      <c r="F12" t="s">
        <v>68</v>
      </c>
      <c r="G12" t="s">
        <v>70</v>
      </c>
      <c r="H12" t="s">
        <v>72</v>
      </c>
    </row>
    <row r="13" spans="1:163" x14ac:dyDescent="0.35">
      <c r="B13">
        <v>-6276</v>
      </c>
      <c r="C13">
        <v>6.6</v>
      </c>
      <c r="D13">
        <v>1.7090000000000001E-5</v>
      </c>
      <c r="E13">
        <v>3.11</v>
      </c>
      <c r="F13" t="s">
        <v>69</v>
      </c>
      <c r="G13" t="s">
        <v>71</v>
      </c>
      <c r="H13">
        <v>2</v>
      </c>
    </row>
    <row r="14" spans="1:163" x14ac:dyDescent="0.35">
      <c r="A14" t="s">
        <v>73</v>
      </c>
      <c r="B14" t="s">
        <v>73</v>
      </c>
      <c r="C14" t="s">
        <v>73</v>
      </c>
      <c r="D14" t="s">
        <v>73</v>
      </c>
      <c r="E14" t="s">
        <v>73</v>
      </c>
      <c r="F14" t="s">
        <v>74</v>
      </c>
      <c r="G14" t="s">
        <v>75</v>
      </c>
      <c r="H14" t="s">
        <v>75</v>
      </c>
      <c r="I14" t="s">
        <v>75</v>
      </c>
      <c r="J14" t="s">
        <v>75</v>
      </c>
      <c r="K14" t="s">
        <v>75</v>
      </c>
      <c r="L14" t="s">
        <v>75</v>
      </c>
      <c r="M14" t="s">
        <v>75</v>
      </c>
      <c r="N14" t="s">
        <v>75</v>
      </c>
      <c r="O14" t="s">
        <v>75</v>
      </c>
      <c r="P14" t="s">
        <v>75</v>
      </c>
      <c r="Q14" t="s">
        <v>75</v>
      </c>
      <c r="R14" t="s">
        <v>75</v>
      </c>
      <c r="S14" t="s">
        <v>75</v>
      </c>
      <c r="T14" t="s">
        <v>75</v>
      </c>
      <c r="U14" t="s">
        <v>75</v>
      </c>
      <c r="V14" t="s">
        <v>75</v>
      </c>
      <c r="W14" t="s">
        <v>75</v>
      </c>
      <c r="X14" t="s">
        <v>75</v>
      </c>
      <c r="Y14" t="s">
        <v>75</v>
      </c>
      <c r="Z14" t="s">
        <v>75</v>
      </c>
      <c r="AA14" t="s">
        <v>75</v>
      </c>
      <c r="AB14" t="s">
        <v>75</v>
      </c>
      <c r="AC14" t="s">
        <v>75</v>
      </c>
      <c r="AD14" t="s">
        <v>75</v>
      </c>
      <c r="AE14" t="s">
        <v>75</v>
      </c>
      <c r="AF14" t="s">
        <v>75</v>
      </c>
      <c r="AG14" t="s">
        <v>76</v>
      </c>
      <c r="AH14" t="s">
        <v>76</v>
      </c>
      <c r="AI14" t="s">
        <v>76</v>
      </c>
      <c r="AJ14" t="s">
        <v>76</v>
      </c>
      <c r="AK14" t="s">
        <v>76</v>
      </c>
      <c r="AL14" t="s">
        <v>77</v>
      </c>
      <c r="AM14" t="s">
        <v>77</v>
      </c>
      <c r="AN14" t="s">
        <v>77</v>
      </c>
      <c r="AO14" t="s">
        <v>77</v>
      </c>
      <c r="AP14" t="s">
        <v>77</v>
      </c>
      <c r="AQ14" t="s">
        <v>77</v>
      </c>
      <c r="AR14" t="s">
        <v>77</v>
      </c>
      <c r="AS14" t="s">
        <v>77</v>
      </c>
      <c r="AT14" t="s">
        <v>77</v>
      </c>
      <c r="AU14" t="s">
        <v>77</v>
      </c>
      <c r="AV14" t="s">
        <v>77</v>
      </c>
      <c r="AW14" t="s">
        <v>77</v>
      </c>
      <c r="AX14" t="s">
        <v>77</v>
      </c>
      <c r="AY14" t="s">
        <v>77</v>
      </c>
      <c r="AZ14" t="s">
        <v>77</v>
      </c>
      <c r="BA14" t="s">
        <v>77</v>
      </c>
      <c r="BB14" t="s">
        <v>77</v>
      </c>
      <c r="BC14" t="s">
        <v>77</v>
      </c>
      <c r="BD14" t="s">
        <v>77</v>
      </c>
      <c r="BE14" t="s">
        <v>77</v>
      </c>
      <c r="BF14" t="s">
        <v>77</v>
      </c>
      <c r="BG14" t="s">
        <v>77</v>
      </c>
      <c r="BH14" t="s">
        <v>77</v>
      </c>
      <c r="BI14" t="s">
        <v>77</v>
      </c>
      <c r="BJ14" t="s">
        <v>78</v>
      </c>
      <c r="BK14" t="s">
        <v>78</v>
      </c>
      <c r="BL14" t="s">
        <v>78</v>
      </c>
      <c r="BM14" t="s">
        <v>78</v>
      </c>
      <c r="BN14" t="s">
        <v>31</v>
      </c>
      <c r="BO14" t="s">
        <v>31</v>
      </c>
      <c r="BP14" t="s">
        <v>31</v>
      </c>
      <c r="BQ14" t="s">
        <v>79</v>
      </c>
      <c r="BR14" t="s">
        <v>79</v>
      </c>
      <c r="BS14" t="s">
        <v>79</v>
      </c>
      <c r="BT14" t="s">
        <v>79</v>
      </c>
      <c r="BU14" t="s">
        <v>79</v>
      </c>
      <c r="BV14" t="s">
        <v>79</v>
      </c>
      <c r="BW14" t="s">
        <v>79</v>
      </c>
      <c r="BX14" t="s">
        <v>79</v>
      </c>
      <c r="BY14" t="s">
        <v>79</v>
      </c>
      <c r="BZ14" t="s">
        <v>79</v>
      </c>
      <c r="CA14" t="s">
        <v>79</v>
      </c>
      <c r="CB14" t="s">
        <v>79</v>
      </c>
      <c r="CC14" t="s">
        <v>79</v>
      </c>
      <c r="CD14" t="s">
        <v>79</v>
      </c>
      <c r="CE14" t="s">
        <v>80</v>
      </c>
      <c r="CF14" t="s">
        <v>80</v>
      </c>
      <c r="CG14" t="s">
        <v>80</v>
      </c>
      <c r="CH14" t="s">
        <v>80</v>
      </c>
      <c r="CI14" t="s">
        <v>80</v>
      </c>
      <c r="CJ14" t="s">
        <v>80</v>
      </c>
      <c r="CK14" t="s">
        <v>80</v>
      </c>
      <c r="CL14" t="s">
        <v>80</v>
      </c>
      <c r="CM14" t="s">
        <v>80</v>
      </c>
      <c r="CN14" t="s">
        <v>80</v>
      </c>
      <c r="CO14" t="s">
        <v>80</v>
      </c>
      <c r="CP14" t="s">
        <v>80</v>
      </c>
      <c r="CQ14" t="s">
        <v>80</v>
      </c>
      <c r="CR14" t="s">
        <v>80</v>
      </c>
      <c r="CS14" t="s">
        <v>80</v>
      </c>
      <c r="CT14" t="s">
        <v>80</v>
      </c>
      <c r="CU14" t="s">
        <v>80</v>
      </c>
      <c r="CV14" t="s">
        <v>81</v>
      </c>
      <c r="CW14" t="s">
        <v>81</v>
      </c>
      <c r="CX14" t="s">
        <v>81</v>
      </c>
      <c r="CY14" t="s">
        <v>81</v>
      </c>
      <c r="CZ14" t="s">
        <v>81</v>
      </c>
      <c r="DA14" t="s">
        <v>82</v>
      </c>
      <c r="DB14" t="s">
        <v>82</v>
      </c>
      <c r="DC14" t="s">
        <v>82</v>
      </c>
      <c r="DD14" t="s">
        <v>82</v>
      </c>
      <c r="DE14" t="s">
        <v>82</v>
      </c>
      <c r="DF14" t="s">
        <v>82</v>
      </c>
      <c r="DG14" t="s">
        <v>82</v>
      </c>
      <c r="DH14" t="s">
        <v>82</v>
      </c>
      <c r="DI14" t="s">
        <v>82</v>
      </c>
      <c r="DJ14" t="s">
        <v>83</v>
      </c>
      <c r="DK14" t="s">
        <v>83</v>
      </c>
      <c r="DL14" t="s">
        <v>83</v>
      </c>
      <c r="DM14" t="s">
        <v>83</v>
      </c>
      <c r="DN14" t="s">
        <v>83</v>
      </c>
      <c r="DO14" t="s">
        <v>83</v>
      </c>
      <c r="DP14" t="s">
        <v>83</v>
      </c>
      <c r="DQ14" t="s">
        <v>83</v>
      </c>
      <c r="DR14" t="s">
        <v>83</v>
      </c>
      <c r="DS14" t="s">
        <v>83</v>
      </c>
      <c r="DT14" t="s">
        <v>83</v>
      </c>
      <c r="DU14" t="s">
        <v>84</v>
      </c>
      <c r="DV14" t="s">
        <v>84</v>
      </c>
      <c r="DW14" t="s">
        <v>84</v>
      </c>
      <c r="DX14" t="s">
        <v>84</v>
      </c>
      <c r="DY14" t="s">
        <v>84</v>
      </c>
      <c r="DZ14" t="s">
        <v>84</v>
      </c>
      <c r="EA14" t="s">
        <v>84</v>
      </c>
      <c r="EB14" t="s">
        <v>84</v>
      </c>
      <c r="EC14" t="s">
        <v>84</v>
      </c>
      <c r="ED14" t="s">
        <v>84</v>
      </c>
      <c r="EE14" t="s">
        <v>84</v>
      </c>
      <c r="EF14" t="s">
        <v>84</v>
      </c>
      <c r="EG14" t="s">
        <v>84</v>
      </c>
      <c r="EH14" t="s">
        <v>84</v>
      </c>
      <c r="EI14" t="s">
        <v>84</v>
      </c>
      <c r="EJ14" t="s">
        <v>84</v>
      </c>
      <c r="EK14" t="s">
        <v>84</v>
      </c>
      <c r="EL14" t="s">
        <v>84</v>
      </c>
      <c r="EM14" t="s">
        <v>84</v>
      </c>
      <c r="EN14" t="s">
        <v>85</v>
      </c>
      <c r="EO14" t="s">
        <v>85</v>
      </c>
      <c r="EP14" t="s">
        <v>85</v>
      </c>
      <c r="EQ14" t="s">
        <v>85</v>
      </c>
      <c r="ER14" t="s">
        <v>85</v>
      </c>
      <c r="ES14" t="s">
        <v>85</v>
      </c>
      <c r="ET14" t="s">
        <v>85</v>
      </c>
      <c r="EU14" t="s">
        <v>85</v>
      </c>
      <c r="EV14" t="s">
        <v>85</v>
      </c>
      <c r="EW14" t="s">
        <v>85</v>
      </c>
      <c r="EX14" t="s">
        <v>85</v>
      </c>
      <c r="EY14" t="s">
        <v>85</v>
      </c>
      <c r="EZ14" t="s">
        <v>85</v>
      </c>
      <c r="FA14" t="s">
        <v>85</v>
      </c>
      <c r="FB14" t="s">
        <v>85</v>
      </c>
      <c r="FC14" t="s">
        <v>85</v>
      </c>
      <c r="FD14" t="s">
        <v>85</v>
      </c>
      <c r="FE14" t="s">
        <v>85</v>
      </c>
      <c r="FF14" t="s">
        <v>85</v>
      </c>
      <c r="FG14" t="s">
        <v>85</v>
      </c>
    </row>
    <row r="15" spans="1:163" x14ac:dyDescent="0.35">
      <c r="A15" t="s">
        <v>86</v>
      </c>
      <c r="B15" t="s">
        <v>87</v>
      </c>
      <c r="C15" t="s">
        <v>88</v>
      </c>
      <c r="D15" t="s">
        <v>89</v>
      </c>
      <c r="E15" t="s">
        <v>90</v>
      </c>
      <c r="F15" t="s">
        <v>91</v>
      </c>
      <c r="G15" t="s">
        <v>92</v>
      </c>
      <c r="H15" t="s">
        <v>93</v>
      </c>
      <c r="I15" t="s">
        <v>94</v>
      </c>
      <c r="J15" t="s">
        <v>95</v>
      </c>
      <c r="K15" t="s">
        <v>96</v>
      </c>
      <c r="L15" t="s">
        <v>97</v>
      </c>
      <c r="M15" t="s">
        <v>98</v>
      </c>
      <c r="N15" t="s">
        <v>99</v>
      </c>
      <c r="O15" t="s">
        <v>100</v>
      </c>
      <c r="P15" t="s">
        <v>101</v>
      </c>
      <c r="Q15" t="s">
        <v>102</v>
      </c>
      <c r="R15" t="s">
        <v>103</v>
      </c>
      <c r="S15" t="s">
        <v>104</v>
      </c>
      <c r="T15" t="s">
        <v>105</v>
      </c>
      <c r="U15" t="s">
        <v>106</v>
      </c>
      <c r="V15" t="s">
        <v>107</v>
      </c>
      <c r="W15" t="s">
        <v>108</v>
      </c>
      <c r="X15" t="s">
        <v>109</v>
      </c>
      <c r="Y15" t="s">
        <v>110</v>
      </c>
      <c r="Z15" t="s">
        <v>111</v>
      </c>
      <c r="AA15" t="s">
        <v>112</v>
      </c>
      <c r="AB15" t="s">
        <v>113</v>
      </c>
      <c r="AC15" t="s">
        <v>114</v>
      </c>
      <c r="AD15" t="s">
        <v>115</v>
      </c>
      <c r="AE15" t="s">
        <v>116</v>
      </c>
      <c r="AF15" t="s">
        <v>117</v>
      </c>
      <c r="AG15" t="s">
        <v>76</v>
      </c>
      <c r="AH15" t="s">
        <v>118</v>
      </c>
      <c r="AI15" t="s">
        <v>119</v>
      </c>
      <c r="AJ15" t="s">
        <v>120</v>
      </c>
      <c r="AK15" t="s">
        <v>121</v>
      </c>
      <c r="AL15" t="s">
        <v>122</v>
      </c>
      <c r="AM15" t="s">
        <v>123</v>
      </c>
      <c r="AN15" t="s">
        <v>124</v>
      </c>
      <c r="AO15" t="s">
        <v>125</v>
      </c>
      <c r="AP15" t="s">
        <v>126</v>
      </c>
      <c r="AQ15" t="s">
        <v>127</v>
      </c>
      <c r="AR15" t="s">
        <v>128</v>
      </c>
      <c r="AS15" t="s">
        <v>129</v>
      </c>
      <c r="AT15" t="s">
        <v>130</v>
      </c>
      <c r="AU15" t="s">
        <v>131</v>
      </c>
      <c r="AV15" t="s">
        <v>132</v>
      </c>
      <c r="AW15" t="s">
        <v>133</v>
      </c>
      <c r="AX15" t="s">
        <v>134</v>
      </c>
      <c r="AY15" t="s">
        <v>135</v>
      </c>
      <c r="AZ15" t="s">
        <v>136</v>
      </c>
      <c r="BA15" t="s">
        <v>137</v>
      </c>
      <c r="BB15" t="s">
        <v>138</v>
      </c>
      <c r="BC15" t="s">
        <v>139</v>
      </c>
      <c r="BD15" t="s">
        <v>140</v>
      </c>
      <c r="BE15" t="s">
        <v>141</v>
      </c>
      <c r="BF15" t="s">
        <v>142</v>
      </c>
      <c r="BG15" t="s">
        <v>143</v>
      </c>
      <c r="BH15" t="s">
        <v>144</v>
      </c>
      <c r="BI15" t="s">
        <v>145</v>
      </c>
      <c r="BJ15" t="s">
        <v>146</v>
      </c>
      <c r="BK15" t="s">
        <v>147</v>
      </c>
      <c r="BL15" t="s">
        <v>148</v>
      </c>
      <c r="BM15" t="s">
        <v>149</v>
      </c>
      <c r="BN15" t="s">
        <v>150</v>
      </c>
      <c r="BO15" t="s">
        <v>151</v>
      </c>
      <c r="BP15" t="s">
        <v>152</v>
      </c>
      <c r="BQ15" t="s">
        <v>92</v>
      </c>
      <c r="BR15" t="s">
        <v>153</v>
      </c>
      <c r="BS15" t="s">
        <v>154</v>
      </c>
      <c r="BT15" t="s">
        <v>155</v>
      </c>
      <c r="BU15" t="s">
        <v>156</v>
      </c>
      <c r="BV15" t="s">
        <v>157</v>
      </c>
      <c r="BW15" t="s">
        <v>158</v>
      </c>
      <c r="BX15" t="s">
        <v>159</v>
      </c>
      <c r="BY15" t="s">
        <v>160</v>
      </c>
      <c r="BZ15" t="s">
        <v>161</v>
      </c>
      <c r="CA15" t="s">
        <v>162</v>
      </c>
      <c r="CB15" t="s">
        <v>163</v>
      </c>
      <c r="CC15" t="s">
        <v>164</v>
      </c>
      <c r="CD15" t="s">
        <v>165</v>
      </c>
      <c r="CE15" t="s">
        <v>166</v>
      </c>
      <c r="CF15" t="s">
        <v>167</v>
      </c>
      <c r="CG15" t="s">
        <v>168</v>
      </c>
      <c r="CH15" t="s">
        <v>169</v>
      </c>
      <c r="CI15" t="s">
        <v>170</v>
      </c>
      <c r="CJ15" t="s">
        <v>171</v>
      </c>
      <c r="CK15" t="s">
        <v>172</v>
      </c>
      <c r="CL15" t="s">
        <v>173</v>
      </c>
      <c r="CM15" t="s">
        <v>174</v>
      </c>
      <c r="CN15" t="s">
        <v>175</v>
      </c>
      <c r="CO15" t="s">
        <v>176</v>
      </c>
      <c r="CP15" t="s">
        <v>177</v>
      </c>
      <c r="CQ15" t="s">
        <v>178</v>
      </c>
      <c r="CR15" t="s">
        <v>179</v>
      </c>
      <c r="CS15" t="s">
        <v>180</v>
      </c>
      <c r="CT15" t="s">
        <v>181</v>
      </c>
      <c r="CU15" t="s">
        <v>182</v>
      </c>
      <c r="CV15" t="s">
        <v>183</v>
      </c>
      <c r="CW15" t="s">
        <v>184</v>
      </c>
      <c r="CX15" t="s">
        <v>185</v>
      </c>
      <c r="CY15" t="s">
        <v>186</v>
      </c>
      <c r="CZ15" t="s">
        <v>187</v>
      </c>
      <c r="DA15" t="s">
        <v>87</v>
      </c>
      <c r="DB15" t="s">
        <v>90</v>
      </c>
      <c r="DC15" t="s">
        <v>188</v>
      </c>
      <c r="DD15" t="s">
        <v>189</v>
      </c>
      <c r="DE15" t="s">
        <v>190</v>
      </c>
      <c r="DF15" t="s">
        <v>191</v>
      </c>
      <c r="DG15" t="s">
        <v>192</v>
      </c>
      <c r="DH15" t="s">
        <v>193</v>
      </c>
      <c r="DI15" t="s">
        <v>194</v>
      </c>
      <c r="DJ15" t="s">
        <v>195</v>
      </c>
      <c r="DK15" t="s">
        <v>196</v>
      </c>
      <c r="DL15" t="s">
        <v>197</v>
      </c>
      <c r="DM15" t="s">
        <v>198</v>
      </c>
      <c r="DN15" t="s">
        <v>199</v>
      </c>
      <c r="DO15" t="s">
        <v>200</v>
      </c>
      <c r="DP15" t="s">
        <v>201</v>
      </c>
      <c r="DQ15" t="s">
        <v>202</v>
      </c>
      <c r="DR15" t="s">
        <v>203</v>
      </c>
      <c r="DS15" t="s">
        <v>204</v>
      </c>
      <c r="DT15" t="s">
        <v>205</v>
      </c>
      <c r="DU15" t="s">
        <v>206</v>
      </c>
      <c r="DV15" t="s">
        <v>207</v>
      </c>
      <c r="DW15" t="s">
        <v>208</v>
      </c>
      <c r="DX15" t="s">
        <v>209</v>
      </c>
      <c r="DY15" t="s">
        <v>210</v>
      </c>
      <c r="DZ15" t="s">
        <v>211</v>
      </c>
      <c r="EA15" t="s">
        <v>212</v>
      </c>
      <c r="EB15" t="s">
        <v>213</v>
      </c>
      <c r="EC15" t="s">
        <v>214</v>
      </c>
      <c r="ED15" t="s">
        <v>215</v>
      </c>
      <c r="EE15" t="s">
        <v>216</v>
      </c>
      <c r="EF15" t="s">
        <v>217</v>
      </c>
      <c r="EG15" t="s">
        <v>218</v>
      </c>
      <c r="EH15" t="s">
        <v>219</v>
      </c>
      <c r="EI15" t="s">
        <v>220</v>
      </c>
      <c r="EJ15" t="s">
        <v>221</v>
      </c>
      <c r="EK15" t="s">
        <v>222</v>
      </c>
      <c r="EL15" t="s">
        <v>223</v>
      </c>
      <c r="EM15" t="s">
        <v>224</v>
      </c>
      <c r="EN15" t="s">
        <v>225</v>
      </c>
      <c r="EO15" t="s">
        <v>226</v>
      </c>
      <c r="EP15" t="s">
        <v>227</v>
      </c>
      <c r="EQ15" t="s">
        <v>228</v>
      </c>
      <c r="ER15" t="s">
        <v>229</v>
      </c>
      <c r="ES15" t="s">
        <v>230</v>
      </c>
      <c r="ET15" t="s">
        <v>231</v>
      </c>
      <c r="EU15" t="s">
        <v>232</v>
      </c>
      <c r="EV15" t="s">
        <v>233</v>
      </c>
      <c r="EW15" t="s">
        <v>234</v>
      </c>
      <c r="EX15" t="s">
        <v>235</v>
      </c>
      <c r="EY15" t="s">
        <v>236</v>
      </c>
      <c r="EZ15" t="s">
        <v>237</v>
      </c>
      <c r="FA15" t="s">
        <v>238</v>
      </c>
      <c r="FB15" t="s">
        <v>239</v>
      </c>
      <c r="FC15" t="s">
        <v>240</v>
      </c>
      <c r="FD15" t="s">
        <v>241</v>
      </c>
      <c r="FE15" t="s">
        <v>242</v>
      </c>
      <c r="FF15" t="s">
        <v>243</v>
      </c>
      <c r="FG15" t="s">
        <v>244</v>
      </c>
    </row>
    <row r="16" spans="1:163" x14ac:dyDescent="0.35">
      <c r="B16" t="s">
        <v>245</v>
      </c>
      <c r="C16" t="s">
        <v>245</v>
      </c>
      <c r="G16" t="s">
        <v>245</v>
      </c>
      <c r="H16" t="s">
        <v>246</v>
      </c>
      <c r="I16" t="s">
        <v>247</v>
      </c>
      <c r="J16" t="s">
        <v>248</v>
      </c>
      <c r="K16" t="s">
        <v>248</v>
      </c>
      <c r="L16" t="s">
        <v>158</v>
      </c>
      <c r="M16" t="s">
        <v>158</v>
      </c>
      <c r="N16" t="s">
        <v>246</v>
      </c>
      <c r="O16" t="s">
        <v>246</v>
      </c>
      <c r="P16" t="s">
        <v>246</v>
      </c>
      <c r="Q16" t="s">
        <v>246</v>
      </c>
      <c r="R16" t="s">
        <v>249</v>
      </c>
      <c r="S16" t="s">
        <v>250</v>
      </c>
      <c r="T16" t="s">
        <v>250</v>
      </c>
      <c r="U16" t="s">
        <v>251</v>
      </c>
      <c r="V16" t="s">
        <v>252</v>
      </c>
      <c r="W16" t="s">
        <v>251</v>
      </c>
      <c r="X16" t="s">
        <v>251</v>
      </c>
      <c r="Y16" t="s">
        <v>251</v>
      </c>
      <c r="Z16" t="s">
        <v>249</v>
      </c>
      <c r="AA16" t="s">
        <v>249</v>
      </c>
      <c r="AB16" t="s">
        <v>249</v>
      </c>
      <c r="AC16" t="s">
        <v>249</v>
      </c>
      <c r="AG16" t="s">
        <v>253</v>
      </c>
      <c r="AH16" t="s">
        <v>252</v>
      </c>
      <c r="AJ16" t="s">
        <v>252</v>
      </c>
      <c r="AK16" t="s">
        <v>253</v>
      </c>
      <c r="AQ16" t="s">
        <v>247</v>
      </c>
      <c r="AW16" t="s">
        <v>247</v>
      </c>
      <c r="AX16" t="s">
        <v>247</v>
      </c>
      <c r="AY16" t="s">
        <v>247</v>
      </c>
      <c r="BA16" t="s">
        <v>254</v>
      </c>
      <c r="BJ16" t="s">
        <v>247</v>
      </c>
      <c r="BK16" t="s">
        <v>247</v>
      </c>
      <c r="BM16" t="s">
        <v>255</v>
      </c>
      <c r="BN16" t="s">
        <v>256</v>
      </c>
      <c r="BQ16" t="s">
        <v>245</v>
      </c>
      <c r="BR16" t="s">
        <v>248</v>
      </c>
      <c r="BS16" t="s">
        <v>248</v>
      </c>
      <c r="BT16" t="s">
        <v>257</v>
      </c>
      <c r="BU16" t="s">
        <v>257</v>
      </c>
      <c r="BV16" t="s">
        <v>253</v>
      </c>
      <c r="BW16" t="s">
        <v>251</v>
      </c>
      <c r="BX16" t="s">
        <v>251</v>
      </c>
      <c r="BY16" t="s">
        <v>250</v>
      </c>
      <c r="BZ16" t="s">
        <v>250</v>
      </c>
      <c r="CA16" t="s">
        <v>250</v>
      </c>
      <c r="CB16" t="s">
        <v>258</v>
      </c>
      <c r="CC16" t="s">
        <v>247</v>
      </c>
      <c r="CD16" t="s">
        <v>247</v>
      </c>
      <c r="CE16" t="s">
        <v>247</v>
      </c>
      <c r="CJ16" t="s">
        <v>247</v>
      </c>
      <c r="CM16" t="s">
        <v>250</v>
      </c>
      <c r="CN16" t="s">
        <v>250</v>
      </c>
      <c r="CO16" t="s">
        <v>250</v>
      </c>
      <c r="CP16" t="s">
        <v>250</v>
      </c>
      <c r="CQ16" t="s">
        <v>250</v>
      </c>
      <c r="CR16" t="s">
        <v>247</v>
      </c>
      <c r="CS16" t="s">
        <v>247</v>
      </c>
      <c r="CT16" t="s">
        <v>247</v>
      </c>
      <c r="CU16" t="s">
        <v>245</v>
      </c>
      <c r="CW16" t="s">
        <v>259</v>
      </c>
      <c r="CX16" t="s">
        <v>259</v>
      </c>
      <c r="CZ16" t="s">
        <v>245</v>
      </c>
      <c r="DA16" t="s">
        <v>260</v>
      </c>
      <c r="DD16" t="s">
        <v>261</v>
      </c>
      <c r="DE16" t="s">
        <v>262</v>
      </c>
      <c r="DF16" t="s">
        <v>261</v>
      </c>
      <c r="DG16" t="s">
        <v>262</v>
      </c>
      <c r="DH16" t="s">
        <v>252</v>
      </c>
      <c r="DI16" t="s">
        <v>252</v>
      </c>
      <c r="DJ16" t="s">
        <v>247</v>
      </c>
      <c r="DK16" t="s">
        <v>263</v>
      </c>
      <c r="DL16" t="s">
        <v>247</v>
      </c>
      <c r="DN16" t="s">
        <v>246</v>
      </c>
      <c r="DO16" t="s">
        <v>264</v>
      </c>
      <c r="DP16" t="s">
        <v>246</v>
      </c>
      <c r="DU16" t="s">
        <v>265</v>
      </c>
      <c r="DV16" t="s">
        <v>265</v>
      </c>
      <c r="DW16" t="s">
        <v>265</v>
      </c>
      <c r="DX16" t="s">
        <v>265</v>
      </c>
      <c r="DY16" t="s">
        <v>265</v>
      </c>
      <c r="DZ16" t="s">
        <v>265</v>
      </c>
      <c r="EA16" t="s">
        <v>265</v>
      </c>
      <c r="EB16" t="s">
        <v>265</v>
      </c>
      <c r="EC16" t="s">
        <v>265</v>
      </c>
      <c r="ED16" t="s">
        <v>265</v>
      </c>
      <c r="EE16" t="s">
        <v>265</v>
      </c>
      <c r="EF16" t="s">
        <v>265</v>
      </c>
      <c r="EM16" t="s">
        <v>265</v>
      </c>
      <c r="EN16" t="s">
        <v>252</v>
      </c>
      <c r="EO16" t="s">
        <v>252</v>
      </c>
      <c r="EP16" t="s">
        <v>261</v>
      </c>
      <c r="EQ16" t="s">
        <v>262</v>
      </c>
      <c r="ES16" t="s">
        <v>253</v>
      </c>
      <c r="ET16" t="s">
        <v>253</v>
      </c>
      <c r="EU16" t="s">
        <v>250</v>
      </c>
      <c r="EV16" t="s">
        <v>250</v>
      </c>
      <c r="EW16" t="s">
        <v>250</v>
      </c>
      <c r="EX16" t="s">
        <v>250</v>
      </c>
      <c r="EY16" t="s">
        <v>250</v>
      </c>
      <c r="EZ16" t="s">
        <v>252</v>
      </c>
      <c r="FA16" t="s">
        <v>252</v>
      </c>
      <c r="FB16" t="s">
        <v>252</v>
      </c>
      <c r="FC16" t="s">
        <v>250</v>
      </c>
      <c r="FD16" t="s">
        <v>248</v>
      </c>
      <c r="FE16" t="s">
        <v>257</v>
      </c>
      <c r="FF16" t="s">
        <v>252</v>
      </c>
      <c r="FG16" t="s">
        <v>252</v>
      </c>
    </row>
    <row r="17" spans="1:163" x14ac:dyDescent="0.35">
      <c r="A17">
        <v>1</v>
      </c>
      <c r="B17">
        <v>1567880943.0999999</v>
      </c>
      <c r="C17">
        <v>0</v>
      </c>
      <c r="D17" t="s">
        <v>266</v>
      </c>
      <c r="E17" t="s">
        <v>267</v>
      </c>
      <c r="G17">
        <v>1567880943.0999999</v>
      </c>
      <c r="H17">
        <f t="shared" ref="H17:H32" si="0">BV17*AI17*(BT17-BU17)/(100*BN17*(1000-AI17*BT17))</f>
        <v>1.7548264634612433E-3</v>
      </c>
      <c r="I17">
        <f t="shared" ref="I17:I32" si="1">BV17*AI17*(BS17-BR17*(1000-AI17*BU17)/(1000-AI17*BT17))/(100*BN17)</f>
        <v>12.397287104433884</v>
      </c>
      <c r="J17">
        <f t="shared" ref="J17:J32" si="2">BR17 - IF(AI17&gt;1, I17*BN17*100/(AK17*CB17), 0)</f>
        <v>384.27699999999999</v>
      </c>
      <c r="K17">
        <f t="shared" ref="K17:K32" si="3">((Q17-H17/2)*J17-I17)/(Q17+H17/2)</f>
        <v>154.38988374516768</v>
      </c>
      <c r="L17">
        <f t="shared" ref="L17:L32" si="4">K17*(BW17+BX17)/1000</f>
        <v>15.341649103782764</v>
      </c>
      <c r="M17">
        <f t="shared" ref="M17:M32" si="5">(BR17 - IF(AI17&gt;1, I17*BN17*100/(AK17*CB17), 0))*(BW17+BX17)/1000</f>
        <v>38.185422189870998</v>
      </c>
      <c r="N17">
        <f t="shared" ref="N17:N32" si="6">2/((1/P17-1/O17)+SIGN(P17)*SQRT((1/P17-1/O17)*(1/P17-1/O17) + 4*BO17/((BO17+1)*(BO17+1))*(2*1/P17*1/O17-1/O17*1/O17)))</f>
        <v>9.1300498241106934E-2</v>
      </c>
      <c r="O17">
        <f t="shared" ref="O17:O32" si="7">AF17+AE17*BN17+AD17*BN17*BN17</f>
        <v>2.2496566184984683</v>
      </c>
      <c r="P17">
        <f t="shared" ref="P17:P32" si="8">H17*(1000-(1000*0.61365*EXP(17.502*T17/(240.97+T17))/(BW17+BX17)+BT17)/2)/(1000*0.61365*EXP(17.502*T17/(240.97+T17))/(BW17+BX17)-BT17)</f>
        <v>8.9290844748324785E-2</v>
      </c>
      <c r="Q17">
        <f t="shared" ref="Q17:Q32" si="9">1/((BO17+1)/(N17/1.6)+1/(O17/1.37)) + BO17/((BO17+1)/(N17/1.6) + BO17/(O17/1.37))</f>
        <v>5.5983653044133858E-2</v>
      </c>
      <c r="R17">
        <f t="shared" ref="R17:R32" si="10">(BK17*BM17)</f>
        <v>281.53802386886537</v>
      </c>
      <c r="S17">
        <f t="shared" ref="S17:S32" si="11">(BY17+(R17+2*0.95*0.0000000567*(((BY17+$B$7)+273)^4-(BY17+273)^4)-44100*H17)/(1.84*29.3*O17+8*0.95*0.0000000567*(BY17+273)^3))</f>
        <v>26.242277217439593</v>
      </c>
      <c r="T17">
        <f t="shared" ref="T17:T32" si="12">($C$7*BZ17+$D$7*CA17+$E$7*S17)</f>
        <v>27.0687</v>
      </c>
      <c r="U17">
        <f t="shared" ref="U17:U32" si="13">0.61365*EXP(17.502*T17/(240.97+T17))</f>
        <v>3.5936267777665307</v>
      </c>
      <c r="V17">
        <f t="shared" ref="V17:V32" si="14">(W17/X17*100)</f>
        <v>54.185129946325617</v>
      </c>
      <c r="W17">
        <f t="shared" ref="W17:W32" si="15">BT17*(BW17+BX17)/1000</f>
        <v>1.6926703917342998</v>
      </c>
      <c r="X17">
        <f t="shared" ref="X17:X32" si="16">0.61365*EXP(17.502*BY17/(240.97+BY17))</f>
        <v>3.1238651515849738</v>
      </c>
      <c r="Y17">
        <f t="shared" ref="Y17:Y32" si="17">(U17-BT17*(BW17+BX17)/1000)</f>
        <v>1.9009563860322309</v>
      </c>
      <c r="Z17">
        <f t="shared" ref="Z17:Z32" si="18">(-H17*44100)</f>
        <v>-77.387847038640828</v>
      </c>
      <c r="AA17">
        <f t="shared" ref="AA17:AA32" si="19">2*29.3*O17*0.92*(BY17-T17)</f>
        <v>-286.88396160804422</v>
      </c>
      <c r="AB17">
        <f t="shared" ref="AB17:AB32" si="20">2*0.95*0.0000000567*(((BY17+$B$7)+273)^4-(T17+273)^4)</f>
        <v>-27.216029217973286</v>
      </c>
      <c r="AC17">
        <f t="shared" ref="AC17:AC32" si="21">R17+AB17+Z17+AA17</f>
        <v>-109.94981399579297</v>
      </c>
      <c r="AD17">
        <v>-4.1174503635743001E-2</v>
      </c>
      <c r="AE17">
        <v>4.6221987415751002E-2</v>
      </c>
      <c r="AF17">
        <v>3.45460682489071</v>
      </c>
      <c r="AG17">
        <v>0</v>
      </c>
      <c r="AH17">
        <v>0</v>
      </c>
      <c r="AI17">
        <f t="shared" ref="AI17:AI32" si="22">IF(AG17*$H$13&gt;=AK17,1,(AK17/(AK17-AG17*$H$13)))</f>
        <v>1</v>
      </c>
      <c r="AJ17">
        <f t="shared" ref="AJ17:AJ32" si="23">(AI17-1)*100</f>
        <v>0</v>
      </c>
      <c r="AK17">
        <f t="shared" ref="AK17:AK32" si="24">MAX(0,($B$13+$C$13*CB17)/(1+$D$13*CB17)*BW17/(BY17+273)*$E$13)</f>
        <v>52908.539718577071</v>
      </c>
      <c r="AL17" t="s">
        <v>268</v>
      </c>
      <c r="AM17">
        <v>631.89076923076902</v>
      </c>
      <c r="AN17">
        <v>3514.37</v>
      </c>
      <c r="AO17">
        <f t="shared" ref="AO17:AO32" si="25">AN17-AM17</f>
        <v>2882.479230769231</v>
      </c>
      <c r="AP17">
        <f t="shared" ref="AP17:AP32" si="26">AO17/AN17</f>
        <v>0.82019799587670938</v>
      </c>
      <c r="AQ17">
        <v>-1.4218795309761501</v>
      </c>
      <c r="AR17" t="s">
        <v>269</v>
      </c>
      <c r="AS17">
        <v>953.78419230769202</v>
      </c>
      <c r="AT17">
        <v>1169.33</v>
      </c>
      <c r="AU17">
        <f t="shared" ref="AU17:AU32" si="27">1-AS17/AT17</f>
        <v>0.1843327441289524</v>
      </c>
      <c r="AV17">
        <v>0.5</v>
      </c>
      <c r="AW17">
        <f t="shared" ref="AW17:AW32" si="28">BK17</f>
        <v>1471.1280000962931</v>
      </c>
      <c r="AX17">
        <f t="shared" ref="AX17:AX32" si="29">I17</f>
        <v>12.397287104433884</v>
      </c>
      <c r="AY17">
        <f t="shared" ref="AY17:AY32" si="30">AU17*AV17*AW17</f>
        <v>135.58853061134374</v>
      </c>
      <c r="AZ17">
        <f t="shared" ref="AZ17:AZ32" si="31">BE17/AT17</f>
        <v>0.50003848357606484</v>
      </c>
      <c r="BA17">
        <f t="shared" ref="BA17:BA32" si="32">(AX17-AQ17)/AW17</f>
        <v>9.3935854898455455E-3</v>
      </c>
      <c r="BB17">
        <f t="shared" ref="BB17:BB32" si="33">(AN17-AT17)/AT17</f>
        <v>2.0054561158954276</v>
      </c>
      <c r="BC17" t="s">
        <v>270</v>
      </c>
      <c r="BD17">
        <v>584.62</v>
      </c>
      <c r="BE17">
        <f t="shared" ref="BE17:BE32" si="34">AT17-BD17</f>
        <v>584.70999999999992</v>
      </c>
      <c r="BF17">
        <f t="shared" ref="BF17:BF32" si="35">(AT17-AS17)/(AT17-BD17)</f>
        <v>0.36863711530897014</v>
      </c>
      <c r="BG17">
        <f t="shared" ref="BG17:BG32" si="36">(AN17-AT17)/(AN17-BD17)</f>
        <v>0.80042324430412148</v>
      </c>
      <c r="BH17">
        <f t="shared" ref="BH17:BH32" si="37">(AT17-AS17)/(AT17-AM17)</f>
        <v>0.40106079971832265</v>
      </c>
      <c r="BI17">
        <f t="shared" ref="BI17:BI32" si="38">(AN17-AT17)/(AN17-AM17)</f>
        <v>0.81354966064202738</v>
      </c>
      <c r="BJ17">
        <f t="shared" ref="BJ17:BJ32" si="39">$B$11*CC17+$C$11*CD17+$F$11*CE17</f>
        <v>1749.91</v>
      </c>
      <c r="BK17">
        <f t="shared" ref="BK17:BK32" si="40">BJ17*BL17</f>
        <v>1471.1280000962931</v>
      </c>
      <c r="BL17">
        <f t="shared" ref="BL17:BL32" si="41">($B$11*$D$9+$C$11*$D$9+$F$11*((CR17+CJ17)/MAX(CR17+CJ17+CS17, 0.1)*$I$9+CS17/MAX(CR17+CJ17+CS17, 0.1)*$J$9))/($B$11+$C$11+$F$11)</f>
        <v>0.84068780685652011</v>
      </c>
      <c r="BM17">
        <f t="shared" ref="BM17:BM32" si="42">($B$11*$K$9+$C$11*$K$9+$F$11*((CR17+CJ17)/MAX(CR17+CJ17+CS17, 0.1)*$P$9+CS17/MAX(CR17+CJ17+CS17, 0.1)*$Q$9))/($B$11+$C$11+$F$11)</f>
        <v>0.19137561371304007</v>
      </c>
      <c r="BN17">
        <v>6</v>
      </c>
      <c r="BO17">
        <v>0.5</v>
      </c>
      <c r="BP17" t="s">
        <v>271</v>
      </c>
      <c r="BQ17">
        <v>1567880943.0999999</v>
      </c>
      <c r="BR17">
        <v>384.27699999999999</v>
      </c>
      <c r="BS17">
        <v>399.959</v>
      </c>
      <c r="BT17">
        <v>17.034099999999999</v>
      </c>
      <c r="BU17">
        <v>14.964700000000001</v>
      </c>
      <c r="BV17">
        <v>500.12599999999998</v>
      </c>
      <c r="BW17">
        <v>99.269499999999994</v>
      </c>
      <c r="BX17">
        <v>0.100023</v>
      </c>
      <c r="BY17">
        <v>24.703299999999999</v>
      </c>
      <c r="BZ17">
        <v>27.0687</v>
      </c>
      <c r="CA17">
        <v>999.9</v>
      </c>
      <c r="CB17">
        <v>10002.5</v>
      </c>
      <c r="CC17">
        <v>0</v>
      </c>
      <c r="CD17">
        <v>1803.09</v>
      </c>
      <c r="CE17">
        <v>1749.91</v>
      </c>
      <c r="CF17">
        <v>0.97700699999999996</v>
      </c>
      <c r="CG17">
        <v>2.2993199999999998E-2</v>
      </c>
      <c r="CH17">
        <v>0</v>
      </c>
      <c r="CI17">
        <v>952.13699999999994</v>
      </c>
      <c r="CJ17">
        <v>4.99986</v>
      </c>
      <c r="CK17">
        <v>20112</v>
      </c>
      <c r="CL17">
        <v>14220.1</v>
      </c>
      <c r="CM17">
        <v>45.186999999999998</v>
      </c>
      <c r="CN17">
        <v>47.25</v>
      </c>
      <c r="CO17">
        <v>46.186999999999998</v>
      </c>
      <c r="CP17">
        <v>46.25</v>
      </c>
      <c r="CQ17">
        <v>46.811999999999998</v>
      </c>
      <c r="CR17">
        <v>1704.79</v>
      </c>
      <c r="CS17">
        <v>40.119999999999997</v>
      </c>
      <c r="CT17">
        <v>0</v>
      </c>
      <c r="CU17">
        <v>497.40000009536698</v>
      </c>
      <c r="CV17">
        <v>953.78419230769202</v>
      </c>
      <c r="CW17">
        <v>-13.339316241108101</v>
      </c>
      <c r="CX17">
        <v>5027.69915009125</v>
      </c>
      <c r="CY17">
        <v>19510.892307692298</v>
      </c>
      <c r="CZ17">
        <v>15</v>
      </c>
      <c r="DA17">
        <v>1567880897.0999999</v>
      </c>
      <c r="DB17" t="s">
        <v>272</v>
      </c>
      <c r="DC17">
        <v>78</v>
      </c>
      <c r="DD17">
        <v>-0.35599999999999998</v>
      </c>
      <c r="DE17">
        <v>7.0999999999999994E-2</v>
      </c>
      <c r="DF17">
        <v>400</v>
      </c>
      <c r="DG17">
        <v>14</v>
      </c>
      <c r="DH17">
        <v>0.12</v>
      </c>
      <c r="DI17">
        <v>0.03</v>
      </c>
      <c r="DJ17">
        <v>12.455193606441901</v>
      </c>
      <c r="DK17">
        <v>-9.4668078832441493E-2</v>
      </c>
      <c r="DL17">
        <v>9.59144904223002E-2</v>
      </c>
      <c r="DM17">
        <v>1</v>
      </c>
      <c r="DN17">
        <v>9.9545605453447594E-2</v>
      </c>
      <c r="DO17">
        <v>-3.2238497083055201E-3</v>
      </c>
      <c r="DP17">
        <v>3.87249206854361E-3</v>
      </c>
      <c r="DQ17">
        <v>1</v>
      </c>
      <c r="DR17">
        <v>2</v>
      </c>
      <c r="DS17">
        <v>2</v>
      </c>
      <c r="DT17" t="s">
        <v>273</v>
      </c>
      <c r="DU17">
        <v>1.8673299999999999</v>
      </c>
      <c r="DV17">
        <v>1.86385</v>
      </c>
      <c r="DW17">
        <v>1.8694999999999999</v>
      </c>
      <c r="DX17">
        <v>1.86737</v>
      </c>
      <c r="DY17">
        <v>1.8721000000000001</v>
      </c>
      <c r="DZ17">
        <v>1.8645499999999999</v>
      </c>
      <c r="EA17">
        <v>1.8660699999999999</v>
      </c>
      <c r="EB17">
        <v>1.8660000000000001</v>
      </c>
      <c r="EC17" t="s">
        <v>274</v>
      </c>
      <c r="ED17" t="s">
        <v>19</v>
      </c>
      <c r="EE17" t="s">
        <v>19</v>
      </c>
      <c r="EF17" t="s">
        <v>19</v>
      </c>
      <c r="EG17" t="s">
        <v>275</v>
      </c>
      <c r="EH17" t="s">
        <v>276</v>
      </c>
      <c r="EI17" t="s">
        <v>277</v>
      </c>
      <c r="EJ17" t="s">
        <v>277</v>
      </c>
      <c r="EK17" t="s">
        <v>277</v>
      </c>
      <c r="EL17" t="s">
        <v>277</v>
      </c>
      <c r="EM17">
        <v>0</v>
      </c>
      <c r="EN17">
        <v>100</v>
      </c>
      <c r="EO17">
        <v>100</v>
      </c>
      <c r="EP17">
        <v>-0.35599999999999998</v>
      </c>
      <c r="EQ17">
        <v>7.0999999999999994E-2</v>
      </c>
      <c r="ER17">
        <v>2</v>
      </c>
      <c r="ES17">
        <v>506.916</v>
      </c>
      <c r="ET17">
        <v>481.19799999999998</v>
      </c>
      <c r="EU17">
        <v>18.604900000000001</v>
      </c>
      <c r="EV17">
        <v>31.966000000000001</v>
      </c>
      <c r="EW17">
        <v>30.000499999999999</v>
      </c>
      <c r="EX17">
        <v>31.907399999999999</v>
      </c>
      <c r="EY17">
        <v>31.883099999999999</v>
      </c>
      <c r="EZ17">
        <v>21.901599999999998</v>
      </c>
      <c r="FA17">
        <v>50.845599999999997</v>
      </c>
      <c r="FB17">
        <v>0</v>
      </c>
      <c r="FC17">
        <v>18.697500000000002</v>
      </c>
      <c r="FD17">
        <v>400</v>
      </c>
      <c r="FE17">
        <v>15.1275</v>
      </c>
      <c r="FF17">
        <v>101.021</v>
      </c>
      <c r="FG17">
        <v>101.51900000000001</v>
      </c>
    </row>
    <row r="18" spans="1:163" x14ac:dyDescent="0.35">
      <c r="A18">
        <v>2</v>
      </c>
      <c r="B18">
        <v>1567881063.5999999</v>
      </c>
      <c r="C18">
        <v>120.5</v>
      </c>
      <c r="D18" t="s">
        <v>278</v>
      </c>
      <c r="E18" t="s">
        <v>279</v>
      </c>
      <c r="G18">
        <v>1567881063.5999999</v>
      </c>
      <c r="H18">
        <f t="shared" si="0"/>
        <v>2.0707351331675961E-3</v>
      </c>
      <c r="I18">
        <f t="shared" si="1"/>
        <v>9.100856562639466</v>
      </c>
      <c r="J18">
        <f t="shared" si="2"/>
        <v>288.375</v>
      </c>
      <c r="K18">
        <f t="shared" si="3"/>
        <v>148.53292708559439</v>
      </c>
      <c r="L18">
        <f t="shared" si="4"/>
        <v>14.759343255650966</v>
      </c>
      <c r="M18">
        <f t="shared" si="5"/>
        <v>28.655098198499996</v>
      </c>
      <c r="N18">
        <f t="shared" si="6"/>
        <v>0.11188170941264065</v>
      </c>
      <c r="O18">
        <f t="shared" si="7"/>
        <v>2.2516267679288928</v>
      </c>
      <c r="P18">
        <f t="shared" si="8"/>
        <v>0.10888248598468347</v>
      </c>
      <c r="Q18">
        <f t="shared" si="9"/>
        <v>6.831432530161774E-2</v>
      </c>
      <c r="R18">
        <f t="shared" si="10"/>
        <v>281.56843717546656</v>
      </c>
      <c r="S18">
        <f t="shared" si="11"/>
        <v>25.883948836772849</v>
      </c>
      <c r="T18">
        <f t="shared" si="12"/>
        <v>26.8565</v>
      </c>
      <c r="U18">
        <f t="shared" si="13"/>
        <v>3.5491048765154338</v>
      </c>
      <c r="V18">
        <f t="shared" si="14"/>
        <v>55.551695480557328</v>
      </c>
      <c r="W18">
        <f t="shared" si="15"/>
        <v>1.7093293965164</v>
      </c>
      <c r="X18">
        <f t="shared" si="16"/>
        <v>3.0770067083094745</v>
      </c>
      <c r="Y18">
        <f t="shared" si="17"/>
        <v>1.8397754799990338</v>
      </c>
      <c r="Z18">
        <f t="shared" si="18"/>
        <v>-91.319419372690987</v>
      </c>
      <c r="AA18">
        <f t="shared" si="19"/>
        <v>-292.05148479384206</v>
      </c>
      <c r="AB18">
        <f t="shared" si="20"/>
        <v>-27.617496878586639</v>
      </c>
      <c r="AC18">
        <f t="shared" si="21"/>
        <v>-129.41996386965315</v>
      </c>
      <c r="AD18">
        <v>-4.1227556586033699E-2</v>
      </c>
      <c r="AE18">
        <v>4.6281544000146099E-2</v>
      </c>
      <c r="AF18">
        <v>3.45812954102523</v>
      </c>
      <c r="AG18">
        <v>0</v>
      </c>
      <c r="AH18">
        <v>0</v>
      </c>
      <c r="AI18">
        <f t="shared" si="22"/>
        <v>1</v>
      </c>
      <c r="AJ18">
        <f t="shared" si="23"/>
        <v>0</v>
      </c>
      <c r="AK18">
        <f t="shared" si="24"/>
        <v>53018.86695468449</v>
      </c>
      <c r="AL18" t="s">
        <v>268</v>
      </c>
      <c r="AM18">
        <v>631.89076923076902</v>
      </c>
      <c r="AN18">
        <v>3514.37</v>
      </c>
      <c r="AO18">
        <f t="shared" si="25"/>
        <v>2882.479230769231</v>
      </c>
      <c r="AP18">
        <f t="shared" si="26"/>
        <v>0.82019799587670938</v>
      </c>
      <c r="AQ18">
        <v>-1.4218795309761501</v>
      </c>
      <c r="AR18" t="s">
        <v>280</v>
      </c>
      <c r="AS18">
        <v>937.47053846153801</v>
      </c>
      <c r="AT18">
        <v>1134.73</v>
      </c>
      <c r="AU18">
        <f t="shared" si="27"/>
        <v>0.17383823600192294</v>
      </c>
      <c r="AV18">
        <v>0.5</v>
      </c>
      <c r="AW18">
        <f t="shared" si="28"/>
        <v>1471.2801000963548</v>
      </c>
      <c r="AX18">
        <f t="shared" si="29"/>
        <v>9.100856562639466</v>
      </c>
      <c r="AY18">
        <f t="shared" si="30"/>
        <v>127.88236863274146</v>
      </c>
      <c r="AZ18">
        <f t="shared" si="31"/>
        <v>0.47994677147867776</v>
      </c>
      <c r="BA18">
        <f t="shared" si="32"/>
        <v>7.1520957110250303E-3</v>
      </c>
      <c r="BB18">
        <f t="shared" si="33"/>
        <v>2.0970979880676457</v>
      </c>
      <c r="BC18" t="s">
        <v>281</v>
      </c>
      <c r="BD18">
        <v>590.12</v>
      </c>
      <c r="BE18">
        <f t="shared" si="34"/>
        <v>544.61</v>
      </c>
      <c r="BF18">
        <f t="shared" si="35"/>
        <v>0.36220315737585063</v>
      </c>
      <c r="BG18">
        <f t="shared" si="36"/>
        <v>0.8137607933658203</v>
      </c>
      <c r="BH18">
        <f t="shared" si="37"/>
        <v>0.39229131195014233</v>
      </c>
      <c r="BI18">
        <f t="shared" si="38"/>
        <v>0.82555321634180823</v>
      </c>
      <c r="BJ18">
        <f t="shared" si="39"/>
        <v>1750.09</v>
      </c>
      <c r="BK18">
        <f t="shared" si="40"/>
        <v>1471.2801000963548</v>
      </c>
      <c r="BL18">
        <f t="shared" si="41"/>
        <v>0.84068825037361217</v>
      </c>
      <c r="BM18">
        <f t="shared" si="42"/>
        <v>0.19137650074722448</v>
      </c>
      <c r="BN18">
        <v>6</v>
      </c>
      <c r="BO18">
        <v>0.5</v>
      </c>
      <c r="BP18" t="s">
        <v>271</v>
      </c>
      <c r="BQ18">
        <v>1567881063.5999999</v>
      </c>
      <c r="BR18">
        <v>288.375</v>
      </c>
      <c r="BS18">
        <v>300.01100000000002</v>
      </c>
      <c r="BT18">
        <v>17.202100000000002</v>
      </c>
      <c r="BU18">
        <v>14.760300000000001</v>
      </c>
      <c r="BV18">
        <v>500.06900000000002</v>
      </c>
      <c r="BW18">
        <v>99.267399999999995</v>
      </c>
      <c r="BX18">
        <v>0.10008400000000001</v>
      </c>
      <c r="BY18">
        <v>24.450600000000001</v>
      </c>
      <c r="BZ18">
        <v>26.8565</v>
      </c>
      <c r="CA18">
        <v>999.9</v>
      </c>
      <c r="CB18">
        <v>10015.6</v>
      </c>
      <c r="CC18">
        <v>0</v>
      </c>
      <c r="CD18">
        <v>531.38499999999999</v>
      </c>
      <c r="CE18">
        <v>1750.09</v>
      </c>
      <c r="CF18">
        <v>0.97699199999999997</v>
      </c>
      <c r="CG18">
        <v>2.30081E-2</v>
      </c>
      <c r="CH18">
        <v>0</v>
      </c>
      <c r="CI18">
        <v>936.90200000000004</v>
      </c>
      <c r="CJ18">
        <v>4.99986</v>
      </c>
      <c r="CK18">
        <v>17457.900000000001</v>
      </c>
      <c r="CL18">
        <v>14221.4</v>
      </c>
      <c r="CM18">
        <v>44.936999999999998</v>
      </c>
      <c r="CN18">
        <v>47.061999999999998</v>
      </c>
      <c r="CO18">
        <v>46</v>
      </c>
      <c r="CP18">
        <v>45.875</v>
      </c>
      <c r="CQ18">
        <v>46.561999999999998</v>
      </c>
      <c r="CR18">
        <v>1704.94</v>
      </c>
      <c r="CS18">
        <v>40.15</v>
      </c>
      <c r="CT18">
        <v>0</v>
      </c>
      <c r="CU18">
        <v>119.799999952316</v>
      </c>
      <c r="CV18">
        <v>937.47053846153801</v>
      </c>
      <c r="CW18">
        <v>-6.1569230651906901</v>
      </c>
      <c r="CX18">
        <v>-185.68547021249199</v>
      </c>
      <c r="CY18">
        <v>17476.650000000001</v>
      </c>
      <c r="CZ18">
        <v>15</v>
      </c>
      <c r="DA18">
        <v>1567881027.5999999</v>
      </c>
      <c r="DB18" t="s">
        <v>282</v>
      </c>
      <c r="DC18">
        <v>79</v>
      </c>
      <c r="DD18">
        <v>-0.38100000000000001</v>
      </c>
      <c r="DE18">
        <v>8.8999999999999996E-2</v>
      </c>
      <c r="DF18">
        <v>300</v>
      </c>
      <c r="DG18">
        <v>15</v>
      </c>
      <c r="DH18">
        <v>0.18</v>
      </c>
      <c r="DI18">
        <v>0.17</v>
      </c>
      <c r="DJ18">
        <v>7.3619157791330201</v>
      </c>
      <c r="DK18">
        <v>12.4655627248153</v>
      </c>
      <c r="DL18">
        <v>3.3411543688949501</v>
      </c>
      <c r="DM18">
        <v>0</v>
      </c>
      <c r="DN18">
        <v>8.74697965867023E-2</v>
      </c>
      <c r="DO18">
        <v>0.16412532743276401</v>
      </c>
      <c r="DP18">
        <v>4.0507673820903103E-2</v>
      </c>
      <c r="DQ18">
        <v>1</v>
      </c>
      <c r="DR18">
        <v>1</v>
      </c>
      <c r="DS18">
        <v>2</v>
      </c>
      <c r="DT18" t="s">
        <v>283</v>
      </c>
      <c r="DU18">
        <v>1.86737</v>
      </c>
      <c r="DV18">
        <v>1.8638300000000001</v>
      </c>
      <c r="DW18">
        <v>1.86951</v>
      </c>
      <c r="DX18">
        <v>1.86741</v>
      </c>
      <c r="DY18">
        <v>1.8721000000000001</v>
      </c>
      <c r="DZ18">
        <v>1.8645799999999999</v>
      </c>
      <c r="EA18">
        <v>1.8661000000000001</v>
      </c>
      <c r="EB18">
        <v>1.8660000000000001</v>
      </c>
      <c r="EC18" t="s">
        <v>274</v>
      </c>
      <c r="ED18" t="s">
        <v>19</v>
      </c>
      <c r="EE18" t="s">
        <v>19</v>
      </c>
      <c r="EF18" t="s">
        <v>19</v>
      </c>
      <c r="EG18" t="s">
        <v>275</v>
      </c>
      <c r="EH18" t="s">
        <v>276</v>
      </c>
      <c r="EI18" t="s">
        <v>277</v>
      </c>
      <c r="EJ18" t="s">
        <v>277</v>
      </c>
      <c r="EK18" t="s">
        <v>277</v>
      </c>
      <c r="EL18" t="s">
        <v>277</v>
      </c>
      <c r="EM18">
        <v>0</v>
      </c>
      <c r="EN18">
        <v>100</v>
      </c>
      <c r="EO18">
        <v>100</v>
      </c>
      <c r="EP18">
        <v>-0.38100000000000001</v>
      </c>
      <c r="EQ18">
        <v>8.8999999999999996E-2</v>
      </c>
      <c r="ER18">
        <v>2</v>
      </c>
      <c r="ES18">
        <v>508.00099999999998</v>
      </c>
      <c r="ET18">
        <v>481.79899999999998</v>
      </c>
      <c r="EU18">
        <v>18.751799999999999</v>
      </c>
      <c r="EV18">
        <v>31.709800000000001</v>
      </c>
      <c r="EW18">
        <v>29.998699999999999</v>
      </c>
      <c r="EX18">
        <v>31.740200000000002</v>
      </c>
      <c r="EY18">
        <v>31.7334</v>
      </c>
      <c r="EZ18">
        <v>17.440200000000001</v>
      </c>
      <c r="FA18">
        <v>51.882300000000001</v>
      </c>
      <c r="FB18">
        <v>0</v>
      </c>
      <c r="FC18">
        <v>18.845199999999998</v>
      </c>
      <c r="FD18">
        <v>300</v>
      </c>
      <c r="FE18">
        <v>14.6898</v>
      </c>
      <c r="FF18">
        <v>101.071</v>
      </c>
      <c r="FG18">
        <v>101.58499999999999</v>
      </c>
    </row>
    <row r="19" spans="1:163" x14ac:dyDescent="0.35">
      <c r="A19">
        <v>3</v>
      </c>
      <c r="B19">
        <v>1567881176.0999999</v>
      </c>
      <c r="C19">
        <v>233</v>
      </c>
      <c r="D19" t="s">
        <v>284</v>
      </c>
      <c r="E19" t="s">
        <v>285</v>
      </c>
      <c r="G19">
        <v>1567881176.0999999</v>
      </c>
      <c r="H19">
        <f t="shared" si="0"/>
        <v>2.0217106500450004E-3</v>
      </c>
      <c r="I19">
        <f t="shared" si="1"/>
        <v>5.7649569653800263</v>
      </c>
      <c r="J19">
        <f t="shared" si="2"/>
        <v>192.602</v>
      </c>
      <c r="K19">
        <f t="shared" si="3"/>
        <v>100.6987694053412</v>
      </c>
      <c r="L19">
        <f t="shared" si="4"/>
        <v>10.005581984654041</v>
      </c>
      <c r="M19">
        <f t="shared" si="5"/>
        <v>19.137225934223999</v>
      </c>
      <c r="N19">
        <f t="shared" si="6"/>
        <v>0.10792782373383115</v>
      </c>
      <c r="O19">
        <f t="shared" si="7"/>
        <v>2.2529716944623814</v>
      </c>
      <c r="P19">
        <f t="shared" si="8"/>
        <v>0.10513560977296411</v>
      </c>
      <c r="Q19">
        <f t="shared" si="9"/>
        <v>6.5954608676388457E-2</v>
      </c>
      <c r="R19">
        <f t="shared" si="10"/>
        <v>281.53163990671663</v>
      </c>
      <c r="S19">
        <f t="shared" si="11"/>
        <v>26.231852857532179</v>
      </c>
      <c r="T19">
        <f t="shared" si="12"/>
        <v>27.034300000000002</v>
      </c>
      <c r="U19">
        <f t="shared" si="13"/>
        <v>3.5863763384147123</v>
      </c>
      <c r="V19">
        <f t="shared" si="14"/>
        <v>55.012317542125501</v>
      </c>
      <c r="W19">
        <f t="shared" si="15"/>
        <v>1.7267838447455999</v>
      </c>
      <c r="X19">
        <f t="shared" si="16"/>
        <v>3.1389040162202235</v>
      </c>
      <c r="Y19">
        <f t="shared" si="17"/>
        <v>1.8595924936691124</v>
      </c>
      <c r="Z19">
        <f t="shared" si="18"/>
        <v>-89.157439666984516</v>
      </c>
      <c r="AA19">
        <f t="shared" si="19"/>
        <v>-273.36284980767118</v>
      </c>
      <c r="AB19">
        <f t="shared" si="20"/>
        <v>-25.901093268014513</v>
      </c>
      <c r="AC19">
        <f t="shared" si="21"/>
        <v>-106.88974283595357</v>
      </c>
      <c r="AD19">
        <v>-4.1263797450230399E-2</v>
      </c>
      <c r="AE19">
        <v>4.6322227545081002E-2</v>
      </c>
      <c r="AF19">
        <v>3.4605350374001902</v>
      </c>
      <c r="AG19">
        <v>0</v>
      </c>
      <c r="AH19">
        <v>0</v>
      </c>
      <c r="AI19">
        <f t="shared" si="22"/>
        <v>1</v>
      </c>
      <c r="AJ19">
        <f t="shared" si="23"/>
        <v>0</v>
      </c>
      <c r="AK19">
        <f t="shared" si="24"/>
        <v>53004.057399003694</v>
      </c>
      <c r="AL19" t="s">
        <v>268</v>
      </c>
      <c r="AM19">
        <v>631.89076923076902</v>
      </c>
      <c r="AN19">
        <v>3514.37</v>
      </c>
      <c r="AO19">
        <f t="shared" si="25"/>
        <v>2882.479230769231</v>
      </c>
      <c r="AP19">
        <f t="shared" si="26"/>
        <v>0.82019799587670938</v>
      </c>
      <c r="AQ19">
        <v>-1.4218795309761501</v>
      </c>
      <c r="AR19" t="s">
        <v>286</v>
      </c>
      <c r="AS19">
        <v>932.961461538462</v>
      </c>
      <c r="AT19">
        <v>1105.28</v>
      </c>
      <c r="AU19">
        <f t="shared" si="27"/>
        <v>0.15590487339093984</v>
      </c>
      <c r="AV19">
        <v>0.5</v>
      </c>
      <c r="AW19">
        <f t="shared" si="28"/>
        <v>1471.0944000962952</v>
      </c>
      <c r="AX19">
        <f t="shared" si="29"/>
        <v>5.7649569653800263</v>
      </c>
      <c r="AY19">
        <f t="shared" si="30"/>
        <v>114.67539309656675</v>
      </c>
      <c r="AZ19">
        <f t="shared" si="31"/>
        <v>0.46341198610306883</v>
      </c>
      <c r="BA19">
        <f t="shared" si="32"/>
        <v>4.8853673128561557E-3</v>
      </c>
      <c r="BB19">
        <f t="shared" si="33"/>
        <v>2.179619643891141</v>
      </c>
      <c r="BC19" t="s">
        <v>287</v>
      </c>
      <c r="BD19">
        <v>593.08000000000004</v>
      </c>
      <c r="BE19">
        <f t="shared" si="34"/>
        <v>512.19999999999993</v>
      </c>
      <c r="BF19">
        <f t="shared" si="35"/>
        <v>0.33642822815606793</v>
      </c>
      <c r="BG19">
        <f t="shared" si="36"/>
        <v>0.82466650007359765</v>
      </c>
      <c r="BH19">
        <f t="shared" si="37"/>
        <v>0.36401026314335461</v>
      </c>
      <c r="BI19">
        <f t="shared" si="38"/>
        <v>0.83577011562962755</v>
      </c>
      <c r="BJ19">
        <f t="shared" si="39"/>
        <v>1749.87</v>
      </c>
      <c r="BK19">
        <f t="shared" si="40"/>
        <v>1471.0944000962952</v>
      </c>
      <c r="BL19">
        <f t="shared" si="41"/>
        <v>0.84068782257898889</v>
      </c>
      <c r="BM19">
        <f t="shared" si="42"/>
        <v>0.19137564515797767</v>
      </c>
      <c r="BN19">
        <v>6</v>
      </c>
      <c r="BO19">
        <v>0.5</v>
      </c>
      <c r="BP19" t="s">
        <v>271</v>
      </c>
      <c r="BQ19">
        <v>1567881176.0999999</v>
      </c>
      <c r="BR19">
        <v>192.602</v>
      </c>
      <c r="BS19">
        <v>199.98599999999999</v>
      </c>
      <c r="BT19">
        <v>17.378799999999998</v>
      </c>
      <c r="BU19">
        <v>14.9953</v>
      </c>
      <c r="BV19">
        <v>500.08199999999999</v>
      </c>
      <c r="BW19">
        <v>99.261499999999998</v>
      </c>
      <c r="BX19">
        <v>0.100012</v>
      </c>
      <c r="BY19">
        <v>24.7837</v>
      </c>
      <c r="BZ19">
        <v>27.034300000000002</v>
      </c>
      <c r="CA19">
        <v>999.9</v>
      </c>
      <c r="CB19">
        <v>10025</v>
      </c>
      <c r="CC19">
        <v>0</v>
      </c>
      <c r="CD19">
        <v>1095.49</v>
      </c>
      <c r="CE19">
        <v>1749.87</v>
      </c>
      <c r="CF19">
        <v>0.97700699999999996</v>
      </c>
      <c r="CG19">
        <v>2.2993199999999998E-2</v>
      </c>
      <c r="CH19">
        <v>0</v>
      </c>
      <c r="CI19">
        <v>932.13499999999999</v>
      </c>
      <c r="CJ19">
        <v>4.99986</v>
      </c>
      <c r="CK19">
        <v>17704.8</v>
      </c>
      <c r="CL19">
        <v>14219.7</v>
      </c>
      <c r="CM19">
        <v>44.686999999999998</v>
      </c>
      <c r="CN19">
        <v>46.625</v>
      </c>
      <c r="CO19">
        <v>45.686999999999998</v>
      </c>
      <c r="CP19">
        <v>45.436999999999998</v>
      </c>
      <c r="CQ19">
        <v>46.25</v>
      </c>
      <c r="CR19">
        <v>1704.75</v>
      </c>
      <c r="CS19">
        <v>40.119999999999997</v>
      </c>
      <c r="CT19">
        <v>0</v>
      </c>
      <c r="CU19">
        <v>112.19999980926499</v>
      </c>
      <c r="CV19">
        <v>932.961461538462</v>
      </c>
      <c r="CW19">
        <v>-3.2972307726483501</v>
      </c>
      <c r="CX19">
        <v>3159.0632532510799</v>
      </c>
      <c r="CY19">
        <v>18150.023076923098</v>
      </c>
      <c r="CZ19">
        <v>15</v>
      </c>
      <c r="DA19">
        <v>1567881130.0999999</v>
      </c>
      <c r="DB19" t="s">
        <v>288</v>
      </c>
      <c r="DC19">
        <v>80</v>
      </c>
      <c r="DD19">
        <v>-0.36199999999999999</v>
      </c>
      <c r="DE19">
        <v>8.4000000000000005E-2</v>
      </c>
      <c r="DF19">
        <v>200</v>
      </c>
      <c r="DG19">
        <v>15</v>
      </c>
      <c r="DH19">
        <v>0.28999999999999998</v>
      </c>
      <c r="DI19">
        <v>0.06</v>
      </c>
      <c r="DJ19">
        <v>5.7206043025712896</v>
      </c>
      <c r="DK19">
        <v>0.17079242768448899</v>
      </c>
      <c r="DL19">
        <v>4.9875331102338299E-2</v>
      </c>
      <c r="DM19">
        <v>1</v>
      </c>
      <c r="DN19">
        <v>0.10420459511246701</v>
      </c>
      <c r="DO19">
        <v>4.3402434305693204E-3</v>
      </c>
      <c r="DP19">
        <v>1.6064371662615701E-3</v>
      </c>
      <c r="DQ19">
        <v>1</v>
      </c>
      <c r="DR19">
        <v>2</v>
      </c>
      <c r="DS19">
        <v>2</v>
      </c>
      <c r="DT19" t="s">
        <v>273</v>
      </c>
      <c r="DU19">
        <v>1.8673500000000001</v>
      </c>
      <c r="DV19">
        <v>1.86381</v>
      </c>
      <c r="DW19">
        <v>1.86951</v>
      </c>
      <c r="DX19">
        <v>1.8673900000000001</v>
      </c>
      <c r="DY19">
        <v>1.8721000000000001</v>
      </c>
      <c r="DZ19">
        <v>1.8645499999999999</v>
      </c>
      <c r="EA19">
        <v>1.86608</v>
      </c>
      <c r="EB19">
        <v>1.8660099999999999</v>
      </c>
      <c r="EC19" t="s">
        <v>274</v>
      </c>
      <c r="ED19" t="s">
        <v>19</v>
      </c>
      <c r="EE19" t="s">
        <v>19</v>
      </c>
      <c r="EF19" t="s">
        <v>19</v>
      </c>
      <c r="EG19" t="s">
        <v>275</v>
      </c>
      <c r="EH19" t="s">
        <v>276</v>
      </c>
      <c r="EI19" t="s">
        <v>277</v>
      </c>
      <c r="EJ19" t="s">
        <v>277</v>
      </c>
      <c r="EK19" t="s">
        <v>277</v>
      </c>
      <c r="EL19" t="s">
        <v>277</v>
      </c>
      <c r="EM19">
        <v>0</v>
      </c>
      <c r="EN19">
        <v>100</v>
      </c>
      <c r="EO19">
        <v>100</v>
      </c>
      <c r="EP19">
        <v>-0.36199999999999999</v>
      </c>
      <c r="EQ19">
        <v>8.4000000000000005E-2</v>
      </c>
      <c r="ER19">
        <v>2</v>
      </c>
      <c r="ES19">
        <v>508.262</v>
      </c>
      <c r="ET19">
        <v>483.25400000000002</v>
      </c>
      <c r="EU19">
        <v>19.3202</v>
      </c>
      <c r="EV19">
        <v>31.354500000000002</v>
      </c>
      <c r="EW19">
        <v>29.9986</v>
      </c>
      <c r="EX19">
        <v>31.4893</v>
      </c>
      <c r="EY19">
        <v>31.494199999999999</v>
      </c>
      <c r="EZ19">
        <v>12.8264</v>
      </c>
      <c r="FA19">
        <v>50.153300000000002</v>
      </c>
      <c r="FB19">
        <v>0</v>
      </c>
      <c r="FC19">
        <v>19.307600000000001</v>
      </c>
      <c r="FD19">
        <v>200</v>
      </c>
      <c r="FE19">
        <v>15.0296</v>
      </c>
      <c r="FF19">
        <v>101.12</v>
      </c>
      <c r="FG19">
        <v>101.649</v>
      </c>
    </row>
    <row r="20" spans="1:163" x14ac:dyDescent="0.35">
      <c r="A20">
        <v>4</v>
      </c>
      <c r="B20">
        <v>1567881291.5999999</v>
      </c>
      <c r="C20">
        <v>348.5</v>
      </c>
      <c r="D20" t="s">
        <v>289</v>
      </c>
      <c r="E20" t="s">
        <v>290</v>
      </c>
      <c r="G20">
        <v>1567881291.5999999</v>
      </c>
      <c r="H20">
        <f t="shared" si="0"/>
        <v>2.3607542382032727E-3</v>
      </c>
      <c r="I20">
        <f t="shared" si="1"/>
        <v>2.1875034857280951</v>
      </c>
      <c r="J20">
        <f t="shared" si="2"/>
        <v>97.086399999999998</v>
      </c>
      <c r="K20">
        <f t="shared" si="3"/>
        <v>66.506696438458292</v>
      </c>
      <c r="L20">
        <f t="shared" si="4"/>
        <v>6.6081550386274559</v>
      </c>
      <c r="M20">
        <f t="shared" si="5"/>
        <v>9.6465772275407993</v>
      </c>
      <c r="N20">
        <f t="shared" si="6"/>
        <v>0.12792801859472669</v>
      </c>
      <c r="O20">
        <f t="shared" si="7"/>
        <v>2.2449291642940041</v>
      </c>
      <c r="P20">
        <f t="shared" si="8"/>
        <v>0.12401169050924925</v>
      </c>
      <c r="Q20">
        <f t="shared" si="9"/>
        <v>7.784918610528932E-2</v>
      </c>
      <c r="R20">
        <f t="shared" si="10"/>
        <v>281.55877174586072</v>
      </c>
      <c r="S20">
        <f t="shared" si="11"/>
        <v>26.126374293911653</v>
      </c>
      <c r="T20">
        <f t="shared" si="12"/>
        <v>26.987100000000002</v>
      </c>
      <c r="U20">
        <f t="shared" si="13"/>
        <v>3.5764488428271788</v>
      </c>
      <c r="V20">
        <f t="shared" si="14"/>
        <v>55.282517317850441</v>
      </c>
      <c r="W20">
        <f t="shared" si="15"/>
        <v>1.7355242317743</v>
      </c>
      <c r="X20">
        <f t="shared" si="16"/>
        <v>3.1393726551846219</v>
      </c>
      <c r="Y20">
        <f t="shared" si="17"/>
        <v>1.8409246110528787</v>
      </c>
      <c r="Z20">
        <f t="shared" si="18"/>
        <v>-104.10926190476432</v>
      </c>
      <c r="AA20">
        <f t="shared" si="19"/>
        <v>-266.37189219091533</v>
      </c>
      <c r="AB20">
        <f t="shared" si="20"/>
        <v>-25.323422502296705</v>
      </c>
      <c r="AC20">
        <f t="shared" si="21"/>
        <v>-114.24580485211561</v>
      </c>
      <c r="AD20">
        <v>-4.1047371925603503E-2</v>
      </c>
      <c r="AE20">
        <v>4.6079270933769997E-2</v>
      </c>
      <c r="AF20">
        <v>3.44615892801311</v>
      </c>
      <c r="AG20">
        <v>0</v>
      </c>
      <c r="AH20">
        <v>0</v>
      </c>
      <c r="AI20">
        <f t="shared" si="22"/>
        <v>1</v>
      </c>
      <c r="AJ20">
        <f t="shared" si="23"/>
        <v>0</v>
      </c>
      <c r="AK20">
        <f t="shared" si="24"/>
        <v>52736.920469652927</v>
      </c>
      <c r="AL20" t="s">
        <v>268</v>
      </c>
      <c r="AM20">
        <v>631.89076923076902</v>
      </c>
      <c r="AN20">
        <v>3514.37</v>
      </c>
      <c r="AO20">
        <f t="shared" si="25"/>
        <v>2882.479230769231</v>
      </c>
      <c r="AP20">
        <f t="shared" si="26"/>
        <v>0.82019799587670938</v>
      </c>
      <c r="AQ20">
        <v>-1.4218795309761501</v>
      </c>
      <c r="AR20" t="s">
        <v>291</v>
      </c>
      <c r="AS20">
        <v>934.74926923076896</v>
      </c>
      <c r="AT20">
        <v>1085.5899999999999</v>
      </c>
      <c r="AU20">
        <f t="shared" si="27"/>
        <v>0.13894815793184445</v>
      </c>
      <c r="AV20">
        <v>0.5</v>
      </c>
      <c r="AW20">
        <f t="shared" si="28"/>
        <v>1471.2372000962857</v>
      </c>
      <c r="AX20">
        <f t="shared" si="29"/>
        <v>2.1875034857280951</v>
      </c>
      <c r="AY20">
        <f t="shared" si="30"/>
        <v>102.21284941709168</v>
      </c>
      <c r="AZ20">
        <f t="shared" si="31"/>
        <v>0.45255575309278823</v>
      </c>
      <c r="BA20">
        <f t="shared" si="32"/>
        <v>2.4532978206831826E-3</v>
      </c>
      <c r="BB20">
        <f t="shared" si="33"/>
        <v>2.2372903213920541</v>
      </c>
      <c r="BC20" t="s">
        <v>292</v>
      </c>
      <c r="BD20">
        <v>594.29999999999995</v>
      </c>
      <c r="BE20">
        <f t="shared" si="34"/>
        <v>491.28999999999996</v>
      </c>
      <c r="BF20">
        <f t="shared" si="35"/>
        <v>0.30702992279352515</v>
      </c>
      <c r="BG20">
        <f t="shared" si="36"/>
        <v>0.83175403329372244</v>
      </c>
      <c r="BH20">
        <f t="shared" si="37"/>
        <v>0.33246856185646573</v>
      </c>
      <c r="BI20">
        <f t="shared" si="38"/>
        <v>0.84260104082409815</v>
      </c>
      <c r="BJ20">
        <f t="shared" si="39"/>
        <v>1750.04</v>
      </c>
      <c r="BK20">
        <f t="shared" si="40"/>
        <v>1471.2372000962857</v>
      </c>
      <c r="BL20">
        <f t="shared" si="41"/>
        <v>0.84068775576346011</v>
      </c>
      <c r="BM20">
        <f t="shared" si="42"/>
        <v>0.19137551152692034</v>
      </c>
      <c r="BN20">
        <v>6</v>
      </c>
      <c r="BO20">
        <v>0.5</v>
      </c>
      <c r="BP20" t="s">
        <v>271</v>
      </c>
      <c r="BQ20">
        <v>1567881291.5999999</v>
      </c>
      <c r="BR20">
        <v>97.086399999999998</v>
      </c>
      <c r="BS20">
        <v>99.986000000000004</v>
      </c>
      <c r="BT20">
        <v>17.466899999999999</v>
      </c>
      <c r="BU20">
        <v>14.6839</v>
      </c>
      <c r="BV20">
        <v>500.07600000000002</v>
      </c>
      <c r="BW20">
        <v>99.2607</v>
      </c>
      <c r="BX20">
        <v>0.100047</v>
      </c>
      <c r="BY20">
        <v>24.786200000000001</v>
      </c>
      <c r="BZ20">
        <v>26.987100000000002</v>
      </c>
      <c r="CA20">
        <v>999.9</v>
      </c>
      <c r="CB20">
        <v>9972.5</v>
      </c>
      <c r="CC20">
        <v>0</v>
      </c>
      <c r="CD20">
        <v>1322.15</v>
      </c>
      <c r="CE20">
        <v>1750.04</v>
      </c>
      <c r="CF20">
        <v>0.97700699999999996</v>
      </c>
      <c r="CG20">
        <v>2.2993199999999998E-2</v>
      </c>
      <c r="CH20">
        <v>0</v>
      </c>
      <c r="CI20">
        <v>934.43200000000002</v>
      </c>
      <c r="CJ20">
        <v>4.99986</v>
      </c>
      <c r="CK20">
        <v>19068.5</v>
      </c>
      <c r="CL20">
        <v>14221.1</v>
      </c>
      <c r="CM20">
        <v>44.5</v>
      </c>
      <c r="CN20">
        <v>46.375</v>
      </c>
      <c r="CO20">
        <v>45.436999999999998</v>
      </c>
      <c r="CP20">
        <v>45.25</v>
      </c>
      <c r="CQ20">
        <v>46.061999999999998</v>
      </c>
      <c r="CR20">
        <v>1704.92</v>
      </c>
      <c r="CS20">
        <v>40.119999999999997</v>
      </c>
      <c r="CT20">
        <v>0</v>
      </c>
      <c r="CU20">
        <v>115.09999990463299</v>
      </c>
      <c r="CV20">
        <v>934.74926923076896</v>
      </c>
      <c r="CW20">
        <v>-3.4394188137009101</v>
      </c>
      <c r="CX20">
        <v>6576.9333224843804</v>
      </c>
      <c r="CY20">
        <v>18217.019230769201</v>
      </c>
      <c r="CZ20">
        <v>15</v>
      </c>
      <c r="DA20">
        <v>1567881246.5999999</v>
      </c>
      <c r="DB20" t="s">
        <v>293</v>
      </c>
      <c r="DC20">
        <v>81</v>
      </c>
      <c r="DD20">
        <v>-0.31900000000000001</v>
      </c>
      <c r="DE20">
        <v>0.09</v>
      </c>
      <c r="DF20">
        <v>100</v>
      </c>
      <c r="DG20">
        <v>15</v>
      </c>
      <c r="DH20">
        <v>0.14000000000000001</v>
      </c>
      <c r="DI20">
        <v>0.04</v>
      </c>
      <c r="DJ20">
        <v>2.1778388689058299</v>
      </c>
      <c r="DK20">
        <v>0.13572223011559501</v>
      </c>
      <c r="DL20">
        <v>5.6423380294164403E-2</v>
      </c>
      <c r="DM20">
        <v>1</v>
      </c>
      <c r="DN20">
        <v>0.12284107746575799</v>
      </c>
      <c r="DO20">
        <v>2.75094159450592E-2</v>
      </c>
      <c r="DP20">
        <v>6.0044679055671598E-3</v>
      </c>
      <c r="DQ20">
        <v>1</v>
      </c>
      <c r="DR20">
        <v>2</v>
      </c>
      <c r="DS20">
        <v>2</v>
      </c>
      <c r="DT20" t="s">
        <v>273</v>
      </c>
      <c r="DU20">
        <v>1.8673599999999999</v>
      </c>
      <c r="DV20">
        <v>1.86385</v>
      </c>
      <c r="DW20">
        <v>1.86951</v>
      </c>
      <c r="DX20">
        <v>1.86738</v>
      </c>
      <c r="DY20">
        <v>1.8721000000000001</v>
      </c>
      <c r="DZ20">
        <v>1.8645400000000001</v>
      </c>
      <c r="EA20">
        <v>1.8661099999999999</v>
      </c>
      <c r="EB20">
        <v>1.8660000000000001</v>
      </c>
      <c r="EC20" t="s">
        <v>274</v>
      </c>
      <c r="ED20" t="s">
        <v>19</v>
      </c>
      <c r="EE20" t="s">
        <v>19</v>
      </c>
      <c r="EF20" t="s">
        <v>19</v>
      </c>
      <c r="EG20" t="s">
        <v>275</v>
      </c>
      <c r="EH20" t="s">
        <v>276</v>
      </c>
      <c r="EI20" t="s">
        <v>277</v>
      </c>
      <c r="EJ20" t="s">
        <v>277</v>
      </c>
      <c r="EK20" t="s">
        <v>277</v>
      </c>
      <c r="EL20" t="s">
        <v>277</v>
      </c>
      <c r="EM20">
        <v>0</v>
      </c>
      <c r="EN20">
        <v>100</v>
      </c>
      <c r="EO20">
        <v>100</v>
      </c>
      <c r="EP20">
        <v>-0.31900000000000001</v>
      </c>
      <c r="EQ20">
        <v>0.09</v>
      </c>
      <c r="ER20">
        <v>2</v>
      </c>
      <c r="ES20">
        <v>508.44900000000001</v>
      </c>
      <c r="ET20">
        <v>483.642</v>
      </c>
      <c r="EU20">
        <v>19.604099999999999</v>
      </c>
      <c r="EV20">
        <v>31.060600000000001</v>
      </c>
      <c r="EW20">
        <v>29.999300000000002</v>
      </c>
      <c r="EX20">
        <v>31.2285</v>
      </c>
      <c r="EY20">
        <v>31.242899999999999</v>
      </c>
      <c r="EZ20">
        <v>8.0147399999999998</v>
      </c>
      <c r="FA20">
        <v>51.066699999999997</v>
      </c>
      <c r="FB20">
        <v>0</v>
      </c>
      <c r="FC20">
        <v>19.608499999999999</v>
      </c>
      <c r="FD20">
        <v>100</v>
      </c>
      <c r="FE20">
        <v>14.6206</v>
      </c>
      <c r="FF20">
        <v>101.16800000000001</v>
      </c>
      <c r="FG20">
        <v>101.70399999999999</v>
      </c>
    </row>
    <row r="21" spans="1:163" x14ac:dyDescent="0.35">
      <c r="A21">
        <v>5</v>
      </c>
      <c r="B21">
        <v>1567881398.5999999</v>
      </c>
      <c r="C21">
        <v>455.5</v>
      </c>
      <c r="D21" t="s">
        <v>294</v>
      </c>
      <c r="E21" t="s">
        <v>295</v>
      </c>
      <c r="G21">
        <v>1567881398.5999999</v>
      </c>
      <c r="H21">
        <f t="shared" si="0"/>
        <v>2.8233357751176235E-3</v>
      </c>
      <c r="I21">
        <f t="shared" si="1"/>
        <v>-1.2653102349960128</v>
      </c>
      <c r="J21">
        <f t="shared" si="2"/>
        <v>16.584599999999998</v>
      </c>
      <c r="K21">
        <f t="shared" si="3"/>
        <v>29.40743705172607</v>
      </c>
      <c r="L21">
        <f t="shared" si="4"/>
        <v>2.9217950819232015</v>
      </c>
      <c r="M21">
        <f t="shared" si="5"/>
        <v>1.6477737461591999</v>
      </c>
      <c r="N21">
        <f t="shared" si="6"/>
        <v>0.15467509632166848</v>
      </c>
      <c r="O21">
        <f t="shared" si="7"/>
        <v>2.245999396800801</v>
      </c>
      <c r="P21">
        <f t="shared" si="8"/>
        <v>0.14899169144540078</v>
      </c>
      <c r="Q21">
        <f t="shared" si="9"/>
        <v>9.3613039638922424E-2</v>
      </c>
      <c r="R21">
        <f t="shared" si="10"/>
        <v>281.5258177701233</v>
      </c>
      <c r="S21">
        <f t="shared" si="11"/>
        <v>26.059350369781779</v>
      </c>
      <c r="T21">
        <f t="shared" si="12"/>
        <v>27.0669</v>
      </c>
      <c r="U21">
        <f t="shared" si="13"/>
        <v>3.593247077327776</v>
      </c>
      <c r="V21">
        <f t="shared" si="14"/>
        <v>55.807666515936674</v>
      </c>
      <c r="W21">
        <f t="shared" si="15"/>
        <v>1.7612279651780003</v>
      </c>
      <c r="X21">
        <f t="shared" si="16"/>
        <v>3.1558889219549373</v>
      </c>
      <c r="Y21">
        <f t="shared" si="17"/>
        <v>1.8320191121497758</v>
      </c>
      <c r="Z21">
        <f t="shared" si="18"/>
        <v>-124.5091076826872</v>
      </c>
      <c r="AA21">
        <f t="shared" si="19"/>
        <v>-265.51808135645638</v>
      </c>
      <c r="AB21">
        <f t="shared" si="20"/>
        <v>-25.251461990939461</v>
      </c>
      <c r="AC21">
        <f t="shared" si="21"/>
        <v>-133.75283325995974</v>
      </c>
      <c r="AD21">
        <v>-4.1076131754228799E-2</v>
      </c>
      <c r="AE21">
        <v>4.61115563609013E-2</v>
      </c>
      <c r="AF21">
        <v>3.44807080178763</v>
      </c>
      <c r="AG21">
        <v>0</v>
      </c>
      <c r="AH21">
        <v>0</v>
      </c>
      <c r="AI21">
        <f t="shared" si="22"/>
        <v>1</v>
      </c>
      <c r="AJ21">
        <f t="shared" si="23"/>
        <v>0</v>
      </c>
      <c r="AK21">
        <f t="shared" si="24"/>
        <v>52756.69908412209</v>
      </c>
      <c r="AL21" t="s">
        <v>268</v>
      </c>
      <c r="AM21">
        <v>631.89076923076902</v>
      </c>
      <c r="AN21">
        <v>3514.37</v>
      </c>
      <c r="AO21">
        <f t="shared" si="25"/>
        <v>2882.479230769231</v>
      </c>
      <c r="AP21">
        <f t="shared" si="26"/>
        <v>0.82019799587670938</v>
      </c>
      <c r="AQ21">
        <v>-1.4218795309761501</v>
      </c>
      <c r="AR21" t="s">
        <v>296</v>
      </c>
      <c r="AS21">
        <v>938.93242307692299</v>
      </c>
      <c r="AT21">
        <v>1063.1600000000001</v>
      </c>
      <c r="AU21">
        <f t="shared" si="27"/>
        <v>0.11684748948707357</v>
      </c>
      <c r="AV21">
        <v>0.5</v>
      </c>
      <c r="AW21">
        <f t="shared" si="28"/>
        <v>1471.0611000963213</v>
      </c>
      <c r="AX21">
        <f t="shared" si="29"/>
        <v>-1.2653102349960128</v>
      </c>
      <c r="AY21">
        <f t="shared" si="30"/>
        <v>85.94489821417389</v>
      </c>
      <c r="AZ21">
        <f t="shared" si="31"/>
        <v>0.44343278528161334</v>
      </c>
      <c r="BA21">
        <f t="shared" si="32"/>
        <v>1.0643289797404438E-4</v>
      </c>
      <c r="BB21">
        <f t="shared" si="33"/>
        <v>2.3055889988336657</v>
      </c>
      <c r="BC21" t="s">
        <v>297</v>
      </c>
      <c r="BD21">
        <v>591.72</v>
      </c>
      <c r="BE21">
        <f t="shared" si="34"/>
        <v>471.44000000000005</v>
      </c>
      <c r="BF21">
        <f t="shared" si="35"/>
        <v>0.26350665391794731</v>
      </c>
      <c r="BG21">
        <f t="shared" si="36"/>
        <v>0.8386943356200709</v>
      </c>
      <c r="BH21">
        <f t="shared" si="37"/>
        <v>0.28805110140016071</v>
      </c>
      <c r="BI21">
        <f t="shared" si="38"/>
        <v>0.85038253661444752</v>
      </c>
      <c r="BJ21">
        <f t="shared" si="39"/>
        <v>1749.83</v>
      </c>
      <c r="BK21">
        <f t="shared" si="40"/>
        <v>1471.0611000963213</v>
      </c>
      <c r="BL21">
        <f t="shared" si="41"/>
        <v>0.8406880097474162</v>
      </c>
      <c r="BM21">
        <f t="shared" si="42"/>
        <v>0.19137601949483246</v>
      </c>
      <c r="BN21">
        <v>6</v>
      </c>
      <c r="BO21">
        <v>0.5</v>
      </c>
      <c r="BP21" t="s">
        <v>271</v>
      </c>
      <c r="BQ21">
        <v>1567881398.5999999</v>
      </c>
      <c r="BR21">
        <v>16.584599999999998</v>
      </c>
      <c r="BS21">
        <v>15.1227</v>
      </c>
      <c r="BT21">
        <v>17.726500000000001</v>
      </c>
      <c r="BU21">
        <v>14.3992</v>
      </c>
      <c r="BV21">
        <v>500.09699999999998</v>
      </c>
      <c r="BW21">
        <v>99.255600000000001</v>
      </c>
      <c r="BX21">
        <v>0.100052</v>
      </c>
      <c r="BY21">
        <v>24.874099999999999</v>
      </c>
      <c r="BZ21">
        <v>27.0669</v>
      </c>
      <c r="CA21">
        <v>999.9</v>
      </c>
      <c r="CB21">
        <v>9980</v>
      </c>
      <c r="CC21">
        <v>0</v>
      </c>
      <c r="CD21">
        <v>1802.46</v>
      </c>
      <c r="CE21">
        <v>1749.83</v>
      </c>
      <c r="CF21">
        <v>0.97700299999999995</v>
      </c>
      <c r="CG21">
        <v>2.2997299999999998E-2</v>
      </c>
      <c r="CH21">
        <v>0</v>
      </c>
      <c r="CI21">
        <v>938.34400000000005</v>
      </c>
      <c r="CJ21">
        <v>4.99986</v>
      </c>
      <c r="CK21">
        <v>19525.2</v>
      </c>
      <c r="CL21">
        <v>14219.4</v>
      </c>
      <c r="CM21">
        <v>44.561999999999998</v>
      </c>
      <c r="CN21">
        <v>46.625</v>
      </c>
      <c r="CO21">
        <v>45.5</v>
      </c>
      <c r="CP21">
        <v>45.436999999999998</v>
      </c>
      <c r="CQ21">
        <v>46.186999999999998</v>
      </c>
      <c r="CR21">
        <v>1704.7</v>
      </c>
      <c r="CS21">
        <v>40.130000000000003</v>
      </c>
      <c r="CT21">
        <v>0</v>
      </c>
      <c r="CU21">
        <v>106.799999952316</v>
      </c>
      <c r="CV21">
        <v>938.93242307692299</v>
      </c>
      <c r="CW21">
        <v>-1.19825642867624</v>
      </c>
      <c r="CX21">
        <v>-200.69060067002101</v>
      </c>
      <c r="CY21">
        <v>19604.884615384599</v>
      </c>
      <c r="CZ21">
        <v>15</v>
      </c>
      <c r="DA21">
        <v>1567881354.5999999</v>
      </c>
      <c r="DB21" t="s">
        <v>298</v>
      </c>
      <c r="DC21">
        <v>82</v>
      </c>
      <c r="DD21">
        <v>-0.45100000000000001</v>
      </c>
      <c r="DE21">
        <v>8.5999999999999993E-2</v>
      </c>
      <c r="DF21">
        <v>15</v>
      </c>
      <c r="DG21">
        <v>15</v>
      </c>
      <c r="DH21">
        <v>0.33</v>
      </c>
      <c r="DI21">
        <v>0.03</v>
      </c>
      <c r="DJ21">
        <v>-1.2996910985305601</v>
      </c>
      <c r="DK21">
        <v>-0.25713362754365798</v>
      </c>
      <c r="DL21">
        <v>8.8540624636428394E-2</v>
      </c>
      <c r="DM21">
        <v>1</v>
      </c>
      <c r="DN21">
        <v>0.14091161457281201</v>
      </c>
      <c r="DO21">
        <v>5.2687747106201797E-2</v>
      </c>
      <c r="DP21">
        <v>1.2480162398822599E-2</v>
      </c>
      <c r="DQ21">
        <v>1</v>
      </c>
      <c r="DR21">
        <v>2</v>
      </c>
      <c r="DS21">
        <v>2</v>
      </c>
      <c r="DT21" t="s">
        <v>273</v>
      </c>
      <c r="DU21">
        <v>1.8673599999999999</v>
      </c>
      <c r="DV21">
        <v>1.8638300000000001</v>
      </c>
      <c r="DW21">
        <v>1.86951</v>
      </c>
      <c r="DX21">
        <v>1.8673900000000001</v>
      </c>
      <c r="DY21">
        <v>1.8721000000000001</v>
      </c>
      <c r="DZ21">
        <v>1.86452</v>
      </c>
      <c r="EA21">
        <v>1.86605</v>
      </c>
      <c r="EB21">
        <v>1.8660000000000001</v>
      </c>
      <c r="EC21" t="s">
        <v>274</v>
      </c>
      <c r="ED21" t="s">
        <v>19</v>
      </c>
      <c r="EE21" t="s">
        <v>19</v>
      </c>
      <c r="EF21" t="s">
        <v>19</v>
      </c>
      <c r="EG21" t="s">
        <v>275</v>
      </c>
      <c r="EH21" t="s">
        <v>276</v>
      </c>
      <c r="EI21" t="s">
        <v>277</v>
      </c>
      <c r="EJ21" t="s">
        <v>277</v>
      </c>
      <c r="EK21" t="s">
        <v>277</v>
      </c>
      <c r="EL21" t="s">
        <v>277</v>
      </c>
      <c r="EM21">
        <v>0</v>
      </c>
      <c r="EN21">
        <v>100</v>
      </c>
      <c r="EO21">
        <v>100</v>
      </c>
      <c r="EP21">
        <v>-0.45100000000000001</v>
      </c>
      <c r="EQ21">
        <v>8.5999999999999993E-2</v>
      </c>
      <c r="ER21">
        <v>2</v>
      </c>
      <c r="ES21">
        <v>508.30099999999999</v>
      </c>
      <c r="ET21">
        <v>482.74200000000002</v>
      </c>
      <c r="EU21">
        <v>18.1389</v>
      </c>
      <c r="EV21">
        <v>30.986499999999999</v>
      </c>
      <c r="EW21">
        <v>30.000299999999999</v>
      </c>
      <c r="EX21">
        <v>31.11</v>
      </c>
      <c r="EY21">
        <v>31.132300000000001</v>
      </c>
      <c r="EZ21">
        <v>3.9150200000000002</v>
      </c>
      <c r="FA21">
        <v>52.130400000000002</v>
      </c>
      <c r="FB21">
        <v>0</v>
      </c>
      <c r="FC21">
        <v>18.080200000000001</v>
      </c>
      <c r="FD21">
        <v>15</v>
      </c>
      <c r="FE21">
        <v>14.2682</v>
      </c>
      <c r="FF21">
        <v>101.181</v>
      </c>
      <c r="FG21">
        <v>101.71599999999999</v>
      </c>
    </row>
    <row r="22" spans="1:163" x14ac:dyDescent="0.35">
      <c r="A22">
        <v>6</v>
      </c>
      <c r="B22">
        <v>1567881519.0999999</v>
      </c>
      <c r="C22">
        <v>576</v>
      </c>
      <c r="D22" t="s">
        <v>299</v>
      </c>
      <c r="E22" t="s">
        <v>300</v>
      </c>
      <c r="G22">
        <v>1567881519.0999999</v>
      </c>
      <c r="H22">
        <f t="shared" si="0"/>
        <v>4.2430477922027676E-3</v>
      </c>
      <c r="I22">
        <f t="shared" si="1"/>
        <v>18.238538556383357</v>
      </c>
      <c r="J22">
        <f t="shared" si="2"/>
        <v>376.197</v>
      </c>
      <c r="K22">
        <f t="shared" si="3"/>
        <v>242.622697371469</v>
      </c>
      <c r="L22">
        <f t="shared" si="4"/>
        <v>24.104897376950845</v>
      </c>
      <c r="M22">
        <f t="shared" si="5"/>
        <v>37.37568733989</v>
      </c>
      <c r="N22">
        <f t="shared" si="6"/>
        <v>0.24630752869315506</v>
      </c>
      <c r="O22">
        <f t="shared" si="7"/>
        <v>2.2560495862107097</v>
      </c>
      <c r="P22">
        <f t="shared" si="8"/>
        <v>0.23228387623466537</v>
      </c>
      <c r="Q22">
        <f t="shared" si="9"/>
        <v>0.14637081344985467</v>
      </c>
      <c r="R22">
        <f t="shared" si="10"/>
        <v>281.57210149559148</v>
      </c>
      <c r="S22">
        <f t="shared" si="11"/>
        <v>26.067288953250049</v>
      </c>
      <c r="T22">
        <f t="shared" si="12"/>
        <v>26.8566</v>
      </c>
      <c r="U22">
        <f t="shared" si="13"/>
        <v>3.5491257436834522</v>
      </c>
      <c r="V22">
        <f t="shared" si="14"/>
        <v>54.894203261554622</v>
      </c>
      <c r="W22">
        <f t="shared" si="15"/>
        <v>1.7830093617050002</v>
      </c>
      <c r="X22">
        <f t="shared" si="16"/>
        <v>3.2480831413282178</v>
      </c>
      <c r="Y22">
        <f t="shared" si="17"/>
        <v>1.766116381978452</v>
      </c>
      <c r="Z22">
        <f t="shared" si="18"/>
        <v>-187.11840763614205</v>
      </c>
      <c r="AA22">
        <f t="shared" si="19"/>
        <v>-182.33275260692488</v>
      </c>
      <c r="AB22">
        <f t="shared" si="20"/>
        <v>-17.28661386799109</v>
      </c>
      <c r="AC22">
        <f t="shared" si="21"/>
        <v>-105.16567261546655</v>
      </c>
      <c r="AD22">
        <v>-4.1346809359853402E-2</v>
      </c>
      <c r="AE22">
        <v>4.64154156858754E-2</v>
      </c>
      <c r="AF22">
        <v>3.46604222905018</v>
      </c>
      <c r="AG22">
        <v>0</v>
      </c>
      <c r="AH22">
        <v>0</v>
      </c>
      <c r="AI22">
        <f t="shared" si="22"/>
        <v>1</v>
      </c>
      <c r="AJ22">
        <f t="shared" si="23"/>
        <v>0</v>
      </c>
      <c r="AK22">
        <f t="shared" si="24"/>
        <v>53003.872890048217</v>
      </c>
      <c r="AL22" t="s">
        <v>268</v>
      </c>
      <c r="AM22">
        <v>631.89076923076902</v>
      </c>
      <c r="AN22">
        <v>3514.37</v>
      </c>
      <c r="AO22">
        <f t="shared" si="25"/>
        <v>2882.479230769231</v>
      </c>
      <c r="AP22">
        <f t="shared" si="26"/>
        <v>0.82019799587670938</v>
      </c>
      <c r="AQ22">
        <v>-1.4218795309761501</v>
      </c>
      <c r="AR22" t="s">
        <v>301</v>
      </c>
      <c r="AS22">
        <v>895.956961538462</v>
      </c>
      <c r="AT22">
        <v>1134.57</v>
      </c>
      <c r="AU22">
        <f t="shared" si="27"/>
        <v>0.2103114294063283</v>
      </c>
      <c r="AV22">
        <v>0.5</v>
      </c>
      <c r="AW22">
        <f t="shared" si="28"/>
        <v>1471.3047000963049</v>
      </c>
      <c r="AX22">
        <f t="shared" si="29"/>
        <v>18.238538556383357</v>
      </c>
      <c r="AY22">
        <f t="shared" si="30"/>
        <v>154.71609728475153</v>
      </c>
      <c r="AZ22">
        <f t="shared" si="31"/>
        <v>0.51079263509523432</v>
      </c>
      <c r="BA22">
        <f t="shared" si="32"/>
        <v>1.3362574105875298E-2</v>
      </c>
      <c r="BB22">
        <f t="shared" si="33"/>
        <v>2.0975347488475813</v>
      </c>
      <c r="BC22" t="s">
        <v>302</v>
      </c>
      <c r="BD22">
        <v>555.04</v>
      </c>
      <c r="BE22">
        <f t="shared" si="34"/>
        <v>579.53</v>
      </c>
      <c r="BF22">
        <f t="shared" si="35"/>
        <v>0.41173543813355296</v>
      </c>
      <c r="BG22">
        <f t="shared" si="36"/>
        <v>0.80416851111569176</v>
      </c>
      <c r="BH22">
        <f t="shared" si="37"/>
        <v>0.47468250895585534</v>
      </c>
      <c r="BI22">
        <f t="shared" si="38"/>
        <v>0.82560872411383046</v>
      </c>
      <c r="BJ22">
        <f t="shared" si="39"/>
        <v>1750.12</v>
      </c>
      <c r="BK22">
        <f t="shared" si="40"/>
        <v>1471.3047000963049</v>
      </c>
      <c r="BL22">
        <f t="shared" si="41"/>
        <v>0.84068789574218061</v>
      </c>
      <c r="BM22">
        <f t="shared" si="42"/>
        <v>0.19137579148436151</v>
      </c>
      <c r="BN22">
        <v>6</v>
      </c>
      <c r="BO22">
        <v>0.5</v>
      </c>
      <c r="BP22" t="s">
        <v>271</v>
      </c>
      <c r="BQ22">
        <v>1567881519.0999999</v>
      </c>
      <c r="BR22">
        <v>376.197</v>
      </c>
      <c r="BS22">
        <v>399.995</v>
      </c>
      <c r="BT22">
        <v>17.9465</v>
      </c>
      <c r="BU22">
        <v>12.946999999999999</v>
      </c>
      <c r="BV22">
        <v>500.07799999999997</v>
      </c>
      <c r="BW22">
        <v>99.251300000000001</v>
      </c>
      <c r="BX22">
        <v>0.10007000000000001</v>
      </c>
      <c r="BY22">
        <v>25.357500000000002</v>
      </c>
      <c r="BZ22">
        <v>26.8566</v>
      </c>
      <c r="CA22">
        <v>999.9</v>
      </c>
      <c r="CB22">
        <v>10046.200000000001</v>
      </c>
      <c r="CC22">
        <v>0</v>
      </c>
      <c r="CD22">
        <v>1804.09</v>
      </c>
      <c r="CE22">
        <v>1750.12</v>
      </c>
      <c r="CF22">
        <v>0.97700699999999996</v>
      </c>
      <c r="CG22">
        <v>2.2993199999999998E-2</v>
      </c>
      <c r="CH22">
        <v>0</v>
      </c>
      <c r="CI22">
        <v>895.51599999999996</v>
      </c>
      <c r="CJ22">
        <v>4.99986</v>
      </c>
      <c r="CK22">
        <v>18874.3</v>
      </c>
      <c r="CL22">
        <v>14221.8</v>
      </c>
      <c r="CM22">
        <v>44.686999999999998</v>
      </c>
      <c r="CN22">
        <v>46.936999999999998</v>
      </c>
      <c r="CO22">
        <v>45.625</v>
      </c>
      <c r="CP22">
        <v>45.811999999999998</v>
      </c>
      <c r="CQ22">
        <v>46.375</v>
      </c>
      <c r="CR22">
        <v>1704.99</v>
      </c>
      <c r="CS22">
        <v>40.130000000000003</v>
      </c>
      <c r="CT22">
        <v>0</v>
      </c>
      <c r="CU22">
        <v>119.799999952316</v>
      </c>
      <c r="CV22">
        <v>895.956961538462</v>
      </c>
      <c r="CW22">
        <v>-4.8609572627251598</v>
      </c>
      <c r="CX22">
        <v>908.10940176100303</v>
      </c>
      <c r="CY22">
        <v>18799.976923076902</v>
      </c>
      <c r="CZ22">
        <v>15</v>
      </c>
      <c r="DA22">
        <v>1567881554.0999999</v>
      </c>
      <c r="DB22" t="s">
        <v>303</v>
      </c>
      <c r="DC22">
        <v>83</v>
      </c>
      <c r="DD22">
        <v>-0.29199999999999998</v>
      </c>
      <c r="DE22">
        <v>5.8000000000000003E-2</v>
      </c>
      <c r="DF22">
        <v>400</v>
      </c>
      <c r="DG22">
        <v>13</v>
      </c>
      <c r="DH22">
        <v>0.09</v>
      </c>
      <c r="DI22">
        <v>0.02</v>
      </c>
      <c r="DJ22">
        <v>17.984458071437501</v>
      </c>
      <c r="DK22">
        <v>1.32503569914486</v>
      </c>
      <c r="DL22">
        <v>0.25873014608200701</v>
      </c>
      <c r="DM22">
        <v>0</v>
      </c>
      <c r="DN22">
        <v>0.235287372922587</v>
      </c>
      <c r="DO22">
        <v>4.4162264057089097E-2</v>
      </c>
      <c r="DP22">
        <v>8.5425649750576101E-3</v>
      </c>
      <c r="DQ22">
        <v>1</v>
      </c>
      <c r="DR22">
        <v>1</v>
      </c>
      <c r="DS22">
        <v>2</v>
      </c>
      <c r="DT22" t="s">
        <v>283</v>
      </c>
      <c r="DU22">
        <v>1.8673500000000001</v>
      </c>
      <c r="DV22">
        <v>1.86385</v>
      </c>
      <c r="DW22">
        <v>1.86951</v>
      </c>
      <c r="DX22">
        <v>1.86738</v>
      </c>
      <c r="DY22">
        <v>1.8721000000000001</v>
      </c>
      <c r="DZ22">
        <v>1.8645499999999999</v>
      </c>
      <c r="EA22">
        <v>1.86612</v>
      </c>
      <c r="EB22">
        <v>1.8660000000000001</v>
      </c>
      <c r="EC22" t="s">
        <v>274</v>
      </c>
      <c r="ED22" t="s">
        <v>19</v>
      </c>
      <c r="EE22" t="s">
        <v>19</v>
      </c>
      <c r="EF22" t="s">
        <v>19</v>
      </c>
      <c r="EG22" t="s">
        <v>275</v>
      </c>
      <c r="EH22" t="s">
        <v>276</v>
      </c>
      <c r="EI22" t="s">
        <v>277</v>
      </c>
      <c r="EJ22" t="s">
        <v>277</v>
      </c>
      <c r="EK22" t="s">
        <v>277</v>
      </c>
      <c r="EL22" t="s">
        <v>277</v>
      </c>
      <c r="EM22">
        <v>0</v>
      </c>
      <c r="EN22">
        <v>100</v>
      </c>
      <c r="EO22">
        <v>100</v>
      </c>
      <c r="EP22">
        <v>-0.29199999999999998</v>
      </c>
      <c r="EQ22">
        <v>5.8000000000000003E-2</v>
      </c>
      <c r="ER22">
        <v>2</v>
      </c>
      <c r="ES22">
        <v>508.91199999999998</v>
      </c>
      <c r="ET22">
        <v>481.005</v>
      </c>
      <c r="EU22">
        <v>20.622699999999998</v>
      </c>
      <c r="EV22">
        <v>31.210999999999999</v>
      </c>
      <c r="EW22">
        <v>30.000499999999999</v>
      </c>
      <c r="EX22">
        <v>31.202200000000001</v>
      </c>
      <c r="EY22">
        <v>31.211600000000001</v>
      </c>
      <c r="EZ22">
        <v>21.880400000000002</v>
      </c>
      <c r="FA22">
        <v>56.621299999999998</v>
      </c>
      <c r="FB22">
        <v>0</v>
      </c>
      <c r="FC22">
        <v>20.7239</v>
      </c>
      <c r="FD22">
        <v>400</v>
      </c>
      <c r="FE22">
        <v>12.936299999999999</v>
      </c>
      <c r="FF22">
        <v>101.14400000000001</v>
      </c>
      <c r="FG22">
        <v>101.666</v>
      </c>
    </row>
    <row r="23" spans="1:163" x14ac:dyDescent="0.35">
      <c r="A23">
        <v>7</v>
      </c>
      <c r="B23">
        <v>1567881675.7</v>
      </c>
      <c r="C23">
        <v>732.60000014305103</v>
      </c>
      <c r="D23" t="s">
        <v>304</v>
      </c>
      <c r="E23" t="s">
        <v>305</v>
      </c>
      <c r="G23">
        <v>1567881675.7</v>
      </c>
      <c r="H23">
        <f t="shared" si="0"/>
        <v>3.8996510601485078E-3</v>
      </c>
      <c r="I23">
        <f t="shared" si="1"/>
        <v>17.94941261215266</v>
      </c>
      <c r="J23">
        <f t="shared" si="2"/>
        <v>376.69</v>
      </c>
      <c r="K23">
        <f t="shared" si="3"/>
        <v>234.34012120574275</v>
      </c>
      <c r="L23">
        <f t="shared" si="4"/>
        <v>23.284743298435234</v>
      </c>
      <c r="M23">
        <f t="shared" si="5"/>
        <v>37.429057849581</v>
      </c>
      <c r="N23">
        <f t="shared" si="6"/>
        <v>0.22533946963036855</v>
      </c>
      <c r="O23">
        <f t="shared" si="7"/>
        <v>2.2529979135398386</v>
      </c>
      <c r="P23">
        <f t="shared" si="8"/>
        <v>0.213525356868417</v>
      </c>
      <c r="Q23">
        <f t="shared" si="9"/>
        <v>0.13446316150215204</v>
      </c>
      <c r="R23">
        <f t="shared" si="10"/>
        <v>281.56889663186871</v>
      </c>
      <c r="S23">
        <f t="shared" si="11"/>
        <v>26.259329854429986</v>
      </c>
      <c r="T23">
        <f t="shared" si="12"/>
        <v>27.005299999999998</v>
      </c>
      <c r="U23">
        <f t="shared" si="13"/>
        <v>3.5802739725704713</v>
      </c>
      <c r="V23">
        <f t="shared" si="14"/>
        <v>55.61852205080654</v>
      </c>
      <c r="W23">
        <f t="shared" si="15"/>
        <v>1.8148557134960102</v>
      </c>
      <c r="X23">
        <f t="shared" si="16"/>
        <v>3.263041962600465</v>
      </c>
      <c r="Y23">
        <f t="shared" si="17"/>
        <v>1.7654182590744611</v>
      </c>
      <c r="Z23">
        <f t="shared" si="18"/>
        <v>-171.97461175254918</v>
      </c>
      <c r="AA23">
        <f t="shared" si="19"/>
        <v>-190.75862072993013</v>
      </c>
      <c r="AB23">
        <f t="shared" si="20"/>
        <v>-18.130494792897938</v>
      </c>
      <c r="AC23">
        <f t="shared" si="21"/>
        <v>-99.294830643508533</v>
      </c>
      <c r="AD23">
        <v>-4.1264504153792902E-2</v>
      </c>
      <c r="AE23">
        <v>4.63230208817405E-2</v>
      </c>
      <c r="AF23">
        <v>3.4605819377859399</v>
      </c>
      <c r="AG23">
        <v>0</v>
      </c>
      <c r="AH23">
        <v>0</v>
      </c>
      <c r="AI23">
        <f t="shared" si="22"/>
        <v>1</v>
      </c>
      <c r="AJ23">
        <f t="shared" si="23"/>
        <v>0</v>
      </c>
      <c r="AK23">
        <f t="shared" si="24"/>
        <v>52889.323387400582</v>
      </c>
      <c r="AL23" t="s">
        <v>268</v>
      </c>
      <c r="AM23">
        <v>631.89076923076902</v>
      </c>
      <c r="AN23">
        <v>3514.37</v>
      </c>
      <c r="AO23">
        <f t="shared" si="25"/>
        <v>2882.479230769231</v>
      </c>
      <c r="AP23">
        <f t="shared" si="26"/>
        <v>0.82019799587670938</v>
      </c>
      <c r="AQ23">
        <v>-1.4218795309761501</v>
      </c>
      <c r="AR23" t="s">
        <v>306</v>
      </c>
      <c r="AS23">
        <v>880.61684615384604</v>
      </c>
      <c r="AT23">
        <v>1125.3399999999999</v>
      </c>
      <c r="AU23">
        <f t="shared" si="27"/>
        <v>0.21746596925920514</v>
      </c>
      <c r="AV23">
        <v>0.5</v>
      </c>
      <c r="AW23">
        <f t="shared" si="28"/>
        <v>1471.2878932173091</v>
      </c>
      <c r="AX23">
        <f t="shared" si="29"/>
        <v>17.94941261215266</v>
      </c>
      <c r="AY23">
        <f t="shared" si="30"/>
        <v>159.97752387891802</v>
      </c>
      <c r="AZ23">
        <f t="shared" si="31"/>
        <v>0.50171503723319166</v>
      </c>
      <c r="BA23">
        <f t="shared" si="32"/>
        <v>1.316621460179967E-2</v>
      </c>
      <c r="BB23">
        <f t="shared" si="33"/>
        <v>2.1229406223896778</v>
      </c>
      <c r="BC23" t="s">
        <v>307</v>
      </c>
      <c r="BD23">
        <v>560.74</v>
      </c>
      <c r="BE23">
        <f t="shared" si="34"/>
        <v>564.59999999999991</v>
      </c>
      <c r="BF23">
        <f t="shared" si="35"/>
        <v>0.43344518924221381</v>
      </c>
      <c r="BG23">
        <f t="shared" si="36"/>
        <v>0.80884538686294483</v>
      </c>
      <c r="BH23">
        <f t="shared" si="37"/>
        <v>0.49594393624782529</v>
      </c>
      <c r="BI23">
        <f t="shared" si="38"/>
        <v>0.82881082871235567</v>
      </c>
      <c r="BJ23">
        <f t="shared" si="39"/>
        <v>1750.1</v>
      </c>
      <c r="BK23">
        <f t="shared" si="40"/>
        <v>1471.2878932173091</v>
      </c>
      <c r="BL23">
        <f t="shared" si="41"/>
        <v>0.8406878996727668</v>
      </c>
      <c r="BM23">
        <f t="shared" si="42"/>
        <v>0.19137579934553367</v>
      </c>
      <c r="BN23">
        <v>6</v>
      </c>
      <c r="BO23">
        <v>0.5</v>
      </c>
      <c r="BP23" t="s">
        <v>271</v>
      </c>
      <c r="BQ23">
        <v>1567881675.7</v>
      </c>
      <c r="BR23">
        <v>376.69</v>
      </c>
      <c r="BS23">
        <v>399.99200000000002</v>
      </c>
      <c r="BT23">
        <v>18.264900000000001</v>
      </c>
      <c r="BU23">
        <v>13.6708</v>
      </c>
      <c r="BV23">
        <v>500.00099999999998</v>
      </c>
      <c r="BW23">
        <v>99.263199999999998</v>
      </c>
      <c r="BX23">
        <v>9.9824899999999994E-2</v>
      </c>
      <c r="BY23">
        <v>25.434799999999999</v>
      </c>
      <c r="BZ23">
        <v>27.005299999999998</v>
      </c>
      <c r="CA23">
        <v>999.9</v>
      </c>
      <c r="CB23">
        <v>10025</v>
      </c>
      <c r="CC23">
        <v>0</v>
      </c>
      <c r="CD23">
        <v>1870.82</v>
      </c>
      <c r="CE23">
        <v>1750.1</v>
      </c>
      <c r="CF23">
        <v>0.97700699999999996</v>
      </c>
      <c r="CG23">
        <v>2.2993199999999998E-2</v>
      </c>
      <c r="CH23">
        <v>0</v>
      </c>
      <c r="CI23">
        <v>880.19299999999998</v>
      </c>
      <c r="CJ23">
        <v>4.99986</v>
      </c>
      <c r="CK23">
        <v>18761.3</v>
      </c>
      <c r="CL23">
        <v>14221.6</v>
      </c>
      <c r="CM23">
        <v>44.875</v>
      </c>
      <c r="CN23">
        <v>47.186999999999998</v>
      </c>
      <c r="CO23">
        <v>45.936999999999998</v>
      </c>
      <c r="CP23">
        <v>46</v>
      </c>
      <c r="CQ23">
        <v>46.561999999999998</v>
      </c>
      <c r="CR23">
        <v>1704.98</v>
      </c>
      <c r="CS23">
        <v>40.130000000000003</v>
      </c>
      <c r="CT23">
        <v>0</v>
      </c>
      <c r="CU23">
        <v>156.19999980926499</v>
      </c>
      <c r="CV23">
        <v>880.61684615384604</v>
      </c>
      <c r="CW23">
        <v>-4.0259145282247504</v>
      </c>
      <c r="CX23">
        <v>763.81880430703995</v>
      </c>
      <c r="CY23">
        <v>18716.396153846199</v>
      </c>
      <c r="CZ23">
        <v>15</v>
      </c>
      <c r="DA23">
        <v>1567881609.7</v>
      </c>
      <c r="DB23" t="s">
        <v>308</v>
      </c>
      <c r="DC23">
        <v>84</v>
      </c>
      <c r="DD23">
        <v>-0.33500000000000002</v>
      </c>
      <c r="DE23">
        <v>0.06</v>
      </c>
      <c r="DF23">
        <v>400</v>
      </c>
      <c r="DG23">
        <v>13</v>
      </c>
      <c r="DH23">
        <v>0.1</v>
      </c>
      <c r="DI23">
        <v>0.04</v>
      </c>
      <c r="DJ23">
        <v>18.1697625694446</v>
      </c>
      <c r="DK23">
        <v>-0.67057834018116802</v>
      </c>
      <c r="DL23">
        <v>0.13180525854835001</v>
      </c>
      <c r="DM23">
        <v>0</v>
      </c>
      <c r="DN23">
        <v>0.217391388838647</v>
      </c>
      <c r="DO23">
        <v>-1.0066562444293499E-3</v>
      </c>
      <c r="DP23">
        <v>2.8716132215458202E-3</v>
      </c>
      <c r="DQ23">
        <v>1</v>
      </c>
      <c r="DR23">
        <v>1</v>
      </c>
      <c r="DS23">
        <v>2</v>
      </c>
      <c r="DT23" t="s">
        <v>283</v>
      </c>
      <c r="DU23">
        <v>1.8673500000000001</v>
      </c>
      <c r="DV23">
        <v>1.8638300000000001</v>
      </c>
      <c r="DW23">
        <v>1.86951</v>
      </c>
      <c r="DX23">
        <v>1.8673999999999999</v>
      </c>
      <c r="DY23">
        <v>1.8721000000000001</v>
      </c>
      <c r="DZ23">
        <v>1.86459</v>
      </c>
      <c r="EA23">
        <v>1.86609</v>
      </c>
      <c r="EB23">
        <v>1.8660000000000001</v>
      </c>
      <c r="EC23" t="s">
        <v>274</v>
      </c>
      <c r="ED23" t="s">
        <v>19</v>
      </c>
      <c r="EE23" t="s">
        <v>19</v>
      </c>
      <c r="EF23" t="s">
        <v>19</v>
      </c>
      <c r="EG23" t="s">
        <v>275</v>
      </c>
      <c r="EH23" t="s">
        <v>276</v>
      </c>
      <c r="EI23" t="s">
        <v>277</v>
      </c>
      <c r="EJ23" t="s">
        <v>277</v>
      </c>
      <c r="EK23" t="s">
        <v>277</v>
      </c>
      <c r="EL23" t="s">
        <v>277</v>
      </c>
      <c r="EM23">
        <v>0</v>
      </c>
      <c r="EN23">
        <v>100</v>
      </c>
      <c r="EO23">
        <v>100</v>
      </c>
      <c r="EP23">
        <v>-0.33500000000000002</v>
      </c>
      <c r="EQ23">
        <v>0.06</v>
      </c>
      <c r="ER23">
        <v>2</v>
      </c>
      <c r="ES23">
        <v>508.08499999999998</v>
      </c>
      <c r="ET23">
        <v>480.23399999999998</v>
      </c>
      <c r="EU23">
        <v>19.789100000000001</v>
      </c>
      <c r="EV23">
        <v>31.498100000000001</v>
      </c>
      <c r="EW23">
        <v>29.9984</v>
      </c>
      <c r="EX23">
        <v>31.397200000000002</v>
      </c>
      <c r="EY23">
        <v>31.390499999999999</v>
      </c>
      <c r="EZ23">
        <v>21.899100000000001</v>
      </c>
      <c r="FA23">
        <v>54.222000000000001</v>
      </c>
      <c r="FB23">
        <v>0</v>
      </c>
      <c r="FC23">
        <v>19.692900000000002</v>
      </c>
      <c r="FD23">
        <v>400</v>
      </c>
      <c r="FE23">
        <v>13.4696</v>
      </c>
      <c r="FF23">
        <v>101.10299999999999</v>
      </c>
      <c r="FG23">
        <v>101.616</v>
      </c>
    </row>
    <row r="24" spans="1:163" x14ac:dyDescent="0.35">
      <c r="A24">
        <v>8</v>
      </c>
      <c r="B24">
        <v>1567881796.0999999</v>
      </c>
      <c r="C24">
        <v>853</v>
      </c>
      <c r="D24" t="s">
        <v>309</v>
      </c>
      <c r="E24" t="s">
        <v>310</v>
      </c>
      <c r="G24">
        <v>1567881796.0999999</v>
      </c>
      <c r="H24">
        <f t="shared" si="0"/>
        <v>2.7337805266896839E-3</v>
      </c>
      <c r="I24">
        <f t="shared" si="1"/>
        <v>20.335573934373826</v>
      </c>
      <c r="J24">
        <f t="shared" si="2"/>
        <v>473.99099999999999</v>
      </c>
      <c r="K24">
        <f t="shared" si="3"/>
        <v>239.74677458439371</v>
      </c>
      <c r="L24">
        <f t="shared" si="4"/>
        <v>23.822952273662988</v>
      </c>
      <c r="M24">
        <f t="shared" si="5"/>
        <v>47.099131951703995</v>
      </c>
      <c r="N24">
        <f t="shared" si="6"/>
        <v>0.15017417022554144</v>
      </c>
      <c r="O24">
        <f t="shared" si="7"/>
        <v>2.2507663069567028</v>
      </c>
      <c r="P24">
        <f t="shared" si="8"/>
        <v>0.14482147247440294</v>
      </c>
      <c r="Q24">
        <f t="shared" si="9"/>
        <v>9.0978444020224786E-2</v>
      </c>
      <c r="R24">
        <f t="shared" si="10"/>
        <v>281.55717575532196</v>
      </c>
      <c r="S24">
        <f t="shared" si="11"/>
        <v>26.187440860757981</v>
      </c>
      <c r="T24">
        <f t="shared" si="12"/>
        <v>27.040500000000002</v>
      </c>
      <c r="U24">
        <f t="shared" si="13"/>
        <v>3.5876821595354627</v>
      </c>
      <c r="V24">
        <f t="shared" si="14"/>
        <v>55.512120744422091</v>
      </c>
      <c r="W24">
        <f t="shared" si="15"/>
        <v>1.7624352862704</v>
      </c>
      <c r="X24">
        <f t="shared" si="16"/>
        <v>3.1748657097513093</v>
      </c>
      <c r="Y24">
        <f t="shared" si="17"/>
        <v>1.8252468732650626</v>
      </c>
      <c r="Z24">
        <f t="shared" si="18"/>
        <v>-120.55972122701506</v>
      </c>
      <c r="AA24">
        <f t="shared" si="19"/>
        <v>-250.68315061726867</v>
      </c>
      <c r="AB24">
        <f t="shared" si="20"/>
        <v>-23.798938855372999</v>
      </c>
      <c r="AC24">
        <f t="shared" si="21"/>
        <v>-113.4846349443348</v>
      </c>
      <c r="AD24">
        <v>-4.12043805888496E-2</v>
      </c>
      <c r="AE24">
        <v>4.6255526912978101E-2</v>
      </c>
      <c r="AF24">
        <v>3.45659084667742</v>
      </c>
      <c r="AG24">
        <v>0</v>
      </c>
      <c r="AH24">
        <v>0</v>
      </c>
      <c r="AI24">
        <f t="shared" si="22"/>
        <v>1</v>
      </c>
      <c r="AJ24">
        <f t="shared" si="23"/>
        <v>0</v>
      </c>
      <c r="AK24">
        <f t="shared" si="24"/>
        <v>52897.097448186323</v>
      </c>
      <c r="AL24" t="s">
        <v>268</v>
      </c>
      <c r="AM24">
        <v>631.89076923076902</v>
      </c>
      <c r="AN24">
        <v>3514.37</v>
      </c>
      <c r="AO24">
        <f t="shared" si="25"/>
        <v>2882.479230769231</v>
      </c>
      <c r="AP24">
        <f t="shared" si="26"/>
        <v>0.82019799587670938</v>
      </c>
      <c r="AQ24">
        <v>-1.4218795309761501</v>
      </c>
      <c r="AR24" t="s">
        <v>311</v>
      </c>
      <c r="AS24">
        <v>872.67934615384604</v>
      </c>
      <c r="AT24">
        <v>1138.22</v>
      </c>
      <c r="AU24">
        <f t="shared" si="27"/>
        <v>0.23329466521951292</v>
      </c>
      <c r="AV24">
        <v>0.5</v>
      </c>
      <c r="AW24">
        <f t="shared" si="28"/>
        <v>1471.2288000962862</v>
      </c>
      <c r="AX24">
        <f t="shared" si="29"/>
        <v>20.335573934373826</v>
      </c>
      <c r="AY24">
        <f t="shared" si="30"/>
        <v>171.61491518988439</v>
      </c>
      <c r="AZ24">
        <f t="shared" si="31"/>
        <v>0.51114898701481259</v>
      </c>
      <c r="BA24">
        <f t="shared" si="32"/>
        <v>1.4788626666311885E-2</v>
      </c>
      <c r="BB24">
        <f t="shared" si="33"/>
        <v>2.0876016938728887</v>
      </c>
      <c r="BC24" t="s">
        <v>312</v>
      </c>
      <c r="BD24">
        <v>556.41999999999996</v>
      </c>
      <c r="BE24">
        <f t="shared" si="34"/>
        <v>581.80000000000007</v>
      </c>
      <c r="BF24">
        <f t="shared" si="35"/>
        <v>0.45641226168125465</v>
      </c>
      <c r="BG24">
        <f t="shared" si="36"/>
        <v>0.80330972464037587</v>
      </c>
      <c r="BH24">
        <f t="shared" si="37"/>
        <v>0.52444267032092229</v>
      </c>
      <c r="BI24">
        <f t="shared" si="38"/>
        <v>0.82434245306457588</v>
      </c>
      <c r="BJ24">
        <f t="shared" si="39"/>
        <v>1750.03</v>
      </c>
      <c r="BK24">
        <f t="shared" si="40"/>
        <v>1471.2288000962862</v>
      </c>
      <c r="BL24">
        <f t="shared" si="41"/>
        <v>0.84068775969342602</v>
      </c>
      <c r="BM24">
        <f t="shared" si="42"/>
        <v>0.19137551938685207</v>
      </c>
      <c r="BN24">
        <v>6</v>
      </c>
      <c r="BO24">
        <v>0.5</v>
      </c>
      <c r="BP24" t="s">
        <v>271</v>
      </c>
      <c r="BQ24">
        <v>1567881796.0999999</v>
      </c>
      <c r="BR24">
        <v>473.99099999999999</v>
      </c>
      <c r="BS24">
        <v>499.94499999999999</v>
      </c>
      <c r="BT24">
        <v>17.736599999999999</v>
      </c>
      <c r="BU24">
        <v>14.514699999999999</v>
      </c>
      <c r="BV24">
        <v>500.07</v>
      </c>
      <c r="BW24">
        <v>99.267099999999999</v>
      </c>
      <c r="BX24">
        <v>0.10004399999999999</v>
      </c>
      <c r="BY24">
        <v>24.974599999999999</v>
      </c>
      <c r="BZ24">
        <v>27.040500000000002</v>
      </c>
      <c r="CA24">
        <v>999.9</v>
      </c>
      <c r="CB24">
        <v>10010</v>
      </c>
      <c r="CC24">
        <v>0</v>
      </c>
      <c r="CD24">
        <v>1882.64</v>
      </c>
      <c r="CE24">
        <v>1750.03</v>
      </c>
      <c r="CF24">
        <v>0.97700699999999996</v>
      </c>
      <c r="CG24">
        <v>2.2993199999999998E-2</v>
      </c>
      <c r="CH24">
        <v>0</v>
      </c>
      <c r="CI24">
        <v>872.52200000000005</v>
      </c>
      <c r="CJ24">
        <v>4.99986</v>
      </c>
      <c r="CK24">
        <v>18745.3</v>
      </c>
      <c r="CL24">
        <v>14221</v>
      </c>
      <c r="CM24">
        <v>45</v>
      </c>
      <c r="CN24">
        <v>47.311999999999998</v>
      </c>
      <c r="CO24">
        <v>46</v>
      </c>
      <c r="CP24">
        <v>46.061999999999998</v>
      </c>
      <c r="CQ24">
        <v>46.625</v>
      </c>
      <c r="CR24">
        <v>1704.91</v>
      </c>
      <c r="CS24">
        <v>40.119999999999997</v>
      </c>
      <c r="CT24">
        <v>0</v>
      </c>
      <c r="CU24">
        <v>119.799999952316</v>
      </c>
      <c r="CV24">
        <v>872.67934615384604</v>
      </c>
      <c r="CW24">
        <v>-6.3213680554332699E-2</v>
      </c>
      <c r="CX24">
        <v>-430.80342008383701</v>
      </c>
      <c r="CY24">
        <v>18753.061538461501</v>
      </c>
      <c r="CZ24">
        <v>15</v>
      </c>
      <c r="DA24">
        <v>1567881822.2</v>
      </c>
      <c r="DB24" t="s">
        <v>313</v>
      </c>
      <c r="DC24">
        <v>85</v>
      </c>
      <c r="DD24">
        <v>-0.311</v>
      </c>
      <c r="DE24">
        <v>8.1000000000000003E-2</v>
      </c>
      <c r="DF24">
        <v>500</v>
      </c>
      <c r="DG24">
        <v>15</v>
      </c>
      <c r="DH24">
        <v>0.04</v>
      </c>
      <c r="DI24">
        <v>0.03</v>
      </c>
      <c r="DJ24">
        <v>20.787750498326599</v>
      </c>
      <c r="DK24">
        <v>-1.10900646727331</v>
      </c>
      <c r="DL24">
        <v>0.217063147758537</v>
      </c>
      <c r="DM24">
        <v>0</v>
      </c>
      <c r="DN24">
        <v>0.15524455549843699</v>
      </c>
      <c r="DO24">
        <v>-2.30159099171004E-2</v>
      </c>
      <c r="DP24">
        <v>4.4930976973757602E-3</v>
      </c>
      <c r="DQ24">
        <v>1</v>
      </c>
      <c r="DR24">
        <v>1</v>
      </c>
      <c r="DS24">
        <v>2</v>
      </c>
      <c r="DT24" t="s">
        <v>283</v>
      </c>
      <c r="DU24">
        <v>1.86734</v>
      </c>
      <c r="DV24">
        <v>1.86381</v>
      </c>
      <c r="DW24">
        <v>1.86947</v>
      </c>
      <c r="DX24">
        <v>1.86738</v>
      </c>
      <c r="DY24">
        <v>1.8721000000000001</v>
      </c>
      <c r="DZ24">
        <v>1.8645099999999999</v>
      </c>
      <c r="EA24">
        <v>1.8660600000000001</v>
      </c>
      <c r="EB24">
        <v>1.86599</v>
      </c>
      <c r="EC24" t="s">
        <v>274</v>
      </c>
      <c r="ED24" t="s">
        <v>19</v>
      </c>
      <c r="EE24" t="s">
        <v>19</v>
      </c>
      <c r="EF24" t="s">
        <v>19</v>
      </c>
      <c r="EG24" t="s">
        <v>275</v>
      </c>
      <c r="EH24" t="s">
        <v>276</v>
      </c>
      <c r="EI24" t="s">
        <v>277</v>
      </c>
      <c r="EJ24" t="s">
        <v>277</v>
      </c>
      <c r="EK24" t="s">
        <v>277</v>
      </c>
      <c r="EL24" t="s">
        <v>277</v>
      </c>
      <c r="EM24">
        <v>0</v>
      </c>
      <c r="EN24">
        <v>100</v>
      </c>
      <c r="EO24">
        <v>100</v>
      </c>
      <c r="EP24">
        <v>-0.311</v>
      </c>
      <c r="EQ24">
        <v>8.1000000000000003E-2</v>
      </c>
      <c r="ER24">
        <v>2</v>
      </c>
      <c r="ES24">
        <v>507.24700000000001</v>
      </c>
      <c r="ET24">
        <v>480.12200000000001</v>
      </c>
      <c r="EU24">
        <v>16.734200000000001</v>
      </c>
      <c r="EV24">
        <v>31.733499999999999</v>
      </c>
      <c r="EW24">
        <v>30.001000000000001</v>
      </c>
      <c r="EX24">
        <v>31.572099999999999</v>
      </c>
      <c r="EY24">
        <v>31.5611</v>
      </c>
      <c r="EZ24">
        <v>26.200199999999999</v>
      </c>
      <c r="FA24">
        <v>50.094999999999999</v>
      </c>
      <c r="FB24">
        <v>0</v>
      </c>
      <c r="FC24">
        <v>16.482299999999999</v>
      </c>
      <c r="FD24">
        <v>500</v>
      </c>
      <c r="FE24">
        <v>14.5122</v>
      </c>
      <c r="FF24">
        <v>101.06100000000001</v>
      </c>
      <c r="FG24">
        <v>101.562</v>
      </c>
    </row>
    <row r="25" spans="1:163" x14ac:dyDescent="0.35">
      <c r="A25">
        <v>9</v>
      </c>
      <c r="B25">
        <v>1567881935.2</v>
      </c>
      <c r="C25">
        <v>992.10000014305103</v>
      </c>
      <c r="D25" t="s">
        <v>314</v>
      </c>
      <c r="E25" t="s">
        <v>315</v>
      </c>
      <c r="G25">
        <v>1567881935.2</v>
      </c>
      <c r="H25">
        <f t="shared" si="0"/>
        <v>2.2523756101666126E-3</v>
      </c>
      <c r="I25">
        <f t="shared" si="1"/>
        <v>22.356184464487296</v>
      </c>
      <c r="J25">
        <f t="shared" si="2"/>
        <v>571.58600000000001</v>
      </c>
      <c r="K25">
        <f t="shared" si="3"/>
        <v>254.24794787632871</v>
      </c>
      <c r="L25">
        <f t="shared" si="4"/>
        <v>25.259354376710004</v>
      </c>
      <c r="M25">
        <f t="shared" si="5"/>
        <v>56.78666613187</v>
      </c>
      <c r="N25">
        <f t="shared" si="6"/>
        <v>0.12039344203249086</v>
      </c>
      <c r="O25">
        <f t="shared" si="7"/>
        <v>2.2476213794286002</v>
      </c>
      <c r="P25">
        <f t="shared" si="8"/>
        <v>0.11692213625091435</v>
      </c>
      <c r="Q25">
        <f t="shared" si="9"/>
        <v>7.3379881264710206E-2</v>
      </c>
      <c r="R25">
        <f t="shared" si="10"/>
        <v>281.51408401081636</v>
      </c>
      <c r="S25">
        <f t="shared" si="11"/>
        <v>26.13705502644904</v>
      </c>
      <c r="T25">
        <f t="shared" si="12"/>
        <v>27.01</v>
      </c>
      <c r="U25">
        <f t="shared" si="13"/>
        <v>3.5812623608065199</v>
      </c>
      <c r="V25">
        <f t="shared" si="14"/>
        <v>54.815995997310871</v>
      </c>
      <c r="W25">
        <f t="shared" si="15"/>
        <v>1.7184546905445</v>
      </c>
      <c r="X25">
        <f t="shared" si="16"/>
        <v>3.134951138402744</v>
      </c>
      <c r="Y25">
        <f t="shared" si="17"/>
        <v>1.86280767026202</v>
      </c>
      <c r="Z25">
        <f t="shared" si="18"/>
        <v>-99.329764408347614</v>
      </c>
      <c r="AA25">
        <f t="shared" si="19"/>
        <v>-272.32591678154824</v>
      </c>
      <c r="AB25">
        <f t="shared" si="20"/>
        <v>-25.858372821916081</v>
      </c>
      <c r="AC25">
        <f t="shared" si="21"/>
        <v>-115.99997000099557</v>
      </c>
      <c r="AD25">
        <v>-4.1119742003957002E-2</v>
      </c>
      <c r="AE25">
        <v>4.6160512686688797E-2</v>
      </c>
      <c r="AF25">
        <v>3.4509690154509198</v>
      </c>
      <c r="AG25">
        <v>0</v>
      </c>
      <c r="AH25">
        <v>0</v>
      </c>
      <c r="AI25">
        <f t="shared" si="22"/>
        <v>1</v>
      </c>
      <c r="AJ25">
        <f t="shared" si="23"/>
        <v>0</v>
      </c>
      <c r="AK25">
        <f t="shared" si="24"/>
        <v>52830.074574421684</v>
      </c>
      <c r="AL25" t="s">
        <v>268</v>
      </c>
      <c r="AM25">
        <v>631.89076923076902</v>
      </c>
      <c r="AN25">
        <v>3514.37</v>
      </c>
      <c r="AO25">
        <f t="shared" si="25"/>
        <v>2882.479230769231</v>
      </c>
      <c r="AP25">
        <f t="shared" si="26"/>
        <v>0.82019799587670938</v>
      </c>
      <c r="AQ25">
        <v>-1.4218795309761501</v>
      </c>
      <c r="AR25" t="s">
        <v>316</v>
      </c>
      <c r="AS25">
        <v>867.43050000000005</v>
      </c>
      <c r="AT25">
        <v>1144.71</v>
      </c>
      <c r="AU25">
        <f t="shared" si="27"/>
        <v>0.24222685221584506</v>
      </c>
      <c r="AV25">
        <v>0.5</v>
      </c>
      <c r="AW25">
        <f t="shared" si="28"/>
        <v>1471.0020000963011</v>
      </c>
      <c r="AX25">
        <f t="shared" si="29"/>
        <v>22.356184464487296</v>
      </c>
      <c r="AY25">
        <f t="shared" si="30"/>
        <v>178.15809204326962</v>
      </c>
      <c r="AZ25">
        <f t="shared" si="31"/>
        <v>0.5146718382821851</v>
      </c>
      <c r="BA25">
        <f t="shared" si="32"/>
        <v>1.6164535462158978E-2</v>
      </c>
      <c r="BB25">
        <f t="shared" si="33"/>
        <v>2.0700963562823769</v>
      </c>
      <c r="BC25" t="s">
        <v>317</v>
      </c>
      <c r="BD25">
        <v>555.55999999999995</v>
      </c>
      <c r="BE25">
        <f t="shared" si="34"/>
        <v>589.15000000000009</v>
      </c>
      <c r="BF25">
        <f t="shared" si="35"/>
        <v>0.47064329966901458</v>
      </c>
      <c r="BG25">
        <f t="shared" si="36"/>
        <v>0.80088278733680096</v>
      </c>
      <c r="BH25">
        <f t="shared" si="37"/>
        <v>0.54069637674094162</v>
      </c>
      <c r="BI25">
        <f t="shared" si="38"/>
        <v>0.82209091906192922</v>
      </c>
      <c r="BJ25">
        <f t="shared" si="39"/>
        <v>1749.76</v>
      </c>
      <c r="BK25">
        <f t="shared" si="40"/>
        <v>1471.0020000963011</v>
      </c>
      <c r="BL25">
        <f t="shared" si="41"/>
        <v>0.84068786581948451</v>
      </c>
      <c r="BM25">
        <f t="shared" si="42"/>
        <v>0.19137573163896901</v>
      </c>
      <c r="BN25">
        <v>6</v>
      </c>
      <c r="BO25">
        <v>0.5</v>
      </c>
      <c r="BP25" t="s">
        <v>271</v>
      </c>
      <c r="BQ25">
        <v>1567881935.2</v>
      </c>
      <c r="BR25">
        <v>571.58600000000001</v>
      </c>
      <c r="BS25">
        <v>599.95299999999997</v>
      </c>
      <c r="BT25">
        <v>17.2971</v>
      </c>
      <c r="BU25">
        <v>14.641500000000001</v>
      </c>
      <c r="BV25">
        <v>500.09399999999999</v>
      </c>
      <c r="BW25">
        <v>99.249099999999999</v>
      </c>
      <c r="BX25">
        <v>0.10019500000000001</v>
      </c>
      <c r="BY25">
        <v>24.762599999999999</v>
      </c>
      <c r="BZ25">
        <v>27.01</v>
      </c>
      <c r="CA25">
        <v>999.9</v>
      </c>
      <c r="CB25">
        <v>9991.25</v>
      </c>
      <c r="CC25">
        <v>0</v>
      </c>
      <c r="CD25">
        <v>1849.15</v>
      </c>
      <c r="CE25">
        <v>1749.76</v>
      </c>
      <c r="CF25">
        <v>0.97700699999999996</v>
      </c>
      <c r="CG25">
        <v>2.2993199999999998E-2</v>
      </c>
      <c r="CH25">
        <v>0</v>
      </c>
      <c r="CI25">
        <v>866.86</v>
      </c>
      <c r="CJ25">
        <v>4.99986</v>
      </c>
      <c r="CK25">
        <v>18566.7</v>
      </c>
      <c r="CL25">
        <v>14218.8</v>
      </c>
      <c r="CM25">
        <v>45.311999999999998</v>
      </c>
      <c r="CN25">
        <v>47.875</v>
      </c>
      <c r="CO25">
        <v>46.375</v>
      </c>
      <c r="CP25">
        <v>46.5</v>
      </c>
      <c r="CQ25">
        <v>46.875</v>
      </c>
      <c r="CR25">
        <v>1704.64</v>
      </c>
      <c r="CS25">
        <v>40.119999999999997</v>
      </c>
      <c r="CT25">
        <v>0</v>
      </c>
      <c r="CU25">
        <v>138.59999990463299</v>
      </c>
      <c r="CV25">
        <v>867.43050000000005</v>
      </c>
      <c r="CW25">
        <v>-3.06799998045165</v>
      </c>
      <c r="CX25">
        <v>-546.47179306568205</v>
      </c>
      <c r="CY25">
        <v>18580.273076923098</v>
      </c>
      <c r="CZ25">
        <v>15</v>
      </c>
      <c r="DA25">
        <v>1567881890.2</v>
      </c>
      <c r="DB25" t="s">
        <v>318</v>
      </c>
      <c r="DC25">
        <v>86</v>
      </c>
      <c r="DD25">
        <v>-0.223</v>
      </c>
      <c r="DE25">
        <v>6.8000000000000005E-2</v>
      </c>
      <c r="DF25">
        <v>600</v>
      </c>
      <c r="DG25">
        <v>14</v>
      </c>
      <c r="DH25">
        <v>0.05</v>
      </c>
      <c r="DI25">
        <v>0.03</v>
      </c>
      <c r="DJ25">
        <v>22.4453746236657</v>
      </c>
      <c r="DK25">
        <v>9.0666644968602494E-2</v>
      </c>
      <c r="DL25">
        <v>0.452706340374047</v>
      </c>
      <c r="DM25">
        <v>1</v>
      </c>
      <c r="DN25">
        <v>0.128952341898456</v>
      </c>
      <c r="DO25">
        <v>-2.8848339625156101E-2</v>
      </c>
      <c r="DP25">
        <v>6.4321158418709796E-3</v>
      </c>
      <c r="DQ25">
        <v>1</v>
      </c>
      <c r="DR25">
        <v>2</v>
      </c>
      <c r="DS25">
        <v>2</v>
      </c>
      <c r="DT25" t="s">
        <v>273</v>
      </c>
      <c r="DU25">
        <v>1.8673299999999999</v>
      </c>
      <c r="DV25">
        <v>1.8638300000000001</v>
      </c>
      <c r="DW25">
        <v>1.86948</v>
      </c>
      <c r="DX25">
        <v>1.86737</v>
      </c>
      <c r="DY25">
        <v>1.8721000000000001</v>
      </c>
      <c r="DZ25">
        <v>1.86449</v>
      </c>
      <c r="EA25">
        <v>1.8660300000000001</v>
      </c>
      <c r="EB25">
        <v>1.86599</v>
      </c>
      <c r="EC25" t="s">
        <v>274</v>
      </c>
      <c r="ED25" t="s">
        <v>19</v>
      </c>
      <c r="EE25" t="s">
        <v>19</v>
      </c>
      <c r="EF25" t="s">
        <v>19</v>
      </c>
      <c r="EG25" t="s">
        <v>275</v>
      </c>
      <c r="EH25" t="s">
        <v>276</v>
      </c>
      <c r="EI25" t="s">
        <v>277</v>
      </c>
      <c r="EJ25" t="s">
        <v>277</v>
      </c>
      <c r="EK25" t="s">
        <v>277</v>
      </c>
      <c r="EL25" t="s">
        <v>277</v>
      </c>
      <c r="EM25">
        <v>0</v>
      </c>
      <c r="EN25">
        <v>100</v>
      </c>
      <c r="EO25">
        <v>100</v>
      </c>
      <c r="EP25">
        <v>-0.223</v>
      </c>
      <c r="EQ25">
        <v>6.8000000000000005E-2</v>
      </c>
      <c r="ER25">
        <v>2</v>
      </c>
      <c r="ES25">
        <v>506.76799999999997</v>
      </c>
      <c r="ET25">
        <v>478.471</v>
      </c>
      <c r="EU25">
        <v>17.300699999999999</v>
      </c>
      <c r="EV25">
        <v>32.095300000000002</v>
      </c>
      <c r="EW25">
        <v>29.9986</v>
      </c>
      <c r="EX25">
        <v>31.871099999999998</v>
      </c>
      <c r="EY25">
        <v>31.851600000000001</v>
      </c>
      <c r="EZ25">
        <v>30.336600000000001</v>
      </c>
      <c r="FA25">
        <v>49.828800000000001</v>
      </c>
      <c r="FB25">
        <v>0</v>
      </c>
      <c r="FC25">
        <v>17.498000000000001</v>
      </c>
      <c r="FD25">
        <v>600</v>
      </c>
      <c r="FE25">
        <v>14.6678</v>
      </c>
      <c r="FF25">
        <v>100.999</v>
      </c>
      <c r="FG25">
        <v>101.489</v>
      </c>
    </row>
    <row r="26" spans="1:163" x14ac:dyDescent="0.35">
      <c r="A26">
        <v>10</v>
      </c>
      <c r="B26">
        <v>1567882055.7</v>
      </c>
      <c r="C26">
        <v>1112.60000014305</v>
      </c>
      <c r="D26" t="s">
        <v>319</v>
      </c>
      <c r="E26" t="s">
        <v>320</v>
      </c>
      <c r="G26">
        <v>1567882055.7</v>
      </c>
      <c r="H26">
        <f t="shared" si="0"/>
        <v>2.2924963269922269E-3</v>
      </c>
      <c r="I26">
        <f t="shared" si="1"/>
        <v>24.713872845611455</v>
      </c>
      <c r="J26">
        <f t="shared" si="2"/>
        <v>668.55600000000004</v>
      </c>
      <c r="K26">
        <f t="shared" si="3"/>
        <v>322.51099414345327</v>
      </c>
      <c r="L26">
        <f t="shared" si="4"/>
        <v>32.03989051190171</v>
      </c>
      <c r="M26">
        <f t="shared" si="5"/>
        <v>66.417770029715996</v>
      </c>
      <c r="N26">
        <f t="shared" si="6"/>
        <v>0.12261777533146687</v>
      </c>
      <c r="O26">
        <f t="shared" si="7"/>
        <v>2.2469858812405556</v>
      </c>
      <c r="P26">
        <f t="shared" si="8"/>
        <v>0.11901809453078371</v>
      </c>
      <c r="Q26">
        <f t="shared" si="9"/>
        <v>7.4700923666172162E-2</v>
      </c>
      <c r="R26">
        <f t="shared" si="10"/>
        <v>281.550791793168</v>
      </c>
      <c r="S26">
        <f t="shared" si="11"/>
        <v>26.065405092118571</v>
      </c>
      <c r="T26">
        <f t="shared" si="12"/>
        <v>27.005199999999999</v>
      </c>
      <c r="U26">
        <f t="shared" si="13"/>
        <v>3.5802529456208743</v>
      </c>
      <c r="V26">
        <f t="shared" si="14"/>
        <v>54.985917538776064</v>
      </c>
      <c r="W26">
        <f t="shared" si="15"/>
        <v>1.7177167072344</v>
      </c>
      <c r="X26">
        <f t="shared" si="16"/>
        <v>3.1239211494889871</v>
      </c>
      <c r="Y26">
        <f t="shared" si="17"/>
        <v>1.8625362383864743</v>
      </c>
      <c r="Z26">
        <f t="shared" si="18"/>
        <v>-101.0990880203572</v>
      </c>
      <c r="AA26">
        <f t="shared" si="19"/>
        <v>-278.81467971224066</v>
      </c>
      <c r="AB26">
        <f t="shared" si="20"/>
        <v>-26.473532940816206</v>
      </c>
      <c r="AC26">
        <f t="shared" si="21"/>
        <v>-124.83650888024607</v>
      </c>
      <c r="AD26">
        <v>-4.1102651984631797E-2</v>
      </c>
      <c r="AE26">
        <v>4.6141327642828397E-2</v>
      </c>
      <c r="AF26">
        <v>3.4498333868303299</v>
      </c>
      <c r="AG26">
        <v>0</v>
      </c>
      <c r="AH26">
        <v>0</v>
      </c>
      <c r="AI26">
        <f t="shared" si="22"/>
        <v>1</v>
      </c>
      <c r="AJ26">
        <f t="shared" si="23"/>
        <v>0</v>
      </c>
      <c r="AK26">
        <f t="shared" si="24"/>
        <v>52819.388618387027</v>
      </c>
      <c r="AL26" t="s">
        <v>268</v>
      </c>
      <c r="AM26">
        <v>631.89076923076902</v>
      </c>
      <c r="AN26">
        <v>3514.37</v>
      </c>
      <c r="AO26">
        <f t="shared" si="25"/>
        <v>2882.479230769231</v>
      </c>
      <c r="AP26">
        <f t="shared" si="26"/>
        <v>0.82019799587670938</v>
      </c>
      <c r="AQ26">
        <v>-1.4218795309761501</v>
      </c>
      <c r="AR26" t="s">
        <v>321</v>
      </c>
      <c r="AS26">
        <v>864.66842307692298</v>
      </c>
      <c r="AT26">
        <v>1161.57</v>
      </c>
      <c r="AU26">
        <f t="shared" si="27"/>
        <v>0.25560368890646024</v>
      </c>
      <c r="AV26">
        <v>0.5</v>
      </c>
      <c r="AW26">
        <f t="shared" si="28"/>
        <v>1471.1952000962885</v>
      </c>
      <c r="AX26">
        <f t="shared" si="29"/>
        <v>24.713872845611455</v>
      </c>
      <c r="AY26">
        <f t="shared" si="30"/>
        <v>188.02146012304462</v>
      </c>
      <c r="AZ26">
        <f t="shared" si="31"/>
        <v>0.52194013275136242</v>
      </c>
      <c r="BA26">
        <f t="shared" si="32"/>
        <v>1.7764979368391793E-2</v>
      </c>
      <c r="BB26">
        <f t="shared" si="33"/>
        <v>2.0255344060194393</v>
      </c>
      <c r="BC26" t="s">
        <v>322</v>
      </c>
      <c r="BD26">
        <v>555.29999999999995</v>
      </c>
      <c r="BE26">
        <f t="shared" si="34"/>
        <v>606.27</v>
      </c>
      <c r="BF26">
        <f t="shared" si="35"/>
        <v>0.48971840421442092</v>
      </c>
      <c r="BG26">
        <f t="shared" si="36"/>
        <v>0.79511468130189566</v>
      </c>
      <c r="BH26">
        <f t="shared" si="37"/>
        <v>0.56053090186658683</v>
      </c>
      <c r="BI26">
        <f t="shared" si="38"/>
        <v>0.81624178758509969</v>
      </c>
      <c r="BJ26">
        <f t="shared" si="39"/>
        <v>1749.99</v>
      </c>
      <c r="BK26">
        <f t="shared" si="40"/>
        <v>1471.1952000962885</v>
      </c>
      <c r="BL26">
        <f t="shared" si="41"/>
        <v>0.84068777541373862</v>
      </c>
      <c r="BM26">
        <f t="shared" si="42"/>
        <v>0.19137555082747737</v>
      </c>
      <c r="BN26">
        <v>6</v>
      </c>
      <c r="BO26">
        <v>0.5</v>
      </c>
      <c r="BP26" t="s">
        <v>271</v>
      </c>
      <c r="BQ26">
        <v>1567882055.7</v>
      </c>
      <c r="BR26">
        <v>668.55600000000004</v>
      </c>
      <c r="BS26">
        <v>700.048</v>
      </c>
      <c r="BT26">
        <v>17.290400000000002</v>
      </c>
      <c r="BU26">
        <v>14.587300000000001</v>
      </c>
      <c r="BV26">
        <v>500.06099999999998</v>
      </c>
      <c r="BW26">
        <v>99.245099999999994</v>
      </c>
      <c r="BX26">
        <v>0.100011</v>
      </c>
      <c r="BY26">
        <v>24.703600000000002</v>
      </c>
      <c r="BZ26">
        <v>27.005199999999999</v>
      </c>
      <c r="CA26">
        <v>999.9</v>
      </c>
      <c r="CB26">
        <v>9987.5</v>
      </c>
      <c r="CC26">
        <v>0</v>
      </c>
      <c r="CD26">
        <v>1818.08</v>
      </c>
      <c r="CE26">
        <v>1749.99</v>
      </c>
      <c r="CF26">
        <v>0.97701099999999996</v>
      </c>
      <c r="CG26">
        <v>2.2989099999999998E-2</v>
      </c>
      <c r="CH26">
        <v>0</v>
      </c>
      <c r="CI26">
        <v>864.22799999999995</v>
      </c>
      <c r="CJ26">
        <v>4.99986</v>
      </c>
      <c r="CK26">
        <v>18577.8</v>
      </c>
      <c r="CL26">
        <v>14220.7</v>
      </c>
      <c r="CM26">
        <v>45.561999999999998</v>
      </c>
      <c r="CN26">
        <v>48.25</v>
      </c>
      <c r="CO26">
        <v>46.686999999999998</v>
      </c>
      <c r="CP26">
        <v>46.875</v>
      </c>
      <c r="CQ26">
        <v>47.125</v>
      </c>
      <c r="CR26">
        <v>1704.87</v>
      </c>
      <c r="CS26">
        <v>40.119999999999997</v>
      </c>
      <c r="CT26">
        <v>0</v>
      </c>
      <c r="CU26">
        <v>120</v>
      </c>
      <c r="CV26">
        <v>864.66842307692298</v>
      </c>
      <c r="CW26">
        <v>-5.7193504261436603</v>
      </c>
      <c r="CX26">
        <v>-212.468375699695</v>
      </c>
      <c r="CY26">
        <v>18580.373076923101</v>
      </c>
      <c r="CZ26">
        <v>15</v>
      </c>
      <c r="DA26">
        <v>1567882022.7</v>
      </c>
      <c r="DB26" t="s">
        <v>323</v>
      </c>
      <c r="DC26">
        <v>87</v>
      </c>
      <c r="DD26">
        <v>-0.29399999999999998</v>
      </c>
      <c r="DE26">
        <v>7.5999999999999998E-2</v>
      </c>
      <c r="DF26">
        <v>700</v>
      </c>
      <c r="DG26">
        <v>14</v>
      </c>
      <c r="DH26">
        <v>7.0000000000000007E-2</v>
      </c>
      <c r="DI26">
        <v>0.03</v>
      </c>
      <c r="DJ26">
        <v>18.0226366279839</v>
      </c>
      <c r="DK26">
        <v>44.096228064609598</v>
      </c>
      <c r="DL26">
        <v>10.550461095349</v>
      </c>
      <c r="DM26">
        <v>0</v>
      </c>
      <c r="DN26">
        <v>8.7599950241813995E-2</v>
      </c>
      <c r="DO26">
        <v>0.218597164175342</v>
      </c>
      <c r="DP26">
        <v>5.14944316114338E-2</v>
      </c>
      <c r="DQ26">
        <v>1</v>
      </c>
      <c r="DR26">
        <v>1</v>
      </c>
      <c r="DS26">
        <v>2</v>
      </c>
      <c r="DT26" t="s">
        <v>283</v>
      </c>
      <c r="DU26">
        <v>1.86734</v>
      </c>
      <c r="DV26">
        <v>1.8638300000000001</v>
      </c>
      <c r="DW26">
        <v>1.86947</v>
      </c>
      <c r="DX26">
        <v>1.86738</v>
      </c>
      <c r="DY26">
        <v>1.8721000000000001</v>
      </c>
      <c r="DZ26">
        <v>1.86453</v>
      </c>
      <c r="EA26">
        <v>1.8660300000000001</v>
      </c>
      <c r="EB26">
        <v>1.8660000000000001</v>
      </c>
      <c r="EC26" t="s">
        <v>274</v>
      </c>
      <c r="ED26" t="s">
        <v>19</v>
      </c>
      <c r="EE26" t="s">
        <v>19</v>
      </c>
      <c r="EF26" t="s">
        <v>19</v>
      </c>
      <c r="EG26" t="s">
        <v>275</v>
      </c>
      <c r="EH26" t="s">
        <v>276</v>
      </c>
      <c r="EI26" t="s">
        <v>277</v>
      </c>
      <c r="EJ26" t="s">
        <v>277</v>
      </c>
      <c r="EK26" t="s">
        <v>277</v>
      </c>
      <c r="EL26" t="s">
        <v>277</v>
      </c>
      <c r="EM26">
        <v>0</v>
      </c>
      <c r="EN26">
        <v>100</v>
      </c>
      <c r="EO26">
        <v>100</v>
      </c>
      <c r="EP26">
        <v>-0.29399999999999998</v>
      </c>
      <c r="EQ26">
        <v>7.5999999999999998E-2</v>
      </c>
      <c r="ER26">
        <v>2</v>
      </c>
      <c r="ES26">
        <v>506.83300000000003</v>
      </c>
      <c r="ET26">
        <v>477.72399999999999</v>
      </c>
      <c r="EU26">
        <v>17.6554</v>
      </c>
      <c r="EV26">
        <v>32.377800000000001</v>
      </c>
      <c r="EW26">
        <v>30.000800000000002</v>
      </c>
      <c r="EX26">
        <v>32.135100000000001</v>
      </c>
      <c r="EY26">
        <v>32.107999999999997</v>
      </c>
      <c r="EZ26">
        <v>34.347999999999999</v>
      </c>
      <c r="FA26">
        <v>50.837800000000001</v>
      </c>
      <c r="FB26">
        <v>0</v>
      </c>
      <c r="FC26">
        <v>17.667100000000001</v>
      </c>
      <c r="FD26">
        <v>700</v>
      </c>
      <c r="FE26">
        <v>14.5853</v>
      </c>
      <c r="FF26">
        <v>100.958</v>
      </c>
      <c r="FG26">
        <v>101.44199999999999</v>
      </c>
    </row>
    <row r="27" spans="1:163" x14ac:dyDescent="0.35">
      <c r="A27">
        <v>11</v>
      </c>
      <c r="B27">
        <v>1567882176.2</v>
      </c>
      <c r="C27">
        <v>1233.10000014305</v>
      </c>
      <c r="D27" t="s">
        <v>324</v>
      </c>
      <c r="E27" t="s">
        <v>325</v>
      </c>
      <c r="G27">
        <v>1567882176.2</v>
      </c>
      <c r="H27">
        <f t="shared" si="0"/>
        <v>2.031556786641027E-3</v>
      </c>
      <c r="I27">
        <f t="shared" si="1"/>
        <v>26.450037806025701</v>
      </c>
      <c r="J27">
        <f t="shared" si="2"/>
        <v>766.42100000000005</v>
      </c>
      <c r="K27">
        <f t="shared" si="3"/>
        <v>347.40688354240297</v>
      </c>
      <c r="L27">
        <f t="shared" si="4"/>
        <v>34.509601285666214</v>
      </c>
      <c r="M27">
        <f t="shared" si="5"/>
        <v>76.132294378482996</v>
      </c>
      <c r="N27">
        <f t="shared" si="6"/>
        <v>0.10771704977978873</v>
      </c>
      <c r="O27">
        <f t="shared" si="7"/>
        <v>2.2467323411906257</v>
      </c>
      <c r="P27">
        <f t="shared" si="8"/>
        <v>0.10492807077083387</v>
      </c>
      <c r="Q27">
        <f t="shared" si="9"/>
        <v>6.5824608338218474E-2</v>
      </c>
      <c r="R27">
        <f t="shared" si="10"/>
        <v>281.55566925126851</v>
      </c>
      <c r="S27">
        <f t="shared" si="11"/>
        <v>26.065243231038533</v>
      </c>
      <c r="T27">
        <f t="shared" si="12"/>
        <v>27.0319</v>
      </c>
      <c r="U27">
        <f t="shared" si="13"/>
        <v>3.5858709706651624</v>
      </c>
      <c r="V27">
        <f t="shared" si="14"/>
        <v>55.151194028061447</v>
      </c>
      <c r="W27">
        <f t="shared" si="15"/>
        <v>1.7139131025597001</v>
      </c>
      <c r="X27">
        <f t="shared" si="16"/>
        <v>3.1076627310872817</v>
      </c>
      <c r="Y27">
        <f t="shared" si="17"/>
        <v>1.8719578681054623</v>
      </c>
      <c r="Z27">
        <f t="shared" si="18"/>
        <v>-89.591654290869286</v>
      </c>
      <c r="AA27">
        <f t="shared" si="19"/>
        <v>-292.59156455790685</v>
      </c>
      <c r="AB27">
        <f t="shared" si="20"/>
        <v>-27.77637887561086</v>
      </c>
      <c r="AC27">
        <f t="shared" si="21"/>
        <v>-128.4039284731185</v>
      </c>
      <c r="AD27">
        <v>-4.10958349200818E-2</v>
      </c>
      <c r="AE27">
        <v>4.6133674890663397E-2</v>
      </c>
      <c r="AF27">
        <v>3.4493803489695898</v>
      </c>
      <c r="AG27">
        <v>0</v>
      </c>
      <c r="AH27">
        <v>0</v>
      </c>
      <c r="AI27">
        <f t="shared" si="22"/>
        <v>1</v>
      </c>
      <c r="AJ27">
        <f t="shared" si="23"/>
        <v>0</v>
      </c>
      <c r="AK27">
        <f t="shared" si="24"/>
        <v>52826.252284674985</v>
      </c>
      <c r="AL27" t="s">
        <v>268</v>
      </c>
      <c r="AM27">
        <v>631.89076923076902</v>
      </c>
      <c r="AN27">
        <v>3514.37</v>
      </c>
      <c r="AO27">
        <f t="shared" si="25"/>
        <v>2882.479230769231</v>
      </c>
      <c r="AP27">
        <f t="shared" si="26"/>
        <v>0.82019799587670938</v>
      </c>
      <c r="AQ27">
        <v>-1.4218795309761501</v>
      </c>
      <c r="AR27" t="s">
        <v>326</v>
      </c>
      <c r="AS27">
        <v>864.00665384615399</v>
      </c>
      <c r="AT27">
        <v>1176.0899999999999</v>
      </c>
      <c r="AU27">
        <f t="shared" si="27"/>
        <v>0.26535668711905203</v>
      </c>
      <c r="AV27">
        <v>0.5</v>
      </c>
      <c r="AW27">
        <f t="shared" si="28"/>
        <v>1471.2129000963594</v>
      </c>
      <c r="AX27">
        <f t="shared" si="29"/>
        <v>26.450037806025701</v>
      </c>
      <c r="AY27">
        <f t="shared" si="30"/>
        <v>195.19809060819139</v>
      </c>
      <c r="AZ27">
        <f t="shared" si="31"/>
        <v>0.5295598125993759</v>
      </c>
      <c r="BA27">
        <f t="shared" si="32"/>
        <v>1.8944856543316291E-2</v>
      </c>
      <c r="BB27">
        <f t="shared" si="33"/>
        <v>1.9881811766106334</v>
      </c>
      <c r="BC27" t="s">
        <v>327</v>
      </c>
      <c r="BD27">
        <v>553.28</v>
      </c>
      <c r="BE27">
        <f t="shared" si="34"/>
        <v>622.80999999999995</v>
      </c>
      <c r="BF27">
        <f t="shared" si="35"/>
        <v>0.50108917029888078</v>
      </c>
      <c r="BG27">
        <f t="shared" si="36"/>
        <v>0.78966866930758595</v>
      </c>
      <c r="BH27">
        <f t="shared" si="37"/>
        <v>0.57347259699855346</v>
      </c>
      <c r="BI27">
        <f t="shared" si="38"/>
        <v>0.81120445727409318</v>
      </c>
      <c r="BJ27">
        <f t="shared" si="39"/>
        <v>1750.01</v>
      </c>
      <c r="BK27">
        <f t="shared" si="40"/>
        <v>1471.2129000963594</v>
      </c>
      <c r="BL27">
        <f t="shared" si="41"/>
        <v>0.84068828183630917</v>
      </c>
      <c r="BM27">
        <f t="shared" si="42"/>
        <v>0.1913765636726184</v>
      </c>
      <c r="BN27">
        <v>6</v>
      </c>
      <c r="BO27">
        <v>0.5</v>
      </c>
      <c r="BP27" t="s">
        <v>271</v>
      </c>
      <c r="BQ27">
        <v>1567882176.2</v>
      </c>
      <c r="BR27">
        <v>766.42100000000005</v>
      </c>
      <c r="BS27">
        <v>800.02800000000002</v>
      </c>
      <c r="BT27">
        <v>17.253900000000002</v>
      </c>
      <c r="BU27">
        <v>14.8582</v>
      </c>
      <c r="BV27">
        <v>500.02199999999999</v>
      </c>
      <c r="BW27">
        <v>99.234800000000007</v>
      </c>
      <c r="BX27">
        <v>0.100023</v>
      </c>
      <c r="BY27">
        <v>24.616299999999999</v>
      </c>
      <c r="BZ27">
        <v>27.0319</v>
      </c>
      <c r="CA27">
        <v>999.9</v>
      </c>
      <c r="CB27">
        <v>9986.8799999999992</v>
      </c>
      <c r="CC27">
        <v>0</v>
      </c>
      <c r="CD27">
        <v>1871.27</v>
      </c>
      <c r="CE27">
        <v>1750.01</v>
      </c>
      <c r="CF27">
        <v>0.97699199999999997</v>
      </c>
      <c r="CG27">
        <v>2.30081E-2</v>
      </c>
      <c r="CH27">
        <v>0</v>
      </c>
      <c r="CI27">
        <v>863.41800000000001</v>
      </c>
      <c r="CJ27">
        <v>4.99986</v>
      </c>
      <c r="CK27">
        <v>18726.900000000001</v>
      </c>
      <c r="CL27">
        <v>14220.8</v>
      </c>
      <c r="CM27">
        <v>45.75</v>
      </c>
      <c r="CN27">
        <v>48.561999999999998</v>
      </c>
      <c r="CO27">
        <v>46.936999999999998</v>
      </c>
      <c r="CP27">
        <v>47</v>
      </c>
      <c r="CQ27">
        <v>47.311999999999998</v>
      </c>
      <c r="CR27">
        <v>1704.86</v>
      </c>
      <c r="CS27">
        <v>40.15</v>
      </c>
      <c r="CT27">
        <v>0</v>
      </c>
      <c r="CU27">
        <v>120</v>
      </c>
      <c r="CV27">
        <v>864.00665384615399</v>
      </c>
      <c r="CW27">
        <v>-3.9584615456476899</v>
      </c>
      <c r="CX27">
        <v>-97.237606661129803</v>
      </c>
      <c r="CY27">
        <v>18731.7153846154</v>
      </c>
      <c r="CZ27">
        <v>15</v>
      </c>
      <c r="DA27">
        <v>1567882133.7</v>
      </c>
      <c r="DB27" t="s">
        <v>328</v>
      </c>
      <c r="DC27">
        <v>88</v>
      </c>
      <c r="DD27">
        <v>-0.28799999999999998</v>
      </c>
      <c r="DE27">
        <v>8.1000000000000003E-2</v>
      </c>
      <c r="DF27">
        <v>800</v>
      </c>
      <c r="DG27">
        <v>15</v>
      </c>
      <c r="DH27">
        <v>0.05</v>
      </c>
      <c r="DI27">
        <v>0.03</v>
      </c>
      <c r="DJ27">
        <v>25.880939833115299</v>
      </c>
      <c r="DK27">
        <v>5.8042305915825301</v>
      </c>
      <c r="DL27">
        <v>2.9082180217015599</v>
      </c>
      <c r="DM27">
        <v>0</v>
      </c>
      <c r="DN27">
        <v>0.10519723493849401</v>
      </c>
      <c r="DO27">
        <v>2.3294482193629201E-2</v>
      </c>
      <c r="DP27">
        <v>1.19406761673111E-2</v>
      </c>
      <c r="DQ27">
        <v>1</v>
      </c>
      <c r="DR27">
        <v>1</v>
      </c>
      <c r="DS27">
        <v>2</v>
      </c>
      <c r="DT27" t="s">
        <v>283</v>
      </c>
      <c r="DU27">
        <v>1.86734</v>
      </c>
      <c r="DV27">
        <v>1.86382</v>
      </c>
      <c r="DW27">
        <v>1.86948</v>
      </c>
      <c r="DX27">
        <v>1.86737</v>
      </c>
      <c r="DY27">
        <v>1.8721000000000001</v>
      </c>
      <c r="DZ27">
        <v>1.8645</v>
      </c>
      <c r="EA27">
        <v>1.8660300000000001</v>
      </c>
      <c r="EB27">
        <v>1.86598</v>
      </c>
      <c r="EC27" t="s">
        <v>274</v>
      </c>
      <c r="ED27" t="s">
        <v>19</v>
      </c>
      <c r="EE27" t="s">
        <v>19</v>
      </c>
      <c r="EF27" t="s">
        <v>19</v>
      </c>
      <c r="EG27" t="s">
        <v>275</v>
      </c>
      <c r="EH27" t="s">
        <v>276</v>
      </c>
      <c r="EI27" t="s">
        <v>277</v>
      </c>
      <c r="EJ27" t="s">
        <v>277</v>
      </c>
      <c r="EK27" t="s">
        <v>277</v>
      </c>
      <c r="EL27" t="s">
        <v>277</v>
      </c>
      <c r="EM27">
        <v>0</v>
      </c>
      <c r="EN27">
        <v>100</v>
      </c>
      <c r="EO27">
        <v>100</v>
      </c>
      <c r="EP27">
        <v>-0.28799999999999998</v>
      </c>
      <c r="EQ27">
        <v>8.1000000000000003E-2</v>
      </c>
      <c r="ER27">
        <v>2</v>
      </c>
      <c r="ES27">
        <v>507.18099999999998</v>
      </c>
      <c r="ET27">
        <v>477.90300000000002</v>
      </c>
      <c r="EU27">
        <v>17.052</v>
      </c>
      <c r="EV27">
        <v>32.555900000000001</v>
      </c>
      <c r="EW27">
        <v>30.000699999999998</v>
      </c>
      <c r="EX27">
        <v>32.343000000000004</v>
      </c>
      <c r="EY27">
        <v>32.321100000000001</v>
      </c>
      <c r="EZ27">
        <v>38.2669</v>
      </c>
      <c r="FA27">
        <v>49.813800000000001</v>
      </c>
      <c r="FB27">
        <v>0</v>
      </c>
      <c r="FC27">
        <v>17.030200000000001</v>
      </c>
      <c r="FD27">
        <v>800</v>
      </c>
      <c r="FE27">
        <v>14.8749</v>
      </c>
      <c r="FF27">
        <v>100.93</v>
      </c>
      <c r="FG27">
        <v>101.40900000000001</v>
      </c>
    </row>
    <row r="28" spans="1:163" x14ac:dyDescent="0.35">
      <c r="A28">
        <v>12</v>
      </c>
      <c r="B28">
        <v>1567882296.7</v>
      </c>
      <c r="C28">
        <v>1353.60000014305</v>
      </c>
      <c r="D28" t="s">
        <v>329</v>
      </c>
      <c r="E28" t="s">
        <v>330</v>
      </c>
      <c r="G28">
        <v>1567882296.7</v>
      </c>
      <c r="H28">
        <f t="shared" si="0"/>
        <v>1.980211529523517E-3</v>
      </c>
      <c r="I28">
        <f t="shared" si="1"/>
        <v>30.053505580518426</v>
      </c>
      <c r="J28">
        <f t="shared" si="2"/>
        <v>961.66</v>
      </c>
      <c r="K28">
        <f t="shared" si="3"/>
        <v>467.45950542171465</v>
      </c>
      <c r="L28">
        <f t="shared" si="4"/>
        <v>46.433599242703231</v>
      </c>
      <c r="M28">
        <f t="shared" si="5"/>
        <v>95.52342936625999</v>
      </c>
      <c r="N28">
        <f t="shared" si="6"/>
        <v>0.10411907451172869</v>
      </c>
      <c r="O28">
        <f t="shared" si="7"/>
        <v>2.2506041987152248</v>
      </c>
      <c r="P28">
        <f t="shared" si="8"/>
        <v>0.10151523601356252</v>
      </c>
      <c r="Q28">
        <f t="shared" si="9"/>
        <v>6.3675543401110618E-2</v>
      </c>
      <c r="R28">
        <f t="shared" si="10"/>
        <v>281.55031945380148</v>
      </c>
      <c r="S28">
        <f t="shared" si="11"/>
        <v>26.060212840689889</v>
      </c>
      <c r="T28">
        <f t="shared" si="12"/>
        <v>27.055399999999999</v>
      </c>
      <c r="U28">
        <f t="shared" si="13"/>
        <v>3.5908220398874913</v>
      </c>
      <c r="V28">
        <f t="shared" si="14"/>
        <v>54.924602739467588</v>
      </c>
      <c r="W28">
        <f t="shared" si="15"/>
        <v>1.7048517385552</v>
      </c>
      <c r="X28">
        <f t="shared" si="16"/>
        <v>3.1039855611556963</v>
      </c>
      <c r="Y28">
        <f t="shared" si="17"/>
        <v>1.8859703013322913</v>
      </c>
      <c r="Z28">
        <f t="shared" si="18"/>
        <v>-87.3273284519871</v>
      </c>
      <c r="AA28">
        <f t="shared" si="19"/>
        <v>-298.34958292947533</v>
      </c>
      <c r="AB28">
        <f t="shared" si="20"/>
        <v>-28.274816559042204</v>
      </c>
      <c r="AC28">
        <f t="shared" si="21"/>
        <v>-132.40140848670313</v>
      </c>
      <c r="AD28">
        <v>-4.1200015198943001E-2</v>
      </c>
      <c r="AE28">
        <v>4.6250626380378801E-2</v>
      </c>
      <c r="AF28">
        <v>3.4563009875948998</v>
      </c>
      <c r="AG28">
        <v>0</v>
      </c>
      <c r="AH28">
        <v>0</v>
      </c>
      <c r="AI28">
        <f t="shared" si="22"/>
        <v>1</v>
      </c>
      <c r="AJ28">
        <f t="shared" si="23"/>
        <v>0</v>
      </c>
      <c r="AK28">
        <f t="shared" si="24"/>
        <v>52958.148455709546</v>
      </c>
      <c r="AL28" t="s">
        <v>268</v>
      </c>
      <c r="AM28">
        <v>631.89076923076902</v>
      </c>
      <c r="AN28">
        <v>3514.37</v>
      </c>
      <c r="AO28">
        <f t="shared" si="25"/>
        <v>2882.479230769231</v>
      </c>
      <c r="AP28">
        <f t="shared" si="26"/>
        <v>0.82019799587670938</v>
      </c>
      <c r="AQ28">
        <v>-1.4218795309761501</v>
      </c>
      <c r="AR28" t="s">
        <v>331</v>
      </c>
      <c r="AS28">
        <v>885.88996153846199</v>
      </c>
      <c r="AT28">
        <v>1224.53</v>
      </c>
      <c r="AU28">
        <f t="shared" si="27"/>
        <v>0.27654695145201669</v>
      </c>
      <c r="AV28">
        <v>0.5</v>
      </c>
      <c r="AW28">
        <f t="shared" si="28"/>
        <v>1471.1874000963369</v>
      </c>
      <c r="AX28">
        <f t="shared" si="29"/>
        <v>30.053505580518426</v>
      </c>
      <c r="AY28">
        <f t="shared" si="30"/>
        <v>203.42619525563018</v>
      </c>
      <c r="AZ28">
        <f t="shared" si="31"/>
        <v>0.54725486513192823</v>
      </c>
      <c r="BA28">
        <f t="shared" si="32"/>
        <v>2.1394545052135092E-2</v>
      </c>
      <c r="BB28">
        <f t="shared" si="33"/>
        <v>1.8699746025005515</v>
      </c>
      <c r="BC28" t="s">
        <v>332</v>
      </c>
      <c r="BD28">
        <v>554.4</v>
      </c>
      <c r="BE28">
        <f t="shared" si="34"/>
        <v>670.13</v>
      </c>
      <c r="BF28">
        <f t="shared" si="35"/>
        <v>0.50533484318197663</v>
      </c>
      <c r="BG28">
        <f t="shared" si="36"/>
        <v>0.77360243515981586</v>
      </c>
      <c r="BH28">
        <f t="shared" si="37"/>
        <v>0.57141009383059516</v>
      </c>
      <c r="BI28">
        <f t="shared" si="38"/>
        <v>0.79439947929440013</v>
      </c>
      <c r="BJ28">
        <f t="shared" si="39"/>
        <v>1749.98</v>
      </c>
      <c r="BK28">
        <f t="shared" si="40"/>
        <v>1471.1874000963369</v>
      </c>
      <c r="BL28">
        <f t="shared" si="41"/>
        <v>0.84068812220501765</v>
      </c>
      <c r="BM28">
        <f t="shared" si="42"/>
        <v>0.19137624441003565</v>
      </c>
      <c r="BN28">
        <v>6</v>
      </c>
      <c r="BO28">
        <v>0.5</v>
      </c>
      <c r="BP28" t="s">
        <v>271</v>
      </c>
      <c r="BQ28">
        <v>1567882296.7</v>
      </c>
      <c r="BR28">
        <v>961.66</v>
      </c>
      <c r="BS28">
        <v>1000</v>
      </c>
      <c r="BT28">
        <v>17.1632</v>
      </c>
      <c r="BU28">
        <v>14.8283</v>
      </c>
      <c r="BV28">
        <v>500.12200000000001</v>
      </c>
      <c r="BW28">
        <v>99.231800000000007</v>
      </c>
      <c r="BX28">
        <v>0.100011</v>
      </c>
      <c r="BY28">
        <v>24.596499999999999</v>
      </c>
      <c r="BZ28">
        <v>27.055399999999999</v>
      </c>
      <c r="CA28">
        <v>999.9</v>
      </c>
      <c r="CB28">
        <v>10012.5</v>
      </c>
      <c r="CC28">
        <v>0</v>
      </c>
      <c r="CD28">
        <v>1268</v>
      </c>
      <c r="CE28">
        <v>1749.98</v>
      </c>
      <c r="CF28">
        <v>0.97699599999999998</v>
      </c>
      <c r="CG28">
        <v>2.3004E-2</v>
      </c>
      <c r="CH28">
        <v>0</v>
      </c>
      <c r="CI28">
        <v>884.11500000000001</v>
      </c>
      <c r="CJ28">
        <v>4.99986</v>
      </c>
      <c r="CK28">
        <v>18005.3</v>
      </c>
      <c r="CL28">
        <v>14220.6</v>
      </c>
      <c r="CM28">
        <v>46.061999999999998</v>
      </c>
      <c r="CN28">
        <v>48.936999999999998</v>
      </c>
      <c r="CO28">
        <v>47.186999999999998</v>
      </c>
      <c r="CP28">
        <v>47.436999999999998</v>
      </c>
      <c r="CQ28">
        <v>47.561999999999998</v>
      </c>
      <c r="CR28">
        <v>1704.84</v>
      </c>
      <c r="CS28">
        <v>40.14</v>
      </c>
      <c r="CT28">
        <v>0</v>
      </c>
      <c r="CU28">
        <v>120</v>
      </c>
      <c r="CV28">
        <v>885.88996153846199</v>
      </c>
      <c r="CW28">
        <v>-12.031145293412999</v>
      </c>
      <c r="CX28">
        <v>-6131.1931609621497</v>
      </c>
      <c r="CY28">
        <v>18573.992307692301</v>
      </c>
      <c r="CZ28">
        <v>15</v>
      </c>
      <c r="DA28">
        <v>1567882320.2</v>
      </c>
      <c r="DB28" t="s">
        <v>333</v>
      </c>
      <c r="DC28">
        <v>89</v>
      </c>
      <c r="DD28">
        <v>2E-3</v>
      </c>
      <c r="DE28">
        <v>8.4000000000000005E-2</v>
      </c>
      <c r="DF28">
        <v>1000</v>
      </c>
      <c r="DG28">
        <v>15</v>
      </c>
      <c r="DH28">
        <v>0.12</v>
      </c>
      <c r="DI28">
        <v>7.0000000000000007E-2</v>
      </c>
      <c r="DJ28">
        <v>30.519592559996902</v>
      </c>
      <c r="DK28">
        <v>-0.67346728366665998</v>
      </c>
      <c r="DL28">
        <v>0.13850225559843399</v>
      </c>
      <c r="DM28">
        <v>0</v>
      </c>
      <c r="DN28">
        <v>0.103988523124775</v>
      </c>
      <c r="DO28">
        <v>3.5381379706996199E-3</v>
      </c>
      <c r="DP28">
        <v>9.1012675676861005E-4</v>
      </c>
      <c r="DQ28">
        <v>1</v>
      </c>
      <c r="DR28">
        <v>1</v>
      </c>
      <c r="DS28">
        <v>2</v>
      </c>
      <c r="DT28" t="s">
        <v>283</v>
      </c>
      <c r="DU28">
        <v>1.86734</v>
      </c>
      <c r="DV28">
        <v>1.8637900000000001</v>
      </c>
      <c r="DW28">
        <v>1.86948</v>
      </c>
      <c r="DX28">
        <v>1.86737</v>
      </c>
      <c r="DY28">
        <v>1.8721000000000001</v>
      </c>
      <c r="DZ28">
        <v>1.8645099999999999</v>
      </c>
      <c r="EA28">
        <v>1.8660099999999999</v>
      </c>
      <c r="EB28">
        <v>1.8659699999999999</v>
      </c>
      <c r="EC28" t="s">
        <v>274</v>
      </c>
      <c r="ED28" t="s">
        <v>19</v>
      </c>
      <c r="EE28" t="s">
        <v>19</v>
      </c>
      <c r="EF28" t="s">
        <v>19</v>
      </c>
      <c r="EG28" t="s">
        <v>275</v>
      </c>
      <c r="EH28" t="s">
        <v>276</v>
      </c>
      <c r="EI28" t="s">
        <v>277</v>
      </c>
      <c r="EJ28" t="s">
        <v>277</v>
      </c>
      <c r="EK28" t="s">
        <v>277</v>
      </c>
      <c r="EL28" t="s">
        <v>277</v>
      </c>
      <c r="EM28">
        <v>0</v>
      </c>
      <c r="EN28">
        <v>100</v>
      </c>
      <c r="EO28">
        <v>100</v>
      </c>
      <c r="EP28">
        <v>2E-3</v>
      </c>
      <c r="EQ28">
        <v>8.4000000000000005E-2</v>
      </c>
      <c r="ER28">
        <v>2</v>
      </c>
      <c r="ES28">
        <v>507.54700000000003</v>
      </c>
      <c r="ET28">
        <v>477.71499999999997</v>
      </c>
      <c r="EU28">
        <v>17.235800000000001</v>
      </c>
      <c r="EV28">
        <v>32.723300000000002</v>
      </c>
      <c r="EW28">
        <v>30.001300000000001</v>
      </c>
      <c r="EX28">
        <v>32.527099999999997</v>
      </c>
      <c r="EY28">
        <v>32.511699999999998</v>
      </c>
      <c r="EZ28">
        <v>45.823700000000002</v>
      </c>
      <c r="FA28">
        <v>50.5747</v>
      </c>
      <c r="FB28">
        <v>0</v>
      </c>
      <c r="FC28">
        <v>17.1737</v>
      </c>
      <c r="FD28">
        <v>1000</v>
      </c>
      <c r="FE28">
        <v>14.8439</v>
      </c>
      <c r="FF28">
        <v>100.907</v>
      </c>
      <c r="FG28">
        <v>101.384</v>
      </c>
    </row>
    <row r="29" spans="1:163" x14ac:dyDescent="0.35">
      <c r="A29">
        <v>13</v>
      </c>
      <c r="B29">
        <v>1567882441.7</v>
      </c>
      <c r="C29">
        <v>1498.60000014305</v>
      </c>
      <c r="D29" t="s">
        <v>334</v>
      </c>
      <c r="E29" t="s">
        <v>335</v>
      </c>
      <c r="G29">
        <v>1567882441.7</v>
      </c>
      <c r="H29">
        <f t="shared" si="0"/>
        <v>1.7816988314588084E-3</v>
      </c>
      <c r="I29">
        <f t="shared" si="1"/>
        <v>31.602646518695408</v>
      </c>
      <c r="J29">
        <f t="shared" si="2"/>
        <v>1159.5899999999999</v>
      </c>
      <c r="K29">
        <f t="shared" si="3"/>
        <v>589.83143835061105</v>
      </c>
      <c r="L29">
        <f t="shared" si="4"/>
        <v>58.584099804607675</v>
      </c>
      <c r="M29">
        <f t="shared" si="5"/>
        <v>115.174492025031</v>
      </c>
      <c r="N29">
        <f t="shared" si="6"/>
        <v>9.4989706787801484E-2</v>
      </c>
      <c r="O29">
        <f t="shared" si="7"/>
        <v>2.2509498715590981</v>
      </c>
      <c r="P29">
        <f t="shared" si="8"/>
        <v>9.2817663046581678E-2</v>
      </c>
      <c r="Q29">
        <f t="shared" si="9"/>
        <v>5.8202052267396782E-2</v>
      </c>
      <c r="R29">
        <f t="shared" si="10"/>
        <v>281.51680365272216</v>
      </c>
      <c r="S29">
        <f t="shared" si="11"/>
        <v>25.992496834082534</v>
      </c>
      <c r="T29">
        <f t="shared" si="12"/>
        <v>26.8505</v>
      </c>
      <c r="U29">
        <f t="shared" si="13"/>
        <v>3.54785304242266</v>
      </c>
      <c r="V29">
        <f t="shared" si="14"/>
        <v>54.933019414073904</v>
      </c>
      <c r="W29">
        <f t="shared" si="15"/>
        <v>1.6915579978957198</v>
      </c>
      <c r="X29">
        <f t="shared" si="16"/>
        <v>3.0793100687677484</v>
      </c>
      <c r="Y29">
        <f t="shared" si="17"/>
        <v>1.8562950445269402</v>
      </c>
      <c r="Z29">
        <f t="shared" si="18"/>
        <v>-78.572918467333452</v>
      </c>
      <c r="AA29">
        <f t="shared" si="19"/>
        <v>-289.71865230179458</v>
      </c>
      <c r="AB29">
        <f t="shared" si="20"/>
        <v>-27.406021936330578</v>
      </c>
      <c r="AC29">
        <f t="shared" si="21"/>
        <v>-114.18078905273643</v>
      </c>
      <c r="AD29">
        <v>-4.1209324117628898E-2</v>
      </c>
      <c r="AE29">
        <v>4.6261076457109702E-2</v>
      </c>
      <c r="AF29">
        <v>3.4569190810510801</v>
      </c>
      <c r="AG29">
        <v>0</v>
      </c>
      <c r="AH29">
        <v>0</v>
      </c>
      <c r="AI29">
        <f t="shared" si="22"/>
        <v>1</v>
      </c>
      <c r="AJ29">
        <f t="shared" si="23"/>
        <v>0</v>
      </c>
      <c r="AK29">
        <f t="shared" si="24"/>
        <v>52993.192924426381</v>
      </c>
      <c r="AL29" t="s">
        <v>268</v>
      </c>
      <c r="AM29">
        <v>631.89076923076902</v>
      </c>
      <c r="AN29">
        <v>3514.37</v>
      </c>
      <c r="AO29">
        <f t="shared" si="25"/>
        <v>2882.479230769231</v>
      </c>
      <c r="AP29">
        <f t="shared" si="26"/>
        <v>0.82019799587670938</v>
      </c>
      <c r="AQ29">
        <v>-1.4218795309761501</v>
      </c>
      <c r="AR29" t="s">
        <v>336</v>
      </c>
      <c r="AS29">
        <v>897.64111538461498</v>
      </c>
      <c r="AT29">
        <v>1247.0999999999999</v>
      </c>
      <c r="AU29">
        <f t="shared" si="27"/>
        <v>0.28021721162327395</v>
      </c>
      <c r="AV29">
        <v>0.5</v>
      </c>
      <c r="AW29">
        <f t="shared" si="28"/>
        <v>1471.0110000963484</v>
      </c>
      <c r="AX29">
        <f t="shared" si="29"/>
        <v>31.602646518695408</v>
      </c>
      <c r="AY29">
        <f t="shared" si="30"/>
        <v>206.10130035708116</v>
      </c>
      <c r="AZ29">
        <f t="shared" si="31"/>
        <v>0.55562505011626973</v>
      </c>
      <c r="BA29">
        <f t="shared" si="32"/>
        <v>2.2450223721990192E-2</v>
      </c>
      <c r="BB29">
        <f t="shared" si="33"/>
        <v>1.8180338385053325</v>
      </c>
      <c r="BC29" t="s">
        <v>337</v>
      </c>
      <c r="BD29">
        <v>554.17999999999995</v>
      </c>
      <c r="BE29">
        <f t="shared" si="34"/>
        <v>692.92</v>
      </c>
      <c r="BF29">
        <f t="shared" si="35"/>
        <v>0.50432789444002912</v>
      </c>
      <c r="BG29">
        <f t="shared" si="36"/>
        <v>0.76592043078315919</v>
      </c>
      <c r="BH29">
        <f t="shared" si="37"/>
        <v>0.5680325767843839</v>
      </c>
      <c r="BI29">
        <f t="shared" si="38"/>
        <v>0.78656941420353144</v>
      </c>
      <c r="BJ29">
        <f t="shared" si="39"/>
        <v>1749.77</v>
      </c>
      <c r="BK29">
        <f t="shared" si="40"/>
        <v>1471.0110000963484</v>
      </c>
      <c r="BL29">
        <f t="shared" si="41"/>
        <v>0.84068820479054307</v>
      </c>
      <c r="BM29">
        <f t="shared" si="42"/>
        <v>0.19137640958108629</v>
      </c>
      <c r="BN29">
        <v>6</v>
      </c>
      <c r="BO29">
        <v>0.5</v>
      </c>
      <c r="BP29" t="s">
        <v>271</v>
      </c>
      <c r="BQ29">
        <v>1567882441.7</v>
      </c>
      <c r="BR29">
        <v>1159.5899999999999</v>
      </c>
      <c r="BS29">
        <v>1199.99</v>
      </c>
      <c r="BT29">
        <v>17.030799999999999</v>
      </c>
      <c r="BU29">
        <v>14.9293</v>
      </c>
      <c r="BV29">
        <v>500.03</v>
      </c>
      <c r="BW29">
        <v>99.223500000000001</v>
      </c>
      <c r="BX29">
        <v>9.9960900000000005E-2</v>
      </c>
      <c r="BY29">
        <v>24.463100000000001</v>
      </c>
      <c r="BZ29">
        <v>26.8505</v>
      </c>
      <c r="CA29">
        <v>999.9</v>
      </c>
      <c r="CB29">
        <v>10015.6</v>
      </c>
      <c r="CC29">
        <v>0</v>
      </c>
      <c r="CD29">
        <v>541.20899999999995</v>
      </c>
      <c r="CE29">
        <v>1749.77</v>
      </c>
      <c r="CF29">
        <v>0.97699599999999998</v>
      </c>
      <c r="CG29">
        <v>2.3004E-2</v>
      </c>
      <c r="CH29">
        <v>0</v>
      </c>
      <c r="CI29">
        <v>896.22799999999995</v>
      </c>
      <c r="CJ29">
        <v>4.99986</v>
      </c>
      <c r="CK29">
        <v>16903.099999999999</v>
      </c>
      <c r="CL29">
        <v>14218.8</v>
      </c>
      <c r="CM29">
        <v>46</v>
      </c>
      <c r="CN29">
        <v>48.5</v>
      </c>
      <c r="CO29">
        <v>47.061999999999998</v>
      </c>
      <c r="CP29">
        <v>47.311999999999998</v>
      </c>
      <c r="CQ29">
        <v>47.561999999999998</v>
      </c>
      <c r="CR29">
        <v>1704.63</v>
      </c>
      <c r="CS29">
        <v>40.14</v>
      </c>
      <c r="CT29">
        <v>0</v>
      </c>
      <c r="CU29">
        <v>144.799999952316</v>
      </c>
      <c r="CV29">
        <v>897.64111538461498</v>
      </c>
      <c r="CW29">
        <v>-10.158393157524699</v>
      </c>
      <c r="CX29">
        <v>-265.80512831220102</v>
      </c>
      <c r="CY29">
        <v>16935.738461538502</v>
      </c>
      <c r="CZ29">
        <v>15</v>
      </c>
      <c r="DA29">
        <v>1567882396.7</v>
      </c>
      <c r="DB29" t="s">
        <v>338</v>
      </c>
      <c r="DC29">
        <v>90</v>
      </c>
      <c r="DD29">
        <v>-0.03</v>
      </c>
      <c r="DE29">
        <v>8.5999999999999993E-2</v>
      </c>
      <c r="DF29">
        <v>1200</v>
      </c>
      <c r="DG29">
        <v>15</v>
      </c>
      <c r="DH29">
        <v>0.05</v>
      </c>
      <c r="DI29">
        <v>0.04</v>
      </c>
      <c r="DJ29">
        <v>31.910240837762601</v>
      </c>
      <c r="DK29">
        <v>-0.208558227722139</v>
      </c>
      <c r="DL29">
        <v>0.61716850474852702</v>
      </c>
      <c r="DM29">
        <v>0</v>
      </c>
      <c r="DN29">
        <v>9.5579342143975607E-2</v>
      </c>
      <c r="DO29">
        <v>5.7973039610326798E-3</v>
      </c>
      <c r="DP29">
        <v>2.19909378307666E-3</v>
      </c>
      <c r="DQ29">
        <v>1</v>
      </c>
      <c r="DR29">
        <v>1</v>
      </c>
      <c r="DS29">
        <v>2</v>
      </c>
      <c r="DT29" t="s">
        <v>283</v>
      </c>
      <c r="DU29">
        <v>1.8672899999999999</v>
      </c>
      <c r="DV29">
        <v>1.86381</v>
      </c>
      <c r="DW29">
        <v>1.8694999999999999</v>
      </c>
      <c r="DX29">
        <v>1.86737</v>
      </c>
      <c r="DY29">
        <v>1.8721000000000001</v>
      </c>
      <c r="DZ29">
        <v>1.86449</v>
      </c>
      <c r="EA29">
        <v>1.8660000000000001</v>
      </c>
      <c r="EB29">
        <v>1.8659600000000001</v>
      </c>
      <c r="EC29" t="s">
        <v>274</v>
      </c>
      <c r="ED29" t="s">
        <v>19</v>
      </c>
      <c r="EE29" t="s">
        <v>19</v>
      </c>
      <c r="EF29" t="s">
        <v>19</v>
      </c>
      <c r="EG29" t="s">
        <v>275</v>
      </c>
      <c r="EH29" t="s">
        <v>276</v>
      </c>
      <c r="EI29" t="s">
        <v>277</v>
      </c>
      <c r="EJ29" t="s">
        <v>277</v>
      </c>
      <c r="EK29" t="s">
        <v>277</v>
      </c>
      <c r="EL29" t="s">
        <v>277</v>
      </c>
      <c r="EM29">
        <v>0</v>
      </c>
      <c r="EN29">
        <v>100</v>
      </c>
      <c r="EO29">
        <v>100</v>
      </c>
      <c r="EP29">
        <v>-0.03</v>
      </c>
      <c r="EQ29">
        <v>8.5999999999999993E-2</v>
      </c>
      <c r="ER29">
        <v>2</v>
      </c>
      <c r="ES29">
        <v>508.11599999999999</v>
      </c>
      <c r="ET29">
        <v>478.25200000000001</v>
      </c>
      <c r="EU29">
        <v>18.335799999999999</v>
      </c>
      <c r="EV29">
        <v>32.746699999999997</v>
      </c>
      <c r="EW29">
        <v>29.998699999999999</v>
      </c>
      <c r="EX29">
        <v>32.618299999999998</v>
      </c>
      <c r="EY29">
        <v>32.591799999999999</v>
      </c>
      <c r="EZ29">
        <v>53.060400000000001</v>
      </c>
      <c r="FA29">
        <v>49.789499999999997</v>
      </c>
      <c r="FB29">
        <v>0</v>
      </c>
      <c r="FC29">
        <v>18.449400000000001</v>
      </c>
      <c r="FD29">
        <v>1200</v>
      </c>
      <c r="FE29">
        <v>15.0145</v>
      </c>
      <c r="FF29">
        <v>100.898</v>
      </c>
      <c r="FG29">
        <v>101.383</v>
      </c>
    </row>
    <row r="30" spans="1:163" x14ac:dyDescent="0.35">
      <c r="A30">
        <v>14</v>
      </c>
      <c r="B30">
        <v>1567882562.2</v>
      </c>
      <c r="C30">
        <v>1619.10000014305</v>
      </c>
      <c r="D30" t="s">
        <v>339</v>
      </c>
      <c r="E30" t="s">
        <v>340</v>
      </c>
      <c r="G30">
        <v>1567882562.2</v>
      </c>
      <c r="H30">
        <f t="shared" si="0"/>
        <v>1.5210810419990898E-3</v>
      </c>
      <c r="I30">
        <f t="shared" si="1"/>
        <v>33.506000284880038</v>
      </c>
      <c r="J30">
        <f t="shared" si="2"/>
        <v>1457.25</v>
      </c>
      <c r="K30">
        <f t="shared" si="3"/>
        <v>749.57302038994624</v>
      </c>
      <c r="L30">
        <f t="shared" si="4"/>
        <v>74.455116599108138</v>
      </c>
      <c r="M30">
        <f t="shared" si="5"/>
        <v>144.74869787550003</v>
      </c>
      <c r="N30">
        <f t="shared" si="6"/>
        <v>8.0910371334981399E-2</v>
      </c>
      <c r="O30">
        <f t="shared" si="7"/>
        <v>2.2459864200958917</v>
      </c>
      <c r="P30">
        <f t="shared" si="8"/>
        <v>7.9325290877333823E-2</v>
      </c>
      <c r="Q30">
        <f t="shared" si="9"/>
        <v>4.9718133595286096E-2</v>
      </c>
      <c r="R30">
        <f t="shared" si="10"/>
        <v>281.55088127969594</v>
      </c>
      <c r="S30">
        <f t="shared" si="11"/>
        <v>26.298730411182852</v>
      </c>
      <c r="T30">
        <f t="shared" si="12"/>
        <v>26.973199999999999</v>
      </c>
      <c r="U30">
        <f t="shared" si="13"/>
        <v>3.5735298557193995</v>
      </c>
      <c r="V30">
        <f t="shared" si="14"/>
        <v>55.125587954744461</v>
      </c>
      <c r="W30">
        <f t="shared" si="15"/>
        <v>1.7196016178560001</v>
      </c>
      <c r="X30">
        <f t="shared" si="16"/>
        <v>3.1194254458886008</v>
      </c>
      <c r="Y30">
        <f t="shared" si="17"/>
        <v>1.8539282378633994</v>
      </c>
      <c r="Z30">
        <f t="shared" si="18"/>
        <v>-67.079673952159865</v>
      </c>
      <c r="AA30">
        <f t="shared" si="19"/>
        <v>-277.73408631923672</v>
      </c>
      <c r="AB30">
        <f t="shared" si="20"/>
        <v>-26.375234707205365</v>
      </c>
      <c r="AC30">
        <f t="shared" si="21"/>
        <v>-89.638113698906011</v>
      </c>
      <c r="AD30">
        <v>-4.1075782963831901E-2</v>
      </c>
      <c r="AE30">
        <v>4.6111164813125001E-2</v>
      </c>
      <c r="AF30">
        <v>3.4480476179150901</v>
      </c>
      <c r="AG30">
        <v>0</v>
      </c>
      <c r="AH30">
        <v>0</v>
      </c>
      <c r="AI30">
        <f t="shared" si="22"/>
        <v>1</v>
      </c>
      <c r="AJ30">
        <f t="shared" si="23"/>
        <v>0</v>
      </c>
      <c r="AK30">
        <f t="shared" si="24"/>
        <v>52790.204636866692</v>
      </c>
      <c r="AL30" t="s">
        <v>268</v>
      </c>
      <c r="AM30">
        <v>631.89076923076902</v>
      </c>
      <c r="AN30">
        <v>3514.37</v>
      </c>
      <c r="AO30">
        <f t="shared" si="25"/>
        <v>2882.479230769231</v>
      </c>
      <c r="AP30">
        <f t="shared" si="26"/>
        <v>0.82019799587670938</v>
      </c>
      <c r="AQ30">
        <v>-1.4218795309761501</v>
      </c>
      <c r="AR30" t="s">
        <v>341</v>
      </c>
      <c r="AS30">
        <v>909.39626923076901</v>
      </c>
      <c r="AT30">
        <v>1266.28</v>
      </c>
      <c r="AU30">
        <f t="shared" si="27"/>
        <v>0.2818363480187881</v>
      </c>
      <c r="AV30">
        <v>0.5</v>
      </c>
      <c r="AW30">
        <f t="shared" si="28"/>
        <v>1471.1877000963609</v>
      </c>
      <c r="AX30">
        <f t="shared" si="29"/>
        <v>33.506000284880038</v>
      </c>
      <c r="AY30">
        <f t="shared" si="30"/>
        <v>207.31708432265921</v>
      </c>
      <c r="AZ30">
        <f t="shared" si="31"/>
        <v>0.56030261869412767</v>
      </c>
      <c r="BA30">
        <f t="shared" si="32"/>
        <v>2.3741280472619811E-2</v>
      </c>
      <c r="BB30">
        <f t="shared" si="33"/>
        <v>1.7753498436364787</v>
      </c>
      <c r="BC30" t="s">
        <v>342</v>
      </c>
      <c r="BD30">
        <v>556.78</v>
      </c>
      <c r="BE30">
        <f t="shared" si="34"/>
        <v>709.5</v>
      </c>
      <c r="BF30">
        <f t="shared" si="35"/>
        <v>0.50300737247248906</v>
      </c>
      <c r="BG30">
        <f t="shared" si="36"/>
        <v>0.76010873718128613</v>
      </c>
      <c r="BH30">
        <f t="shared" si="37"/>
        <v>0.56256271932058233</v>
      </c>
      <c r="BI30">
        <f t="shared" si="38"/>
        <v>0.77991542003238135</v>
      </c>
      <c r="BJ30">
        <f t="shared" si="39"/>
        <v>1749.98</v>
      </c>
      <c r="BK30">
        <f t="shared" si="40"/>
        <v>1471.1877000963609</v>
      </c>
      <c r="BL30">
        <f t="shared" si="41"/>
        <v>0.84068829363556208</v>
      </c>
      <c r="BM30">
        <f t="shared" si="42"/>
        <v>0.19137658727112436</v>
      </c>
      <c r="BN30">
        <v>6</v>
      </c>
      <c r="BO30">
        <v>0.5</v>
      </c>
      <c r="BP30" t="s">
        <v>271</v>
      </c>
      <c r="BQ30">
        <v>1567882562.2</v>
      </c>
      <c r="BR30">
        <v>1457.25</v>
      </c>
      <c r="BS30">
        <v>1500.11</v>
      </c>
      <c r="BT30">
        <v>17.312000000000001</v>
      </c>
      <c r="BU30">
        <v>15.518599999999999</v>
      </c>
      <c r="BV30">
        <v>500.08300000000003</v>
      </c>
      <c r="BW30">
        <v>99.229900000000001</v>
      </c>
      <c r="BX30">
        <v>0.100138</v>
      </c>
      <c r="BY30">
        <v>24.679500000000001</v>
      </c>
      <c r="BZ30">
        <v>26.973199999999999</v>
      </c>
      <c r="CA30">
        <v>999.9</v>
      </c>
      <c r="CB30">
        <v>9982.5</v>
      </c>
      <c r="CC30">
        <v>0</v>
      </c>
      <c r="CD30">
        <v>1751.02</v>
      </c>
      <c r="CE30">
        <v>1749.98</v>
      </c>
      <c r="CF30">
        <v>0.97699199999999997</v>
      </c>
      <c r="CG30">
        <v>2.30081E-2</v>
      </c>
      <c r="CH30">
        <v>0</v>
      </c>
      <c r="CI30">
        <v>908.1</v>
      </c>
      <c r="CJ30">
        <v>4.99986</v>
      </c>
      <c r="CK30">
        <v>19031.8</v>
      </c>
      <c r="CL30">
        <v>14220.5</v>
      </c>
      <c r="CM30">
        <v>45.625</v>
      </c>
      <c r="CN30">
        <v>47.75</v>
      </c>
      <c r="CO30">
        <v>46.686999999999998</v>
      </c>
      <c r="CP30">
        <v>46.561999999999998</v>
      </c>
      <c r="CQ30">
        <v>47.125</v>
      </c>
      <c r="CR30">
        <v>1704.83</v>
      </c>
      <c r="CS30">
        <v>40.15</v>
      </c>
      <c r="CT30">
        <v>0</v>
      </c>
      <c r="CU30">
        <v>120.299999952316</v>
      </c>
      <c r="CV30">
        <v>909.39626923076901</v>
      </c>
      <c r="CW30">
        <v>-9.5118974411633399</v>
      </c>
      <c r="CX30">
        <v>9822.89573366882</v>
      </c>
      <c r="CY30">
        <v>18348.011538461498</v>
      </c>
      <c r="CZ30">
        <v>15</v>
      </c>
      <c r="DA30">
        <v>1567882505.2</v>
      </c>
      <c r="DB30" t="s">
        <v>343</v>
      </c>
      <c r="DC30">
        <v>91</v>
      </c>
      <c r="DD30">
        <v>-8.5999999999999993E-2</v>
      </c>
      <c r="DE30">
        <v>0.09</v>
      </c>
      <c r="DF30">
        <v>1500</v>
      </c>
      <c r="DG30">
        <v>15</v>
      </c>
      <c r="DH30">
        <v>7.0000000000000007E-2</v>
      </c>
      <c r="DI30">
        <v>0.04</v>
      </c>
      <c r="DJ30">
        <v>33.763442407357303</v>
      </c>
      <c r="DK30">
        <v>-0.985515072257521</v>
      </c>
      <c r="DL30">
        <v>0.201422965710264</v>
      </c>
      <c r="DM30">
        <v>0</v>
      </c>
      <c r="DN30">
        <v>7.8624400511213693E-2</v>
      </c>
      <c r="DO30">
        <v>7.8181651663650695E-3</v>
      </c>
      <c r="DP30">
        <v>1.75705062578662E-3</v>
      </c>
      <c r="DQ30">
        <v>1</v>
      </c>
      <c r="DR30">
        <v>1</v>
      </c>
      <c r="DS30">
        <v>2</v>
      </c>
      <c r="DT30" t="s">
        <v>283</v>
      </c>
      <c r="DU30">
        <v>1.8673299999999999</v>
      </c>
      <c r="DV30">
        <v>1.86382</v>
      </c>
      <c r="DW30">
        <v>1.8694900000000001</v>
      </c>
      <c r="DX30">
        <v>1.86737</v>
      </c>
      <c r="DY30">
        <v>1.87208</v>
      </c>
      <c r="DZ30">
        <v>1.8644700000000001</v>
      </c>
      <c r="EA30">
        <v>1.8660099999999999</v>
      </c>
      <c r="EB30">
        <v>1.86598</v>
      </c>
      <c r="EC30" t="s">
        <v>274</v>
      </c>
      <c r="ED30" t="s">
        <v>19</v>
      </c>
      <c r="EE30" t="s">
        <v>19</v>
      </c>
      <c r="EF30" t="s">
        <v>19</v>
      </c>
      <c r="EG30" t="s">
        <v>275</v>
      </c>
      <c r="EH30" t="s">
        <v>276</v>
      </c>
      <c r="EI30" t="s">
        <v>277</v>
      </c>
      <c r="EJ30" t="s">
        <v>277</v>
      </c>
      <c r="EK30" t="s">
        <v>277</v>
      </c>
      <c r="EL30" t="s">
        <v>277</v>
      </c>
      <c r="EM30">
        <v>0</v>
      </c>
      <c r="EN30">
        <v>100</v>
      </c>
      <c r="EO30">
        <v>100</v>
      </c>
      <c r="EP30">
        <v>-8.5999999999999993E-2</v>
      </c>
      <c r="EQ30">
        <v>0.09</v>
      </c>
      <c r="ER30">
        <v>2</v>
      </c>
      <c r="ES30">
        <v>508.70699999999999</v>
      </c>
      <c r="ET30">
        <v>481.197</v>
      </c>
      <c r="EU30">
        <v>19.079899999999999</v>
      </c>
      <c r="EV30">
        <v>32.359699999999997</v>
      </c>
      <c r="EW30">
        <v>29.9984</v>
      </c>
      <c r="EX30">
        <v>32.401899999999998</v>
      </c>
      <c r="EY30">
        <v>32.386899999999997</v>
      </c>
      <c r="EZ30">
        <v>63.436700000000002</v>
      </c>
      <c r="FA30">
        <v>47.456499999999998</v>
      </c>
      <c r="FB30">
        <v>0</v>
      </c>
      <c r="FC30">
        <v>19.099499999999999</v>
      </c>
      <c r="FD30">
        <v>1500</v>
      </c>
      <c r="FE30">
        <v>15.5403</v>
      </c>
      <c r="FF30">
        <v>100.953</v>
      </c>
      <c r="FG30">
        <v>101.45699999999999</v>
      </c>
    </row>
    <row r="31" spans="1:163" x14ac:dyDescent="0.35">
      <c r="A31">
        <v>15</v>
      </c>
      <c r="B31">
        <v>1567882682.7</v>
      </c>
      <c r="C31">
        <v>1739.60000014305</v>
      </c>
      <c r="D31" t="s">
        <v>344</v>
      </c>
      <c r="E31" t="s">
        <v>345</v>
      </c>
      <c r="G31">
        <v>1567882682.7</v>
      </c>
      <c r="H31">
        <f t="shared" si="0"/>
        <v>1.3738136616862997E-3</v>
      </c>
      <c r="I31">
        <f t="shared" si="1"/>
        <v>34.866362265811581</v>
      </c>
      <c r="J31">
        <f t="shared" si="2"/>
        <v>1755.19</v>
      </c>
      <c r="K31">
        <f t="shared" si="3"/>
        <v>930.45851317674737</v>
      </c>
      <c r="L31">
        <f t="shared" si="4"/>
        <v>92.427035089196181</v>
      </c>
      <c r="M31">
        <f t="shared" si="5"/>
        <v>174.35168298297899</v>
      </c>
      <c r="N31">
        <f t="shared" si="6"/>
        <v>7.2306351618827397E-2</v>
      </c>
      <c r="O31">
        <f t="shared" si="7"/>
        <v>2.2534194331472328</v>
      </c>
      <c r="P31">
        <f t="shared" si="8"/>
        <v>7.1041719231460049E-2</v>
      </c>
      <c r="Q31">
        <f t="shared" si="9"/>
        <v>4.4512854379020417E-2</v>
      </c>
      <c r="R31">
        <f t="shared" si="10"/>
        <v>281.57801311861971</v>
      </c>
      <c r="S31">
        <f t="shared" si="11"/>
        <v>26.261651930571741</v>
      </c>
      <c r="T31">
        <f t="shared" si="12"/>
        <v>27.043299999999999</v>
      </c>
      <c r="U31">
        <f t="shared" si="13"/>
        <v>3.5882720212295109</v>
      </c>
      <c r="V31">
        <f t="shared" si="14"/>
        <v>55.363305140927523</v>
      </c>
      <c r="W31">
        <f t="shared" si="15"/>
        <v>1.7186334288377401</v>
      </c>
      <c r="X31">
        <f t="shared" si="16"/>
        <v>3.104282564891947</v>
      </c>
      <c r="Y31">
        <f t="shared" si="17"/>
        <v>1.8696385923917709</v>
      </c>
      <c r="Z31">
        <f t="shared" si="18"/>
        <v>-60.585182480365816</v>
      </c>
      <c r="AA31">
        <f t="shared" si="19"/>
        <v>-297.05841930288921</v>
      </c>
      <c r="AB31">
        <f t="shared" si="20"/>
        <v>-28.115793471628461</v>
      </c>
      <c r="AC31">
        <f t="shared" si="21"/>
        <v>-104.18138213626378</v>
      </c>
      <c r="AD31">
        <v>-4.1275866730431703E-2</v>
      </c>
      <c r="AE31">
        <v>4.6335776369433999E-2</v>
      </c>
      <c r="AF31">
        <v>3.4613359772261698</v>
      </c>
      <c r="AG31">
        <v>0</v>
      </c>
      <c r="AH31">
        <v>0</v>
      </c>
      <c r="AI31">
        <f t="shared" si="22"/>
        <v>1</v>
      </c>
      <c r="AJ31">
        <f t="shared" si="23"/>
        <v>0</v>
      </c>
      <c r="AK31">
        <f t="shared" si="24"/>
        <v>53051.396046810893</v>
      </c>
      <c r="AL31" t="s">
        <v>268</v>
      </c>
      <c r="AM31">
        <v>631.89076923076902</v>
      </c>
      <c r="AN31">
        <v>3514.37</v>
      </c>
      <c r="AO31">
        <f t="shared" si="25"/>
        <v>2882.479230769231</v>
      </c>
      <c r="AP31">
        <f t="shared" si="26"/>
        <v>0.82019799587670938</v>
      </c>
      <c r="AQ31">
        <v>-1.4218795309761501</v>
      </c>
      <c r="AR31" t="s">
        <v>346</v>
      </c>
      <c r="AS31">
        <v>915.08203846153799</v>
      </c>
      <c r="AT31">
        <v>1275.9100000000001</v>
      </c>
      <c r="AU31">
        <f t="shared" si="27"/>
        <v>0.28280048086343246</v>
      </c>
      <c r="AV31">
        <v>0.5</v>
      </c>
      <c r="AW31">
        <f t="shared" si="28"/>
        <v>1471.3305000963517</v>
      </c>
      <c r="AX31">
        <f t="shared" si="29"/>
        <v>34.866362265811581</v>
      </c>
      <c r="AY31">
        <f t="shared" si="30"/>
        <v>208.04648646814141</v>
      </c>
      <c r="AZ31">
        <f t="shared" si="31"/>
        <v>0.56285317929948042</v>
      </c>
      <c r="BA31">
        <f t="shared" si="32"/>
        <v>2.466355573707699E-2</v>
      </c>
      <c r="BB31">
        <f t="shared" si="33"/>
        <v>1.7544027400051727</v>
      </c>
      <c r="BC31" t="s">
        <v>347</v>
      </c>
      <c r="BD31">
        <v>557.76</v>
      </c>
      <c r="BE31">
        <f t="shared" si="34"/>
        <v>718.15000000000009</v>
      </c>
      <c r="BF31">
        <f t="shared" si="35"/>
        <v>0.50244094066485001</v>
      </c>
      <c r="BG31">
        <f t="shared" si="36"/>
        <v>0.75710357470210821</v>
      </c>
      <c r="BH31">
        <f t="shared" si="37"/>
        <v>0.56027513511899485</v>
      </c>
      <c r="BI31">
        <f t="shared" si="38"/>
        <v>0.7765745460038006</v>
      </c>
      <c r="BJ31">
        <f t="shared" si="39"/>
        <v>1750.15</v>
      </c>
      <c r="BK31">
        <f t="shared" si="40"/>
        <v>1471.3305000963517</v>
      </c>
      <c r="BL31">
        <f t="shared" si="41"/>
        <v>0.8406882267784771</v>
      </c>
      <c r="BM31">
        <f t="shared" si="42"/>
        <v>0.19137645355695426</v>
      </c>
      <c r="BN31">
        <v>6</v>
      </c>
      <c r="BO31">
        <v>0.5</v>
      </c>
      <c r="BP31" t="s">
        <v>271</v>
      </c>
      <c r="BQ31">
        <v>1567882682.7</v>
      </c>
      <c r="BR31">
        <v>1755.19</v>
      </c>
      <c r="BS31">
        <v>1799.93</v>
      </c>
      <c r="BT31">
        <v>17.301400000000001</v>
      </c>
      <c r="BU31">
        <v>15.681100000000001</v>
      </c>
      <c r="BV31">
        <v>499.92399999999998</v>
      </c>
      <c r="BW31">
        <v>99.235100000000003</v>
      </c>
      <c r="BX31">
        <v>9.9834099999999995E-2</v>
      </c>
      <c r="BY31">
        <v>24.598099999999999</v>
      </c>
      <c r="BZ31">
        <v>27.043299999999999</v>
      </c>
      <c r="CA31">
        <v>999.9</v>
      </c>
      <c r="CB31">
        <v>10030.6</v>
      </c>
      <c r="CC31">
        <v>0</v>
      </c>
      <c r="CD31">
        <v>1515.99</v>
      </c>
      <c r="CE31">
        <v>1750.15</v>
      </c>
      <c r="CF31">
        <v>0.97699199999999997</v>
      </c>
      <c r="CG31">
        <v>2.30081E-2</v>
      </c>
      <c r="CH31">
        <v>0</v>
      </c>
      <c r="CI31">
        <v>914.61900000000003</v>
      </c>
      <c r="CJ31">
        <v>4.99986</v>
      </c>
      <c r="CK31">
        <v>18825.7</v>
      </c>
      <c r="CL31">
        <v>14222</v>
      </c>
      <c r="CM31">
        <v>45.125</v>
      </c>
      <c r="CN31">
        <v>47.061999999999998</v>
      </c>
      <c r="CO31">
        <v>46.186999999999998</v>
      </c>
      <c r="CP31">
        <v>45.875</v>
      </c>
      <c r="CQ31">
        <v>46.686999999999998</v>
      </c>
      <c r="CR31">
        <v>1705</v>
      </c>
      <c r="CS31">
        <v>40.15</v>
      </c>
      <c r="CT31">
        <v>0</v>
      </c>
      <c r="CU31">
        <v>119.799999952316</v>
      </c>
      <c r="CV31">
        <v>915.08203846153799</v>
      </c>
      <c r="CW31">
        <v>-2.1228376167096901</v>
      </c>
      <c r="CX31">
        <v>6684.0444464460797</v>
      </c>
      <c r="CY31">
        <v>18341.5884615385</v>
      </c>
      <c r="CZ31">
        <v>15</v>
      </c>
      <c r="DA31">
        <v>1567882622.2</v>
      </c>
      <c r="DB31" t="s">
        <v>348</v>
      </c>
      <c r="DC31">
        <v>92</v>
      </c>
      <c r="DD31">
        <v>-5.0999999999999997E-2</v>
      </c>
      <c r="DE31">
        <v>9.8000000000000004E-2</v>
      </c>
      <c r="DF31">
        <v>1801</v>
      </c>
      <c r="DG31">
        <v>16</v>
      </c>
      <c r="DH31">
        <v>0.04</v>
      </c>
      <c r="DI31">
        <v>0.05</v>
      </c>
      <c r="DJ31">
        <v>35.020847461873103</v>
      </c>
      <c r="DK31">
        <v>-0.344933307854982</v>
      </c>
      <c r="DL31">
        <v>0.11781831514242599</v>
      </c>
      <c r="DM31">
        <v>0</v>
      </c>
      <c r="DN31">
        <v>7.3109767082919705E-2</v>
      </c>
      <c r="DO31">
        <v>-1.79069854362068E-3</v>
      </c>
      <c r="DP31">
        <v>5.8201324505545004E-4</v>
      </c>
      <c r="DQ31">
        <v>1</v>
      </c>
      <c r="DR31">
        <v>1</v>
      </c>
      <c r="DS31">
        <v>2</v>
      </c>
      <c r="DT31" t="s">
        <v>283</v>
      </c>
      <c r="DU31">
        <v>1.86734</v>
      </c>
      <c r="DV31">
        <v>1.86382</v>
      </c>
      <c r="DW31">
        <v>1.86947</v>
      </c>
      <c r="DX31">
        <v>1.86737</v>
      </c>
      <c r="DY31">
        <v>1.8721000000000001</v>
      </c>
      <c r="DZ31">
        <v>1.86449</v>
      </c>
      <c r="EA31">
        <v>1.8660099999999999</v>
      </c>
      <c r="EB31">
        <v>1.86599</v>
      </c>
      <c r="EC31" t="s">
        <v>274</v>
      </c>
      <c r="ED31" t="s">
        <v>19</v>
      </c>
      <c r="EE31" t="s">
        <v>19</v>
      </c>
      <c r="EF31" t="s">
        <v>19</v>
      </c>
      <c r="EG31" t="s">
        <v>275</v>
      </c>
      <c r="EH31" t="s">
        <v>276</v>
      </c>
      <c r="EI31" t="s">
        <v>277</v>
      </c>
      <c r="EJ31" t="s">
        <v>277</v>
      </c>
      <c r="EK31" t="s">
        <v>277</v>
      </c>
      <c r="EL31" t="s">
        <v>277</v>
      </c>
      <c r="EM31">
        <v>0</v>
      </c>
      <c r="EN31">
        <v>100</v>
      </c>
      <c r="EO31">
        <v>100</v>
      </c>
      <c r="EP31">
        <v>-5.0999999999999997E-2</v>
      </c>
      <c r="EQ31">
        <v>9.8000000000000004E-2</v>
      </c>
      <c r="ER31">
        <v>2</v>
      </c>
      <c r="ES31">
        <v>508.87</v>
      </c>
      <c r="ET31">
        <v>484.09500000000003</v>
      </c>
      <c r="EU31">
        <v>18.0929</v>
      </c>
      <c r="EV31">
        <v>31.869299999999999</v>
      </c>
      <c r="EW31">
        <v>29.998899999999999</v>
      </c>
      <c r="EX31">
        <v>32.0366</v>
      </c>
      <c r="EY31">
        <v>32.047199999999997</v>
      </c>
      <c r="EZ31">
        <v>73.202500000000001</v>
      </c>
      <c r="FA31">
        <v>46.960700000000003</v>
      </c>
      <c r="FB31">
        <v>0</v>
      </c>
      <c r="FC31">
        <v>18.047499999999999</v>
      </c>
      <c r="FD31">
        <v>1800</v>
      </c>
      <c r="FE31">
        <v>15.642899999999999</v>
      </c>
      <c r="FF31">
        <v>101.03</v>
      </c>
      <c r="FG31">
        <v>101.55</v>
      </c>
    </row>
    <row r="32" spans="1:163" x14ac:dyDescent="0.35">
      <c r="A32">
        <v>16</v>
      </c>
      <c r="B32">
        <v>1567882803.2</v>
      </c>
      <c r="C32">
        <v>1860.10000014305</v>
      </c>
      <c r="D32" t="s">
        <v>349</v>
      </c>
      <c r="E32" t="s">
        <v>350</v>
      </c>
      <c r="G32">
        <v>1567882803.2</v>
      </c>
      <c r="H32">
        <f t="shared" si="0"/>
        <v>1.3253738503495778E-3</v>
      </c>
      <c r="I32">
        <f t="shared" si="1"/>
        <v>35.625992584575009</v>
      </c>
      <c r="J32">
        <f t="shared" si="2"/>
        <v>1954.21</v>
      </c>
      <c r="K32">
        <f t="shared" si="3"/>
        <v>1070.0271518710306</v>
      </c>
      <c r="L32">
        <f t="shared" si="4"/>
        <v>106.29168642479337</v>
      </c>
      <c r="M32">
        <f t="shared" si="5"/>
        <v>194.12243527183998</v>
      </c>
      <c r="N32">
        <f t="shared" si="6"/>
        <v>6.9088682861352738E-2</v>
      </c>
      <c r="O32">
        <f t="shared" si="7"/>
        <v>2.2489323310786586</v>
      </c>
      <c r="P32">
        <f t="shared" si="8"/>
        <v>6.7930866197602066E-2</v>
      </c>
      <c r="Q32">
        <f t="shared" si="9"/>
        <v>4.2559200377362369E-2</v>
      </c>
      <c r="R32">
        <f t="shared" si="10"/>
        <v>281.58111561341468</v>
      </c>
      <c r="S32">
        <f t="shared" si="11"/>
        <v>26.061738597583926</v>
      </c>
      <c r="T32">
        <f t="shared" si="12"/>
        <v>27.010100000000001</v>
      </c>
      <c r="U32">
        <f t="shared" si="13"/>
        <v>3.5812833929309797</v>
      </c>
      <c r="V32">
        <f t="shared" si="14"/>
        <v>55.312388342903873</v>
      </c>
      <c r="W32">
        <f t="shared" si="15"/>
        <v>1.6946537646895998</v>
      </c>
      <c r="X32">
        <f t="shared" si="16"/>
        <v>3.0637870022602454</v>
      </c>
      <c r="Y32">
        <f t="shared" si="17"/>
        <v>1.8866296282413799</v>
      </c>
      <c r="Z32">
        <f t="shared" si="18"/>
        <v>-58.448986800416378</v>
      </c>
      <c r="AA32">
        <f t="shared" si="19"/>
        <v>-319.04261897685302</v>
      </c>
      <c r="AB32">
        <f t="shared" si="20"/>
        <v>-30.218519921003299</v>
      </c>
      <c r="AC32">
        <f t="shared" si="21"/>
        <v>-126.12901008485801</v>
      </c>
      <c r="AD32">
        <v>-4.1155010299953498E-2</v>
      </c>
      <c r="AE32">
        <v>4.6200104438617398E-2</v>
      </c>
      <c r="AF32">
        <v>3.4533120752452802</v>
      </c>
      <c r="AG32">
        <v>0</v>
      </c>
      <c r="AH32">
        <v>0</v>
      </c>
      <c r="AI32">
        <f t="shared" si="22"/>
        <v>1</v>
      </c>
      <c r="AJ32">
        <f t="shared" si="23"/>
        <v>0</v>
      </c>
      <c r="AK32">
        <f t="shared" si="24"/>
        <v>52941.496981348588</v>
      </c>
      <c r="AL32" t="s">
        <v>268</v>
      </c>
      <c r="AM32">
        <v>631.89076923076902</v>
      </c>
      <c r="AN32">
        <v>3514.37</v>
      </c>
      <c r="AO32">
        <f t="shared" si="25"/>
        <v>2882.479230769231</v>
      </c>
      <c r="AP32">
        <f t="shared" si="26"/>
        <v>0.82019799587670938</v>
      </c>
      <c r="AQ32">
        <v>-1.4218795309761501</v>
      </c>
      <c r="AR32" t="s">
        <v>351</v>
      </c>
      <c r="AS32">
        <v>917.03915384615402</v>
      </c>
      <c r="AT32">
        <v>1272.27</v>
      </c>
      <c r="AU32">
        <f t="shared" si="27"/>
        <v>0.27921026680959704</v>
      </c>
      <c r="AV32">
        <v>0.5</v>
      </c>
      <c r="AW32">
        <f t="shared" si="28"/>
        <v>1471.3548000962783</v>
      </c>
      <c r="AX32">
        <f t="shared" si="29"/>
        <v>35.625992584575009</v>
      </c>
      <c r="AY32">
        <f t="shared" si="30"/>
        <v>205.40868315323158</v>
      </c>
      <c r="AZ32">
        <f t="shared" si="31"/>
        <v>0.56185400897608206</v>
      </c>
      <c r="BA32">
        <f t="shared" si="32"/>
        <v>2.5179427907617475E-2</v>
      </c>
      <c r="BB32">
        <f t="shared" si="33"/>
        <v>1.7622831631650513</v>
      </c>
      <c r="BC32" t="s">
        <v>352</v>
      </c>
      <c r="BD32">
        <v>557.44000000000005</v>
      </c>
      <c r="BE32">
        <f t="shared" si="34"/>
        <v>714.82999999999993</v>
      </c>
      <c r="BF32">
        <f t="shared" si="35"/>
        <v>0.49694451289655722</v>
      </c>
      <c r="BG32">
        <f t="shared" si="36"/>
        <v>0.75825264717122154</v>
      </c>
      <c r="BH32">
        <f t="shared" si="37"/>
        <v>0.55471949914293528</v>
      </c>
      <c r="BI32">
        <f t="shared" si="38"/>
        <v>0.77783734781730351</v>
      </c>
      <c r="BJ32">
        <f t="shared" si="39"/>
        <v>1750.18</v>
      </c>
      <c r="BK32">
        <f t="shared" si="40"/>
        <v>1471.3548000962783</v>
      </c>
      <c r="BL32">
        <f t="shared" si="41"/>
        <v>0.8406877007486534</v>
      </c>
      <c r="BM32">
        <f t="shared" si="42"/>
        <v>0.1913754014973067</v>
      </c>
      <c r="BN32">
        <v>6</v>
      </c>
      <c r="BO32">
        <v>0.5</v>
      </c>
      <c r="BP32" t="s">
        <v>271</v>
      </c>
      <c r="BQ32">
        <v>1567882803.2</v>
      </c>
      <c r="BR32">
        <v>1954.21</v>
      </c>
      <c r="BS32">
        <v>2000.06</v>
      </c>
      <c r="BT32">
        <v>17.059899999999999</v>
      </c>
      <c r="BU32">
        <v>15.4969</v>
      </c>
      <c r="BV32">
        <v>500.101</v>
      </c>
      <c r="BW32">
        <v>99.235399999999998</v>
      </c>
      <c r="BX32">
        <v>0.100104</v>
      </c>
      <c r="BY32">
        <v>24.378699999999998</v>
      </c>
      <c r="BZ32">
        <v>27.010100000000001</v>
      </c>
      <c r="CA32">
        <v>999.9</v>
      </c>
      <c r="CB32">
        <v>10001.200000000001</v>
      </c>
      <c r="CC32">
        <v>0</v>
      </c>
      <c r="CD32">
        <v>1507.17</v>
      </c>
      <c r="CE32">
        <v>1750.18</v>
      </c>
      <c r="CF32">
        <v>0.97701099999999996</v>
      </c>
      <c r="CG32">
        <v>2.2989099999999998E-2</v>
      </c>
      <c r="CH32">
        <v>0</v>
      </c>
      <c r="CI32">
        <v>916.90099999999995</v>
      </c>
      <c r="CJ32">
        <v>4.99986</v>
      </c>
      <c r="CK32">
        <v>18413.900000000001</v>
      </c>
      <c r="CL32">
        <v>14222.2</v>
      </c>
      <c r="CM32">
        <v>45</v>
      </c>
      <c r="CN32">
        <v>47.125</v>
      </c>
      <c r="CO32">
        <v>46.061999999999998</v>
      </c>
      <c r="CP32">
        <v>45.75</v>
      </c>
      <c r="CQ32">
        <v>46.5</v>
      </c>
      <c r="CR32">
        <v>1705.06</v>
      </c>
      <c r="CS32">
        <v>40.119999999999997</v>
      </c>
      <c r="CT32">
        <v>0</v>
      </c>
      <c r="CU32">
        <v>119.799999952316</v>
      </c>
      <c r="CV32">
        <v>917.03915384615402</v>
      </c>
      <c r="CW32">
        <v>-1.2058119569652801</v>
      </c>
      <c r="CX32">
        <v>-1729.1589749694999</v>
      </c>
      <c r="CY32">
        <v>19072.396153846199</v>
      </c>
      <c r="CZ32">
        <v>15</v>
      </c>
      <c r="DA32">
        <v>1567882772.2</v>
      </c>
      <c r="DB32" t="s">
        <v>353</v>
      </c>
      <c r="DC32">
        <v>93</v>
      </c>
      <c r="DD32">
        <v>0.09</v>
      </c>
      <c r="DE32">
        <v>9.6000000000000002E-2</v>
      </c>
      <c r="DF32">
        <v>2000</v>
      </c>
      <c r="DG32">
        <v>15</v>
      </c>
      <c r="DH32">
        <v>7.0000000000000007E-2</v>
      </c>
      <c r="DI32">
        <v>0.1</v>
      </c>
      <c r="DJ32">
        <v>24.219167456404101</v>
      </c>
      <c r="DK32">
        <v>69.911907375963494</v>
      </c>
      <c r="DL32">
        <v>16.009443405531702</v>
      </c>
      <c r="DM32">
        <v>0</v>
      </c>
      <c r="DN32">
        <v>4.5842017049485997E-2</v>
      </c>
      <c r="DO32">
        <v>0.13484421195591101</v>
      </c>
      <c r="DP32">
        <v>3.0549495791494598E-2</v>
      </c>
      <c r="DQ32">
        <v>1</v>
      </c>
      <c r="DR32">
        <v>1</v>
      </c>
      <c r="DS32">
        <v>2</v>
      </c>
      <c r="DT32" t="s">
        <v>283</v>
      </c>
      <c r="DU32">
        <v>1.8673200000000001</v>
      </c>
      <c r="DV32">
        <v>1.86381</v>
      </c>
      <c r="DW32">
        <v>1.86947</v>
      </c>
      <c r="DX32">
        <v>1.86737</v>
      </c>
      <c r="DY32">
        <v>1.8721000000000001</v>
      </c>
      <c r="DZ32">
        <v>1.86449</v>
      </c>
      <c r="EA32">
        <v>1.8660000000000001</v>
      </c>
      <c r="EB32">
        <v>1.8659600000000001</v>
      </c>
      <c r="EC32" t="s">
        <v>274</v>
      </c>
      <c r="ED32" t="s">
        <v>19</v>
      </c>
      <c r="EE32" t="s">
        <v>19</v>
      </c>
      <c r="EF32" t="s">
        <v>19</v>
      </c>
      <c r="EG32" t="s">
        <v>275</v>
      </c>
      <c r="EH32" t="s">
        <v>276</v>
      </c>
      <c r="EI32" t="s">
        <v>277</v>
      </c>
      <c r="EJ32" t="s">
        <v>277</v>
      </c>
      <c r="EK32" t="s">
        <v>277</v>
      </c>
      <c r="EL32" t="s">
        <v>277</v>
      </c>
      <c r="EM32">
        <v>0</v>
      </c>
      <c r="EN32">
        <v>100</v>
      </c>
      <c r="EO32">
        <v>100</v>
      </c>
      <c r="EP32">
        <v>0.09</v>
      </c>
      <c r="EQ32">
        <v>9.6000000000000002E-2</v>
      </c>
      <c r="ER32">
        <v>2</v>
      </c>
      <c r="ES32">
        <v>508.43400000000003</v>
      </c>
      <c r="ET32">
        <v>483.99200000000002</v>
      </c>
      <c r="EU32">
        <v>17.137699999999999</v>
      </c>
      <c r="EV32">
        <v>31.668299999999999</v>
      </c>
      <c r="EW32">
        <v>30</v>
      </c>
      <c r="EX32">
        <v>31.817399999999999</v>
      </c>
      <c r="EY32">
        <v>31.8416</v>
      </c>
      <c r="EZ32">
        <v>79.418300000000002</v>
      </c>
      <c r="FA32">
        <v>47.482999999999997</v>
      </c>
      <c r="FB32">
        <v>0</v>
      </c>
      <c r="FC32">
        <v>17.130600000000001</v>
      </c>
      <c r="FD32">
        <v>2000</v>
      </c>
      <c r="FE32">
        <v>15.493399999999999</v>
      </c>
      <c r="FF32">
        <v>101.066</v>
      </c>
      <c r="FG32">
        <v>101.583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 t="s">
        <v>5</v>
      </c>
    </row>
    <row r="4" spans="1:2" x14ac:dyDescent="0.35">
      <c r="A4" t="s">
        <v>6</v>
      </c>
      <c r="B4" t="s">
        <v>7</v>
      </c>
    </row>
    <row r="5" spans="1:2" x14ac:dyDescent="0.35">
      <c r="A5" t="s">
        <v>8</v>
      </c>
      <c r="B5" t="s">
        <v>9</v>
      </c>
    </row>
    <row r="6" spans="1:2" x14ac:dyDescent="0.35">
      <c r="A6" t="s">
        <v>10</v>
      </c>
      <c r="B6" t="s">
        <v>11</v>
      </c>
    </row>
    <row r="7" spans="1:2" x14ac:dyDescent="0.35">
      <c r="A7" t="s">
        <v>12</v>
      </c>
      <c r="B7" t="s">
        <v>13</v>
      </c>
    </row>
    <row r="8" spans="1:2" x14ac:dyDescent="0.35">
      <c r="A8" t="s">
        <v>14</v>
      </c>
      <c r="B8" t="s">
        <v>15</v>
      </c>
    </row>
    <row r="9" spans="1:2" x14ac:dyDescent="0.35">
      <c r="A9" t="s">
        <v>16</v>
      </c>
      <c r="B9" t="s">
        <v>17</v>
      </c>
    </row>
    <row r="10" spans="1:2" x14ac:dyDescent="0.35">
      <c r="A10" t="s">
        <v>18</v>
      </c>
      <c r="B10" t="s">
        <v>19</v>
      </c>
    </row>
    <row r="11" spans="1:2" x14ac:dyDescent="0.35">
      <c r="A11" t="s">
        <v>20</v>
      </c>
      <c r="B11" t="s">
        <v>19</v>
      </c>
    </row>
    <row r="12" spans="1:2" x14ac:dyDescent="0.35">
      <c r="A12" t="s">
        <v>21</v>
      </c>
      <c r="B12" t="s">
        <v>17</v>
      </c>
    </row>
    <row r="13" spans="1:2" x14ac:dyDescent="0.35">
      <c r="A13" t="s">
        <v>22</v>
      </c>
      <c r="B13" t="s">
        <v>11</v>
      </c>
    </row>
    <row r="14" spans="1:2" x14ac:dyDescent="0.35">
      <c r="A14" t="s">
        <v>23</v>
      </c>
      <c r="B1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Jiang, Chongya</dc:creator>
  <cp:lastModifiedBy>Jiang, Chongya</cp:lastModifiedBy>
  <dcterms:created xsi:type="dcterms:W3CDTF">2019-09-07T14:04:59Z</dcterms:created>
  <dcterms:modified xsi:type="dcterms:W3CDTF">2019-09-18T16:08:48Z</dcterms:modified>
</cp:coreProperties>
</file>