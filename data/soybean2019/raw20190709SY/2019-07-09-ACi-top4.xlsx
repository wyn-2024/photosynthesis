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BE55F677-B916-4D77-B376-0E0C0BC06659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Q28" i="1" l="1"/>
  <c r="BP28" i="1"/>
  <c r="BN28" i="1"/>
  <c r="BM28" i="1"/>
  <c r="BL28" i="1"/>
  <c r="BK28" i="1"/>
  <c r="BJ28" i="1"/>
  <c r="BI28" i="1"/>
  <c r="BD28" i="1" s="1"/>
  <c r="BF28" i="1"/>
  <c r="AY28" i="1"/>
  <c r="AS28" i="1"/>
  <c r="AT28" i="1" s="1"/>
  <c r="AO28" i="1"/>
  <c r="AM28" i="1" s="1"/>
  <c r="L28" i="1" s="1"/>
  <c r="AD28" i="1" s="1"/>
  <c r="AB28" i="1"/>
  <c r="AA28" i="1"/>
  <c r="S28" i="1"/>
  <c r="BQ27" i="1"/>
  <c r="BP27" i="1"/>
  <c r="BN27" i="1"/>
  <c r="BM27" i="1"/>
  <c r="BL27" i="1"/>
  <c r="BK27" i="1"/>
  <c r="BJ27" i="1"/>
  <c r="BI27" i="1"/>
  <c r="BD27" i="1" s="1"/>
  <c r="BF27" i="1"/>
  <c r="AY27" i="1"/>
  <c r="AS27" i="1"/>
  <c r="AT27" i="1" s="1"/>
  <c r="AO27" i="1"/>
  <c r="AM27" i="1" s="1"/>
  <c r="AN27" i="1" s="1"/>
  <c r="AB27" i="1"/>
  <c r="AA27" i="1"/>
  <c r="S27" i="1"/>
  <c r="BQ26" i="1"/>
  <c r="BP26" i="1"/>
  <c r="BN26" i="1"/>
  <c r="BO26" i="1" s="1"/>
  <c r="BA26" i="1" s="1"/>
  <c r="BC26" i="1" s="1"/>
  <c r="BM26" i="1"/>
  <c r="BL26" i="1"/>
  <c r="BK26" i="1"/>
  <c r="BJ26" i="1"/>
  <c r="BI26" i="1"/>
  <c r="BD26" i="1" s="1"/>
  <c r="BF26" i="1"/>
  <c r="AY26" i="1"/>
  <c r="AS26" i="1"/>
  <c r="AT26" i="1" s="1"/>
  <c r="AO26" i="1"/>
  <c r="AM26" i="1" s="1"/>
  <c r="Q26" i="1" s="1"/>
  <c r="AB26" i="1"/>
  <c r="AA26" i="1"/>
  <c r="S26" i="1"/>
  <c r="BQ25" i="1"/>
  <c r="BP25" i="1"/>
  <c r="BN25" i="1"/>
  <c r="BM25" i="1"/>
  <c r="BL25" i="1"/>
  <c r="BK25" i="1"/>
  <c r="BJ25" i="1"/>
  <c r="BI25" i="1"/>
  <c r="BD25" i="1" s="1"/>
  <c r="BF25" i="1"/>
  <c r="AY25" i="1"/>
  <c r="AS25" i="1"/>
  <c r="AT25" i="1" s="1"/>
  <c r="AO25" i="1"/>
  <c r="AM25" i="1" s="1"/>
  <c r="M25" i="1" s="1"/>
  <c r="BB25" i="1" s="1"/>
  <c r="AB25" i="1"/>
  <c r="Z25" i="1" s="1"/>
  <c r="AA25" i="1"/>
  <c r="S25" i="1"/>
  <c r="BQ24" i="1"/>
  <c r="BP24" i="1"/>
  <c r="BN24" i="1"/>
  <c r="BM24" i="1"/>
  <c r="BL24" i="1"/>
  <c r="BK24" i="1"/>
  <c r="BJ24" i="1"/>
  <c r="BI24" i="1"/>
  <c r="BF24" i="1"/>
  <c r="BD24" i="1"/>
  <c r="AY24" i="1"/>
  <c r="AS24" i="1"/>
  <c r="AT24" i="1" s="1"/>
  <c r="AO24" i="1"/>
  <c r="AM24" i="1" s="1"/>
  <c r="L24" i="1" s="1"/>
  <c r="AB24" i="1"/>
  <c r="AA24" i="1"/>
  <c r="S24" i="1"/>
  <c r="BQ23" i="1"/>
  <c r="BP23" i="1"/>
  <c r="BN23" i="1"/>
  <c r="BM23" i="1"/>
  <c r="BL23" i="1"/>
  <c r="BK23" i="1"/>
  <c r="BJ23" i="1"/>
  <c r="BI23" i="1"/>
  <c r="BD23" i="1" s="1"/>
  <c r="BF23" i="1"/>
  <c r="AY23" i="1"/>
  <c r="AT23" i="1"/>
  <c r="AS23" i="1"/>
  <c r="AO23" i="1"/>
  <c r="AM23" i="1" s="1"/>
  <c r="N23" i="1" s="1"/>
  <c r="AB23" i="1"/>
  <c r="AA23" i="1"/>
  <c r="S23" i="1"/>
  <c r="BQ22" i="1"/>
  <c r="BP22" i="1"/>
  <c r="BN22" i="1"/>
  <c r="BM22" i="1"/>
  <c r="BL22" i="1"/>
  <c r="BK22" i="1"/>
  <c r="BJ22" i="1"/>
  <c r="BI22" i="1"/>
  <c r="BD22" i="1" s="1"/>
  <c r="BF22" i="1"/>
  <c r="AY22" i="1"/>
  <c r="AS22" i="1"/>
  <c r="AT22" i="1" s="1"/>
  <c r="AO22" i="1"/>
  <c r="AM22" i="1" s="1"/>
  <c r="AB22" i="1"/>
  <c r="AA22" i="1"/>
  <c r="S22" i="1"/>
  <c r="BQ21" i="1"/>
  <c r="BP21" i="1"/>
  <c r="BN21" i="1"/>
  <c r="BM21" i="1"/>
  <c r="BL21" i="1"/>
  <c r="BK21" i="1"/>
  <c r="BJ21" i="1"/>
  <c r="BI21" i="1"/>
  <c r="BD21" i="1" s="1"/>
  <c r="BF21" i="1"/>
  <c r="AY21" i="1"/>
  <c r="AS21" i="1"/>
  <c r="AT21" i="1" s="1"/>
  <c r="AO21" i="1"/>
  <c r="AM21" i="1" s="1"/>
  <c r="N21" i="1" s="1"/>
  <c r="AN21" i="1"/>
  <c r="AB21" i="1"/>
  <c r="AA21" i="1"/>
  <c r="S21" i="1"/>
  <c r="Q21" i="1"/>
  <c r="M21" i="1"/>
  <c r="BB21" i="1" s="1"/>
  <c r="L21" i="1"/>
  <c r="AD21" i="1" s="1"/>
  <c r="BQ20" i="1"/>
  <c r="BP20" i="1"/>
  <c r="BN20" i="1"/>
  <c r="BM20" i="1"/>
  <c r="BL20" i="1"/>
  <c r="BK20" i="1"/>
  <c r="BJ20" i="1"/>
  <c r="BI20" i="1"/>
  <c r="BD20" i="1" s="1"/>
  <c r="BF20" i="1"/>
  <c r="AY20" i="1"/>
  <c r="AT20" i="1"/>
  <c r="AS20" i="1"/>
  <c r="AO20" i="1"/>
  <c r="AM20" i="1"/>
  <c r="N20" i="1" s="1"/>
  <c r="AB20" i="1"/>
  <c r="AA20" i="1"/>
  <c r="S20" i="1"/>
  <c r="BQ19" i="1"/>
  <c r="BP19" i="1"/>
  <c r="BN19" i="1"/>
  <c r="BM19" i="1"/>
  <c r="BL19" i="1"/>
  <c r="BK19" i="1"/>
  <c r="BJ19" i="1"/>
  <c r="BI19" i="1"/>
  <c r="BD19" i="1" s="1"/>
  <c r="BF19" i="1"/>
  <c r="AY19" i="1"/>
  <c r="AS19" i="1"/>
  <c r="AT19" i="1" s="1"/>
  <c r="AO19" i="1"/>
  <c r="AM19" i="1"/>
  <c r="L19" i="1" s="1"/>
  <c r="AD19" i="1" s="1"/>
  <c r="AB19" i="1"/>
  <c r="AA19" i="1"/>
  <c r="Z19" i="1" s="1"/>
  <c r="S19" i="1"/>
  <c r="BQ18" i="1"/>
  <c r="BP18" i="1"/>
  <c r="BN18" i="1"/>
  <c r="BM18" i="1"/>
  <c r="BL18" i="1"/>
  <c r="BK18" i="1"/>
  <c r="BJ18" i="1"/>
  <c r="BI18" i="1"/>
  <c r="BD18" i="1" s="1"/>
  <c r="BF18" i="1"/>
  <c r="AY18" i="1"/>
  <c r="AS18" i="1"/>
  <c r="AT18" i="1" s="1"/>
  <c r="AO18" i="1"/>
  <c r="AM18" i="1" s="1"/>
  <c r="AB18" i="1"/>
  <c r="AA18" i="1"/>
  <c r="S18" i="1"/>
  <c r="BQ17" i="1"/>
  <c r="BP17" i="1"/>
  <c r="BN17" i="1"/>
  <c r="BM17" i="1"/>
  <c r="BL17" i="1"/>
  <c r="BK17" i="1"/>
  <c r="BJ17" i="1"/>
  <c r="BI17" i="1"/>
  <c r="BD17" i="1" s="1"/>
  <c r="BF17" i="1"/>
  <c r="AY17" i="1"/>
  <c r="AS17" i="1"/>
  <c r="AT17" i="1" s="1"/>
  <c r="AO17" i="1"/>
  <c r="AM17" i="1" s="1"/>
  <c r="AB17" i="1"/>
  <c r="AA17" i="1"/>
  <c r="S17" i="1"/>
  <c r="BO17" i="1" l="1"/>
  <c r="Z23" i="1"/>
  <c r="Z26" i="1"/>
  <c r="BO27" i="1"/>
  <c r="BA27" i="1" s="1"/>
  <c r="BC27" i="1" s="1"/>
  <c r="BO28" i="1"/>
  <c r="Z20" i="1"/>
  <c r="Z21" i="1"/>
  <c r="BO21" i="1"/>
  <c r="BA21" i="1" s="1"/>
  <c r="BC21" i="1" s="1"/>
  <c r="BO23" i="1"/>
  <c r="BA23" i="1" s="1"/>
  <c r="BO24" i="1"/>
  <c r="M19" i="1"/>
  <c r="BB19" i="1" s="1"/>
  <c r="BO20" i="1"/>
  <c r="V20" i="1" s="1"/>
  <c r="Z17" i="1"/>
  <c r="AN19" i="1"/>
  <c r="BC23" i="1"/>
  <c r="Z18" i="1"/>
  <c r="BO18" i="1"/>
  <c r="Q19" i="1"/>
  <c r="L20" i="1"/>
  <c r="AD20" i="1" s="1"/>
  <c r="Z22" i="1"/>
  <c r="BO22" i="1"/>
  <c r="BO25" i="1"/>
  <c r="V25" i="1" s="1"/>
  <c r="V26" i="1"/>
  <c r="Z27" i="1"/>
  <c r="Q25" i="1"/>
  <c r="N19" i="1"/>
  <c r="AN20" i="1"/>
  <c r="V23" i="1"/>
  <c r="W23" i="1" s="1"/>
  <c r="X23" i="1" s="1"/>
  <c r="AE23" i="1" s="1"/>
  <c r="AN23" i="1"/>
  <c r="BO19" i="1"/>
  <c r="BA19" i="1" s="1"/>
  <c r="BC19" i="1" s="1"/>
  <c r="L25" i="1"/>
  <c r="AD25" i="1" s="1"/>
  <c r="V17" i="1"/>
  <c r="BA17" i="1"/>
  <c r="V21" i="1"/>
  <c r="V28" i="1"/>
  <c r="BA28" i="1"/>
  <c r="V22" i="1"/>
  <c r="BA22" i="1"/>
  <c r="BC22" i="1" s="1"/>
  <c r="AD24" i="1"/>
  <c r="V24" i="1"/>
  <c r="BA24" i="1"/>
  <c r="BC24" i="1" s="1"/>
  <c r="AN17" i="1"/>
  <c r="N17" i="1"/>
  <c r="Q17" i="1"/>
  <c r="M17" i="1"/>
  <c r="BB17" i="1" s="1"/>
  <c r="BE17" i="1" s="1"/>
  <c r="L17" i="1"/>
  <c r="V18" i="1"/>
  <c r="BA18" i="1"/>
  <c r="BC18" i="1" s="1"/>
  <c r="AN18" i="1"/>
  <c r="M18" i="1"/>
  <c r="BB18" i="1" s="1"/>
  <c r="N18" i="1"/>
  <c r="Q18" i="1"/>
  <c r="L18" i="1"/>
  <c r="AN22" i="1"/>
  <c r="M22" i="1"/>
  <c r="BB22" i="1" s="1"/>
  <c r="N22" i="1"/>
  <c r="Q22" i="1"/>
  <c r="L22" i="1"/>
  <c r="W26" i="1"/>
  <c r="X26" i="1" s="1"/>
  <c r="AE26" i="1" s="1"/>
  <c r="L26" i="1"/>
  <c r="AN26" i="1"/>
  <c r="M28" i="1"/>
  <c r="BB28" i="1" s="1"/>
  <c r="BE28" i="1" s="1"/>
  <c r="BA20" i="1"/>
  <c r="BC20" i="1" s="1"/>
  <c r="AN25" i="1"/>
  <c r="N25" i="1"/>
  <c r="M26" i="1"/>
  <c r="BB26" i="1" s="1"/>
  <c r="BE26" i="1" s="1"/>
  <c r="BC28" i="1"/>
  <c r="N24" i="1"/>
  <c r="Q24" i="1"/>
  <c r="M24" i="1"/>
  <c r="BB24" i="1" s="1"/>
  <c r="BC17" i="1"/>
  <c r="V19" i="1"/>
  <c r="Q20" i="1"/>
  <c r="M20" i="1"/>
  <c r="BB20" i="1" s="1"/>
  <c r="BE20" i="1" s="1"/>
  <c r="Q23" i="1"/>
  <c r="M23" i="1"/>
  <c r="BB23" i="1" s="1"/>
  <c r="BE23" i="1" s="1"/>
  <c r="L23" i="1"/>
  <c r="Z24" i="1"/>
  <c r="AN24" i="1"/>
  <c r="N26" i="1"/>
  <c r="M27" i="1"/>
  <c r="Q27" i="1" s="1"/>
  <c r="L27" i="1"/>
  <c r="Z28" i="1"/>
  <c r="AN28" i="1"/>
  <c r="V27" i="1" l="1"/>
  <c r="BE22" i="1"/>
  <c r="BA25" i="1"/>
  <c r="BC25" i="1" s="1"/>
  <c r="Q28" i="1"/>
  <c r="W27" i="1"/>
  <c r="X27" i="1" s="1"/>
  <c r="AF27" i="1" s="1"/>
  <c r="BE18" i="1"/>
  <c r="W20" i="1"/>
  <c r="X20" i="1" s="1"/>
  <c r="T20" i="1" s="1"/>
  <c r="R20" i="1" s="1"/>
  <c r="U20" i="1" s="1"/>
  <c r="O20" i="1" s="1"/>
  <c r="P20" i="1" s="1"/>
  <c r="BE19" i="1"/>
  <c r="W25" i="1"/>
  <c r="X25" i="1" s="1"/>
  <c r="W22" i="1"/>
  <c r="X22" i="1" s="1"/>
  <c r="T22" i="1" s="1"/>
  <c r="R22" i="1" s="1"/>
  <c r="U22" i="1" s="1"/>
  <c r="O22" i="1" s="1"/>
  <c r="P22" i="1" s="1"/>
  <c r="BB27" i="1"/>
  <c r="BE27" i="1" s="1"/>
  <c r="N27" i="1"/>
  <c r="BE24" i="1"/>
  <c r="N28" i="1"/>
  <c r="T26" i="1"/>
  <c r="R26" i="1" s="1"/>
  <c r="U26" i="1" s="1"/>
  <c r="O26" i="1" s="1"/>
  <c r="P26" i="1" s="1"/>
  <c r="AD26" i="1"/>
  <c r="AD22" i="1"/>
  <c r="W24" i="1"/>
  <c r="X24" i="1" s="1"/>
  <c r="W21" i="1"/>
  <c r="X21" i="1" s="1"/>
  <c r="BE25" i="1"/>
  <c r="AF26" i="1"/>
  <c r="Y26" i="1"/>
  <c r="AC26" i="1" s="1"/>
  <c r="W18" i="1"/>
  <c r="X18" i="1" s="1"/>
  <c r="T18" i="1" s="1"/>
  <c r="R18" i="1" s="1"/>
  <c r="U18" i="1" s="1"/>
  <c r="O18" i="1" s="1"/>
  <c r="P18" i="1" s="1"/>
  <c r="BE21" i="1"/>
  <c r="AD27" i="1"/>
  <c r="Y23" i="1"/>
  <c r="AC23" i="1" s="1"/>
  <c r="AF23" i="1"/>
  <c r="W19" i="1"/>
  <c r="X19" i="1" s="1"/>
  <c r="T23" i="1"/>
  <c r="R23" i="1" s="1"/>
  <c r="U23" i="1" s="1"/>
  <c r="O23" i="1" s="1"/>
  <c r="P23" i="1" s="1"/>
  <c r="AD23" i="1"/>
  <c r="AD18" i="1"/>
  <c r="AD17" i="1"/>
  <c r="W28" i="1"/>
  <c r="X28" i="1" s="1"/>
  <c r="AF20" i="1"/>
  <c r="W17" i="1"/>
  <c r="X17" i="1" s="1"/>
  <c r="Y20" i="1" l="1"/>
  <c r="AC20" i="1" s="1"/>
  <c r="AE20" i="1"/>
  <c r="T27" i="1"/>
  <c r="R27" i="1" s="1"/>
  <c r="U27" i="1" s="1"/>
  <c r="O27" i="1" s="1"/>
  <c r="P27" i="1" s="1"/>
  <c r="AG26" i="1"/>
  <c r="AE27" i="1"/>
  <c r="AG27" i="1" s="1"/>
  <c r="Y27" i="1"/>
  <c r="AC27" i="1" s="1"/>
  <c r="Y28" i="1"/>
  <c r="AC28" i="1" s="1"/>
  <c r="AF28" i="1"/>
  <c r="AE28" i="1"/>
  <c r="T28" i="1"/>
  <c r="R28" i="1" s="1"/>
  <c r="U28" i="1" s="1"/>
  <c r="O28" i="1" s="1"/>
  <c r="P28" i="1" s="1"/>
  <c r="AF21" i="1"/>
  <c r="Y21" i="1"/>
  <c r="AC21" i="1" s="1"/>
  <c r="AE21" i="1"/>
  <c r="T21" i="1"/>
  <c r="R21" i="1" s="1"/>
  <c r="U21" i="1" s="1"/>
  <c r="O21" i="1" s="1"/>
  <c r="P21" i="1" s="1"/>
  <c r="Y25" i="1"/>
  <c r="AC25" i="1" s="1"/>
  <c r="AF25" i="1"/>
  <c r="AG25" i="1" s="1"/>
  <c r="T25" i="1"/>
  <c r="R25" i="1" s="1"/>
  <c r="U25" i="1" s="1"/>
  <c r="O25" i="1" s="1"/>
  <c r="P25" i="1" s="1"/>
  <c r="AE25" i="1"/>
  <c r="AF22" i="1"/>
  <c r="Y22" i="1"/>
  <c r="AC22" i="1" s="1"/>
  <c r="AE22" i="1"/>
  <c r="AF18" i="1"/>
  <c r="Y18" i="1"/>
  <c r="AC18" i="1" s="1"/>
  <c r="AE18" i="1"/>
  <c r="AF17" i="1"/>
  <c r="Y17" i="1"/>
  <c r="AC17" i="1" s="1"/>
  <c r="AE17" i="1"/>
  <c r="AF19" i="1"/>
  <c r="AE19" i="1"/>
  <c r="Y19" i="1"/>
  <c r="AC19" i="1" s="1"/>
  <c r="T19" i="1"/>
  <c r="R19" i="1" s="1"/>
  <c r="U19" i="1" s="1"/>
  <c r="O19" i="1" s="1"/>
  <c r="P19" i="1" s="1"/>
  <c r="AG20" i="1"/>
  <c r="T17" i="1"/>
  <c r="R17" i="1" s="1"/>
  <c r="U17" i="1" s="1"/>
  <c r="O17" i="1" s="1"/>
  <c r="P17" i="1" s="1"/>
  <c r="AG23" i="1"/>
  <c r="Y24" i="1"/>
  <c r="AC24" i="1" s="1"/>
  <c r="AF24" i="1"/>
  <c r="T24" i="1"/>
  <c r="R24" i="1" s="1"/>
  <c r="U24" i="1" s="1"/>
  <c r="O24" i="1" s="1"/>
  <c r="P24" i="1" s="1"/>
  <c r="AE24" i="1"/>
  <c r="AG18" i="1" l="1"/>
  <c r="AG17" i="1"/>
  <c r="AG28" i="1"/>
  <c r="AG24" i="1"/>
  <c r="AG19" i="1"/>
  <c r="AG22" i="1"/>
  <c r="AG21" i="1"/>
</calcChain>
</file>

<file path=xl/sharedStrings.xml><?xml version="1.0" encoding="utf-8"?>
<sst xmlns="http://schemas.openxmlformats.org/spreadsheetml/2006/main" count="782" uniqueCount="344">
  <si>
    <t>File opened</t>
  </si>
  <si>
    <t>2019-07-09 13:21:41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</si>
  <si>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</si>
  <si>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</si>
  <si>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</si>
  <si>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</si>
  <si>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</si>
  <si>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</si>
  <si>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</si>
  <si>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</si>
  <si>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</si>
  <si>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</si>
  <si>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</si>
  <si>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{"co2aspan1": "0.992625", "h2obspan2b": "0.0963575", "flowbzero": "0.20796", "co2aspanconc1": "1002", "co2bspanconc1": "1002", "h2obspan2a": "0.0975941", "co2bspan2b": "0.162103", "h2oaspan2": "0", "h2oaspanconc2": "0", "h2obzero": "1.01783", "co2aspan2a": "0.164928", "flowmeterzero": "0.991801", "co2bspan2a": "0.163389", "h2oaspan2a": "0.0661155", "co2azero": "0.869071", "co2bzero": "0.880288", "flowazero": "0.4286", "co2aspan2": "0", "h2oaspan1": "1.00223", "h2oazero": "1.00263", "h2oaspan2b": "0.0662632", "h2oaspanconc1": "12.19", "co2aspanconc2": "0", "tazero": "0.00774765", "chamberpressurezero": "2.57337", "h2obspanconc1": "20", "oxygen": "21", "co2bspanconc2": "0", "co2aspan2b": "0.163711", "h2obspanconc2": "0", "tbzero": "0.197721", "co2bspan2": "0", "co2bspan1": "0.992131", "ssb_ref": "36526.8", "h2obspan2": "0", "ssa_ref": "36614.9", "h2obspan1": "0.998578"}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</si>
  <si>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</si>
  <si>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</si>
  <si>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</si>
  <si>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</si>
  <si>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</si>
  <si>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</si>
  <si>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</si>
  <si>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</si>
  <si>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</si>
  <si>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13:21:41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</si>
  <si>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</si>
  <si>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</si>
  <si>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</si>
  <si>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</si>
  <si>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</si>
  <si>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</si>
  <si>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</si>
  <si>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</si>
  <si>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</si>
  <si>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</si>
  <si>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</si>
  <si>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</si>
  <si>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</si>
  <si>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</si>
  <si>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</si>
  <si>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</si>
  <si>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</si>
  <si>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</si>
  <si>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</si>
  <si>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</si>
  <si>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</si>
  <si>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</si>
  <si>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</si>
  <si>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</si>
  <si>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</si>
  <si>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</si>
  <si>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</si>
  <si>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</si>
  <si>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</si>
  <si>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</si>
  <si>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</si>
  <si>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</si>
  <si>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</si>
  <si>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</si>
  <si>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</si>
  <si>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</si>
  <si>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</si>
  <si>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</si>
  <si>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</si>
  <si>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</si>
  <si>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</si>
  <si>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</si>
  <si>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</si>
  <si>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</si>
  <si>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</si>
  <si>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</si>
  <si>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</si>
  <si>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</si>
  <si>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</si>
  <si>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0.217328 74.432 385.252 619.716 848.505 1054.79 1233.43 1418.33</t>
  </si>
  <si>
    <t>Fs_true</t>
  </si>
  <si>
    <t>0.125404 100.335 402.869 601.159 799.534 1000.37 1200.63 1401.48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</si>
  <si>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</si>
  <si>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</si>
  <si>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</si>
  <si>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</si>
  <si>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</si>
  <si>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</si>
  <si>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</si>
  <si>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</si>
  <si>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</si>
  <si>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</si>
  <si>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</si>
  <si>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</si>
  <si>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</si>
  <si>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</si>
  <si>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</si>
  <si>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</si>
  <si>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</si>
  <si>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</si>
  <si>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</si>
  <si>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Treatment</t>
  </si>
  <si>
    <t>Genotype</t>
  </si>
  <si>
    <t>Plant</t>
  </si>
  <si>
    <t>species</t>
  </si>
  <si>
    <t>leaf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</si>
  <si>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</si>
  <si>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</si>
  <si>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</si>
  <si>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</si>
  <si>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</si>
  <si>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</si>
  <si>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</si>
  <si>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</si>
  <si>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</si>
  <si>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</si>
  <si>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</si>
  <si>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</si>
  <si>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</si>
  <si>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</si>
  <si>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</si>
  <si>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</si>
  <si>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</si>
  <si>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</si>
  <si>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</si>
  <si>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</si>
  <si>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</si>
  <si>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</si>
  <si>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</si>
  <si>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</si>
  <si>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</si>
  <si>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</si>
  <si>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</si>
  <si>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</si>
  <si>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</si>
  <si>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</si>
  <si>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</si>
  <si>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</si>
  <si>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</si>
  <si>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</si>
  <si>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</si>
  <si>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</si>
  <si>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</si>
  <si>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</si>
  <si>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</si>
  <si>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</si>
  <si>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</si>
  <si>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</si>
  <si>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</si>
  <si>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</si>
  <si>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</si>
  <si>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</si>
  <si>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</si>
  <si>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</si>
  <si>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</si>
  <si>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</si>
  <si>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</si>
  <si>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</si>
  <si>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</si>
  <si>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</si>
  <si>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</si>
  <si>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</si>
  <si>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</si>
  <si>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</si>
  <si>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</si>
  <si>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</si>
  <si>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</si>
  <si>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</si>
  <si>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</si>
  <si>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</si>
  <si>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</si>
  <si>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</si>
  <si>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</si>
  <si>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</si>
  <si>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</si>
  <si>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</si>
  <si>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</si>
  <si>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</si>
  <si>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</si>
  <si>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</si>
  <si>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</si>
  <si>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</si>
  <si>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</si>
  <si>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</si>
  <si>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</si>
  <si>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</si>
  <si>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</si>
  <si>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</si>
  <si>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</si>
  <si>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</si>
  <si>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</si>
  <si>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</si>
  <si>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</si>
  <si>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</si>
  <si>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</si>
  <si>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</si>
  <si>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</si>
  <si>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</si>
  <si>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</si>
  <si>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</si>
  <si>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</si>
  <si>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</si>
  <si>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</si>
  <si>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</si>
  <si>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</si>
  <si>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</si>
  <si>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</si>
  <si>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</si>
  <si>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</si>
  <si>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</si>
  <si>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CO2_s:MN</t>
  </si>
  <si>
    <t>CO2_s:SLP</t>
  </si>
  <si>
    <t>CO2_s:SD</t>
  </si>
  <si>
    <t>CO2_s:OK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</si>
  <si>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</si>
  <si>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</si>
  <si>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</si>
  <si>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</si>
  <si>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</si>
  <si>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</si>
  <si>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</si>
  <si>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</si>
  <si>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</si>
  <si>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</si>
  <si>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</si>
  <si>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</si>
  <si>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</si>
  <si>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</si>
  <si>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</si>
  <si>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</si>
  <si>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</si>
  <si>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</si>
  <si>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</si>
  <si>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</si>
  <si>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</si>
  <si>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</si>
  <si>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</si>
  <si>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</si>
  <si>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</si>
  <si>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</si>
  <si>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</si>
  <si>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</si>
  <si>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</si>
  <si>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</si>
  <si>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</si>
  <si>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</si>
  <si>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</si>
  <si>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</si>
  <si>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</si>
  <si>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</si>
  <si>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</si>
  <si>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</si>
  <si>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</si>
  <si>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</si>
  <si>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</si>
  <si>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</si>
  <si>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</si>
  <si>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</si>
  <si>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</si>
  <si>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</si>
  <si>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</si>
  <si>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</si>
  <si>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</si>
  <si>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</si>
  <si>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</si>
  <si>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</si>
  <si>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</si>
  <si>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</si>
  <si>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</si>
  <si>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</si>
  <si>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</si>
  <si>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</si>
  <si>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</si>
  <si>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</si>
  <si>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</si>
  <si>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</si>
  <si>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</si>
  <si>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</si>
  <si>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</si>
  <si>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>mol m⁻² s⁻¹ min⁻¹</t>
  </si>
  <si>
    <t>V</t>
  </si>
  <si>
    <t>20190709 13:30:52</t>
  </si>
  <si>
    <t>13:30:52</t>
  </si>
  <si>
    <t>1</t>
  </si>
  <si>
    <t>G2</t>
  </si>
  <si>
    <t>RECT-4282-20190709-05_10_52</t>
  </si>
  <si>
    <t>MPF-4407-20190709-13_30_54</t>
  </si>
  <si>
    <t>DARK-4408-20190709-13_31_01</t>
  </si>
  <si>
    <t>13:30:08</t>
  </si>
  <si>
    <t>3/3</t>
  </si>
  <si>
    <t>5</t>
  </si>
  <si>
    <t>11111111</t>
  </si>
  <si>
    <t>oooooooo</t>
  </si>
  <si>
    <t>off</t>
  </si>
  <si>
    <t>20190709 13:33:13</t>
  </si>
  <si>
    <t>13:33:13</t>
  </si>
  <si>
    <t>MPF-4409-20190709-13_33_14</t>
  </si>
  <si>
    <t>DARK-4410-20190709-13_33_22</t>
  </si>
  <si>
    <t>13:32:11</t>
  </si>
  <si>
    <t>2/3</t>
  </si>
  <si>
    <t>20190709 13:35:18</t>
  </si>
  <si>
    <t>13:35:18</t>
  </si>
  <si>
    <t>MPF-4411-20190709-13_35_19</t>
  </si>
  <si>
    <t>DARK-4412-20190709-13_35_27</t>
  </si>
  <si>
    <t>13:34:33</t>
  </si>
  <si>
    <t>20190709 13:37:32</t>
  </si>
  <si>
    <t>13:37:32</t>
  </si>
  <si>
    <t>MPF-4413-20190709-13_37_33</t>
  </si>
  <si>
    <t>DARK-4414-20190709-13_37_41</t>
  </si>
  <si>
    <t>13:36:48</t>
  </si>
  <si>
    <t>20190709 13:39:30</t>
  </si>
  <si>
    <t>13:39:30</t>
  </si>
  <si>
    <t>MPF-4415-20190709-13_39_31</t>
  </si>
  <si>
    <t>DARK-4416-20190709-13_39_39</t>
  </si>
  <si>
    <t>13:38:46</t>
  </si>
  <si>
    <t>20190709 13:41:30</t>
  </si>
  <si>
    <t>13:41:30</t>
  </si>
  <si>
    <t>MPF-4417-20190709-13_41_31</t>
  </si>
  <si>
    <t>DARK-4418-20190709-13_41_39</t>
  </si>
  <si>
    <t>13:42:10</t>
  </si>
  <si>
    <t>20190709 13:47:34</t>
  </si>
  <si>
    <t>13:47:34</t>
  </si>
  <si>
    <t>MPF-4421-20190709-13_47_35</t>
  </si>
  <si>
    <t>DARK-4422-20190709-13_47_43</t>
  </si>
  <si>
    <t>13:46:26</t>
  </si>
  <si>
    <t>20190709 13:49:43</t>
  </si>
  <si>
    <t>13:49:43</t>
  </si>
  <si>
    <t>MPF-4423-20190709-13_49_45</t>
  </si>
  <si>
    <t>DARK-4424-20190709-13_49_52</t>
  </si>
  <si>
    <t>13:48:51</t>
  </si>
  <si>
    <t>20190709 13:52:04</t>
  </si>
  <si>
    <t>13:52:04</t>
  </si>
  <si>
    <t>MPF-4425-20190709-13_52_05</t>
  </si>
  <si>
    <t>DARK-4426-20190709-13_52_13</t>
  </si>
  <si>
    <t>13:51:01</t>
  </si>
  <si>
    <t>20190709 13:54:24</t>
  </si>
  <si>
    <t>13:54:24</t>
  </si>
  <si>
    <t>MPF-4427-20190709-13_54_26</t>
  </si>
  <si>
    <t>DARK-4428-20190709-13_54_34</t>
  </si>
  <si>
    <t>13:53:24</t>
  </si>
  <si>
    <t>20190709 13:56:45</t>
  </si>
  <si>
    <t>13:56:45</t>
  </si>
  <si>
    <t>MPF-4429-20190709-13_56_46</t>
  </si>
  <si>
    <t>DARK-4430-20190709-13_56_54</t>
  </si>
  <si>
    <t>13:57:20</t>
  </si>
  <si>
    <t>20190709 13:59:42</t>
  </si>
  <si>
    <t>13:59:42</t>
  </si>
  <si>
    <t>MPF-4431-20190709-13_59_43</t>
  </si>
  <si>
    <t>DARK-4432-20190709-13_59_51</t>
  </si>
  <si>
    <t>14:00:21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</si>
</sst>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9" workbookViewId="0">
      <selection activeCell="A23" sqref="A23:XFD23"/>
    </sheetView>
  </sheetViews>
  <sheetFormatPr defaultRowHeight="14.5" x14ac:dyDescent="0.35"/>
  <sheetData>
    <row r="2" spans="1:168" x14ac:dyDescent="0.35">
      <c r="A2" t="s">
        <v>25</v>
      </c>
      <c r="B2" t="s">
        <v>26</v>
      </c>
      <c r="C2" t="s">
        <v>28</v>
      </c>
      <c r="D2" t="s">
        <v>30</v>
      </c>
    </row>
    <row r="3" spans="1:168" x14ac:dyDescent="0.35">
      <c r="B3" t="s">
        <v>27</v>
      </c>
      <c r="C3" t="s">
        <v>29</v>
      </c>
      <c r="D3" t="s">
        <v>15</v>
      </c>
    </row>
    <row r="4" spans="1:168" x14ac:dyDescent="0.3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35">
      <c r="B5">
        <v>6</v>
      </c>
      <c r="C5">
        <v>0.5</v>
      </c>
      <c r="D5" t="s">
        <v>35</v>
      </c>
      <c r="E5">
        <v>2</v>
      </c>
    </row>
    <row r="6" spans="1:168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35">
      <c r="B7">
        <v>0</v>
      </c>
      <c r="C7">
        <v>1</v>
      </c>
      <c r="D7">
        <v>0</v>
      </c>
      <c r="E7">
        <v>0</v>
      </c>
    </row>
    <row r="8" spans="1:168" x14ac:dyDescent="0.3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3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3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3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3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3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N15" t="s">
        <v>103</v>
      </c>
      <c r="O15" t="s">
        <v>104</v>
      </c>
      <c r="P15" t="s">
        <v>105</v>
      </c>
      <c r="Q15" t="s">
        <v>106</v>
      </c>
      <c r="R15" t="s">
        <v>107</v>
      </c>
      <c r="S15" t="s">
        <v>108</v>
      </c>
      <c r="T15" t="s">
        <v>109</v>
      </c>
      <c r="U15" t="s">
        <v>110</v>
      </c>
      <c r="V15" t="s">
        <v>111</v>
      </c>
      <c r="W15" t="s">
        <v>112</v>
      </c>
      <c r="X15" t="s">
        <v>113</v>
      </c>
      <c r="Y15" t="s">
        <v>114</v>
      </c>
      <c r="Z15" t="s">
        <v>115</v>
      </c>
      <c r="AA15" t="s">
        <v>116</v>
      </c>
      <c r="AB15" t="s">
        <v>117</v>
      </c>
      <c r="AC15" t="s">
        <v>118</v>
      </c>
      <c r="AD15" t="s">
        <v>119</v>
      </c>
      <c r="AE15" t="s">
        <v>120</v>
      </c>
      <c r="AF15" t="s">
        <v>121</v>
      </c>
      <c r="AG15" t="s">
        <v>122</v>
      </c>
      <c r="AH15" t="s">
        <v>123</v>
      </c>
      <c r="AI15" t="s">
        <v>124</v>
      </c>
      <c r="AJ15" t="s">
        <v>125</v>
      </c>
      <c r="AK15" t="s">
        <v>80</v>
      </c>
      <c r="AL15" t="s">
        <v>126</v>
      </c>
      <c r="AM15" t="s">
        <v>127</v>
      </c>
      <c r="AN15" t="s">
        <v>128</v>
      </c>
      <c r="AO15" t="s">
        <v>129</v>
      </c>
      <c r="AP15" t="s">
        <v>130</v>
      </c>
      <c r="AQ15" t="s">
        <v>131</v>
      </c>
      <c r="AR15" t="s">
        <v>132</v>
      </c>
      <c r="AS15" t="s">
        <v>133</v>
      </c>
      <c r="AT15" t="s">
        <v>134</v>
      </c>
      <c r="AU15" t="s">
        <v>135</v>
      </c>
      <c r="AV15" t="s">
        <v>136</v>
      </c>
      <c r="AW15" t="s">
        <v>137</v>
      </c>
      <c r="AX15" t="s">
        <v>138</v>
      </c>
      <c r="AY15" t="s">
        <v>139</v>
      </c>
      <c r="AZ15" t="s">
        <v>140</v>
      </c>
      <c r="BA15" t="s">
        <v>141</v>
      </c>
      <c r="BB15" t="s">
        <v>142</v>
      </c>
      <c r="BC15" t="s">
        <v>143</v>
      </c>
      <c r="BD15" t="s">
        <v>144</v>
      </c>
      <c r="BE15" t="s">
        <v>145</v>
      </c>
      <c r="BF15" t="s">
        <v>146</v>
      </c>
      <c r="BG15" t="s">
        <v>147</v>
      </c>
      <c r="BH15" t="s">
        <v>148</v>
      </c>
      <c r="BI15" t="s">
        <v>149</v>
      </c>
      <c r="BJ15" t="s">
        <v>150</v>
      </c>
      <c r="BK15" t="s">
        <v>151</v>
      </c>
      <c r="BL15" t="s">
        <v>152</v>
      </c>
      <c r="BM15" t="s">
        <v>153</v>
      </c>
      <c r="BN15" t="s">
        <v>154</v>
      </c>
      <c r="BO15" t="s">
        <v>155</v>
      </c>
      <c r="BP15" t="s">
        <v>156</v>
      </c>
      <c r="BQ15" t="s">
        <v>157</v>
      </c>
      <c r="BR15" t="s">
        <v>100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163</v>
      </c>
      <c r="BY15" t="s">
        <v>164</v>
      </c>
      <c r="BZ15" t="s">
        <v>165</v>
      </c>
      <c r="CA15" t="s">
        <v>166</v>
      </c>
      <c r="CB15" t="s">
        <v>167</v>
      </c>
      <c r="CC15" t="s">
        <v>168</v>
      </c>
      <c r="CD15" t="s">
        <v>169</v>
      </c>
      <c r="CE15" t="s">
        <v>170</v>
      </c>
      <c r="CF15" t="s">
        <v>171</v>
      </c>
      <c r="CG15" t="s">
        <v>172</v>
      </c>
      <c r="CH15" t="s">
        <v>173</v>
      </c>
      <c r="CI15" t="s">
        <v>174</v>
      </c>
      <c r="CJ15" t="s">
        <v>175</v>
      </c>
      <c r="CK15" t="s">
        <v>176</v>
      </c>
      <c r="CL15" t="s">
        <v>177</v>
      </c>
      <c r="CM15" t="s">
        <v>178</v>
      </c>
      <c r="CN15" t="s">
        <v>179</v>
      </c>
      <c r="CO15" t="s">
        <v>180</v>
      </c>
      <c r="CP15" t="s">
        <v>181</v>
      </c>
      <c r="CQ15" t="s">
        <v>182</v>
      </c>
      <c r="CR15" t="s">
        <v>183</v>
      </c>
      <c r="CS15" t="s">
        <v>184</v>
      </c>
      <c r="CT15" t="s">
        <v>185</v>
      </c>
      <c r="CU15" t="s">
        <v>186</v>
      </c>
      <c r="CV15" t="s">
        <v>187</v>
      </c>
      <c r="CW15" t="s">
        <v>188</v>
      </c>
      <c r="CX15" t="s">
        <v>189</v>
      </c>
      <c r="CY15" t="s">
        <v>190</v>
      </c>
      <c r="CZ15" t="s">
        <v>191</v>
      </c>
      <c r="DA15" t="s">
        <v>192</v>
      </c>
      <c r="DB15" t="s">
        <v>91</v>
      </c>
      <c r="DC15" t="s">
        <v>94</v>
      </c>
      <c r="DD15" t="s">
        <v>193</v>
      </c>
      <c r="DE15" t="s">
        <v>194</v>
      </c>
      <c r="DF15" t="s">
        <v>195</v>
      </c>
      <c r="DG15" t="s">
        <v>196</v>
      </c>
      <c r="DH15" t="s">
        <v>197</v>
      </c>
      <c r="DI15" t="s">
        <v>198</v>
      </c>
      <c r="DJ15" t="s">
        <v>199</v>
      </c>
      <c r="DK15" t="s">
        <v>200</v>
      </c>
      <c r="DL15" t="s">
        <v>201</v>
      </c>
      <c r="DM15" t="s">
        <v>202</v>
      </c>
      <c r="DN15" t="s">
        <v>203</v>
      </c>
      <c r="DO15" t="s">
        <v>204</v>
      </c>
      <c r="DP15" t="s">
        <v>205</v>
      </c>
      <c r="DQ15" t="s">
        <v>206</v>
      </c>
      <c r="DR15" t="s">
        <v>207</v>
      </c>
      <c r="DS15" t="s">
        <v>208</v>
      </c>
      <c r="DT15" t="s">
        <v>209</v>
      </c>
      <c r="DU15" t="s">
        <v>210</v>
      </c>
      <c r="DV15" t="s">
        <v>211</v>
      </c>
      <c r="DW15" t="s">
        <v>212</v>
      </c>
      <c r="DX15" t="s">
        <v>213</v>
      </c>
      <c r="DY15" t="s">
        <v>214</v>
      </c>
      <c r="DZ15" t="s">
        <v>215</v>
      </c>
      <c r="EA15" t="s">
        <v>216</v>
      </c>
      <c r="EB15" t="s">
        <v>217</v>
      </c>
      <c r="EC15" t="s">
        <v>218</v>
      </c>
      <c r="ED15" t="s">
        <v>219</v>
      </c>
      <c r="EE15" t="s">
        <v>220</v>
      </c>
      <c r="EF15" t="s">
        <v>221</v>
      </c>
      <c r="EG15" t="s">
        <v>222</v>
      </c>
      <c r="EH15" t="s">
        <v>223</v>
      </c>
      <c r="EI15" t="s">
        <v>224</v>
      </c>
      <c r="EJ15" t="s">
        <v>225</v>
      </c>
      <c r="EK15" t="s">
        <v>226</v>
      </c>
      <c r="EL15" t="s">
        <v>227</v>
      </c>
      <c r="EM15" t="s">
        <v>228</v>
      </c>
      <c r="EN15" t="s">
        <v>229</v>
      </c>
      <c r="EO15" t="s">
        <v>230</v>
      </c>
      <c r="EP15" t="s">
        <v>231</v>
      </c>
      <c r="EQ15" t="s">
        <v>232</v>
      </c>
      <c r="ER15" t="s">
        <v>233</v>
      </c>
      <c r="ES15" t="s">
        <v>234</v>
      </c>
      <c r="ET15" t="s">
        <v>235</v>
      </c>
      <c r="EU15" t="s">
        <v>236</v>
      </c>
      <c r="EV15" t="s">
        <v>237</v>
      </c>
      <c r="EW15" t="s">
        <v>238</v>
      </c>
      <c r="EX15" t="s">
        <v>239</v>
      </c>
      <c r="EY15" t="s">
        <v>240</v>
      </c>
      <c r="EZ15" t="s">
        <v>241</v>
      </c>
      <c r="FA15" t="s">
        <v>242</v>
      </c>
      <c r="FB15" t="s">
        <v>243</v>
      </c>
      <c r="FC15" t="s">
        <v>244</v>
      </c>
      <c r="FD15" t="s">
        <v>245</v>
      </c>
      <c r="FE15" t="s">
        <v>246</v>
      </c>
      <c r="FF15" t="s">
        <v>247</v>
      </c>
      <c r="FG15" t="s">
        <v>248</v>
      </c>
      <c r="FH15" t="s">
        <v>249</v>
      </c>
      <c r="FI15" t="s">
        <v>250</v>
      </c>
      <c r="FJ15" t="s">
        <v>251</v>
      </c>
      <c r="FK15" t="s">
        <v>252</v>
      </c>
      <c r="FL15" t="s">
        <v>253</v>
      </c>
    </row>
    <row r="16" spans="1:168" x14ac:dyDescent="0.35">
      <c r="B16" t="s">
        <v>254</v>
      </c>
      <c r="C16" t="s">
        <v>254</v>
      </c>
      <c r="K16" t="s">
        <v>254</v>
      </c>
      <c r="L16" t="s">
        <v>255</v>
      </c>
      <c r="M16" t="s">
        <v>256</v>
      </c>
      <c r="N16" t="s">
        <v>257</v>
      </c>
      <c r="O16" t="s">
        <v>257</v>
      </c>
      <c r="P16" t="s">
        <v>163</v>
      </c>
      <c r="Q16" t="s">
        <v>163</v>
      </c>
      <c r="R16" t="s">
        <v>255</v>
      </c>
      <c r="S16" t="s">
        <v>255</v>
      </c>
      <c r="T16" t="s">
        <v>255</v>
      </c>
      <c r="U16" t="s">
        <v>255</v>
      </c>
      <c r="V16" t="s">
        <v>258</v>
      </c>
      <c r="W16" t="s">
        <v>259</v>
      </c>
      <c r="X16" t="s">
        <v>259</v>
      </c>
      <c r="Y16" t="s">
        <v>260</v>
      </c>
      <c r="Z16" t="s">
        <v>261</v>
      </c>
      <c r="AA16" t="s">
        <v>260</v>
      </c>
      <c r="AB16" t="s">
        <v>260</v>
      </c>
      <c r="AC16" t="s">
        <v>260</v>
      </c>
      <c r="AD16" t="s">
        <v>258</v>
      </c>
      <c r="AE16" t="s">
        <v>258</v>
      </c>
      <c r="AF16" t="s">
        <v>258</v>
      </c>
      <c r="AG16" t="s">
        <v>258</v>
      </c>
      <c r="AK16" t="s">
        <v>262</v>
      </c>
      <c r="AL16" t="s">
        <v>261</v>
      </c>
      <c r="AN16" t="s">
        <v>261</v>
      </c>
      <c r="AO16" t="s">
        <v>262</v>
      </c>
      <c r="AU16" t="s">
        <v>256</v>
      </c>
      <c r="BA16" t="s">
        <v>256</v>
      </c>
      <c r="BB16" t="s">
        <v>256</v>
      </c>
      <c r="BC16" t="s">
        <v>256</v>
      </c>
      <c r="BE16" t="s">
        <v>263</v>
      </c>
      <c r="BN16" t="s">
        <v>256</v>
      </c>
      <c r="BO16" t="s">
        <v>256</v>
      </c>
      <c r="BQ16" t="s">
        <v>264</v>
      </c>
      <c r="BR16" t="s">
        <v>254</v>
      </c>
      <c r="BS16" t="s">
        <v>257</v>
      </c>
      <c r="BT16" t="s">
        <v>257</v>
      </c>
      <c r="BU16" t="s">
        <v>265</v>
      </c>
      <c r="BV16" t="s">
        <v>265</v>
      </c>
      <c r="BW16" t="s">
        <v>262</v>
      </c>
      <c r="BX16" t="s">
        <v>260</v>
      </c>
      <c r="BY16" t="s">
        <v>260</v>
      </c>
      <c r="BZ16" t="s">
        <v>259</v>
      </c>
      <c r="CA16" t="s">
        <v>259</v>
      </c>
      <c r="CB16" t="s">
        <v>259</v>
      </c>
      <c r="CC16" t="s">
        <v>266</v>
      </c>
      <c r="CD16" t="s">
        <v>256</v>
      </c>
      <c r="CE16" t="s">
        <v>256</v>
      </c>
      <c r="CF16" t="s">
        <v>256</v>
      </c>
      <c r="CK16" t="s">
        <v>256</v>
      </c>
      <c r="CN16" t="s">
        <v>259</v>
      </c>
      <c r="CO16" t="s">
        <v>259</v>
      </c>
      <c r="CP16" t="s">
        <v>259</v>
      </c>
      <c r="CQ16" t="s">
        <v>259</v>
      </c>
      <c r="CR16" t="s">
        <v>259</v>
      </c>
      <c r="CS16" t="s">
        <v>256</v>
      </c>
      <c r="CT16" t="s">
        <v>256</v>
      </c>
      <c r="CU16" t="s">
        <v>256</v>
      </c>
      <c r="CV16" t="s">
        <v>254</v>
      </c>
      <c r="CX16" t="s">
        <v>267</v>
      </c>
      <c r="CY16" t="s">
        <v>267</v>
      </c>
      <c r="DA16" t="s">
        <v>254</v>
      </c>
      <c r="DB16" t="s">
        <v>268</v>
      </c>
      <c r="DE16" t="s">
        <v>269</v>
      </c>
      <c r="DF16" t="s">
        <v>270</v>
      </c>
      <c r="DG16" t="s">
        <v>269</v>
      </c>
      <c r="DH16" t="s">
        <v>270</v>
      </c>
      <c r="DI16" t="s">
        <v>261</v>
      </c>
      <c r="DJ16" t="s">
        <v>261</v>
      </c>
      <c r="DK16" t="s">
        <v>256</v>
      </c>
      <c r="DL16" t="s">
        <v>271</v>
      </c>
      <c r="DM16" t="s">
        <v>256</v>
      </c>
      <c r="DO16" t="s">
        <v>257</v>
      </c>
      <c r="DP16" t="s">
        <v>272</v>
      </c>
      <c r="DQ16" t="s">
        <v>257</v>
      </c>
      <c r="DS16" t="s">
        <v>255</v>
      </c>
      <c r="DT16" t="s">
        <v>273</v>
      </c>
      <c r="DU16" t="s">
        <v>255</v>
      </c>
      <c r="DZ16" t="s">
        <v>274</v>
      </c>
      <c r="EA16" t="s">
        <v>274</v>
      </c>
      <c r="EB16" t="s">
        <v>274</v>
      </c>
      <c r="EC16" t="s">
        <v>274</v>
      </c>
      <c r="ED16" t="s">
        <v>274</v>
      </c>
      <c r="EE16" t="s">
        <v>274</v>
      </c>
      <c r="EF16" t="s">
        <v>274</v>
      </c>
      <c r="EG16" t="s">
        <v>274</v>
      </c>
      <c r="EH16" t="s">
        <v>274</v>
      </c>
      <c r="EI16" t="s">
        <v>274</v>
      </c>
      <c r="EJ16" t="s">
        <v>274</v>
      </c>
      <c r="EK16" t="s">
        <v>274</v>
      </c>
      <c r="ER16" t="s">
        <v>274</v>
      </c>
      <c r="ES16" t="s">
        <v>261</v>
      </c>
      <c r="ET16" t="s">
        <v>261</v>
      </c>
      <c r="EU16" t="s">
        <v>269</v>
      </c>
      <c r="EV16" t="s">
        <v>270</v>
      </c>
      <c r="EX16" t="s">
        <v>262</v>
      </c>
      <c r="EY16" t="s">
        <v>262</v>
      </c>
      <c r="EZ16" t="s">
        <v>259</v>
      </c>
      <c r="FA16" t="s">
        <v>259</v>
      </c>
      <c r="FB16" t="s">
        <v>259</v>
      </c>
      <c r="FC16" t="s">
        <v>259</v>
      </c>
      <c r="FD16" t="s">
        <v>259</v>
      </c>
      <c r="FE16" t="s">
        <v>261</v>
      </c>
      <c r="FF16" t="s">
        <v>261</v>
      </c>
      <c r="FG16" t="s">
        <v>261</v>
      </c>
      <c r="FH16" t="s">
        <v>259</v>
      </c>
      <c r="FI16" t="s">
        <v>257</v>
      </c>
      <c r="FJ16" t="s">
        <v>265</v>
      </c>
      <c r="FK16" t="s">
        <v>261</v>
      </c>
      <c r="FL16" t="s">
        <v>261</v>
      </c>
    </row>
    <row r="17" spans="1:168" x14ac:dyDescent="0.35">
      <c r="A17">
        <v>1</v>
      </c>
      <c r="B17">
        <v>1562697052.7</v>
      </c>
      <c r="C17">
        <v>0</v>
      </c>
      <c r="D17" t="s">
        <v>275</v>
      </c>
      <c r="E17" t="s">
        <v>276</v>
      </c>
      <c r="F17" t="s">
        <v>277</v>
      </c>
      <c r="G17" t="s">
        <v>278</v>
      </c>
      <c r="H17" t="s">
        <v>277</v>
      </c>
      <c r="J17" t="s">
        <v>277</v>
      </c>
      <c r="K17">
        <v>1562697044.7</v>
      </c>
      <c r="L17">
        <f t="shared" ref="L17:L28" si="0">BW17*AM17*(BU17-BV17)/(100*$B$5*(1000-AM17*BU17))</f>
        <v>1.3481275164669824E-2</v>
      </c>
      <c r="M17">
        <f t="shared" ref="M17:M28" si="1">BW17*AM17*(BT17-BS17*(1000-AM17*BV17)/(1000-AM17*BU17))/(100*$B$5)</f>
        <v>36.117963313530524</v>
      </c>
      <c r="N17">
        <f t="shared" ref="N17:N28" si="2">BS17 - IF(AM17&gt;1, M17*$B$5*100/(AO17*CC17), 0)</f>
        <v>350.98348387096797</v>
      </c>
      <c r="O17">
        <f t="shared" ref="O17:O28" si="3">((U17-L17/2)*N17-M17)/(U17+L17/2)</f>
        <v>275.53740841840448</v>
      </c>
      <c r="P17">
        <f t="shared" ref="P17:P28" si="4">O17*(BX17+BY17)/1000</f>
        <v>27.330316170120053</v>
      </c>
      <c r="Q17">
        <f t="shared" ref="Q17:Q28" si="5">(BS17 - IF(AM17&gt;1, M17*$B$5*100/(AO17*CC17), 0))*(BX17+BY17)/1000</f>
        <v>34.813746851090208</v>
      </c>
      <c r="R17">
        <f t="shared" ref="R17:R28" si="6">2/((1/T17-1/S17)+SIGN(T17)*SQRT((1/T17-1/S17)*(1/T17-1/S17) + 4*$C$5/(($C$5+1)*($C$5+1))*(2*1/T17*1/S17-1/S17*1/S17)))</f>
        <v>1.041298411506749</v>
      </c>
      <c r="S17">
        <f t="shared" ref="S17:S28" si="7">AJ17+AI17*$B$5+AH17*$B$5*$B$5</f>
        <v>2.2468997374017952</v>
      </c>
      <c r="T17">
        <f t="shared" ref="T17:T28" si="8">L17*(1000-(1000*0.61365*EXP(17.502*X17/(240.97+X17))/(BX17+BY17)+BU17)/2)/(1000*0.61365*EXP(17.502*X17/(240.97+X17))/(BX17+BY17)-BU17)</f>
        <v>0.8309990366487372</v>
      </c>
      <c r="U17">
        <f t="shared" ref="U17:U28" si="9">1/(($C$5+1)/(R17/1.6)+1/(S17/1.37)) + $C$5/(($C$5+1)/(R17/1.6) + $C$5/(S17/1.37))</f>
        <v>0.53470128623958169</v>
      </c>
      <c r="V17">
        <f t="shared" ref="V17:V28" si="10">(BO17*BQ17)</f>
        <v>353.33715810734077</v>
      </c>
      <c r="W17">
        <f t="shared" ref="W17:W28" si="11">(BZ17+(V17+2*0.95*0.0000000567*(((BZ17+$B$7)+273)^4-(BZ17+273)^4)-44100*L17)/(1.84*29.3*S17+8*0.95*0.0000000567*(BZ17+273)^3))</f>
        <v>25.784846028214719</v>
      </c>
      <c r="X17">
        <f t="shared" ref="X17:X28" si="12">($C$7*CA17+$D$7*CB17+$E$7*W17)</f>
        <v>27.1093096774194</v>
      </c>
      <c r="Y17">
        <f t="shared" ref="Y17:Y28" si="13">0.61365*EXP(17.502*X17/(240.97+X17))</f>
        <v>3.602202486980373</v>
      </c>
      <c r="Z17">
        <f t="shared" ref="Z17:Z28" si="14">(AA17/AB17*100)</f>
        <v>54.993969613642754</v>
      </c>
      <c r="AA17">
        <f t="shared" ref="AA17:AA28" si="15">BU17*(BX17+BY17)/1000</f>
        <v>2.0388169147274811</v>
      </c>
      <c r="AB17">
        <f t="shared" ref="AB17:AB28" si="16">0.61365*EXP(17.502*BZ17/(240.97+BZ17))</f>
        <v>3.7073463309724359</v>
      </c>
      <c r="AC17">
        <f t="shared" ref="AC17:AC28" si="17">(Y17-BU17*(BX17+BY17)/1000)</f>
        <v>1.563385572252892</v>
      </c>
      <c r="AD17">
        <f t="shared" ref="AD17:AD28" si="18">(-L17*44100)</f>
        <v>-594.52423476193928</v>
      </c>
      <c r="AE17">
        <f t="shared" ref="AE17:AE28" si="19">2*29.3*S17*0.92*(BZ17-X17)</f>
        <v>59.496753474033845</v>
      </c>
      <c r="AF17">
        <f t="shared" ref="AF17:AF28" si="20">2*0.95*0.0000000567*(((BZ17+$B$7)+273)^4-(X17+273)^4)</f>
        <v>5.7348913638011139</v>
      </c>
      <c r="AG17">
        <f t="shared" ref="AG17:AG28" si="21">V17+AF17+AD17+AE17</f>
        <v>-175.95543181676354</v>
      </c>
      <c r="AH17">
        <v>-4.1100335712262098E-2</v>
      </c>
      <c r="AI17">
        <v>4.6138727424176802E-2</v>
      </c>
      <c r="AJ17">
        <v>3.4496794584981698</v>
      </c>
      <c r="AK17">
        <v>0</v>
      </c>
      <c r="AL17">
        <v>0</v>
      </c>
      <c r="AM17">
        <f t="shared" ref="AM17:AM28" si="22">IF(AK17*$H$13&gt;=AO17,1,(AO17/(AO17-AK17*$H$13)))</f>
        <v>1</v>
      </c>
      <c r="AN17">
        <f t="shared" ref="AN17:AN28" si="23">(AM17-1)*100</f>
        <v>0</v>
      </c>
      <c r="AO17">
        <f t="shared" ref="AO17:AO28" si="24">MAX(0,($B$13+$C$13*CC17)/(1+$D$13*CC17)*BX17/(BZ17+273)*$E$13)</f>
        <v>52304.190136799501</v>
      </c>
      <c r="AP17" t="s">
        <v>279</v>
      </c>
      <c r="AQ17">
        <v>687.861538461539</v>
      </c>
      <c r="AR17">
        <v>4005.07</v>
      </c>
      <c r="AS17">
        <f t="shared" ref="AS17:AS28" si="25">AR17-AQ17</f>
        <v>3317.2084615384611</v>
      </c>
      <c r="AT17">
        <f t="shared" ref="AT17:AT28" si="26">AS17/AR17</f>
        <v>0.82825230558728336</v>
      </c>
      <c r="AU17">
        <v>-4.0580585712533601</v>
      </c>
      <c r="AV17" t="s">
        <v>280</v>
      </c>
      <c r="AW17">
        <v>971.26234615384601</v>
      </c>
      <c r="AX17">
        <v>1366.9</v>
      </c>
      <c r="AY17">
        <f t="shared" ref="AY17:AY28" si="27">1-AW17/AX17</f>
        <v>0.28944154937899924</v>
      </c>
      <c r="AZ17">
        <v>0.5</v>
      </c>
      <c r="BA17">
        <f t="shared" ref="BA17:BA28" si="28">BO17</f>
        <v>1849.1684076033864</v>
      </c>
      <c r="BB17">
        <f t="shared" ref="BB17:BB28" si="29">M17</f>
        <v>36.117963313530524</v>
      </c>
      <c r="BC17">
        <f t="shared" ref="BC17:BC28" si="30">AY17*AZ17*BA17</f>
        <v>267.61308447971049</v>
      </c>
      <c r="BD17">
        <f t="shared" ref="BD17:BD28" si="31">BI17/AX17</f>
        <v>0.55314946228692674</v>
      </c>
      <c r="BE17">
        <f t="shared" ref="BE17:BE28" si="32">(BB17-AU17)/BA17</f>
        <v>2.1726534868099976E-2</v>
      </c>
      <c r="BF17">
        <f t="shared" ref="BF17:BF28" si="33">(AR17-AX17)/AX17</f>
        <v>1.9300387738678761</v>
      </c>
      <c r="BG17" t="s">
        <v>281</v>
      </c>
      <c r="BH17">
        <v>610.79999999999995</v>
      </c>
      <c r="BI17">
        <f t="shared" ref="BI17:BI28" si="34">AX17-BH17</f>
        <v>756.10000000000014</v>
      </c>
      <c r="BJ17">
        <f t="shared" ref="BJ17:BJ28" si="35">(AX17-AW17)/(AX17-BH17)</f>
        <v>0.52326101553518578</v>
      </c>
      <c r="BK17">
        <f t="shared" ref="BK17:BK28" si="36">(AR17-AX17)/(AR17-BH17)</f>
        <v>0.77724223470731546</v>
      </c>
      <c r="BL17">
        <f t="shared" ref="BL17:BL28" si="37">(AX17-AW17)/(AX17-AQ17)</f>
        <v>0.58264395355423471</v>
      </c>
      <c r="BM17">
        <f t="shared" ref="BM17:BM28" si="38">(AR17-AX17)/(AR17-AQ17)</f>
        <v>0.79529822457297872</v>
      </c>
      <c r="BN17">
        <f t="shared" ref="BN17:BN28" si="39">$B$11*CD17+$C$11*CE17+$F$11*CF17</f>
        <v>2199.97806451613</v>
      </c>
      <c r="BO17">
        <f t="shared" ref="BO17:BO28" si="40">BN17*BP17</f>
        <v>1849.1684076033864</v>
      </c>
      <c r="BP17">
        <f t="shared" ref="BP17:BP28" si="41">($B$11*$D$9+$C$11*$D$9+$F$11*((CS17+CK17)/MAX(CS17+CK17+CT17, 0.1)*$I$9+CT17/MAX(CS17+CK17+CT17, 0.1)*$J$9))/($B$11+$C$11+$F$11)</f>
        <v>0.84053947511067495</v>
      </c>
      <c r="BQ17">
        <f t="shared" ref="BQ17:BQ28" si="42">($B$11*$K$9+$C$11*$K$9+$F$11*((CS17+CK17)/MAX(CS17+CK17+CT17, 0.1)*$P$9+CT17/MAX(CS17+CK17+CT17, 0.1)*$Q$9))/($B$11+$C$11+$F$11)</f>
        <v>0.19107895022135013</v>
      </c>
      <c r="BR17">
        <v>1562697044.7</v>
      </c>
      <c r="BS17">
        <v>350.98348387096797</v>
      </c>
      <c r="BT17">
        <v>399.99948387096799</v>
      </c>
      <c r="BU17">
        <v>20.5548419354839</v>
      </c>
      <c r="BV17">
        <v>4.7110025806451601</v>
      </c>
      <c r="BW17">
        <v>500.03674193548397</v>
      </c>
      <c r="BX17">
        <v>99.089112903225796</v>
      </c>
      <c r="BY17">
        <v>0.10001835483870999</v>
      </c>
      <c r="BZ17">
        <v>27.600470967741899</v>
      </c>
      <c r="CA17">
        <v>27.1093096774194</v>
      </c>
      <c r="CB17">
        <v>999.9</v>
      </c>
      <c r="CC17">
        <v>10002.6587096774</v>
      </c>
      <c r="CD17">
        <v>0</v>
      </c>
      <c r="CE17">
        <v>452.698225806452</v>
      </c>
      <c r="CF17">
        <v>2199.97806451613</v>
      </c>
      <c r="CG17">
        <v>0.98199909677419295</v>
      </c>
      <c r="CH17">
        <v>1.80005193548387E-2</v>
      </c>
      <c r="CI17">
        <v>0</v>
      </c>
      <c r="CJ17">
        <v>971.656838709677</v>
      </c>
      <c r="CK17">
        <v>1.9999499999999999</v>
      </c>
      <c r="CL17">
        <v>22239.4032258064</v>
      </c>
      <c r="CM17">
        <v>17938.067741935502</v>
      </c>
      <c r="CN17">
        <v>48.711387096774203</v>
      </c>
      <c r="CO17">
        <v>50.276000000000003</v>
      </c>
      <c r="CP17">
        <v>49.191064516129003</v>
      </c>
      <c r="CQ17">
        <v>49.362741935483903</v>
      </c>
      <c r="CR17">
        <v>49.987806451612897</v>
      </c>
      <c r="CS17">
        <v>2158.4090322580601</v>
      </c>
      <c r="CT17">
        <v>39.560967741935499</v>
      </c>
      <c r="CU17">
        <v>0</v>
      </c>
      <c r="CV17">
        <v>610.29999995231606</v>
      </c>
      <c r="CW17">
        <v>971.26234615384601</v>
      </c>
      <c r="CX17">
        <v>-26.3861538620727</v>
      </c>
      <c r="CY17">
        <v>-656.68376065264499</v>
      </c>
      <c r="CZ17">
        <v>22232.0846153846</v>
      </c>
      <c r="DA17">
        <v>15</v>
      </c>
      <c r="DB17">
        <v>1562697008.2</v>
      </c>
      <c r="DC17" t="s">
        <v>282</v>
      </c>
      <c r="DD17">
        <v>64</v>
      </c>
      <c r="DE17">
        <v>0.23599999999999999</v>
      </c>
      <c r="DF17">
        <v>-1.6E-2</v>
      </c>
      <c r="DG17">
        <v>400</v>
      </c>
      <c r="DH17">
        <v>4</v>
      </c>
      <c r="DI17">
        <v>0.03</v>
      </c>
      <c r="DJ17">
        <v>0.01</v>
      </c>
      <c r="DK17">
        <v>36.106887895908002</v>
      </c>
      <c r="DL17">
        <v>0.21050875218501799</v>
      </c>
      <c r="DM17">
        <v>0.37430185561760598</v>
      </c>
      <c r="DN17">
        <v>1</v>
      </c>
      <c r="DO17">
        <v>350.93044444444399</v>
      </c>
      <c r="DP17">
        <v>0.35810534439511499</v>
      </c>
      <c r="DQ17">
        <v>7.94178277090513E-2</v>
      </c>
      <c r="DR17">
        <v>1</v>
      </c>
      <c r="DS17">
        <v>1.03997111512965</v>
      </c>
      <c r="DT17">
        <v>4.9674315824089897E-2</v>
      </c>
      <c r="DU17">
        <v>2.4937193108336701E-2</v>
      </c>
      <c r="DV17">
        <v>1</v>
      </c>
      <c r="DW17">
        <v>3</v>
      </c>
      <c r="DX17">
        <v>3</v>
      </c>
      <c r="DY17" t="s">
        <v>283</v>
      </c>
      <c r="DZ17">
        <v>1.8666</v>
      </c>
      <c r="EA17">
        <v>1.8630899999999999</v>
      </c>
      <c r="EB17">
        <v>1.86869</v>
      </c>
      <c r="EC17">
        <v>1.8666199999999999</v>
      </c>
      <c r="ED17">
        <v>1.87134</v>
      </c>
      <c r="EE17">
        <v>1.8637900000000001</v>
      </c>
      <c r="EF17">
        <v>1.8652599999999999</v>
      </c>
      <c r="EG17">
        <v>1.8652299999999999</v>
      </c>
      <c r="EH17" t="s">
        <v>284</v>
      </c>
      <c r="EI17" t="s">
        <v>19</v>
      </c>
      <c r="EJ17" t="s">
        <v>19</v>
      </c>
      <c r="EK17" t="s">
        <v>19</v>
      </c>
      <c r="EL17" t="s">
        <v>285</v>
      </c>
      <c r="EM17" t="s">
        <v>286</v>
      </c>
      <c r="EN17" t="s">
        <v>287</v>
      </c>
      <c r="EO17" t="s">
        <v>287</v>
      </c>
      <c r="EP17" t="s">
        <v>287</v>
      </c>
      <c r="EQ17" t="s">
        <v>287</v>
      </c>
      <c r="ER17">
        <v>0</v>
      </c>
      <c r="ES17">
        <v>100</v>
      </c>
      <c r="ET17">
        <v>100</v>
      </c>
      <c r="EU17">
        <v>0.23599999999999999</v>
      </c>
      <c r="EV17">
        <v>-1.6E-2</v>
      </c>
      <c r="EW17">
        <v>2</v>
      </c>
      <c r="EX17">
        <v>500.81799999999998</v>
      </c>
      <c r="EY17">
        <v>470.42599999999999</v>
      </c>
      <c r="EZ17">
        <v>19.981400000000001</v>
      </c>
      <c r="FA17">
        <v>35.548099999999998</v>
      </c>
      <c r="FB17">
        <v>30.000599999999999</v>
      </c>
      <c r="FC17">
        <v>35.455399999999997</v>
      </c>
      <c r="FD17">
        <v>35.4375</v>
      </c>
      <c r="FE17">
        <v>22.153400000000001</v>
      </c>
      <c r="FF17">
        <v>86.243700000000004</v>
      </c>
      <c r="FG17">
        <v>0</v>
      </c>
      <c r="FH17">
        <v>19.822700000000001</v>
      </c>
      <c r="FI17">
        <v>400</v>
      </c>
      <c r="FJ17">
        <v>4.7814800000000002</v>
      </c>
      <c r="FK17">
        <v>100.358</v>
      </c>
      <c r="FL17">
        <v>100.84099999999999</v>
      </c>
    </row>
    <row r="18" spans="1:168" x14ac:dyDescent="0.35">
      <c r="A18">
        <v>2</v>
      </c>
      <c r="B18">
        <v>1562697193.2</v>
      </c>
      <c r="C18">
        <v>140.5</v>
      </c>
      <c r="D18" t="s">
        <v>288</v>
      </c>
      <c r="E18" t="s">
        <v>289</v>
      </c>
      <c r="F18" t="s">
        <v>277</v>
      </c>
      <c r="G18" t="s">
        <v>278</v>
      </c>
      <c r="H18" t="s">
        <v>277</v>
      </c>
      <c r="J18" t="s">
        <v>277</v>
      </c>
      <c r="K18">
        <v>1562697185.2</v>
      </c>
      <c r="L18">
        <f t="shared" si="0"/>
        <v>1.1576405174829257E-2</v>
      </c>
      <c r="M18">
        <f t="shared" si="1"/>
        <v>26.736029204461236</v>
      </c>
      <c r="N18">
        <f t="shared" si="2"/>
        <v>264.24551612903201</v>
      </c>
      <c r="O18">
        <f t="shared" si="3"/>
        <v>197.59264308344987</v>
      </c>
      <c r="P18">
        <f t="shared" si="4"/>
        <v>19.599269768033849</v>
      </c>
      <c r="Q18">
        <f t="shared" si="5"/>
        <v>26.210586967142131</v>
      </c>
      <c r="R18">
        <f t="shared" si="6"/>
        <v>0.82817095134269125</v>
      </c>
      <c r="S18">
        <f t="shared" si="7"/>
        <v>2.2479027371937454</v>
      </c>
      <c r="T18">
        <f t="shared" si="8"/>
        <v>0.689110192160581</v>
      </c>
      <c r="U18">
        <f t="shared" si="9"/>
        <v>0.44122992286423313</v>
      </c>
      <c r="V18">
        <f t="shared" si="10"/>
        <v>353.34368552079923</v>
      </c>
      <c r="W18">
        <f t="shared" si="11"/>
        <v>25.905002358736397</v>
      </c>
      <c r="X18">
        <f t="shared" si="12"/>
        <v>26.995058064516101</v>
      </c>
      <c r="Y18">
        <f t="shared" si="13"/>
        <v>3.5781209657438153</v>
      </c>
      <c r="Z18">
        <f t="shared" si="14"/>
        <v>54.431768046241814</v>
      </c>
      <c r="AA18">
        <f t="shared" si="15"/>
        <v>1.9583207548005164</v>
      </c>
      <c r="AB18">
        <f t="shared" si="16"/>
        <v>3.5977533434828906</v>
      </c>
      <c r="AC18">
        <f t="shared" si="17"/>
        <v>1.619800210943299</v>
      </c>
      <c r="AD18">
        <f t="shared" si="18"/>
        <v>-510.51946820997023</v>
      </c>
      <c r="AE18">
        <f t="shared" si="19"/>
        <v>11.294026632579756</v>
      </c>
      <c r="AF18">
        <f t="shared" si="20"/>
        <v>1.084743773488019</v>
      </c>
      <c r="AG18">
        <f t="shared" si="21"/>
        <v>-144.79701228310324</v>
      </c>
      <c r="AH18">
        <v>-4.1127309757676297E-2</v>
      </c>
      <c r="AI18">
        <v>4.61690081532104E-2</v>
      </c>
      <c r="AJ18">
        <v>3.4514718395508299</v>
      </c>
      <c r="AK18">
        <v>0</v>
      </c>
      <c r="AL18">
        <v>0</v>
      </c>
      <c r="AM18">
        <f t="shared" si="22"/>
        <v>1</v>
      </c>
      <c r="AN18">
        <f t="shared" si="23"/>
        <v>0</v>
      </c>
      <c r="AO18">
        <f t="shared" si="24"/>
        <v>52426.468015739694</v>
      </c>
      <c r="AP18" t="s">
        <v>279</v>
      </c>
      <c r="AQ18">
        <v>687.861538461539</v>
      </c>
      <c r="AR18">
        <v>4005.07</v>
      </c>
      <c r="AS18">
        <f t="shared" si="25"/>
        <v>3317.2084615384611</v>
      </c>
      <c r="AT18">
        <f t="shared" si="26"/>
        <v>0.82825230558728336</v>
      </c>
      <c r="AU18">
        <v>-4.0580585712533601</v>
      </c>
      <c r="AV18" t="s">
        <v>290</v>
      </c>
      <c r="AW18">
        <v>857.69484615384602</v>
      </c>
      <c r="AX18">
        <v>1156.42</v>
      </c>
      <c r="AY18">
        <f t="shared" si="27"/>
        <v>0.25831890995153495</v>
      </c>
      <c r="AZ18">
        <v>0.5</v>
      </c>
      <c r="BA18">
        <f t="shared" si="28"/>
        <v>1849.2030580914891</v>
      </c>
      <c r="BB18">
        <f t="shared" si="29"/>
        <v>26.736029204461236</v>
      </c>
      <c r="BC18">
        <f t="shared" si="30"/>
        <v>238.84205912261922</v>
      </c>
      <c r="BD18">
        <f t="shared" si="31"/>
        <v>0.49741443420210651</v>
      </c>
      <c r="BE18">
        <f t="shared" si="32"/>
        <v>1.6652626460339253E-2</v>
      </c>
      <c r="BF18">
        <f t="shared" si="33"/>
        <v>2.4633351204579652</v>
      </c>
      <c r="BG18" t="s">
        <v>291</v>
      </c>
      <c r="BH18">
        <v>581.20000000000005</v>
      </c>
      <c r="BI18">
        <f t="shared" si="34"/>
        <v>575.22</v>
      </c>
      <c r="BJ18">
        <f t="shared" si="35"/>
        <v>0.51932330907505653</v>
      </c>
      <c r="BK18">
        <f t="shared" si="36"/>
        <v>0.83199712605910858</v>
      </c>
      <c r="BL18">
        <f t="shared" si="37"/>
        <v>0.63754083719952959</v>
      </c>
      <c r="BM18">
        <f t="shared" si="38"/>
        <v>0.85874916606201102</v>
      </c>
      <c r="BN18">
        <f t="shared" si="39"/>
        <v>2200.0193548387101</v>
      </c>
      <c r="BO18">
        <f t="shared" si="40"/>
        <v>1849.2030580914891</v>
      </c>
      <c r="BP18">
        <f t="shared" si="41"/>
        <v>0.84053944981182205</v>
      </c>
      <c r="BQ18">
        <f t="shared" si="42"/>
        <v>0.19107889962364402</v>
      </c>
      <c r="BR18">
        <v>1562697185.2</v>
      </c>
      <c r="BS18">
        <v>264.24551612903201</v>
      </c>
      <c r="BT18">
        <v>299.99722580645198</v>
      </c>
      <c r="BU18">
        <v>19.7430709677419</v>
      </c>
      <c r="BV18">
        <v>6.1265409677419296</v>
      </c>
      <c r="BW18">
        <v>500.03274193548401</v>
      </c>
      <c r="BX18">
        <v>99.090270967741901</v>
      </c>
      <c r="BY18">
        <v>0.100009916129032</v>
      </c>
      <c r="BZ18">
        <v>27.0882516129032</v>
      </c>
      <c r="CA18">
        <v>26.995058064516101</v>
      </c>
      <c r="CB18">
        <v>999.9</v>
      </c>
      <c r="CC18">
        <v>10009.106451612901</v>
      </c>
      <c r="CD18">
        <v>0</v>
      </c>
      <c r="CE18">
        <v>480.00116129032301</v>
      </c>
      <c r="CF18">
        <v>2200.0193548387101</v>
      </c>
      <c r="CG18">
        <v>0.98200348387096803</v>
      </c>
      <c r="CH18">
        <v>1.7996245161290302E-2</v>
      </c>
      <c r="CI18">
        <v>0</v>
      </c>
      <c r="CJ18">
        <v>857.80912903225806</v>
      </c>
      <c r="CK18">
        <v>1.9999499999999999</v>
      </c>
      <c r="CL18">
        <v>19673.038709677399</v>
      </c>
      <c r="CM18">
        <v>17938.4290322581</v>
      </c>
      <c r="CN18">
        <v>48.941193548387098</v>
      </c>
      <c r="CO18">
        <v>50.253935483870997</v>
      </c>
      <c r="CP18">
        <v>49.401000000000003</v>
      </c>
      <c r="CQ18">
        <v>49.449258064516101</v>
      </c>
      <c r="CR18">
        <v>50.134999999999998</v>
      </c>
      <c r="CS18">
        <v>2158.4593548387102</v>
      </c>
      <c r="CT18">
        <v>39.56</v>
      </c>
      <c r="CU18">
        <v>0</v>
      </c>
      <c r="CV18">
        <v>139.799999952316</v>
      </c>
      <c r="CW18">
        <v>857.69484615384602</v>
      </c>
      <c r="CX18">
        <v>-10.4384957310295</v>
      </c>
      <c r="CY18">
        <v>-284.76239342012298</v>
      </c>
      <c r="CZ18">
        <v>19669.742307692301</v>
      </c>
      <c r="DA18">
        <v>15</v>
      </c>
      <c r="DB18">
        <v>1562697131.7</v>
      </c>
      <c r="DC18" t="s">
        <v>292</v>
      </c>
      <c r="DD18">
        <v>65</v>
      </c>
      <c r="DE18">
        <v>0.107</v>
      </c>
      <c r="DF18">
        <v>-3.0000000000000001E-3</v>
      </c>
      <c r="DG18">
        <v>300</v>
      </c>
      <c r="DH18">
        <v>5</v>
      </c>
      <c r="DI18">
        <v>0.03</v>
      </c>
      <c r="DJ18">
        <v>0.01</v>
      </c>
      <c r="DK18">
        <v>26.803362766531201</v>
      </c>
      <c r="DL18">
        <v>-0.32123577746305398</v>
      </c>
      <c r="DM18">
        <v>6.5081891636829203E-2</v>
      </c>
      <c r="DN18">
        <v>0</v>
      </c>
      <c r="DO18">
        <v>264.111875</v>
      </c>
      <c r="DP18">
        <v>0.72900443758439404</v>
      </c>
      <c r="DQ18">
        <v>0.12695908543700199</v>
      </c>
      <c r="DR18">
        <v>1</v>
      </c>
      <c r="DS18">
        <v>0.84930784731199405</v>
      </c>
      <c r="DT18">
        <v>-0.106234266820914</v>
      </c>
      <c r="DU18">
        <v>2.0006207554699701E-2</v>
      </c>
      <c r="DV18">
        <v>1</v>
      </c>
      <c r="DW18">
        <v>2</v>
      </c>
      <c r="DX18">
        <v>3</v>
      </c>
      <c r="DY18" t="s">
        <v>293</v>
      </c>
      <c r="DZ18">
        <v>1.86666</v>
      </c>
      <c r="EA18">
        <v>1.8631</v>
      </c>
      <c r="EB18">
        <v>1.8687400000000001</v>
      </c>
      <c r="EC18">
        <v>1.8667499999999999</v>
      </c>
      <c r="ED18">
        <v>1.87141</v>
      </c>
      <c r="EE18">
        <v>1.8638600000000001</v>
      </c>
      <c r="EF18">
        <v>1.8653900000000001</v>
      </c>
      <c r="EG18">
        <v>1.86531</v>
      </c>
      <c r="EH18" t="s">
        <v>284</v>
      </c>
      <c r="EI18" t="s">
        <v>19</v>
      </c>
      <c r="EJ18" t="s">
        <v>19</v>
      </c>
      <c r="EK18" t="s">
        <v>19</v>
      </c>
      <c r="EL18" t="s">
        <v>285</v>
      </c>
      <c r="EM18" t="s">
        <v>286</v>
      </c>
      <c r="EN18" t="s">
        <v>287</v>
      </c>
      <c r="EO18" t="s">
        <v>287</v>
      </c>
      <c r="EP18" t="s">
        <v>287</v>
      </c>
      <c r="EQ18" t="s">
        <v>287</v>
      </c>
      <c r="ER18">
        <v>0</v>
      </c>
      <c r="ES18">
        <v>100</v>
      </c>
      <c r="ET18">
        <v>100</v>
      </c>
      <c r="EU18">
        <v>0.107</v>
      </c>
      <c r="EV18">
        <v>-3.0000000000000001E-3</v>
      </c>
      <c r="EW18">
        <v>2</v>
      </c>
      <c r="EX18">
        <v>501.27600000000001</v>
      </c>
      <c r="EY18">
        <v>469.45600000000002</v>
      </c>
      <c r="EZ18">
        <v>20.482299999999999</v>
      </c>
      <c r="FA18">
        <v>35.6614</v>
      </c>
      <c r="FB18">
        <v>30.0001</v>
      </c>
      <c r="FC18">
        <v>35.528100000000002</v>
      </c>
      <c r="FD18">
        <v>35.500999999999998</v>
      </c>
      <c r="FE18">
        <v>17.680199999999999</v>
      </c>
      <c r="FF18">
        <v>80.764899999999997</v>
      </c>
      <c r="FG18">
        <v>0</v>
      </c>
      <c r="FH18">
        <v>20.482600000000001</v>
      </c>
      <c r="FI18">
        <v>300</v>
      </c>
      <c r="FJ18">
        <v>6.3876299999999997</v>
      </c>
      <c r="FK18">
        <v>100.34099999999999</v>
      </c>
      <c r="FL18">
        <v>100.819</v>
      </c>
    </row>
    <row r="19" spans="1:168" x14ac:dyDescent="0.35">
      <c r="A19">
        <v>3</v>
      </c>
      <c r="B19">
        <v>1562697318.2</v>
      </c>
      <c r="C19">
        <v>265.5</v>
      </c>
      <c r="D19" t="s">
        <v>294</v>
      </c>
      <c r="E19" t="s">
        <v>295</v>
      </c>
      <c r="F19" t="s">
        <v>277</v>
      </c>
      <c r="G19" t="s">
        <v>278</v>
      </c>
      <c r="H19" t="s">
        <v>277</v>
      </c>
      <c r="J19" t="s">
        <v>277</v>
      </c>
      <c r="K19">
        <v>1562697310.2</v>
      </c>
      <c r="L19">
        <f t="shared" si="0"/>
        <v>1.0778230071644081E-2</v>
      </c>
      <c r="M19">
        <f t="shared" si="1"/>
        <v>16.671437343532226</v>
      </c>
      <c r="N19">
        <f t="shared" si="2"/>
        <v>177.700064516129</v>
      </c>
      <c r="O19">
        <f t="shared" si="3"/>
        <v>133.15098730615969</v>
      </c>
      <c r="P19">
        <f t="shared" si="4"/>
        <v>13.206973038418528</v>
      </c>
      <c r="Q19">
        <f t="shared" si="5"/>
        <v>17.625704536410748</v>
      </c>
      <c r="R19">
        <f t="shared" si="6"/>
        <v>0.76433831223063764</v>
      </c>
      <c r="S19">
        <f t="shared" si="7"/>
        <v>2.2467892496073087</v>
      </c>
      <c r="T19">
        <f t="shared" si="8"/>
        <v>0.64418875212312032</v>
      </c>
      <c r="U19">
        <f t="shared" si="9"/>
        <v>0.41183006629603469</v>
      </c>
      <c r="V19">
        <f t="shared" si="10"/>
        <v>353.34013060315209</v>
      </c>
      <c r="W19">
        <f t="shared" si="11"/>
        <v>25.996487314212079</v>
      </c>
      <c r="X19">
        <f t="shared" si="12"/>
        <v>26.985448387096799</v>
      </c>
      <c r="Y19">
        <f t="shared" si="13"/>
        <v>3.5761018967234599</v>
      </c>
      <c r="Z19">
        <f t="shared" si="14"/>
        <v>55.115374622584021</v>
      </c>
      <c r="AA19">
        <f t="shared" si="15"/>
        <v>1.9628785923327319</v>
      </c>
      <c r="AB19">
        <f t="shared" si="16"/>
        <v>3.5613993477755015</v>
      </c>
      <c r="AC19">
        <f t="shared" si="17"/>
        <v>1.613223304390728</v>
      </c>
      <c r="AD19">
        <f t="shared" si="18"/>
        <v>-475.31994615950396</v>
      </c>
      <c r="AE19">
        <f t="shared" si="19"/>
        <v>-8.4934804623009974</v>
      </c>
      <c r="AF19">
        <f t="shared" si="20"/>
        <v>-0.81542280998412786</v>
      </c>
      <c r="AG19">
        <f t="shared" si="21"/>
        <v>-131.28871882863697</v>
      </c>
      <c r="AH19">
        <v>-4.1097364986283899E-2</v>
      </c>
      <c r="AI19">
        <v>4.6135392524016501E-2</v>
      </c>
      <c r="AJ19">
        <v>3.4494820339694301</v>
      </c>
      <c r="AK19">
        <v>0</v>
      </c>
      <c r="AL19">
        <v>0</v>
      </c>
      <c r="AM19">
        <f t="shared" si="22"/>
        <v>1</v>
      </c>
      <c r="AN19">
        <f t="shared" si="23"/>
        <v>0</v>
      </c>
      <c r="AO19">
        <f t="shared" si="24"/>
        <v>52420.018108297656</v>
      </c>
      <c r="AP19" t="s">
        <v>279</v>
      </c>
      <c r="AQ19">
        <v>687.861538461539</v>
      </c>
      <c r="AR19">
        <v>4005.07</v>
      </c>
      <c r="AS19">
        <f t="shared" si="25"/>
        <v>3317.2084615384611</v>
      </c>
      <c r="AT19">
        <f t="shared" si="26"/>
        <v>0.82825230558728336</v>
      </c>
      <c r="AU19">
        <v>-4.0580585712533601</v>
      </c>
      <c r="AV19" t="s">
        <v>296</v>
      </c>
      <c r="AW19">
        <v>818.68630769230799</v>
      </c>
      <c r="AX19">
        <v>1049.6600000000001</v>
      </c>
      <c r="AY19">
        <f t="shared" si="27"/>
        <v>0.22004619810957082</v>
      </c>
      <c r="AZ19">
        <v>0.5</v>
      </c>
      <c r="BA19">
        <f t="shared" si="28"/>
        <v>1849.1846034267928</v>
      </c>
      <c r="BB19">
        <f t="shared" si="29"/>
        <v>16.671437343532226</v>
      </c>
      <c r="BC19">
        <f t="shared" si="30"/>
        <v>203.4530207934101</v>
      </c>
      <c r="BD19">
        <f t="shared" si="31"/>
        <v>0.43905645637635055</v>
      </c>
      <c r="BE19">
        <f t="shared" si="32"/>
        <v>1.1210073821927236E-2</v>
      </c>
      <c r="BF19">
        <f t="shared" si="33"/>
        <v>2.8155879046548402</v>
      </c>
      <c r="BG19" t="s">
        <v>297</v>
      </c>
      <c r="BH19">
        <v>588.79999999999995</v>
      </c>
      <c r="BI19">
        <f t="shared" si="34"/>
        <v>460.86000000000013</v>
      </c>
      <c r="BJ19">
        <f t="shared" si="35"/>
        <v>0.50117973420928708</v>
      </c>
      <c r="BK19">
        <f t="shared" si="36"/>
        <v>0.86509848460455396</v>
      </c>
      <c r="BL19">
        <f t="shared" si="37"/>
        <v>0.63840429648465591</v>
      </c>
      <c r="BM19">
        <f t="shared" si="38"/>
        <v>0.89093285341173112</v>
      </c>
      <c r="BN19">
        <f t="shared" si="39"/>
        <v>2199.9974193548401</v>
      </c>
      <c r="BO19">
        <f t="shared" si="40"/>
        <v>1849.1846034267928</v>
      </c>
      <c r="BP19">
        <f t="shared" si="41"/>
        <v>0.84053944207310716</v>
      </c>
      <c r="BQ19">
        <f t="shared" si="42"/>
        <v>0.19107888414621468</v>
      </c>
      <c r="BR19">
        <v>1562697310.2</v>
      </c>
      <c r="BS19">
        <v>177.700064516129</v>
      </c>
      <c r="BT19">
        <v>200.00409677419401</v>
      </c>
      <c r="BU19">
        <v>19.789487096774199</v>
      </c>
      <c r="BV19">
        <v>7.1115903225806498</v>
      </c>
      <c r="BW19">
        <v>500.00096774193503</v>
      </c>
      <c r="BX19">
        <v>99.087990322580595</v>
      </c>
      <c r="BY19">
        <v>9.9956425806451601E-2</v>
      </c>
      <c r="BZ19">
        <v>26.9153290322581</v>
      </c>
      <c r="CA19">
        <v>26.985448387096799</v>
      </c>
      <c r="CB19">
        <v>999.9</v>
      </c>
      <c r="CC19">
        <v>10002.049032258101</v>
      </c>
      <c r="CD19">
        <v>0</v>
      </c>
      <c r="CE19">
        <v>324.80309677419399</v>
      </c>
      <c r="CF19">
        <v>2199.9974193548401</v>
      </c>
      <c r="CG19">
        <v>0.98200361290322602</v>
      </c>
      <c r="CH19">
        <v>1.79960838709677E-2</v>
      </c>
      <c r="CI19">
        <v>0</v>
      </c>
      <c r="CJ19">
        <v>818.72922580645195</v>
      </c>
      <c r="CK19">
        <v>1.9999499999999999</v>
      </c>
      <c r="CL19">
        <v>18792.5741935484</v>
      </c>
      <c r="CM19">
        <v>17938.251612903201</v>
      </c>
      <c r="CN19">
        <v>48.923032258064502</v>
      </c>
      <c r="CO19">
        <v>50.006</v>
      </c>
      <c r="CP19">
        <v>49.418999999999997</v>
      </c>
      <c r="CQ19">
        <v>49.131</v>
      </c>
      <c r="CR19">
        <v>50.054000000000002</v>
      </c>
      <c r="CS19">
        <v>2158.43806451613</v>
      </c>
      <c r="CT19">
        <v>39.559032258064498</v>
      </c>
      <c r="CU19">
        <v>0</v>
      </c>
      <c r="CV19">
        <v>124.200000047684</v>
      </c>
      <c r="CW19">
        <v>818.68630769230799</v>
      </c>
      <c r="CX19">
        <v>-9.7664273216841</v>
      </c>
      <c r="CY19">
        <v>-172.18803427366299</v>
      </c>
      <c r="CZ19">
        <v>18791.511538461498</v>
      </c>
      <c r="DA19">
        <v>15</v>
      </c>
      <c r="DB19">
        <v>1562697273.7</v>
      </c>
      <c r="DC19" t="s">
        <v>298</v>
      </c>
      <c r="DD19">
        <v>66</v>
      </c>
      <c r="DE19">
        <v>0.11899999999999999</v>
      </c>
      <c r="DF19">
        <v>1.0999999999999999E-2</v>
      </c>
      <c r="DG19">
        <v>200</v>
      </c>
      <c r="DH19">
        <v>7</v>
      </c>
      <c r="DI19">
        <v>0.05</v>
      </c>
      <c r="DJ19">
        <v>0.01</v>
      </c>
      <c r="DK19">
        <v>16.699567171322698</v>
      </c>
      <c r="DL19">
        <v>-0.114876598436253</v>
      </c>
      <c r="DM19">
        <v>0.149486358864131</v>
      </c>
      <c r="DN19">
        <v>1</v>
      </c>
      <c r="DO19">
        <v>177.659777777778</v>
      </c>
      <c r="DP19">
        <v>0.28130812270887001</v>
      </c>
      <c r="DQ19">
        <v>5.7751917289534202E-2</v>
      </c>
      <c r="DR19">
        <v>1</v>
      </c>
      <c r="DS19">
        <v>0.75959132008688302</v>
      </c>
      <c r="DT19">
        <v>5.5336102867697003E-2</v>
      </c>
      <c r="DU19">
        <v>2.0037688035601901E-2</v>
      </c>
      <c r="DV19">
        <v>1</v>
      </c>
      <c r="DW19">
        <v>3</v>
      </c>
      <c r="DX19">
        <v>3</v>
      </c>
      <c r="DY19" t="s">
        <v>283</v>
      </c>
      <c r="DZ19">
        <v>1.86669</v>
      </c>
      <c r="EA19">
        <v>1.86314</v>
      </c>
      <c r="EB19">
        <v>1.86876</v>
      </c>
      <c r="EC19">
        <v>1.86676</v>
      </c>
      <c r="ED19">
        <v>1.87147</v>
      </c>
      <c r="EE19">
        <v>1.8638600000000001</v>
      </c>
      <c r="EF19">
        <v>1.8653900000000001</v>
      </c>
      <c r="EG19">
        <v>1.8653500000000001</v>
      </c>
      <c r="EH19" t="s">
        <v>284</v>
      </c>
      <c r="EI19" t="s">
        <v>19</v>
      </c>
      <c r="EJ19" t="s">
        <v>19</v>
      </c>
      <c r="EK19" t="s">
        <v>19</v>
      </c>
      <c r="EL19" t="s">
        <v>285</v>
      </c>
      <c r="EM19" t="s">
        <v>286</v>
      </c>
      <c r="EN19" t="s">
        <v>287</v>
      </c>
      <c r="EO19" t="s">
        <v>287</v>
      </c>
      <c r="EP19" t="s">
        <v>287</v>
      </c>
      <c r="EQ19" t="s">
        <v>287</v>
      </c>
      <c r="ER19">
        <v>0</v>
      </c>
      <c r="ES19">
        <v>100</v>
      </c>
      <c r="ET19">
        <v>100</v>
      </c>
      <c r="EU19">
        <v>0.11899999999999999</v>
      </c>
      <c r="EV19">
        <v>1.0999999999999999E-2</v>
      </c>
      <c r="EW19">
        <v>2</v>
      </c>
      <c r="EX19">
        <v>500.49900000000002</v>
      </c>
      <c r="EY19">
        <v>470.83</v>
      </c>
      <c r="EZ19">
        <v>20.621300000000002</v>
      </c>
      <c r="FA19">
        <v>35.574100000000001</v>
      </c>
      <c r="FB19">
        <v>29.9985</v>
      </c>
      <c r="FC19">
        <v>35.498699999999999</v>
      </c>
      <c r="FD19">
        <v>35.469900000000003</v>
      </c>
      <c r="FE19">
        <v>13.011200000000001</v>
      </c>
      <c r="FF19">
        <v>79.363200000000006</v>
      </c>
      <c r="FG19">
        <v>0</v>
      </c>
      <c r="FH19">
        <v>20.619</v>
      </c>
      <c r="FI19">
        <v>200</v>
      </c>
      <c r="FJ19">
        <v>7.0751999999999997</v>
      </c>
      <c r="FK19">
        <v>100.352</v>
      </c>
      <c r="FL19">
        <v>100.837</v>
      </c>
    </row>
    <row r="20" spans="1:168" x14ac:dyDescent="0.35">
      <c r="A20">
        <v>4</v>
      </c>
      <c r="B20">
        <v>1562697452.2</v>
      </c>
      <c r="C20">
        <v>399.5</v>
      </c>
      <c r="D20" t="s">
        <v>299</v>
      </c>
      <c r="E20" t="s">
        <v>300</v>
      </c>
      <c r="F20" t="s">
        <v>277</v>
      </c>
      <c r="G20" t="s">
        <v>278</v>
      </c>
      <c r="H20" t="s">
        <v>277</v>
      </c>
      <c r="J20" t="s">
        <v>277</v>
      </c>
      <c r="K20">
        <v>1562697444.2032299</v>
      </c>
      <c r="L20">
        <f t="shared" si="0"/>
        <v>1.0921560444323648E-2</v>
      </c>
      <c r="M20">
        <f t="shared" si="1"/>
        <v>6.1661144681448263</v>
      </c>
      <c r="N20">
        <f t="shared" si="2"/>
        <v>91.415148387096806</v>
      </c>
      <c r="O20">
        <f t="shared" si="3"/>
        <v>74.595277093247375</v>
      </c>
      <c r="P20">
        <f t="shared" si="4"/>
        <v>7.3986198267421752</v>
      </c>
      <c r="Q20">
        <f t="shared" si="5"/>
        <v>9.0668733420735244</v>
      </c>
      <c r="R20">
        <f t="shared" si="6"/>
        <v>0.78307998299353321</v>
      </c>
      <c r="S20">
        <f t="shared" si="7"/>
        <v>2.2457646749339535</v>
      </c>
      <c r="T20">
        <f t="shared" si="8"/>
        <v>0.65743251337187891</v>
      </c>
      <c r="U20">
        <f t="shared" si="9"/>
        <v>0.42049435413140407</v>
      </c>
      <c r="V20">
        <f t="shared" si="10"/>
        <v>353.33956682614263</v>
      </c>
      <c r="W20">
        <f t="shared" si="11"/>
        <v>26.02762144839933</v>
      </c>
      <c r="X20">
        <f t="shared" si="12"/>
        <v>26.992422580645201</v>
      </c>
      <c r="Y20">
        <f t="shared" si="13"/>
        <v>3.5775671307880197</v>
      </c>
      <c r="Z20">
        <f t="shared" si="14"/>
        <v>55.227055013098003</v>
      </c>
      <c r="AA20">
        <f t="shared" si="15"/>
        <v>1.9760163291790203</v>
      </c>
      <c r="AB20">
        <f t="shared" si="16"/>
        <v>3.5779860590255548</v>
      </c>
      <c r="AC20">
        <f t="shared" si="17"/>
        <v>1.6015508016089994</v>
      </c>
      <c r="AD20">
        <f t="shared" si="18"/>
        <v>-481.64081559467286</v>
      </c>
      <c r="AE20">
        <f t="shared" si="19"/>
        <v>0.2413662098898825</v>
      </c>
      <c r="AF20">
        <f t="shared" si="20"/>
        <v>2.3193090193948857E-2</v>
      </c>
      <c r="AG20">
        <f t="shared" si="21"/>
        <v>-128.03668946844638</v>
      </c>
      <c r="AH20">
        <v>-4.1069823134433303E-2</v>
      </c>
      <c r="AI20">
        <v>4.6104474382515401E-2</v>
      </c>
      <c r="AJ20">
        <v>3.4476514614784599</v>
      </c>
      <c r="AK20">
        <v>0</v>
      </c>
      <c r="AL20">
        <v>0</v>
      </c>
      <c r="AM20">
        <f t="shared" si="22"/>
        <v>1</v>
      </c>
      <c r="AN20">
        <f t="shared" si="23"/>
        <v>0</v>
      </c>
      <c r="AO20">
        <f t="shared" si="24"/>
        <v>52372.415051441269</v>
      </c>
      <c r="AP20" t="s">
        <v>279</v>
      </c>
      <c r="AQ20">
        <v>687.861538461539</v>
      </c>
      <c r="AR20">
        <v>4005.07</v>
      </c>
      <c r="AS20">
        <f t="shared" si="25"/>
        <v>3317.2084615384611</v>
      </c>
      <c r="AT20">
        <f t="shared" si="26"/>
        <v>0.82825230558728336</v>
      </c>
      <c r="AU20">
        <v>-4.0580585712533601</v>
      </c>
      <c r="AV20" t="s">
        <v>301</v>
      </c>
      <c r="AW20">
        <v>816.70192307692298</v>
      </c>
      <c r="AX20">
        <v>998.63300000000004</v>
      </c>
      <c r="AY20">
        <f t="shared" si="27"/>
        <v>0.18218011714321181</v>
      </c>
      <c r="AZ20">
        <v>0.5</v>
      </c>
      <c r="BA20">
        <f t="shared" si="28"/>
        <v>1849.1813806721368</v>
      </c>
      <c r="BB20">
        <f t="shared" si="29"/>
        <v>6.1661144681448263</v>
      </c>
      <c r="BC20">
        <f t="shared" si="30"/>
        <v>168.44204027494803</v>
      </c>
      <c r="BD20">
        <f t="shared" si="31"/>
        <v>0.3885641672165851</v>
      </c>
      <c r="BE20">
        <f t="shared" si="32"/>
        <v>5.5290265986140978E-3</v>
      </c>
      <c r="BF20">
        <f t="shared" si="33"/>
        <v>3.0105524251652005</v>
      </c>
      <c r="BG20" t="s">
        <v>302</v>
      </c>
      <c r="BH20">
        <v>610.6</v>
      </c>
      <c r="BI20">
        <f t="shared" si="34"/>
        <v>388.03300000000002</v>
      </c>
      <c r="BJ20">
        <f t="shared" si="35"/>
        <v>0.46885465133913107</v>
      </c>
      <c r="BK20">
        <f t="shared" si="36"/>
        <v>0.88568671987084868</v>
      </c>
      <c r="BL20">
        <f t="shared" si="37"/>
        <v>0.58541757992331378</v>
      </c>
      <c r="BM20">
        <f t="shared" si="38"/>
        <v>0.90631536572340377</v>
      </c>
      <c r="BN20">
        <f t="shared" si="39"/>
        <v>2199.9935483871</v>
      </c>
      <c r="BO20">
        <f t="shared" si="40"/>
        <v>1849.1813806721368</v>
      </c>
      <c r="BP20">
        <f t="shared" si="41"/>
        <v>0.84053945613969772</v>
      </c>
      <c r="BQ20">
        <f t="shared" si="42"/>
        <v>0.19107891227939547</v>
      </c>
      <c r="BR20">
        <v>1562697444.2032299</v>
      </c>
      <c r="BS20">
        <v>91.415148387096806</v>
      </c>
      <c r="BT20">
        <v>100.012183870968</v>
      </c>
      <c r="BU20">
        <v>19.922835483871001</v>
      </c>
      <c r="BV20">
        <v>7.0786325806451602</v>
      </c>
      <c r="BW20">
        <v>500.021935483871</v>
      </c>
      <c r="BX20">
        <v>99.083490322580602</v>
      </c>
      <c r="BY20">
        <v>9.9998432258064499E-2</v>
      </c>
      <c r="BZ20">
        <v>26.994416129032299</v>
      </c>
      <c r="CA20">
        <v>26.992422580645201</v>
      </c>
      <c r="CB20">
        <v>999.9</v>
      </c>
      <c r="CC20">
        <v>9995.7999999999993</v>
      </c>
      <c r="CD20">
        <v>0</v>
      </c>
      <c r="CE20">
        <v>351.58219354838701</v>
      </c>
      <c r="CF20">
        <v>2199.9935483871</v>
      </c>
      <c r="CG20">
        <v>0.982002451612903</v>
      </c>
      <c r="CH20">
        <v>1.7997535483871001E-2</v>
      </c>
      <c r="CI20">
        <v>0</v>
      </c>
      <c r="CJ20">
        <v>816.69487096774196</v>
      </c>
      <c r="CK20">
        <v>1.9999499999999999</v>
      </c>
      <c r="CL20">
        <v>18724.380645161302</v>
      </c>
      <c r="CM20">
        <v>17938.2096774194</v>
      </c>
      <c r="CN20">
        <v>48.806064516128998</v>
      </c>
      <c r="CO20">
        <v>49.737806451612897</v>
      </c>
      <c r="CP20">
        <v>49.274000000000001</v>
      </c>
      <c r="CQ20">
        <v>48.820129032258002</v>
      </c>
      <c r="CR20">
        <v>49.905000000000001</v>
      </c>
      <c r="CS20">
        <v>2158.4335483871</v>
      </c>
      <c r="CT20">
        <v>39.56</v>
      </c>
      <c r="CU20">
        <v>0</v>
      </c>
      <c r="CV20">
        <v>133.59999990463299</v>
      </c>
      <c r="CW20">
        <v>816.70192307692298</v>
      </c>
      <c r="CX20">
        <v>-3.0888205042736399</v>
      </c>
      <c r="CY20">
        <v>-74.475213617355095</v>
      </c>
      <c r="CZ20">
        <v>18723.476923076902</v>
      </c>
      <c r="DA20">
        <v>15</v>
      </c>
      <c r="DB20">
        <v>1562697408.2</v>
      </c>
      <c r="DC20" t="s">
        <v>303</v>
      </c>
      <c r="DD20">
        <v>67</v>
      </c>
      <c r="DE20">
        <v>0.185</v>
      </c>
      <c r="DF20">
        <v>1.4999999999999999E-2</v>
      </c>
      <c r="DG20">
        <v>100</v>
      </c>
      <c r="DH20">
        <v>7</v>
      </c>
      <c r="DI20">
        <v>0.09</v>
      </c>
      <c r="DJ20">
        <v>0.01</v>
      </c>
      <c r="DK20">
        <v>6.1495222510641101</v>
      </c>
      <c r="DL20">
        <v>0.15013032811730501</v>
      </c>
      <c r="DM20">
        <v>0.158530257490337</v>
      </c>
      <c r="DN20">
        <v>1</v>
      </c>
      <c r="DO20">
        <v>91.406802777777798</v>
      </c>
      <c r="DP20">
        <v>8.0190702365632804E-2</v>
      </c>
      <c r="DQ20">
        <v>2.7427231866149999E-2</v>
      </c>
      <c r="DR20">
        <v>1</v>
      </c>
      <c r="DS20">
        <v>0.77097771607317001</v>
      </c>
      <c r="DT20">
        <v>0.101208186818767</v>
      </c>
      <c r="DU20">
        <v>3.5529041218406297E-2</v>
      </c>
      <c r="DV20">
        <v>1</v>
      </c>
      <c r="DW20">
        <v>3</v>
      </c>
      <c r="DX20">
        <v>3</v>
      </c>
      <c r="DY20" t="s">
        <v>283</v>
      </c>
      <c r="DZ20">
        <v>1.86669</v>
      </c>
      <c r="EA20">
        <v>1.8631599999999999</v>
      </c>
      <c r="EB20">
        <v>1.8687499999999999</v>
      </c>
      <c r="EC20">
        <v>1.86676</v>
      </c>
      <c r="ED20">
        <v>1.87144</v>
      </c>
      <c r="EE20">
        <v>1.8638600000000001</v>
      </c>
      <c r="EF20">
        <v>1.8653900000000001</v>
      </c>
      <c r="EG20">
        <v>1.8653</v>
      </c>
      <c r="EH20" t="s">
        <v>284</v>
      </c>
      <c r="EI20" t="s">
        <v>19</v>
      </c>
      <c r="EJ20" t="s">
        <v>19</v>
      </c>
      <c r="EK20" t="s">
        <v>19</v>
      </c>
      <c r="EL20" t="s">
        <v>285</v>
      </c>
      <c r="EM20" t="s">
        <v>286</v>
      </c>
      <c r="EN20" t="s">
        <v>287</v>
      </c>
      <c r="EO20" t="s">
        <v>287</v>
      </c>
      <c r="EP20" t="s">
        <v>287</v>
      </c>
      <c r="EQ20" t="s">
        <v>287</v>
      </c>
      <c r="ER20">
        <v>0</v>
      </c>
      <c r="ES20">
        <v>100</v>
      </c>
      <c r="ET20">
        <v>100</v>
      </c>
      <c r="EU20">
        <v>0.185</v>
      </c>
      <c r="EV20">
        <v>1.4999999999999999E-2</v>
      </c>
      <c r="EW20">
        <v>2</v>
      </c>
      <c r="EX20">
        <v>501.24700000000001</v>
      </c>
      <c r="EY20">
        <v>471.35199999999998</v>
      </c>
      <c r="EZ20">
        <v>20.7805</v>
      </c>
      <c r="FA20">
        <v>35.3812</v>
      </c>
      <c r="FB20">
        <v>29.999199999999998</v>
      </c>
      <c r="FC20">
        <v>35.376300000000001</v>
      </c>
      <c r="FD20">
        <v>35.355200000000004</v>
      </c>
      <c r="FE20">
        <v>8.1567699999999999</v>
      </c>
      <c r="FF20">
        <v>79.239500000000007</v>
      </c>
      <c r="FG20">
        <v>0</v>
      </c>
      <c r="FH20">
        <v>20.8109</v>
      </c>
      <c r="FI20">
        <v>100</v>
      </c>
      <c r="FJ20">
        <v>7.1569099999999999</v>
      </c>
      <c r="FK20">
        <v>100.376</v>
      </c>
      <c r="FL20">
        <v>100.87</v>
      </c>
    </row>
    <row r="21" spans="1:168" x14ac:dyDescent="0.35">
      <c r="A21">
        <v>5</v>
      </c>
      <c r="B21">
        <v>1562697570.2</v>
      </c>
      <c r="C21">
        <v>517.5</v>
      </c>
      <c r="D21" t="s">
        <v>304</v>
      </c>
      <c r="E21" t="s">
        <v>305</v>
      </c>
      <c r="F21" t="s">
        <v>277</v>
      </c>
      <c r="G21" t="s">
        <v>278</v>
      </c>
      <c r="H21" t="s">
        <v>277</v>
      </c>
      <c r="J21" t="s">
        <v>277</v>
      </c>
      <c r="K21">
        <v>1562697562.2</v>
      </c>
      <c r="L21">
        <f t="shared" si="0"/>
        <v>1.1150464622387007E-2</v>
      </c>
      <c r="M21">
        <f t="shared" si="1"/>
        <v>-5.8126020245293839</v>
      </c>
      <c r="N21">
        <f t="shared" si="2"/>
        <v>0.87587470967741898</v>
      </c>
      <c r="O21">
        <f t="shared" si="3"/>
        <v>14.00709014722997</v>
      </c>
      <c r="P21">
        <f t="shared" si="4"/>
        <v>1.3891885297749738</v>
      </c>
      <c r="Q21">
        <f t="shared" si="5"/>
        <v>8.6867085698344004E-2</v>
      </c>
      <c r="R21">
        <f t="shared" si="6"/>
        <v>0.81758230002146748</v>
      </c>
      <c r="S21">
        <f t="shared" si="7"/>
        <v>2.2455264650688243</v>
      </c>
      <c r="T21">
        <f t="shared" si="8"/>
        <v>0.68162699491788936</v>
      </c>
      <c r="U21">
        <f t="shared" si="9"/>
        <v>0.43633630605033369</v>
      </c>
      <c r="V21">
        <f t="shared" si="10"/>
        <v>353.33958781308712</v>
      </c>
      <c r="W21">
        <f t="shared" si="11"/>
        <v>25.991942391609172</v>
      </c>
      <c r="X21">
        <f t="shared" si="12"/>
        <v>26.969883870967699</v>
      </c>
      <c r="Y21">
        <f t="shared" si="13"/>
        <v>3.5728337790343496</v>
      </c>
      <c r="Z21">
        <f t="shared" si="14"/>
        <v>55.652569425757179</v>
      </c>
      <c r="AA21">
        <f t="shared" si="15"/>
        <v>1.9959771189561415</v>
      </c>
      <c r="AB21">
        <f t="shared" si="16"/>
        <v>3.5864958968675422</v>
      </c>
      <c r="AC21">
        <f t="shared" si="17"/>
        <v>1.5768566600782081</v>
      </c>
      <c r="AD21">
        <f t="shared" si="18"/>
        <v>-491.73548984726699</v>
      </c>
      <c r="AE21">
        <f t="shared" si="19"/>
        <v>7.8670008871026207</v>
      </c>
      <c r="AF21">
        <f t="shared" si="20"/>
        <v>0.75609491322723754</v>
      </c>
      <c r="AG21">
        <f t="shared" si="21"/>
        <v>-129.77280623385002</v>
      </c>
      <c r="AH21">
        <v>-4.1063421374012303E-2</v>
      </c>
      <c r="AI21">
        <v>4.6097287845617799E-2</v>
      </c>
      <c r="AJ21">
        <v>3.4472259074595599</v>
      </c>
      <c r="AK21">
        <v>0</v>
      </c>
      <c r="AL21">
        <v>0</v>
      </c>
      <c r="AM21">
        <f t="shared" si="22"/>
        <v>1</v>
      </c>
      <c r="AN21">
        <f t="shared" si="23"/>
        <v>0</v>
      </c>
      <c r="AO21">
        <f t="shared" si="24"/>
        <v>52357.396146250125</v>
      </c>
      <c r="AP21" t="s">
        <v>279</v>
      </c>
      <c r="AQ21">
        <v>687.861538461539</v>
      </c>
      <c r="AR21">
        <v>4005.07</v>
      </c>
      <c r="AS21">
        <f t="shared" si="25"/>
        <v>3317.2084615384611</v>
      </c>
      <c r="AT21">
        <f t="shared" si="26"/>
        <v>0.82825230558728336</v>
      </c>
      <c r="AU21">
        <v>-4.0580585712533601</v>
      </c>
      <c r="AV21" t="s">
        <v>306</v>
      </c>
      <c r="AW21">
        <v>838.093730769231</v>
      </c>
      <c r="AX21">
        <v>963.41600000000005</v>
      </c>
      <c r="AY21">
        <f t="shared" si="27"/>
        <v>0.13008115832700418</v>
      </c>
      <c r="AZ21">
        <v>0.5</v>
      </c>
      <c r="BA21">
        <f t="shared" si="28"/>
        <v>1849.1811484140692</v>
      </c>
      <c r="BB21">
        <f t="shared" si="29"/>
        <v>-5.8126020245293839</v>
      </c>
      <c r="BC21">
        <f t="shared" si="30"/>
        <v>120.27181287108097</v>
      </c>
      <c r="BD21">
        <f t="shared" si="31"/>
        <v>0.32780854791699537</v>
      </c>
      <c r="BE21">
        <f t="shared" si="32"/>
        <v>-9.4882183650898109E-4</v>
      </c>
      <c r="BF21">
        <f t="shared" si="33"/>
        <v>3.1571553721341559</v>
      </c>
      <c r="BG21" t="s">
        <v>307</v>
      </c>
      <c r="BH21">
        <v>647.6</v>
      </c>
      <c r="BI21">
        <f t="shared" si="34"/>
        <v>315.81600000000003</v>
      </c>
      <c r="BJ21">
        <f t="shared" si="35"/>
        <v>0.39682051964045217</v>
      </c>
      <c r="BK21">
        <f t="shared" si="36"/>
        <v>0.9059363151420563</v>
      </c>
      <c r="BL21">
        <f t="shared" si="37"/>
        <v>0.45480036335131868</v>
      </c>
      <c r="BM21">
        <f t="shared" si="38"/>
        <v>0.91693182242436944</v>
      </c>
      <c r="BN21">
        <f t="shared" si="39"/>
        <v>2199.99322580645</v>
      </c>
      <c r="BO21">
        <f t="shared" si="40"/>
        <v>1849.1811484140692</v>
      </c>
      <c r="BP21">
        <f t="shared" si="41"/>
        <v>0.84053947381415961</v>
      </c>
      <c r="BQ21">
        <f t="shared" si="42"/>
        <v>0.19107894762831923</v>
      </c>
      <c r="BR21">
        <v>1562697562.2</v>
      </c>
      <c r="BS21">
        <v>0.87587470967741898</v>
      </c>
      <c r="BT21">
        <v>-6.0872409677419403</v>
      </c>
      <c r="BU21">
        <v>20.1252967741936</v>
      </c>
      <c r="BV21">
        <v>7.0145674193548402</v>
      </c>
      <c r="BW21">
        <v>500.02061290322598</v>
      </c>
      <c r="BX21">
        <v>99.077541935483893</v>
      </c>
      <c r="BY21">
        <v>9.9982816129032301E-2</v>
      </c>
      <c r="BZ21">
        <v>27.0348677419355</v>
      </c>
      <c r="CA21">
        <v>26.969883870967699</v>
      </c>
      <c r="CB21">
        <v>999.9</v>
      </c>
      <c r="CC21">
        <v>9994.8419354838697</v>
      </c>
      <c r="CD21">
        <v>0</v>
      </c>
      <c r="CE21">
        <v>356.73535483871001</v>
      </c>
      <c r="CF21">
        <v>2199.99322580645</v>
      </c>
      <c r="CG21">
        <v>0.98200025806451596</v>
      </c>
      <c r="CH21">
        <v>1.7999551612903199E-2</v>
      </c>
      <c r="CI21">
        <v>0</v>
      </c>
      <c r="CJ21">
        <v>837.969258064516</v>
      </c>
      <c r="CK21">
        <v>1.9999499999999999</v>
      </c>
      <c r="CL21">
        <v>19163.196774193599</v>
      </c>
      <c r="CM21">
        <v>17938.2</v>
      </c>
      <c r="CN21">
        <v>48.637</v>
      </c>
      <c r="CO21">
        <v>49.483741935483899</v>
      </c>
      <c r="CP21">
        <v>49.125</v>
      </c>
      <c r="CQ21">
        <v>48.562129032257999</v>
      </c>
      <c r="CR21">
        <v>49.733741935483899</v>
      </c>
      <c r="CS21">
        <v>2158.4319354838699</v>
      </c>
      <c r="CT21">
        <v>39.561290322580597</v>
      </c>
      <c r="CU21">
        <v>0</v>
      </c>
      <c r="CV21">
        <v>117.69999980926499</v>
      </c>
      <c r="CW21">
        <v>838.093730769231</v>
      </c>
      <c r="CX21">
        <v>7.2692307760127797</v>
      </c>
      <c r="CY21">
        <v>161.97948715887401</v>
      </c>
      <c r="CZ21">
        <v>19165.157692307701</v>
      </c>
      <c r="DA21">
        <v>15</v>
      </c>
      <c r="DB21">
        <v>1562697526.7</v>
      </c>
      <c r="DC21" t="s">
        <v>308</v>
      </c>
      <c r="DD21">
        <v>68</v>
      </c>
      <c r="DE21">
        <v>4.2000000000000003E-2</v>
      </c>
      <c r="DF21">
        <v>1.4E-2</v>
      </c>
      <c r="DG21">
        <v>-6</v>
      </c>
      <c r="DH21">
        <v>7</v>
      </c>
      <c r="DI21">
        <v>0.15</v>
      </c>
      <c r="DJ21">
        <v>0.01</v>
      </c>
      <c r="DK21">
        <v>-5.8232852062887304</v>
      </c>
      <c r="DL21">
        <v>-8.5776517912984004E-2</v>
      </c>
      <c r="DM21">
        <v>0.186685143587067</v>
      </c>
      <c r="DN21">
        <v>1</v>
      </c>
      <c r="DO21">
        <v>0.93039111111111095</v>
      </c>
      <c r="DP21">
        <v>-0.28768228439124899</v>
      </c>
      <c r="DQ21">
        <v>5.2202954815943399E-2</v>
      </c>
      <c r="DR21">
        <v>1</v>
      </c>
      <c r="DS21">
        <v>0.79310180926047102</v>
      </c>
      <c r="DT21">
        <v>0.174508200254371</v>
      </c>
      <c r="DU21">
        <v>5.6994328989469302E-2</v>
      </c>
      <c r="DV21">
        <v>1</v>
      </c>
      <c r="DW21">
        <v>3</v>
      </c>
      <c r="DX21">
        <v>3</v>
      </c>
      <c r="DY21" t="s">
        <v>283</v>
      </c>
      <c r="DZ21">
        <v>1.86676</v>
      </c>
      <c r="EA21">
        <v>1.8632500000000001</v>
      </c>
      <c r="EB21">
        <v>1.8688800000000001</v>
      </c>
      <c r="EC21">
        <v>1.8667899999999999</v>
      </c>
      <c r="ED21">
        <v>1.8714900000000001</v>
      </c>
      <c r="EE21">
        <v>1.86392</v>
      </c>
      <c r="EF21">
        <v>1.8653999999999999</v>
      </c>
      <c r="EG21">
        <v>1.8653900000000001</v>
      </c>
      <c r="EH21" t="s">
        <v>284</v>
      </c>
      <c r="EI21" t="s">
        <v>19</v>
      </c>
      <c r="EJ21" t="s">
        <v>19</v>
      </c>
      <c r="EK21" t="s">
        <v>19</v>
      </c>
      <c r="EL21" t="s">
        <v>285</v>
      </c>
      <c r="EM21" t="s">
        <v>286</v>
      </c>
      <c r="EN21" t="s">
        <v>287</v>
      </c>
      <c r="EO21" t="s">
        <v>287</v>
      </c>
      <c r="EP21" t="s">
        <v>287</v>
      </c>
      <c r="EQ21" t="s">
        <v>287</v>
      </c>
      <c r="ER21">
        <v>0</v>
      </c>
      <c r="ES21">
        <v>100</v>
      </c>
      <c r="ET21">
        <v>100</v>
      </c>
      <c r="EU21">
        <v>4.2000000000000003E-2</v>
      </c>
      <c r="EV21">
        <v>1.4E-2</v>
      </c>
      <c r="EW21">
        <v>2</v>
      </c>
      <c r="EX21">
        <v>501.76600000000002</v>
      </c>
      <c r="EY21">
        <v>471.80599999999998</v>
      </c>
      <c r="EZ21">
        <v>21.0548</v>
      </c>
      <c r="FA21">
        <v>35.180999999999997</v>
      </c>
      <c r="FB21">
        <v>29.997599999999998</v>
      </c>
      <c r="FC21">
        <v>35.225299999999997</v>
      </c>
      <c r="FD21">
        <v>35.209299999999999</v>
      </c>
      <c r="FE21">
        <v>0</v>
      </c>
      <c r="FF21">
        <v>79.668800000000005</v>
      </c>
      <c r="FG21">
        <v>0</v>
      </c>
      <c r="FH21">
        <v>21.104199999999999</v>
      </c>
      <c r="FI21">
        <v>0</v>
      </c>
      <c r="FJ21">
        <v>6.8602999999999996</v>
      </c>
      <c r="FK21">
        <v>100.40900000000001</v>
      </c>
      <c r="FL21">
        <v>100.91200000000001</v>
      </c>
    </row>
    <row r="22" spans="1:168" x14ac:dyDescent="0.35">
      <c r="A22">
        <v>6</v>
      </c>
      <c r="B22">
        <v>1562697690.2</v>
      </c>
      <c r="C22">
        <v>637.5</v>
      </c>
      <c r="D22" t="s">
        <v>309</v>
      </c>
      <c r="E22" t="s">
        <v>310</v>
      </c>
      <c r="F22" t="s">
        <v>277</v>
      </c>
      <c r="G22" t="s">
        <v>278</v>
      </c>
      <c r="H22" t="s">
        <v>277</v>
      </c>
      <c r="J22" t="s">
        <v>277</v>
      </c>
      <c r="K22">
        <v>1562697682.25161</v>
      </c>
      <c r="L22">
        <f t="shared" si="0"/>
        <v>1.1372772402270857E-2</v>
      </c>
      <c r="M22">
        <f t="shared" si="1"/>
        <v>-3.1435412266342051</v>
      </c>
      <c r="N22">
        <f t="shared" si="2"/>
        <v>16.975529032258098</v>
      </c>
      <c r="O22">
        <f t="shared" si="3"/>
        <v>23.496387620029413</v>
      </c>
      <c r="P22">
        <f t="shared" si="4"/>
        <v>2.3301270812825137</v>
      </c>
      <c r="Q22">
        <f t="shared" si="5"/>
        <v>1.68345622130627</v>
      </c>
      <c r="R22">
        <f t="shared" si="6"/>
        <v>0.84044467516312449</v>
      </c>
      <c r="S22">
        <f t="shared" si="7"/>
        <v>2.2471951650564348</v>
      </c>
      <c r="T22">
        <f t="shared" si="8"/>
        <v>0.69757167793185415</v>
      </c>
      <c r="U22">
        <f t="shared" si="9"/>
        <v>0.44678200562617482</v>
      </c>
      <c r="V22">
        <f t="shared" si="10"/>
        <v>353.34022373494264</v>
      </c>
      <c r="W22">
        <f t="shared" si="11"/>
        <v>26.070366097810457</v>
      </c>
      <c r="X22">
        <f t="shared" si="12"/>
        <v>26.989619354838698</v>
      </c>
      <c r="Y22">
        <f t="shared" si="13"/>
        <v>3.5769781277555235</v>
      </c>
      <c r="Z22">
        <f t="shared" si="14"/>
        <v>55.42866921865842</v>
      </c>
      <c r="AA22">
        <f t="shared" si="15"/>
        <v>2.0056873240005086</v>
      </c>
      <c r="AB22">
        <f t="shared" si="16"/>
        <v>3.6185016748072192</v>
      </c>
      <c r="AC22">
        <f t="shared" si="17"/>
        <v>1.5712908037550148</v>
      </c>
      <c r="AD22">
        <f t="shared" si="18"/>
        <v>-501.53926294014479</v>
      </c>
      <c r="AE22">
        <f t="shared" si="19"/>
        <v>23.823324993018737</v>
      </c>
      <c r="AF22">
        <f t="shared" si="20"/>
        <v>2.2899102767068293</v>
      </c>
      <c r="AG22">
        <f t="shared" si="21"/>
        <v>-122.08580393547658</v>
      </c>
      <c r="AH22">
        <v>-4.1108279630616897E-2</v>
      </c>
      <c r="AI22">
        <v>4.6147645168455501E-2</v>
      </c>
      <c r="AJ22">
        <v>3.45020736074791</v>
      </c>
      <c r="AK22">
        <v>0</v>
      </c>
      <c r="AL22">
        <v>0</v>
      </c>
      <c r="AM22">
        <f t="shared" si="22"/>
        <v>1</v>
      </c>
      <c r="AN22">
        <f t="shared" si="23"/>
        <v>0</v>
      </c>
      <c r="AO22">
        <f t="shared" si="24"/>
        <v>52385.646708519082</v>
      </c>
      <c r="AP22" t="s">
        <v>279</v>
      </c>
      <c r="AQ22">
        <v>687.861538461539</v>
      </c>
      <c r="AR22">
        <v>4005.07</v>
      </c>
      <c r="AS22">
        <f t="shared" si="25"/>
        <v>3317.2084615384611</v>
      </c>
      <c r="AT22">
        <f t="shared" si="26"/>
        <v>0.82825230558728336</v>
      </c>
      <c r="AU22">
        <v>-4.0580585712533601</v>
      </c>
      <c r="AV22" t="s">
        <v>311</v>
      </c>
      <c r="AW22">
        <v>837.31407692307698</v>
      </c>
      <c r="AX22">
        <v>945.01800000000003</v>
      </c>
      <c r="AY22">
        <f t="shared" si="27"/>
        <v>0.11397023451079558</v>
      </c>
      <c r="AZ22">
        <v>0.5</v>
      </c>
      <c r="BA22">
        <f t="shared" si="28"/>
        <v>1849.1844097043902</v>
      </c>
      <c r="BB22">
        <f t="shared" si="29"/>
        <v>-3.1435412266342051</v>
      </c>
      <c r="BC22">
        <f t="shared" si="30"/>
        <v>105.37599041385822</v>
      </c>
      <c r="BD22">
        <f t="shared" si="31"/>
        <v>0.31705004560759692</v>
      </c>
      <c r="BE22">
        <f t="shared" si="32"/>
        <v>4.9455172768050177E-4</v>
      </c>
      <c r="BF22">
        <f t="shared" si="33"/>
        <v>3.2380885866724234</v>
      </c>
      <c r="BG22" t="s">
        <v>312</v>
      </c>
      <c r="BH22">
        <v>645.4</v>
      </c>
      <c r="BI22">
        <f t="shared" si="34"/>
        <v>299.61800000000005</v>
      </c>
      <c r="BJ22">
        <f t="shared" si="35"/>
        <v>0.35947080307899737</v>
      </c>
      <c r="BK22">
        <f t="shared" si="36"/>
        <v>0.91081921736361016</v>
      </c>
      <c r="BL22">
        <f t="shared" si="37"/>
        <v>0.41882643131957448</v>
      </c>
      <c r="BM22">
        <f t="shared" si="38"/>
        <v>0.92247805209709477</v>
      </c>
      <c r="BN22">
        <f t="shared" si="39"/>
        <v>2199.9970967741901</v>
      </c>
      <c r="BO22">
        <f t="shared" si="40"/>
        <v>1849.1844097043902</v>
      </c>
      <c r="BP22">
        <f t="shared" si="41"/>
        <v>0.84053947726377032</v>
      </c>
      <c r="BQ22">
        <f t="shared" si="42"/>
        <v>0.19107895452754084</v>
      </c>
      <c r="BR22">
        <v>1562697682.25161</v>
      </c>
      <c r="BS22">
        <v>16.975529032258098</v>
      </c>
      <c r="BT22">
        <v>13.4351516129032</v>
      </c>
      <c r="BU22">
        <v>20.224822580645199</v>
      </c>
      <c r="BV22">
        <v>6.85427129032258</v>
      </c>
      <c r="BW22">
        <v>500.02845161290298</v>
      </c>
      <c r="BX22">
        <v>99.069574193548405</v>
      </c>
      <c r="BY22">
        <v>0.100013870967742</v>
      </c>
      <c r="BZ22">
        <v>27.186261290322602</v>
      </c>
      <c r="CA22">
        <v>26.989619354838698</v>
      </c>
      <c r="CB22">
        <v>999.9</v>
      </c>
      <c r="CC22">
        <v>10006.5651612903</v>
      </c>
      <c r="CD22">
        <v>0</v>
      </c>
      <c r="CE22">
        <v>353.30319354838701</v>
      </c>
      <c r="CF22">
        <v>2199.9970967741901</v>
      </c>
      <c r="CG22">
        <v>0.98199987096774199</v>
      </c>
      <c r="CH22">
        <v>1.7999874193548399E-2</v>
      </c>
      <c r="CI22">
        <v>0</v>
      </c>
      <c r="CJ22">
        <v>837.37425806451597</v>
      </c>
      <c r="CK22">
        <v>1.9999499999999999</v>
      </c>
      <c r="CL22">
        <v>19129.245161290299</v>
      </c>
      <c r="CM22">
        <v>17938.229032258099</v>
      </c>
      <c r="CN22">
        <v>48.560161290322597</v>
      </c>
      <c r="CO22">
        <v>49.316129032257997</v>
      </c>
      <c r="CP22">
        <v>48.999935483870999</v>
      </c>
      <c r="CQ22">
        <v>48.445193548387103</v>
      </c>
      <c r="CR22">
        <v>49.679064516129003</v>
      </c>
      <c r="CS22">
        <v>2158.4354838709701</v>
      </c>
      <c r="CT22">
        <v>39.5616129032258</v>
      </c>
      <c r="CU22">
        <v>0</v>
      </c>
      <c r="CV22">
        <v>119.5</v>
      </c>
      <c r="CW22">
        <v>837.31407692307698</v>
      </c>
      <c r="CX22">
        <v>-1.59193164693279</v>
      </c>
      <c r="CY22">
        <v>-57.319657955642597</v>
      </c>
      <c r="CZ22">
        <v>19128.892307692298</v>
      </c>
      <c r="DA22">
        <v>15</v>
      </c>
      <c r="DB22">
        <v>1562697730.7</v>
      </c>
      <c r="DC22" t="s">
        <v>313</v>
      </c>
      <c r="DD22">
        <v>69</v>
      </c>
      <c r="DE22">
        <v>0.14499999999999999</v>
      </c>
      <c r="DF22">
        <v>8.0000000000000002E-3</v>
      </c>
      <c r="DG22">
        <v>14</v>
      </c>
      <c r="DH22">
        <v>7</v>
      </c>
      <c r="DI22">
        <v>0.19</v>
      </c>
      <c r="DJ22">
        <v>0.01</v>
      </c>
      <c r="DK22">
        <v>-3.03764816694689</v>
      </c>
      <c r="DL22">
        <v>-0.20622059533373399</v>
      </c>
      <c r="DM22">
        <v>6.8227155377026102E-2</v>
      </c>
      <c r="DN22">
        <v>1</v>
      </c>
      <c r="DO22">
        <v>17.2910694444444</v>
      </c>
      <c r="DP22">
        <v>-2.3319661800220399</v>
      </c>
      <c r="DQ22">
        <v>0.404604151760599</v>
      </c>
      <c r="DR22">
        <v>1</v>
      </c>
      <c r="DS22">
        <v>0.83564163609428699</v>
      </c>
      <c r="DT22">
        <v>2.4195779603270198E-2</v>
      </c>
      <c r="DU22">
        <v>4.7149588820647303E-3</v>
      </c>
      <c r="DV22">
        <v>1</v>
      </c>
      <c r="DW22">
        <v>3</v>
      </c>
      <c r="DX22">
        <v>3</v>
      </c>
      <c r="DY22" t="s">
        <v>283</v>
      </c>
      <c r="DZ22">
        <v>1.8667199999999999</v>
      </c>
      <c r="EA22">
        <v>1.8631899999999999</v>
      </c>
      <c r="EB22">
        <v>1.8687800000000001</v>
      </c>
      <c r="EC22">
        <v>1.86676</v>
      </c>
      <c r="ED22">
        <v>1.8714900000000001</v>
      </c>
      <c r="EE22">
        <v>1.86389</v>
      </c>
      <c r="EF22">
        <v>1.8653900000000001</v>
      </c>
      <c r="EG22">
        <v>1.8653900000000001</v>
      </c>
      <c r="EH22" t="s">
        <v>284</v>
      </c>
      <c r="EI22" t="s">
        <v>19</v>
      </c>
      <c r="EJ22" t="s">
        <v>19</v>
      </c>
      <c r="EK22" t="s">
        <v>19</v>
      </c>
      <c r="EL22" t="s">
        <v>285</v>
      </c>
      <c r="EM22" t="s">
        <v>286</v>
      </c>
      <c r="EN22" t="s">
        <v>287</v>
      </c>
      <c r="EO22" t="s">
        <v>287</v>
      </c>
      <c r="EP22" t="s">
        <v>287</v>
      </c>
      <c r="EQ22" t="s">
        <v>287</v>
      </c>
      <c r="ER22">
        <v>0</v>
      </c>
      <c r="ES22">
        <v>100</v>
      </c>
      <c r="ET22">
        <v>100</v>
      </c>
      <c r="EU22">
        <v>0.14499999999999999</v>
      </c>
      <c r="EV22">
        <v>8.0000000000000002E-3</v>
      </c>
      <c r="EW22">
        <v>2</v>
      </c>
      <c r="EX22">
        <v>502.291</v>
      </c>
      <c r="EY22">
        <v>472.25799999999998</v>
      </c>
      <c r="EZ22">
        <v>21.318000000000001</v>
      </c>
      <c r="FA22">
        <v>35.001800000000003</v>
      </c>
      <c r="FB22">
        <v>29.996400000000001</v>
      </c>
      <c r="FC22">
        <v>35.064</v>
      </c>
      <c r="FD22">
        <v>35.058399999999999</v>
      </c>
      <c r="FE22">
        <v>4.4025400000000001</v>
      </c>
      <c r="FF22">
        <v>80.213999999999999</v>
      </c>
      <c r="FG22">
        <v>0</v>
      </c>
      <c r="FH22">
        <v>21.397500000000001</v>
      </c>
      <c r="FI22">
        <v>12.5</v>
      </c>
      <c r="FJ22">
        <v>6.6682800000000002</v>
      </c>
      <c r="FK22">
        <v>100.434</v>
      </c>
      <c r="FL22">
        <v>100.94499999999999</v>
      </c>
    </row>
    <row r="23" spans="1:168" x14ac:dyDescent="0.35">
      <c r="A23">
        <v>8</v>
      </c>
      <c r="B23">
        <v>1562698054.3</v>
      </c>
      <c r="C23">
        <v>1001.59999990463</v>
      </c>
      <c r="D23" t="s">
        <v>314</v>
      </c>
      <c r="E23" t="s">
        <v>315</v>
      </c>
      <c r="F23" t="s">
        <v>277</v>
      </c>
      <c r="G23" t="s">
        <v>278</v>
      </c>
      <c r="H23" t="s">
        <v>277</v>
      </c>
      <c r="J23" t="s">
        <v>277</v>
      </c>
      <c r="K23">
        <v>1562698046.3</v>
      </c>
      <c r="L23">
        <f t="shared" si="0"/>
        <v>1.1238211772468296E-2</v>
      </c>
      <c r="M23">
        <f t="shared" si="1"/>
        <v>34.558039492995164</v>
      </c>
      <c r="N23">
        <f t="shared" si="2"/>
        <v>353.78764516129002</v>
      </c>
      <c r="O23">
        <f t="shared" si="3"/>
        <v>265.7550375108421</v>
      </c>
      <c r="P23">
        <f t="shared" si="4"/>
        <v>26.353284957571582</v>
      </c>
      <c r="Q23">
        <f t="shared" si="5"/>
        <v>35.08293470080816</v>
      </c>
      <c r="R23">
        <f t="shared" si="6"/>
        <v>0.80836952209255086</v>
      </c>
      <c r="S23">
        <f t="shared" si="7"/>
        <v>2.2448568348962934</v>
      </c>
      <c r="T23">
        <f t="shared" si="8"/>
        <v>0.67516337799902915</v>
      </c>
      <c r="U23">
        <f t="shared" si="9"/>
        <v>0.43210483527892973</v>
      </c>
      <c r="V23">
        <f t="shared" si="10"/>
        <v>353.34097923853392</v>
      </c>
      <c r="W23">
        <f t="shared" si="11"/>
        <v>26.216539092340636</v>
      </c>
      <c r="X23">
        <f t="shared" si="12"/>
        <v>27.074106451612899</v>
      </c>
      <c r="Y23">
        <f t="shared" si="13"/>
        <v>3.5947674506027933</v>
      </c>
      <c r="Z23">
        <f t="shared" si="14"/>
        <v>54.683893777359494</v>
      </c>
      <c r="AA23">
        <f t="shared" si="15"/>
        <v>1.990653567609227</v>
      </c>
      <c r="AB23">
        <f t="shared" si="16"/>
        <v>3.6402922873670849</v>
      </c>
      <c r="AC23">
        <f t="shared" si="17"/>
        <v>1.6041138829935664</v>
      </c>
      <c r="AD23">
        <f t="shared" si="18"/>
        <v>-495.60513916585182</v>
      </c>
      <c r="AE23">
        <f t="shared" si="19"/>
        <v>25.967220445223159</v>
      </c>
      <c r="AF23">
        <f t="shared" si="20"/>
        <v>2.5009174634908025</v>
      </c>
      <c r="AG23">
        <f t="shared" si="21"/>
        <v>-113.79602201860395</v>
      </c>
      <c r="AH23">
        <v>-4.1045428697981903E-2</v>
      </c>
      <c r="AI23">
        <v>4.6077089490528599E-2</v>
      </c>
      <c r="AJ23">
        <v>3.4460297310804702</v>
      </c>
      <c r="AK23">
        <v>0</v>
      </c>
      <c r="AL23">
        <v>0</v>
      </c>
      <c r="AM23">
        <f t="shared" si="22"/>
        <v>1</v>
      </c>
      <c r="AN23">
        <f t="shared" si="23"/>
        <v>0</v>
      </c>
      <c r="AO23">
        <f t="shared" si="24"/>
        <v>52290.859794847893</v>
      </c>
      <c r="AP23" t="s">
        <v>279</v>
      </c>
      <c r="AQ23">
        <v>687.861538461539</v>
      </c>
      <c r="AR23">
        <v>4005.07</v>
      </c>
      <c r="AS23">
        <f t="shared" si="25"/>
        <v>3317.2084615384611</v>
      </c>
      <c r="AT23">
        <f t="shared" si="26"/>
        <v>0.82825230558728336</v>
      </c>
      <c r="AU23">
        <v>-4.0580585712533601</v>
      </c>
      <c r="AV23" t="s">
        <v>316</v>
      </c>
      <c r="AW23">
        <v>806.73034615384597</v>
      </c>
      <c r="AX23">
        <v>1110.3599999999999</v>
      </c>
      <c r="AY23">
        <f t="shared" si="27"/>
        <v>0.27345154170373032</v>
      </c>
      <c r="AZ23">
        <v>0.5</v>
      </c>
      <c r="BA23">
        <f t="shared" si="28"/>
        <v>1849.1887087408384</v>
      </c>
      <c r="BB23">
        <f t="shared" si="29"/>
        <v>34.558039492995164</v>
      </c>
      <c r="BC23">
        <f t="shared" si="30"/>
        <v>252.83175165315629</v>
      </c>
      <c r="BD23">
        <f t="shared" si="31"/>
        <v>0.48989516913433478</v>
      </c>
      <c r="BE23">
        <f t="shared" si="32"/>
        <v>2.0882724343770871E-2</v>
      </c>
      <c r="BF23">
        <f t="shared" si="33"/>
        <v>2.6070013329010413</v>
      </c>
      <c r="BG23" t="s">
        <v>317</v>
      </c>
      <c r="BH23">
        <v>566.4</v>
      </c>
      <c r="BI23">
        <f t="shared" si="34"/>
        <v>543.95999999999992</v>
      </c>
      <c r="BJ23">
        <f t="shared" si="35"/>
        <v>0.55818378896638354</v>
      </c>
      <c r="BK23">
        <f t="shared" si="36"/>
        <v>0.84181093271526486</v>
      </c>
      <c r="BL23">
        <f t="shared" si="37"/>
        <v>0.71865268512584612</v>
      </c>
      <c r="BM23">
        <f t="shared" si="38"/>
        <v>0.87263433503286258</v>
      </c>
      <c r="BN23">
        <f t="shared" si="39"/>
        <v>2200.00225806452</v>
      </c>
      <c r="BO23">
        <f t="shared" si="40"/>
        <v>1849.1887087408384</v>
      </c>
      <c r="BP23">
        <f t="shared" si="41"/>
        <v>0.84053945943113972</v>
      </c>
      <c r="BQ23">
        <f t="shared" si="42"/>
        <v>0.19107891886227943</v>
      </c>
      <c r="BR23">
        <v>1562698046.3</v>
      </c>
      <c r="BS23">
        <v>353.78764516129002</v>
      </c>
      <c r="BT23">
        <v>400.02467741935499</v>
      </c>
      <c r="BU23">
        <v>20.0743935483871</v>
      </c>
      <c r="BV23">
        <v>6.8603296774193501</v>
      </c>
      <c r="BW23">
        <v>500.04048387096799</v>
      </c>
      <c r="BX23">
        <v>99.063783870967697</v>
      </c>
      <c r="BY23">
        <v>0.100037083870968</v>
      </c>
      <c r="BZ23">
        <v>27.288667741935502</v>
      </c>
      <c r="CA23">
        <v>27.074106451612899</v>
      </c>
      <c r="CB23">
        <v>999.9</v>
      </c>
      <c r="CC23">
        <v>9991.85</v>
      </c>
      <c r="CD23">
        <v>0</v>
      </c>
      <c r="CE23">
        <v>473.10077419354798</v>
      </c>
      <c r="CF23">
        <v>2200.00225806452</v>
      </c>
      <c r="CG23">
        <v>0.98199958064516102</v>
      </c>
      <c r="CH23">
        <v>1.8000116129032299E-2</v>
      </c>
      <c r="CI23">
        <v>0</v>
      </c>
      <c r="CJ23">
        <v>806.645451612903</v>
      </c>
      <c r="CK23">
        <v>1.9999499999999999</v>
      </c>
      <c r="CL23">
        <v>18521.203225806501</v>
      </c>
      <c r="CM23">
        <v>17938.2612903226</v>
      </c>
      <c r="CN23">
        <v>48.287999999999997</v>
      </c>
      <c r="CO23">
        <v>49.05</v>
      </c>
      <c r="CP23">
        <v>48.691064516129003</v>
      </c>
      <c r="CQ23">
        <v>48.183</v>
      </c>
      <c r="CR23">
        <v>49.4491935483871</v>
      </c>
      <c r="CS23">
        <v>2158.4377419354801</v>
      </c>
      <c r="CT23">
        <v>39.560322580645099</v>
      </c>
      <c r="CU23">
        <v>0</v>
      </c>
      <c r="CV23">
        <v>181.299999952316</v>
      </c>
      <c r="CW23">
        <v>806.73034615384597</v>
      </c>
      <c r="CX23">
        <v>9.1232478911511006</v>
      </c>
      <c r="CY23">
        <v>320.50598307224902</v>
      </c>
      <c r="CZ23">
        <v>18523.230769230799</v>
      </c>
      <c r="DA23">
        <v>15</v>
      </c>
      <c r="DB23">
        <v>1562697986.3</v>
      </c>
      <c r="DC23" t="s">
        <v>318</v>
      </c>
      <c r="DD23">
        <v>71</v>
      </c>
      <c r="DE23">
        <v>0.41499999999999998</v>
      </c>
      <c r="DF23">
        <v>1.0999999999999999E-2</v>
      </c>
      <c r="DG23">
        <v>400</v>
      </c>
      <c r="DH23">
        <v>7</v>
      </c>
      <c r="DI23">
        <v>0.04</v>
      </c>
      <c r="DJ23">
        <v>0.01</v>
      </c>
      <c r="DK23">
        <v>34.419832099429598</v>
      </c>
      <c r="DL23">
        <v>0.73399154428823499</v>
      </c>
      <c r="DM23">
        <v>0.139614168158913</v>
      </c>
      <c r="DN23">
        <v>0</v>
      </c>
      <c r="DO23">
        <v>353.90873611111101</v>
      </c>
      <c r="DP23">
        <v>-0.72059617981858404</v>
      </c>
      <c r="DQ23">
        <v>0.12593053564207199</v>
      </c>
      <c r="DR23">
        <v>1</v>
      </c>
      <c r="DS23">
        <v>0.82041860400421796</v>
      </c>
      <c r="DT23">
        <v>-5.6296713548995798E-2</v>
      </c>
      <c r="DU23">
        <v>1.0559671131369399E-2</v>
      </c>
      <c r="DV23">
        <v>1</v>
      </c>
      <c r="DW23">
        <v>2</v>
      </c>
      <c r="DX23">
        <v>3</v>
      </c>
      <c r="DY23" t="s">
        <v>293</v>
      </c>
      <c r="DZ23">
        <v>1.86666</v>
      </c>
      <c r="EA23">
        <v>1.8631500000000001</v>
      </c>
      <c r="EB23">
        <v>1.8687499999999999</v>
      </c>
      <c r="EC23">
        <v>1.86676</v>
      </c>
      <c r="ED23">
        <v>1.87141</v>
      </c>
      <c r="EE23">
        <v>1.8638699999999999</v>
      </c>
      <c r="EF23">
        <v>1.8653900000000001</v>
      </c>
      <c r="EG23">
        <v>1.86534</v>
      </c>
      <c r="EH23" t="s">
        <v>284</v>
      </c>
      <c r="EI23" t="s">
        <v>19</v>
      </c>
      <c r="EJ23" t="s">
        <v>19</v>
      </c>
      <c r="EK23" t="s">
        <v>19</v>
      </c>
      <c r="EL23" t="s">
        <v>285</v>
      </c>
      <c r="EM23" t="s">
        <v>286</v>
      </c>
      <c r="EN23" t="s">
        <v>287</v>
      </c>
      <c r="EO23" t="s">
        <v>287</v>
      </c>
      <c r="EP23" t="s">
        <v>287</v>
      </c>
      <c r="EQ23" t="s">
        <v>287</v>
      </c>
      <c r="ER23">
        <v>0</v>
      </c>
      <c r="ES23">
        <v>100</v>
      </c>
      <c r="ET23">
        <v>100</v>
      </c>
      <c r="EU23">
        <v>0.41499999999999998</v>
      </c>
      <c r="EV23">
        <v>1.0999999999999999E-2</v>
      </c>
      <c r="EW23">
        <v>2</v>
      </c>
      <c r="EX23">
        <v>501.44400000000002</v>
      </c>
      <c r="EY23">
        <v>473.14</v>
      </c>
      <c r="EZ23">
        <v>21.386900000000001</v>
      </c>
      <c r="FA23">
        <v>34.707299999999996</v>
      </c>
      <c r="FB23">
        <v>30.000599999999999</v>
      </c>
      <c r="FC23">
        <v>34.735999999999997</v>
      </c>
      <c r="FD23">
        <v>34.728499999999997</v>
      </c>
      <c r="FE23">
        <v>22.1782</v>
      </c>
      <c r="FF23">
        <v>79.3172</v>
      </c>
      <c r="FG23">
        <v>0</v>
      </c>
      <c r="FH23">
        <v>21.358699999999999</v>
      </c>
      <c r="FI23">
        <v>400</v>
      </c>
      <c r="FJ23">
        <v>7.0630800000000002</v>
      </c>
      <c r="FK23">
        <v>100.47799999999999</v>
      </c>
      <c r="FL23">
        <v>100.99299999999999</v>
      </c>
    </row>
    <row r="24" spans="1:168" x14ac:dyDescent="0.35">
      <c r="A24">
        <v>9</v>
      </c>
      <c r="B24">
        <v>1562698183.8</v>
      </c>
      <c r="C24">
        <v>1131.0999999046301</v>
      </c>
      <c r="D24" t="s">
        <v>319</v>
      </c>
      <c r="E24" t="s">
        <v>320</v>
      </c>
      <c r="F24" t="s">
        <v>277</v>
      </c>
      <c r="G24" t="s">
        <v>278</v>
      </c>
      <c r="H24" t="s">
        <v>277</v>
      </c>
      <c r="J24" t="s">
        <v>277</v>
      </c>
      <c r="K24">
        <v>1562698175.8</v>
      </c>
      <c r="L24">
        <f t="shared" si="0"/>
        <v>1.1148359259509586E-2</v>
      </c>
      <c r="M24">
        <f t="shared" si="1"/>
        <v>40.525328699307487</v>
      </c>
      <c r="N24">
        <f t="shared" si="2"/>
        <v>445.44461290322602</v>
      </c>
      <c r="O24">
        <f t="shared" si="3"/>
        <v>341.67525933338561</v>
      </c>
      <c r="P24">
        <f t="shared" si="4"/>
        <v>33.879716852160719</v>
      </c>
      <c r="Q24">
        <f t="shared" si="5"/>
        <v>44.169242420201819</v>
      </c>
      <c r="R24">
        <f t="shared" si="6"/>
        <v>0.80994537730222627</v>
      </c>
      <c r="S24">
        <f t="shared" si="7"/>
        <v>2.2444257093210083</v>
      </c>
      <c r="T24">
        <f t="shared" si="8"/>
        <v>0.67624376267068065</v>
      </c>
      <c r="U24">
        <f t="shared" si="9"/>
        <v>0.43281445544590491</v>
      </c>
      <c r="V24">
        <f t="shared" si="10"/>
        <v>353.34095221251391</v>
      </c>
      <c r="W24">
        <f t="shared" si="11"/>
        <v>26.004965477496178</v>
      </c>
      <c r="X24">
        <f t="shared" si="12"/>
        <v>26.9936677419355</v>
      </c>
      <c r="Y24">
        <f t="shared" si="13"/>
        <v>3.5778287864470073</v>
      </c>
      <c r="Z24">
        <f t="shared" si="14"/>
        <v>55.417341344684814</v>
      </c>
      <c r="AA24">
        <f t="shared" si="15"/>
        <v>1.9890311924896449</v>
      </c>
      <c r="AB24">
        <f t="shared" si="16"/>
        <v>3.5891855224852227</v>
      </c>
      <c r="AC24">
        <f t="shared" si="17"/>
        <v>1.5887975939573624</v>
      </c>
      <c r="AD24">
        <f t="shared" si="18"/>
        <v>-491.64264334437274</v>
      </c>
      <c r="AE24">
        <f t="shared" si="19"/>
        <v>6.5301765839005119</v>
      </c>
      <c r="AF24">
        <f t="shared" si="20"/>
        <v>0.62803572931286633</v>
      </c>
      <c r="AG24">
        <f t="shared" si="21"/>
        <v>-131.14347881864549</v>
      </c>
      <c r="AH24">
        <v>-4.1033847089875897E-2</v>
      </c>
      <c r="AI24">
        <v>4.6064088120825103E-2</v>
      </c>
      <c r="AJ24">
        <v>3.4452596758315899</v>
      </c>
      <c r="AK24">
        <v>0</v>
      </c>
      <c r="AL24">
        <v>0</v>
      </c>
      <c r="AM24">
        <f t="shared" si="22"/>
        <v>1</v>
      </c>
      <c r="AN24">
        <f t="shared" si="23"/>
        <v>0</v>
      </c>
      <c r="AO24">
        <f t="shared" si="24"/>
        <v>52318.567518300362</v>
      </c>
      <c r="AP24" t="s">
        <v>279</v>
      </c>
      <c r="AQ24">
        <v>687.861538461539</v>
      </c>
      <c r="AR24">
        <v>4005.07</v>
      </c>
      <c r="AS24">
        <f t="shared" si="25"/>
        <v>3317.2084615384611</v>
      </c>
      <c r="AT24">
        <f t="shared" si="26"/>
        <v>0.82825230558728336</v>
      </c>
      <c r="AU24">
        <v>-4.0580585712533601</v>
      </c>
      <c r="AV24" t="s">
        <v>321</v>
      </c>
      <c r="AW24">
        <v>845.674076923077</v>
      </c>
      <c r="AX24">
        <v>1178.67</v>
      </c>
      <c r="AY24">
        <f t="shared" si="27"/>
        <v>0.28251836652915829</v>
      </c>
      <c r="AZ24">
        <v>0.5</v>
      </c>
      <c r="BA24">
        <f t="shared" si="28"/>
        <v>1849.1860161560121</v>
      </c>
      <c r="BB24">
        <f t="shared" si="29"/>
        <v>40.525328699307487</v>
      </c>
      <c r="BC24">
        <f t="shared" si="30"/>
        <v>261.21450634647914</v>
      </c>
      <c r="BD24">
        <f t="shared" si="31"/>
        <v>0.50978645422382862</v>
      </c>
      <c r="BE24">
        <f t="shared" si="32"/>
        <v>2.4109736327791609E-2</v>
      </c>
      <c r="BF24">
        <f t="shared" si="33"/>
        <v>2.397957019352321</v>
      </c>
      <c r="BG24" t="s">
        <v>322</v>
      </c>
      <c r="BH24">
        <v>577.79999999999995</v>
      </c>
      <c r="BI24">
        <f t="shared" si="34"/>
        <v>600.87000000000012</v>
      </c>
      <c r="BJ24">
        <f t="shared" si="35"/>
        <v>0.55418963016446654</v>
      </c>
      <c r="BK24">
        <f t="shared" si="36"/>
        <v>0.82467970133663226</v>
      </c>
      <c r="BL24">
        <f t="shared" si="37"/>
        <v>0.6784641039666115</v>
      </c>
      <c r="BM24">
        <f t="shared" si="38"/>
        <v>0.85204171904504522</v>
      </c>
      <c r="BN24">
        <f t="shared" si="39"/>
        <v>2199.9987096774198</v>
      </c>
      <c r="BO24">
        <f t="shared" si="40"/>
        <v>1849.1860161560121</v>
      </c>
      <c r="BP24">
        <f t="shared" si="41"/>
        <v>0.84053959123783006</v>
      </c>
      <c r="BQ24">
        <f t="shared" si="42"/>
        <v>0.19107918247566028</v>
      </c>
      <c r="BR24">
        <v>1562698175.8</v>
      </c>
      <c r="BS24">
        <v>445.44461290322602</v>
      </c>
      <c r="BT24">
        <v>500.03054838709699</v>
      </c>
      <c r="BU24">
        <v>20.059280645161301</v>
      </c>
      <c r="BV24">
        <v>6.9504751612903197</v>
      </c>
      <c r="BW24">
        <v>500.03325806451602</v>
      </c>
      <c r="BX24">
        <v>99.0576419354839</v>
      </c>
      <c r="BY24">
        <v>0.100011206451613</v>
      </c>
      <c r="BZ24">
        <v>27.047635483871002</v>
      </c>
      <c r="CA24">
        <v>26.9936677419355</v>
      </c>
      <c r="CB24">
        <v>999.9</v>
      </c>
      <c r="CC24">
        <v>9989.65</v>
      </c>
      <c r="CD24">
        <v>0</v>
      </c>
      <c r="CE24">
        <v>255.99577419354799</v>
      </c>
      <c r="CF24">
        <v>2199.9987096774198</v>
      </c>
      <c r="CG24">
        <v>0.98199893548387096</v>
      </c>
      <c r="CH24">
        <v>1.8000680645161301E-2</v>
      </c>
      <c r="CI24">
        <v>0</v>
      </c>
      <c r="CJ24">
        <v>845.63777419354801</v>
      </c>
      <c r="CK24">
        <v>1.9999499999999999</v>
      </c>
      <c r="CL24">
        <v>19420.358064516098</v>
      </c>
      <c r="CM24">
        <v>17938.2580645161</v>
      </c>
      <c r="CN24">
        <v>48.253999999999998</v>
      </c>
      <c r="CO24">
        <v>49.070129032258002</v>
      </c>
      <c r="CP24">
        <v>48.637</v>
      </c>
      <c r="CQ24">
        <v>48.253999999999998</v>
      </c>
      <c r="CR24">
        <v>49.406999999999996</v>
      </c>
      <c r="CS24">
        <v>2158.4287096774201</v>
      </c>
      <c r="CT24">
        <v>39.57</v>
      </c>
      <c r="CU24">
        <v>0</v>
      </c>
      <c r="CV24">
        <v>129</v>
      </c>
      <c r="CW24">
        <v>845.674076923077</v>
      </c>
      <c r="CX24">
        <v>2.2922393114071502</v>
      </c>
      <c r="CY24">
        <v>65.217094048291202</v>
      </c>
      <c r="CZ24">
        <v>19420.976923076902</v>
      </c>
      <c r="DA24">
        <v>15</v>
      </c>
      <c r="DB24">
        <v>1562698131.8</v>
      </c>
      <c r="DC24" t="s">
        <v>323</v>
      </c>
      <c r="DD24">
        <v>72</v>
      </c>
      <c r="DE24">
        <v>0.47099999999999997</v>
      </c>
      <c r="DF24">
        <v>1.2999999999999999E-2</v>
      </c>
      <c r="DG24">
        <v>500</v>
      </c>
      <c r="DH24">
        <v>7</v>
      </c>
      <c r="DI24">
        <v>0.02</v>
      </c>
      <c r="DJ24">
        <v>0.01</v>
      </c>
      <c r="DK24">
        <v>40.5726737554971</v>
      </c>
      <c r="DL24">
        <v>-0.24614181253926901</v>
      </c>
      <c r="DM24">
        <v>6.5057146186140002E-2</v>
      </c>
      <c r="DN24">
        <v>1</v>
      </c>
      <c r="DO24">
        <v>445.46122222222198</v>
      </c>
      <c r="DP24">
        <v>-4.3688983214403197E-2</v>
      </c>
      <c r="DQ24">
        <v>2.8120387138863601E-2</v>
      </c>
      <c r="DR24">
        <v>1</v>
      </c>
      <c r="DS24">
        <v>0.80451032457220595</v>
      </c>
      <c r="DT24">
        <v>2.21374364801394E-2</v>
      </c>
      <c r="DU24">
        <v>6.1636483916198397E-3</v>
      </c>
      <c r="DV24">
        <v>1</v>
      </c>
      <c r="DW24">
        <v>3</v>
      </c>
      <c r="DX24">
        <v>3</v>
      </c>
      <c r="DY24" t="s">
        <v>283</v>
      </c>
      <c r="DZ24">
        <v>1.86663</v>
      </c>
      <c r="EA24">
        <v>1.8631200000000001</v>
      </c>
      <c r="EB24">
        <v>1.8687400000000001</v>
      </c>
      <c r="EC24">
        <v>1.86676</v>
      </c>
      <c r="ED24">
        <v>1.8714200000000001</v>
      </c>
      <c r="EE24">
        <v>1.8638600000000001</v>
      </c>
      <c r="EF24">
        <v>1.8653900000000001</v>
      </c>
      <c r="EG24">
        <v>1.86531</v>
      </c>
      <c r="EH24" t="s">
        <v>284</v>
      </c>
      <c r="EI24" t="s">
        <v>19</v>
      </c>
      <c r="EJ24" t="s">
        <v>19</v>
      </c>
      <c r="EK24" t="s">
        <v>19</v>
      </c>
      <c r="EL24" t="s">
        <v>285</v>
      </c>
      <c r="EM24" t="s">
        <v>286</v>
      </c>
      <c r="EN24" t="s">
        <v>287</v>
      </c>
      <c r="EO24" t="s">
        <v>287</v>
      </c>
      <c r="EP24" t="s">
        <v>287</v>
      </c>
      <c r="EQ24" t="s">
        <v>287</v>
      </c>
      <c r="ER24">
        <v>0</v>
      </c>
      <c r="ES24">
        <v>100</v>
      </c>
      <c r="ET24">
        <v>100</v>
      </c>
      <c r="EU24">
        <v>0.47099999999999997</v>
      </c>
      <c r="EV24">
        <v>1.2999999999999999E-2</v>
      </c>
      <c r="EW24">
        <v>2</v>
      </c>
      <c r="EX24">
        <v>501.31400000000002</v>
      </c>
      <c r="EY24">
        <v>473.012</v>
      </c>
      <c r="EZ24">
        <v>20.892199999999999</v>
      </c>
      <c r="FA24">
        <v>34.672499999999999</v>
      </c>
      <c r="FB24">
        <v>30.001799999999999</v>
      </c>
      <c r="FC24">
        <v>34.6614</v>
      </c>
      <c r="FD24">
        <v>34.647300000000001</v>
      </c>
      <c r="FE24">
        <v>26.4833</v>
      </c>
      <c r="FF24">
        <v>80.911600000000007</v>
      </c>
      <c r="FG24">
        <v>0</v>
      </c>
      <c r="FH24">
        <v>20.840800000000002</v>
      </c>
      <c r="FI24">
        <v>500</v>
      </c>
      <c r="FJ24">
        <v>6.8955200000000003</v>
      </c>
      <c r="FK24">
        <v>100.499</v>
      </c>
      <c r="FL24">
        <v>101.018</v>
      </c>
    </row>
    <row r="25" spans="1:168" x14ac:dyDescent="0.35">
      <c r="A25">
        <v>10</v>
      </c>
      <c r="B25">
        <v>1562698324.3</v>
      </c>
      <c r="C25">
        <v>1271.5999999046301</v>
      </c>
      <c r="D25" t="s">
        <v>324</v>
      </c>
      <c r="E25" t="s">
        <v>325</v>
      </c>
      <c r="F25" t="s">
        <v>277</v>
      </c>
      <c r="G25" t="s">
        <v>278</v>
      </c>
      <c r="H25" t="s">
        <v>277</v>
      </c>
      <c r="J25" t="s">
        <v>277</v>
      </c>
      <c r="K25">
        <v>1562698316.3</v>
      </c>
      <c r="L25">
        <f t="shared" si="0"/>
        <v>1.0611866989176702E-2</v>
      </c>
      <c r="M25">
        <f t="shared" si="1"/>
        <v>43.659105387136492</v>
      </c>
      <c r="N25">
        <f t="shared" si="2"/>
        <v>540.70325806451604</v>
      </c>
      <c r="O25">
        <f t="shared" si="3"/>
        <v>421.35252415563167</v>
      </c>
      <c r="P25">
        <f t="shared" si="4"/>
        <v>41.781401575664148</v>
      </c>
      <c r="Q25">
        <f t="shared" si="5"/>
        <v>53.616244506272665</v>
      </c>
      <c r="R25">
        <f t="shared" si="6"/>
        <v>0.75731303913062464</v>
      </c>
      <c r="S25">
        <f t="shared" si="7"/>
        <v>2.2474979204552321</v>
      </c>
      <c r="T25">
        <f t="shared" si="8"/>
        <v>0.63921180145304635</v>
      </c>
      <c r="U25">
        <f t="shared" si="9"/>
        <v>0.40857485989912989</v>
      </c>
      <c r="V25">
        <f t="shared" si="10"/>
        <v>353.33884138150643</v>
      </c>
      <c r="W25">
        <f t="shared" si="11"/>
        <v>26.037928590428322</v>
      </c>
      <c r="X25">
        <f t="shared" si="12"/>
        <v>26.979706451612898</v>
      </c>
      <c r="Y25">
        <f t="shared" si="13"/>
        <v>3.5748959455201481</v>
      </c>
      <c r="Z25">
        <f t="shared" si="14"/>
        <v>55.494669742562955</v>
      </c>
      <c r="AA25">
        <f t="shared" si="15"/>
        <v>1.9747552788196543</v>
      </c>
      <c r="AB25">
        <f t="shared" si="16"/>
        <v>3.5584593763337038</v>
      </c>
      <c r="AC25">
        <f t="shared" si="17"/>
        <v>1.6001406667004938</v>
      </c>
      <c r="AD25">
        <f t="shared" si="18"/>
        <v>-467.98333422269252</v>
      </c>
      <c r="AE25">
        <f t="shared" si="19"/>
        <v>-9.503019013135896</v>
      </c>
      <c r="AF25">
        <f t="shared" si="20"/>
        <v>-0.9119663483839332</v>
      </c>
      <c r="AG25">
        <f t="shared" si="21"/>
        <v>-125.05947820270593</v>
      </c>
      <c r="AH25">
        <v>-4.11164215651144E-2</v>
      </c>
      <c r="AI25">
        <v>4.6156785203201697E-2</v>
      </c>
      <c r="AJ25">
        <v>3.4507483855801402</v>
      </c>
      <c r="AK25">
        <v>0</v>
      </c>
      <c r="AL25">
        <v>0</v>
      </c>
      <c r="AM25">
        <f t="shared" si="22"/>
        <v>1</v>
      </c>
      <c r="AN25">
        <f t="shared" si="23"/>
        <v>0</v>
      </c>
      <c r="AO25">
        <f t="shared" si="24"/>
        <v>52445.181638695605</v>
      </c>
      <c r="AP25" t="s">
        <v>279</v>
      </c>
      <c r="AQ25">
        <v>687.861538461539</v>
      </c>
      <c r="AR25">
        <v>4005.07</v>
      </c>
      <c r="AS25">
        <f t="shared" si="25"/>
        <v>3317.2084615384611</v>
      </c>
      <c r="AT25">
        <f t="shared" si="26"/>
        <v>0.82825230558728336</v>
      </c>
      <c r="AU25">
        <v>-4.0580585712533601</v>
      </c>
      <c r="AV25" t="s">
        <v>326</v>
      </c>
      <c r="AW25">
        <v>851.963192307692</v>
      </c>
      <c r="AX25">
        <v>1187.1600000000001</v>
      </c>
      <c r="AY25">
        <f t="shared" si="27"/>
        <v>0.28235183774074946</v>
      </c>
      <c r="AZ25">
        <v>0.5</v>
      </c>
      <c r="BA25">
        <f t="shared" si="28"/>
        <v>1849.1749064785943</v>
      </c>
      <c r="BB25">
        <f t="shared" si="29"/>
        <v>43.659105387136492</v>
      </c>
      <c r="BC25">
        <f t="shared" si="30"/>
        <v>261.05896657415479</v>
      </c>
      <c r="BD25">
        <f t="shared" si="31"/>
        <v>0.51834630546851312</v>
      </c>
      <c r="BE25">
        <f t="shared" si="32"/>
        <v>2.5804570347138345E-2</v>
      </c>
      <c r="BF25">
        <f t="shared" si="33"/>
        <v>2.3736564574278107</v>
      </c>
      <c r="BG25" t="s">
        <v>327</v>
      </c>
      <c r="BH25">
        <v>571.79999999999995</v>
      </c>
      <c r="BI25">
        <f t="shared" si="34"/>
        <v>615.36000000000013</v>
      </c>
      <c r="BJ25">
        <f t="shared" si="35"/>
        <v>0.54471660116404708</v>
      </c>
      <c r="BK25">
        <f t="shared" si="36"/>
        <v>0.82076562577367917</v>
      </c>
      <c r="BL25">
        <f t="shared" si="37"/>
        <v>0.67133555080359042</v>
      </c>
      <c r="BM25">
        <f t="shared" si="38"/>
        <v>0.84948233813834673</v>
      </c>
      <c r="BN25">
        <f t="shared" si="39"/>
        <v>2199.9854838709698</v>
      </c>
      <c r="BO25">
        <f t="shared" si="40"/>
        <v>1849.1749064785943</v>
      </c>
      <c r="BP25">
        <f t="shared" si="41"/>
        <v>0.84053959448172855</v>
      </c>
      <c r="BQ25">
        <f t="shared" si="42"/>
        <v>0.1910791889634571</v>
      </c>
      <c r="BR25">
        <v>1562698316.3</v>
      </c>
      <c r="BS25">
        <v>540.70325806451604</v>
      </c>
      <c r="BT25">
        <v>599.97564516129103</v>
      </c>
      <c r="BU25">
        <v>19.914796774193501</v>
      </c>
      <c r="BV25">
        <v>7.4349951612903196</v>
      </c>
      <c r="BW25">
        <v>500.03361290322601</v>
      </c>
      <c r="BX25">
        <v>99.060196774193599</v>
      </c>
      <c r="BY25">
        <v>0.10000562258064501</v>
      </c>
      <c r="BZ25">
        <v>26.901277419354798</v>
      </c>
      <c r="CA25">
        <v>26.979706451612898</v>
      </c>
      <c r="CB25">
        <v>999.9</v>
      </c>
      <c r="CC25">
        <v>10009.494516129</v>
      </c>
      <c r="CD25">
        <v>0</v>
      </c>
      <c r="CE25">
        <v>244.57767741935501</v>
      </c>
      <c r="CF25">
        <v>2199.9854838709698</v>
      </c>
      <c r="CG25">
        <v>0.98199822580645102</v>
      </c>
      <c r="CH25">
        <v>1.8001567741935499E-2</v>
      </c>
      <c r="CI25">
        <v>0</v>
      </c>
      <c r="CJ25">
        <v>852.00541935483898</v>
      </c>
      <c r="CK25">
        <v>1.9999499999999999</v>
      </c>
      <c r="CL25">
        <v>19570.654838709699</v>
      </c>
      <c r="CM25">
        <v>17938.141935483902</v>
      </c>
      <c r="CN25">
        <v>48.262</v>
      </c>
      <c r="CO25">
        <v>49.174999999999997</v>
      </c>
      <c r="CP25">
        <v>48.687064516128999</v>
      </c>
      <c r="CQ25">
        <v>48.3</v>
      </c>
      <c r="CR25">
        <v>49.457387096774198</v>
      </c>
      <c r="CS25">
        <v>2158.4154838709701</v>
      </c>
      <c r="CT25">
        <v>39.57</v>
      </c>
      <c r="CU25">
        <v>0</v>
      </c>
      <c r="CV25">
        <v>139.89999985694899</v>
      </c>
      <c r="CW25">
        <v>851.963192307692</v>
      </c>
      <c r="CX25">
        <v>-7.7276923043622601</v>
      </c>
      <c r="CY25">
        <v>-231.01538457899801</v>
      </c>
      <c r="CZ25">
        <v>19568.669230769199</v>
      </c>
      <c r="DA25">
        <v>15</v>
      </c>
      <c r="DB25">
        <v>1562698261.8</v>
      </c>
      <c r="DC25" t="s">
        <v>328</v>
      </c>
      <c r="DD25">
        <v>73</v>
      </c>
      <c r="DE25">
        <v>0.56000000000000005</v>
      </c>
      <c r="DF25">
        <v>1.2E-2</v>
      </c>
      <c r="DG25">
        <v>600</v>
      </c>
      <c r="DH25">
        <v>7</v>
      </c>
      <c r="DI25">
        <v>0.03</v>
      </c>
      <c r="DJ25">
        <v>0.01</v>
      </c>
      <c r="DK25">
        <v>43.789544415028097</v>
      </c>
      <c r="DL25">
        <v>-0.60324520800779302</v>
      </c>
      <c r="DM25">
        <v>0.12059694486661</v>
      </c>
      <c r="DN25">
        <v>0</v>
      </c>
      <c r="DO25">
        <v>540.59133333333295</v>
      </c>
      <c r="DP25">
        <v>0.63186185606767797</v>
      </c>
      <c r="DQ25">
        <v>0.11442294835875901</v>
      </c>
      <c r="DR25">
        <v>1</v>
      </c>
      <c r="DS25">
        <v>0.75346134699207201</v>
      </c>
      <c r="DT25">
        <v>1.43444952359678E-2</v>
      </c>
      <c r="DU25">
        <v>3.7468601008694602E-3</v>
      </c>
      <c r="DV25">
        <v>1</v>
      </c>
      <c r="DW25">
        <v>2</v>
      </c>
      <c r="DX25">
        <v>3</v>
      </c>
      <c r="DY25" t="s">
        <v>293</v>
      </c>
      <c r="DZ25">
        <v>1.8666499999999999</v>
      </c>
      <c r="EA25">
        <v>1.8631500000000001</v>
      </c>
      <c r="EB25">
        <v>1.86876</v>
      </c>
      <c r="EC25">
        <v>1.86676</v>
      </c>
      <c r="ED25">
        <v>1.8714</v>
      </c>
      <c r="EE25">
        <v>1.8638600000000001</v>
      </c>
      <c r="EF25">
        <v>1.8653900000000001</v>
      </c>
      <c r="EG25">
        <v>1.8653200000000001</v>
      </c>
      <c r="EH25" t="s">
        <v>284</v>
      </c>
      <c r="EI25" t="s">
        <v>19</v>
      </c>
      <c r="EJ25" t="s">
        <v>19</v>
      </c>
      <c r="EK25" t="s">
        <v>19</v>
      </c>
      <c r="EL25" t="s">
        <v>285</v>
      </c>
      <c r="EM25" t="s">
        <v>286</v>
      </c>
      <c r="EN25" t="s">
        <v>287</v>
      </c>
      <c r="EO25" t="s">
        <v>287</v>
      </c>
      <c r="EP25" t="s">
        <v>287</v>
      </c>
      <c r="EQ25" t="s">
        <v>287</v>
      </c>
      <c r="ER25">
        <v>0</v>
      </c>
      <c r="ES25">
        <v>100</v>
      </c>
      <c r="ET25">
        <v>100</v>
      </c>
      <c r="EU25">
        <v>0.56000000000000005</v>
      </c>
      <c r="EV25">
        <v>1.2E-2</v>
      </c>
      <c r="EW25">
        <v>2</v>
      </c>
      <c r="EX25">
        <v>501.22300000000001</v>
      </c>
      <c r="EY25">
        <v>473.274</v>
      </c>
      <c r="EZ25">
        <v>20.708500000000001</v>
      </c>
      <c r="FA25">
        <v>34.656799999999997</v>
      </c>
      <c r="FB25">
        <v>30.000699999999998</v>
      </c>
      <c r="FC25">
        <v>34.620399999999997</v>
      </c>
      <c r="FD25">
        <v>34.6036</v>
      </c>
      <c r="FE25">
        <v>30.662800000000001</v>
      </c>
      <c r="FF25">
        <v>79.368899999999996</v>
      </c>
      <c r="FG25">
        <v>0</v>
      </c>
      <c r="FH25">
        <v>20.6327</v>
      </c>
      <c r="FI25">
        <v>600</v>
      </c>
      <c r="FJ25">
        <v>7.2570100000000002</v>
      </c>
      <c r="FK25">
        <v>100.508</v>
      </c>
      <c r="FL25">
        <v>101.02500000000001</v>
      </c>
    </row>
    <row r="26" spans="1:168" x14ac:dyDescent="0.35">
      <c r="A26">
        <v>11</v>
      </c>
      <c r="B26">
        <v>1562698464.8</v>
      </c>
      <c r="C26">
        <v>1412.0999999046301</v>
      </c>
      <c r="D26" t="s">
        <v>329</v>
      </c>
      <c r="E26" t="s">
        <v>330</v>
      </c>
      <c r="F26" t="s">
        <v>277</v>
      </c>
      <c r="G26" t="s">
        <v>278</v>
      </c>
      <c r="H26" t="s">
        <v>277</v>
      </c>
      <c r="J26" t="s">
        <v>277</v>
      </c>
      <c r="K26">
        <v>1562698456.8</v>
      </c>
      <c r="L26">
        <f t="shared" si="0"/>
        <v>9.1905833407954392E-3</v>
      </c>
      <c r="M26">
        <f t="shared" si="1"/>
        <v>45.210538488988668</v>
      </c>
      <c r="N26">
        <f t="shared" si="2"/>
        <v>737.55748387096799</v>
      </c>
      <c r="O26">
        <f t="shared" si="3"/>
        <v>586.17549115897475</v>
      </c>
      <c r="P26">
        <f t="shared" si="4"/>
        <v>58.122966402364902</v>
      </c>
      <c r="Q26">
        <f t="shared" si="5"/>
        <v>73.133437855078625</v>
      </c>
      <c r="R26">
        <f t="shared" si="6"/>
        <v>0.61170485415733178</v>
      </c>
      <c r="S26">
        <f t="shared" si="7"/>
        <v>2.246275790835341</v>
      </c>
      <c r="T26">
        <f t="shared" si="8"/>
        <v>0.53207675923164055</v>
      </c>
      <c r="U26">
        <f t="shared" si="9"/>
        <v>0.33883473644425638</v>
      </c>
      <c r="V26">
        <f t="shared" si="10"/>
        <v>353.33809647810381</v>
      </c>
      <c r="W26">
        <f t="shared" si="11"/>
        <v>26.439070686125365</v>
      </c>
      <c r="X26">
        <f t="shared" si="12"/>
        <v>27.043590322580599</v>
      </c>
      <c r="Y26">
        <f t="shared" si="13"/>
        <v>3.5883331868478061</v>
      </c>
      <c r="Z26">
        <f t="shared" si="14"/>
        <v>54.270901502343193</v>
      </c>
      <c r="AA26">
        <f t="shared" si="15"/>
        <v>1.9232036932278502</v>
      </c>
      <c r="AB26">
        <f t="shared" si="16"/>
        <v>3.543710607322073</v>
      </c>
      <c r="AC26">
        <f t="shared" si="17"/>
        <v>1.6651294936199559</v>
      </c>
      <c r="AD26">
        <f t="shared" si="18"/>
        <v>-405.30472532907885</v>
      </c>
      <c r="AE26">
        <f t="shared" si="19"/>
        <v>-25.789481514484564</v>
      </c>
      <c r="AF26">
        <f t="shared" si="20"/>
        <v>-2.4761754317290783</v>
      </c>
      <c r="AG26">
        <f t="shared" si="21"/>
        <v>-80.23228579718868</v>
      </c>
      <c r="AH26">
        <v>-4.1083561157431898E-2</v>
      </c>
      <c r="AI26">
        <v>4.6119896516848197E-2</v>
      </c>
      <c r="AJ26">
        <v>3.4485646134018002</v>
      </c>
      <c r="AK26">
        <v>0</v>
      </c>
      <c r="AL26">
        <v>0</v>
      </c>
      <c r="AM26">
        <f t="shared" si="22"/>
        <v>1</v>
      </c>
      <c r="AN26">
        <f t="shared" si="23"/>
        <v>0</v>
      </c>
      <c r="AO26">
        <f t="shared" si="24"/>
        <v>52417.247298568043</v>
      </c>
      <c r="AP26" t="s">
        <v>279</v>
      </c>
      <c r="AQ26">
        <v>687.861538461539</v>
      </c>
      <c r="AR26">
        <v>4005.07</v>
      </c>
      <c r="AS26">
        <f t="shared" si="25"/>
        <v>3317.2084615384611</v>
      </c>
      <c r="AT26">
        <f t="shared" si="26"/>
        <v>0.82825230558728336</v>
      </c>
      <c r="AU26">
        <v>-4.0580585712533601</v>
      </c>
      <c r="AV26" t="s">
        <v>331</v>
      </c>
      <c r="AW26">
        <v>835.75923076923095</v>
      </c>
      <c r="AX26">
        <v>1142.67</v>
      </c>
      <c r="AY26">
        <f t="shared" si="27"/>
        <v>0.26859090483759007</v>
      </c>
      <c r="AZ26">
        <v>0.5</v>
      </c>
      <c r="BA26">
        <f t="shared" si="28"/>
        <v>1849.1735347213294</v>
      </c>
      <c r="BB26">
        <f t="shared" si="29"/>
        <v>45.210538488988668</v>
      </c>
      <c r="BC26">
        <f t="shared" si="30"/>
        <v>248.33559644626331</v>
      </c>
      <c r="BD26">
        <f t="shared" si="31"/>
        <v>0.50099328765085283</v>
      </c>
      <c r="BE26">
        <f t="shared" si="32"/>
        <v>2.6643576784515691E-2</v>
      </c>
      <c r="BF26">
        <f t="shared" si="33"/>
        <v>2.5050101954194997</v>
      </c>
      <c r="BG26" t="s">
        <v>332</v>
      </c>
      <c r="BH26">
        <v>570.20000000000005</v>
      </c>
      <c r="BI26">
        <f t="shared" si="34"/>
        <v>572.47</v>
      </c>
      <c r="BJ26">
        <f t="shared" si="35"/>
        <v>0.53611677333444396</v>
      </c>
      <c r="BK26">
        <f t="shared" si="36"/>
        <v>0.8333357594319436</v>
      </c>
      <c r="BL26">
        <f t="shared" si="37"/>
        <v>0.67481323498818646</v>
      </c>
      <c r="BM26">
        <f t="shared" si="38"/>
        <v>0.86289421758934948</v>
      </c>
      <c r="BN26">
        <f t="shared" si="39"/>
        <v>2199.9841935483901</v>
      </c>
      <c r="BO26">
        <f t="shared" si="40"/>
        <v>1849.1735347213294</v>
      </c>
      <c r="BP26">
        <f t="shared" si="41"/>
        <v>0.84053946393986012</v>
      </c>
      <c r="BQ26">
        <f t="shared" si="42"/>
        <v>0.19107892787972</v>
      </c>
      <c r="BR26">
        <v>1562698456.8</v>
      </c>
      <c r="BS26">
        <v>737.55748387096799</v>
      </c>
      <c r="BT26">
        <v>799.93954838709703</v>
      </c>
      <c r="BU26">
        <v>19.3956870967742</v>
      </c>
      <c r="BV26">
        <v>8.5817425806451606</v>
      </c>
      <c r="BW26">
        <v>500.03912903225802</v>
      </c>
      <c r="BX26">
        <v>99.056248387096801</v>
      </c>
      <c r="BY26">
        <v>0.100006487096774</v>
      </c>
      <c r="BZ26">
        <v>26.830632258064501</v>
      </c>
      <c r="CA26">
        <v>27.043590322580599</v>
      </c>
      <c r="CB26">
        <v>999.9</v>
      </c>
      <c r="CC26">
        <v>10001.893548387099</v>
      </c>
      <c r="CD26">
        <v>0</v>
      </c>
      <c r="CE26">
        <v>182.240193548387</v>
      </c>
      <c r="CF26">
        <v>2199.9841935483901</v>
      </c>
      <c r="CG26">
        <v>0.98199938709677403</v>
      </c>
      <c r="CH26">
        <v>1.8000277419354799E-2</v>
      </c>
      <c r="CI26">
        <v>0</v>
      </c>
      <c r="CJ26">
        <v>835.84716129032302</v>
      </c>
      <c r="CK26">
        <v>1.9999499999999999</v>
      </c>
      <c r="CL26">
        <v>19210.293548387101</v>
      </c>
      <c r="CM26">
        <v>17938.129032258101</v>
      </c>
      <c r="CN26">
        <v>48.292000000000002</v>
      </c>
      <c r="CO26">
        <v>49.197161290322597</v>
      </c>
      <c r="CP26">
        <v>48.7093548387097</v>
      </c>
      <c r="CQ26">
        <v>48.330290322580602</v>
      </c>
      <c r="CR26">
        <v>49.433064516129001</v>
      </c>
      <c r="CS26">
        <v>2158.4193548387102</v>
      </c>
      <c r="CT26">
        <v>39.560322580645099</v>
      </c>
      <c r="CU26">
        <v>0</v>
      </c>
      <c r="CV26">
        <v>139.700000047684</v>
      </c>
      <c r="CW26">
        <v>835.75923076923095</v>
      </c>
      <c r="CX26">
        <v>-16.6092991543956</v>
      </c>
      <c r="CY26">
        <v>-398.06153871020399</v>
      </c>
      <c r="CZ26">
        <v>19207.9576923077</v>
      </c>
      <c r="DA26">
        <v>15</v>
      </c>
      <c r="DB26">
        <v>1562698404.3</v>
      </c>
      <c r="DC26" t="s">
        <v>333</v>
      </c>
      <c r="DD26">
        <v>74</v>
      </c>
      <c r="DE26">
        <v>0.82899999999999996</v>
      </c>
      <c r="DF26">
        <v>1.2E-2</v>
      </c>
      <c r="DG26">
        <v>800</v>
      </c>
      <c r="DH26">
        <v>7</v>
      </c>
      <c r="DI26">
        <v>0.03</v>
      </c>
      <c r="DJ26">
        <v>0.01</v>
      </c>
      <c r="DK26">
        <v>45.410760896871899</v>
      </c>
      <c r="DL26">
        <v>-1.07924992758397</v>
      </c>
      <c r="DM26">
        <v>0.21193085496378999</v>
      </c>
      <c r="DN26">
        <v>0</v>
      </c>
      <c r="DO26">
        <v>737.23408333333305</v>
      </c>
      <c r="DP26">
        <v>1.90863592513951</v>
      </c>
      <c r="DQ26">
        <v>0.332950144332614</v>
      </c>
      <c r="DR26">
        <v>1</v>
      </c>
      <c r="DS26">
        <v>0.62980716093692302</v>
      </c>
      <c r="DT26">
        <v>-9.1478844491556896E-2</v>
      </c>
      <c r="DU26">
        <v>1.71133268664725E-2</v>
      </c>
      <c r="DV26">
        <v>1</v>
      </c>
      <c r="DW26">
        <v>2</v>
      </c>
      <c r="DX26">
        <v>3</v>
      </c>
      <c r="DY26" t="s">
        <v>293</v>
      </c>
      <c r="DZ26">
        <v>1.86663</v>
      </c>
      <c r="EA26">
        <v>1.86311</v>
      </c>
      <c r="EB26">
        <v>1.8687499999999999</v>
      </c>
      <c r="EC26">
        <v>1.8667400000000001</v>
      </c>
      <c r="ED26">
        <v>1.87141</v>
      </c>
      <c r="EE26">
        <v>1.8638600000000001</v>
      </c>
      <c r="EF26">
        <v>1.86538</v>
      </c>
      <c r="EG26">
        <v>1.8653299999999999</v>
      </c>
      <c r="EH26" t="s">
        <v>284</v>
      </c>
      <c r="EI26" t="s">
        <v>19</v>
      </c>
      <c r="EJ26" t="s">
        <v>19</v>
      </c>
      <c r="EK26" t="s">
        <v>19</v>
      </c>
      <c r="EL26" t="s">
        <v>285</v>
      </c>
      <c r="EM26" t="s">
        <v>286</v>
      </c>
      <c r="EN26" t="s">
        <v>287</v>
      </c>
      <c r="EO26" t="s">
        <v>287</v>
      </c>
      <c r="EP26" t="s">
        <v>287</v>
      </c>
      <c r="EQ26" t="s">
        <v>287</v>
      </c>
      <c r="ER26">
        <v>0</v>
      </c>
      <c r="ES26">
        <v>100</v>
      </c>
      <c r="ET26">
        <v>100</v>
      </c>
      <c r="EU26">
        <v>0.82899999999999996</v>
      </c>
      <c r="EV26">
        <v>1.2E-2</v>
      </c>
      <c r="EW26">
        <v>2</v>
      </c>
      <c r="EX26">
        <v>499.98399999999998</v>
      </c>
      <c r="EY26">
        <v>475.00200000000001</v>
      </c>
      <c r="EZ26">
        <v>20.546800000000001</v>
      </c>
      <c r="FA26">
        <v>34.637900000000002</v>
      </c>
      <c r="FB26">
        <v>30.001999999999999</v>
      </c>
      <c r="FC26">
        <v>34.594700000000003</v>
      </c>
      <c r="FD26">
        <v>34.578600000000002</v>
      </c>
      <c r="FE26">
        <v>38.708100000000002</v>
      </c>
      <c r="FF26">
        <v>74.743799999999993</v>
      </c>
      <c r="FG26">
        <v>0</v>
      </c>
      <c r="FH26">
        <v>20.450800000000001</v>
      </c>
      <c r="FI26">
        <v>800</v>
      </c>
      <c r="FJ26">
        <v>8.9027399999999997</v>
      </c>
      <c r="FK26">
        <v>100.506</v>
      </c>
      <c r="FL26">
        <v>101.023</v>
      </c>
    </row>
    <row r="27" spans="1:168" x14ac:dyDescent="0.35">
      <c r="A27">
        <v>12</v>
      </c>
      <c r="B27">
        <v>1562698605.3</v>
      </c>
      <c r="C27">
        <v>1552.5999999046301</v>
      </c>
      <c r="D27" t="s">
        <v>334</v>
      </c>
      <c r="E27" t="s">
        <v>335</v>
      </c>
      <c r="F27" t="s">
        <v>277</v>
      </c>
      <c r="G27" t="s">
        <v>278</v>
      </c>
      <c r="H27" t="s">
        <v>277</v>
      </c>
      <c r="J27" t="s">
        <v>277</v>
      </c>
      <c r="K27">
        <v>1562698597.3</v>
      </c>
      <c r="L27">
        <f t="shared" si="0"/>
        <v>6.5761295532276451E-3</v>
      </c>
      <c r="M27">
        <f t="shared" si="1"/>
        <v>46.194091143922002</v>
      </c>
      <c r="N27">
        <f t="shared" si="2"/>
        <v>937.1213988241409</v>
      </c>
      <c r="O27">
        <f t="shared" si="3"/>
        <v>718.59249785213012</v>
      </c>
      <c r="P27">
        <f t="shared" si="4"/>
        <v>71.248365580003181</v>
      </c>
      <c r="Q27">
        <f t="shared" si="5"/>
        <v>92.915481605829058</v>
      </c>
      <c r="R27">
        <f t="shared" si="6"/>
        <v>0.41075721633568218</v>
      </c>
      <c r="S27">
        <f t="shared" si="7"/>
        <v>2.2459301399478462</v>
      </c>
      <c r="T27">
        <f t="shared" si="8"/>
        <v>0.37313020138465652</v>
      </c>
      <c r="U27">
        <f t="shared" si="9"/>
        <v>0.23629911402129422</v>
      </c>
      <c r="V27">
        <f t="shared" si="10"/>
        <v>353.34344908932752</v>
      </c>
      <c r="W27">
        <f t="shared" si="11"/>
        <v>26.752618529111427</v>
      </c>
      <c r="X27">
        <f t="shared" si="12"/>
        <v>26.997793548387101</v>
      </c>
      <c r="Y27">
        <f t="shared" si="13"/>
        <v>3.5786958944000697</v>
      </c>
      <c r="Z27">
        <f t="shared" si="14"/>
        <v>54.798401751825942</v>
      </c>
      <c r="AA27">
        <f t="shared" si="15"/>
        <v>1.8793531810609208</v>
      </c>
      <c r="AB27">
        <f t="shared" si="16"/>
        <v>3.4295766317642626</v>
      </c>
      <c r="AC27">
        <f t="shared" si="17"/>
        <v>1.699342713339149</v>
      </c>
      <c r="AD27">
        <f t="shared" si="18"/>
        <v>-290.00731329733912</v>
      </c>
      <c r="AE27">
        <f t="shared" si="19"/>
        <v>-87.506775277900502</v>
      </c>
      <c r="AF27">
        <f t="shared" si="20"/>
        <v>-8.3780157036489733</v>
      </c>
      <c r="AG27">
        <f t="shared" si="21"/>
        <v>-32.548655189561103</v>
      </c>
      <c r="AH27">
        <v>-4.10742702760548E-2</v>
      </c>
      <c r="AI27">
        <v>4.6109466688576503E-2</v>
      </c>
      <c r="AJ27">
        <v>3.4479470697543602</v>
      </c>
      <c r="AK27">
        <v>1</v>
      </c>
      <c r="AL27">
        <v>0</v>
      </c>
      <c r="AM27">
        <f t="shared" si="22"/>
        <v>1.0000380944974325</v>
      </c>
      <c r="AN27">
        <f t="shared" si="23"/>
        <v>3.8094497432528129E-3</v>
      </c>
      <c r="AO27">
        <f t="shared" si="24"/>
        <v>52503.020745754329</v>
      </c>
      <c r="AP27" t="s">
        <v>279</v>
      </c>
      <c r="AQ27">
        <v>687.861538461539</v>
      </c>
      <c r="AR27">
        <v>4005.07</v>
      </c>
      <c r="AS27">
        <f t="shared" si="25"/>
        <v>3317.2084615384611</v>
      </c>
      <c r="AT27">
        <f t="shared" si="26"/>
        <v>0.82825230558728336</v>
      </c>
      <c r="AU27">
        <v>-4.0580585712533601</v>
      </c>
      <c r="AV27" t="s">
        <v>336</v>
      </c>
      <c r="AW27">
        <v>818.18707692307703</v>
      </c>
      <c r="AX27">
        <v>1107.73</v>
      </c>
      <c r="AY27">
        <f t="shared" si="27"/>
        <v>0.26138402234923941</v>
      </c>
      <c r="AZ27">
        <v>0.5</v>
      </c>
      <c r="BA27">
        <f t="shared" si="28"/>
        <v>1849.2014709947164</v>
      </c>
      <c r="BB27">
        <f t="shared" si="29"/>
        <v>46.194091143922002</v>
      </c>
      <c r="BC27">
        <f t="shared" si="30"/>
        <v>241.67585931136466</v>
      </c>
      <c r="BD27">
        <f t="shared" si="31"/>
        <v>0.4969893385572296</v>
      </c>
      <c r="BE27">
        <f t="shared" si="32"/>
        <v>2.7175053937278069E-2</v>
      </c>
      <c r="BF27">
        <f t="shared" si="33"/>
        <v>2.6155651647964757</v>
      </c>
      <c r="BG27" t="s">
        <v>337</v>
      </c>
      <c r="BH27">
        <v>557.20000000000005</v>
      </c>
      <c r="BI27">
        <f t="shared" si="34"/>
        <v>550.53</v>
      </c>
      <c r="BJ27">
        <f t="shared" si="35"/>
        <v>0.52593486835762449</v>
      </c>
      <c r="BK27">
        <f t="shared" si="36"/>
        <v>0.84032750654752075</v>
      </c>
      <c r="BL27">
        <f t="shared" si="37"/>
        <v>0.68960388693162211</v>
      </c>
      <c r="BM27">
        <f t="shared" si="38"/>
        <v>0.87342717034318262</v>
      </c>
      <c r="BN27">
        <f t="shared" si="39"/>
        <v>2200.0174193548401</v>
      </c>
      <c r="BO27">
        <f t="shared" si="40"/>
        <v>1849.2014709947164</v>
      </c>
      <c r="BP27">
        <f t="shared" si="41"/>
        <v>0.84053946788157652</v>
      </c>
      <c r="BQ27">
        <f t="shared" si="42"/>
        <v>0.19107893576315305</v>
      </c>
      <c r="BR27">
        <v>1562698597.3</v>
      </c>
      <c r="BS27">
        <v>937.121451612903</v>
      </c>
      <c r="BT27">
        <v>999.94335483870998</v>
      </c>
      <c r="BU27">
        <v>18.954667741935499</v>
      </c>
      <c r="BV27">
        <v>11.2136903225806</v>
      </c>
      <c r="BW27">
        <v>500.03225806451599</v>
      </c>
      <c r="BX27">
        <v>99.049883870967705</v>
      </c>
      <c r="BY27">
        <v>0.100003990322581</v>
      </c>
      <c r="BZ27">
        <v>26.275090322580599</v>
      </c>
      <c r="CA27">
        <v>26.997793548387101</v>
      </c>
      <c r="CB27">
        <v>999.9</v>
      </c>
      <c r="CC27">
        <v>10000.274193548399</v>
      </c>
      <c r="CD27">
        <v>0</v>
      </c>
      <c r="CE27">
        <v>200.06393548387101</v>
      </c>
      <c r="CF27">
        <v>2200.0174193548401</v>
      </c>
      <c r="CG27">
        <v>0.98200083870967803</v>
      </c>
      <c r="CH27">
        <v>1.79990677419355E-2</v>
      </c>
      <c r="CI27">
        <v>0</v>
      </c>
      <c r="CJ27">
        <v>818.22435483871004</v>
      </c>
      <c r="CK27">
        <v>1.9999499999999999</v>
      </c>
      <c r="CL27">
        <v>18822.025806451598</v>
      </c>
      <c r="CM27">
        <v>17938.4096774194</v>
      </c>
      <c r="CN27">
        <v>48.253935483870997</v>
      </c>
      <c r="CO27">
        <v>49.186999999999998</v>
      </c>
      <c r="CP27">
        <v>48.7296774193548</v>
      </c>
      <c r="CQ27">
        <v>48.191064516129003</v>
      </c>
      <c r="CR27">
        <v>49.415064516129</v>
      </c>
      <c r="CS27">
        <v>2158.4561290322599</v>
      </c>
      <c r="CT27">
        <v>39.561290322580597</v>
      </c>
      <c r="CU27">
        <v>0</v>
      </c>
      <c r="CV27">
        <v>139.69999980926499</v>
      </c>
      <c r="CW27">
        <v>818.18707692307703</v>
      </c>
      <c r="CX27">
        <v>-6.26331622960448</v>
      </c>
      <c r="CY27">
        <v>-190.690598294062</v>
      </c>
      <c r="CZ27">
        <v>18821.196153846198</v>
      </c>
      <c r="DA27">
        <v>15</v>
      </c>
      <c r="DB27">
        <v>1562698640.8</v>
      </c>
      <c r="DC27" t="s">
        <v>338</v>
      </c>
      <c r="DD27">
        <v>75</v>
      </c>
      <c r="DE27">
        <v>1.026</v>
      </c>
      <c r="DF27">
        <v>5.5E-2</v>
      </c>
      <c r="DG27">
        <v>1000</v>
      </c>
      <c r="DH27">
        <v>11</v>
      </c>
      <c r="DI27">
        <v>0.03</v>
      </c>
      <c r="DJ27">
        <v>0.01</v>
      </c>
      <c r="DK27">
        <v>46.579760127689099</v>
      </c>
      <c r="DL27">
        <v>-0.89750510117260296</v>
      </c>
      <c r="DM27">
        <v>0.18313098938421901</v>
      </c>
      <c r="DN27">
        <v>0</v>
      </c>
      <c r="DO27">
        <v>936.53990277777802</v>
      </c>
      <c r="DP27">
        <v>2.1850607756125</v>
      </c>
      <c r="DQ27">
        <v>0.38030288220641201</v>
      </c>
      <c r="DR27">
        <v>1</v>
      </c>
      <c r="DS27">
        <v>0.42180701170017298</v>
      </c>
      <c r="DT27">
        <v>-7.29007225341302E-2</v>
      </c>
      <c r="DU27">
        <v>1.3565267846474599E-2</v>
      </c>
      <c r="DV27">
        <v>1</v>
      </c>
      <c r="DW27">
        <v>2</v>
      </c>
      <c r="DX27">
        <v>3</v>
      </c>
      <c r="DY27" t="s">
        <v>293</v>
      </c>
      <c r="DZ27">
        <v>1.8665799999999999</v>
      </c>
      <c r="EA27">
        <v>1.8631</v>
      </c>
      <c r="EB27">
        <v>1.86869</v>
      </c>
      <c r="EC27">
        <v>1.86663</v>
      </c>
      <c r="ED27">
        <v>1.87134</v>
      </c>
      <c r="EE27">
        <v>1.86375</v>
      </c>
      <c r="EF27">
        <v>1.86527</v>
      </c>
      <c r="EG27">
        <v>1.8652299999999999</v>
      </c>
      <c r="EH27" t="s">
        <v>284</v>
      </c>
      <c r="EI27" t="s">
        <v>19</v>
      </c>
      <c r="EJ27" t="s">
        <v>19</v>
      </c>
      <c r="EK27" t="s">
        <v>19</v>
      </c>
      <c r="EL27" t="s">
        <v>285</v>
      </c>
      <c r="EM27" t="s">
        <v>286</v>
      </c>
      <c r="EN27" t="s">
        <v>287</v>
      </c>
      <c r="EO27" t="s">
        <v>287</v>
      </c>
      <c r="EP27" t="s">
        <v>287</v>
      </c>
      <c r="EQ27" t="s">
        <v>287</v>
      </c>
      <c r="ER27">
        <v>0</v>
      </c>
      <c r="ES27">
        <v>100</v>
      </c>
      <c r="ET27">
        <v>100</v>
      </c>
      <c r="EU27">
        <v>1.026</v>
      </c>
      <c r="EV27">
        <v>5.5E-2</v>
      </c>
      <c r="EW27">
        <v>2</v>
      </c>
      <c r="EX27">
        <v>498.95400000000001</v>
      </c>
      <c r="EY27">
        <v>477.02699999999999</v>
      </c>
      <c r="EZ27">
        <v>18.312100000000001</v>
      </c>
      <c r="FA27">
        <v>34.623899999999999</v>
      </c>
      <c r="FB27">
        <v>30.000399999999999</v>
      </c>
      <c r="FC27">
        <v>34.556899999999999</v>
      </c>
      <c r="FD27">
        <v>34.545900000000003</v>
      </c>
      <c r="FE27">
        <v>46.412999999999997</v>
      </c>
      <c r="FF27">
        <v>67.950599999999994</v>
      </c>
      <c r="FG27">
        <v>0</v>
      </c>
      <c r="FH27">
        <v>19.628900000000002</v>
      </c>
      <c r="FI27">
        <v>1000</v>
      </c>
      <c r="FJ27">
        <v>11.3584</v>
      </c>
      <c r="FK27">
        <v>100.509</v>
      </c>
      <c r="FL27">
        <v>101.026</v>
      </c>
    </row>
    <row r="28" spans="1:168" x14ac:dyDescent="0.35">
      <c r="A28">
        <v>13</v>
      </c>
      <c r="B28">
        <v>1562698782.3</v>
      </c>
      <c r="C28">
        <v>1729.5999999046301</v>
      </c>
      <c r="D28" t="s">
        <v>339</v>
      </c>
      <c r="E28" t="s">
        <v>340</v>
      </c>
      <c r="F28" t="s">
        <v>277</v>
      </c>
      <c r="G28" t="s">
        <v>278</v>
      </c>
      <c r="H28" t="s">
        <v>277</v>
      </c>
      <c r="J28" t="s">
        <v>277</v>
      </c>
      <c r="K28">
        <v>1562698774.3</v>
      </c>
      <c r="L28">
        <f t="shared" si="0"/>
        <v>4.8527372435920816E-3</v>
      </c>
      <c r="M28">
        <f t="shared" si="1"/>
        <v>46.572891845886993</v>
      </c>
      <c r="N28">
        <f t="shared" si="2"/>
        <v>1137.4602048907693</v>
      </c>
      <c r="O28">
        <f t="shared" si="3"/>
        <v>834.59169832791815</v>
      </c>
      <c r="P28">
        <f t="shared" si="4"/>
        <v>82.753842965069694</v>
      </c>
      <c r="Q28">
        <f t="shared" si="5"/>
        <v>112.78473457516054</v>
      </c>
      <c r="R28">
        <f t="shared" si="6"/>
        <v>0.28777575902547298</v>
      </c>
      <c r="S28">
        <f t="shared" si="7"/>
        <v>2.2457319413445038</v>
      </c>
      <c r="T28">
        <f t="shared" si="8"/>
        <v>0.26874657141680003</v>
      </c>
      <c r="U28">
        <f t="shared" si="9"/>
        <v>0.16957133406590175</v>
      </c>
      <c r="V28">
        <f t="shared" si="10"/>
        <v>353.34574486812841</v>
      </c>
      <c r="W28">
        <f t="shared" si="11"/>
        <v>26.966431929108925</v>
      </c>
      <c r="X28">
        <f t="shared" si="12"/>
        <v>27.001412903225798</v>
      </c>
      <c r="Y28">
        <f t="shared" si="13"/>
        <v>3.579456714030592</v>
      </c>
      <c r="Z28">
        <f t="shared" si="14"/>
        <v>54.742579144184909</v>
      </c>
      <c r="AA28">
        <f t="shared" si="15"/>
        <v>1.8379349282693676</v>
      </c>
      <c r="AB28">
        <f t="shared" si="16"/>
        <v>3.3574138394694257</v>
      </c>
      <c r="AC28">
        <f t="shared" si="17"/>
        <v>1.7415217857612244</v>
      </c>
      <c r="AD28">
        <f t="shared" si="18"/>
        <v>-214.00571244241081</v>
      </c>
      <c r="AE28">
        <f t="shared" si="19"/>
        <v>-131.47939720382882</v>
      </c>
      <c r="AF28">
        <f t="shared" si="20"/>
        <v>-12.56672361916203</v>
      </c>
      <c r="AG28">
        <f t="shared" si="21"/>
        <v>-4.7060883972732483</v>
      </c>
      <c r="AH28">
        <v>-4.1068943400845603E-2</v>
      </c>
      <c r="AI28">
        <v>4.6103486804494297E-2</v>
      </c>
      <c r="AJ28">
        <v>3.4475929829479801</v>
      </c>
      <c r="AK28">
        <v>2</v>
      </c>
      <c r="AL28">
        <v>0</v>
      </c>
      <c r="AM28">
        <f t="shared" si="22"/>
        <v>1.0000761096427075</v>
      </c>
      <c r="AN28">
        <f t="shared" si="23"/>
        <v>7.6109642707544722E-3</v>
      </c>
      <c r="AO28">
        <f t="shared" si="24"/>
        <v>52559.758478178563</v>
      </c>
      <c r="AP28" t="s">
        <v>279</v>
      </c>
      <c r="AQ28">
        <v>687.861538461539</v>
      </c>
      <c r="AR28">
        <v>4005.07</v>
      </c>
      <c r="AS28">
        <f t="shared" si="25"/>
        <v>3317.2084615384611</v>
      </c>
      <c r="AT28">
        <f t="shared" si="26"/>
        <v>0.82825230558728336</v>
      </c>
      <c r="AU28">
        <v>-4.0580585712533601</v>
      </c>
      <c r="AV28" t="s">
        <v>341</v>
      </c>
      <c r="AW28">
        <v>806.233846153846</v>
      </c>
      <c r="AX28">
        <v>1097.25</v>
      </c>
      <c r="AY28">
        <f t="shared" si="27"/>
        <v>0.26522319785477699</v>
      </c>
      <c r="AZ28">
        <v>0.5</v>
      </c>
      <c r="BA28">
        <f t="shared" si="28"/>
        <v>1849.2138968011695</v>
      </c>
      <c r="BB28">
        <f t="shared" si="29"/>
        <v>46.572891845886993</v>
      </c>
      <c r="BC28">
        <f t="shared" si="30"/>
        <v>245.22721161354988</v>
      </c>
      <c r="BD28">
        <f t="shared" si="31"/>
        <v>0.48981544771018459</v>
      </c>
      <c r="BE28">
        <f t="shared" si="32"/>
        <v>2.7379715513020653E-2</v>
      </c>
      <c r="BF28">
        <f t="shared" si="33"/>
        <v>2.6500979722032354</v>
      </c>
      <c r="BG28" t="s">
        <v>342</v>
      </c>
      <c r="BH28">
        <v>559.79999999999995</v>
      </c>
      <c r="BI28">
        <f t="shared" si="34"/>
        <v>537.45000000000005</v>
      </c>
      <c r="BJ28">
        <f t="shared" si="35"/>
        <v>0.54147577234376032</v>
      </c>
      <c r="BK28">
        <f t="shared" si="36"/>
        <v>0.84400351786652417</v>
      </c>
      <c r="BL28">
        <f t="shared" si="37"/>
        <v>0.71085577925799404</v>
      </c>
      <c r="BM28">
        <f t="shared" si="38"/>
        <v>0.87658645325274676</v>
      </c>
      <c r="BN28">
        <f t="shared" si="39"/>
        <v>2200.0322580645202</v>
      </c>
      <c r="BO28">
        <f t="shared" si="40"/>
        <v>1849.2138968011695</v>
      </c>
      <c r="BP28">
        <f t="shared" si="41"/>
        <v>0.84053944664793989</v>
      </c>
      <c r="BQ28">
        <f t="shared" si="42"/>
        <v>0.19107889329587963</v>
      </c>
      <c r="BR28">
        <v>1562698774.3</v>
      </c>
      <c r="BS28">
        <v>1137.4602580645201</v>
      </c>
      <c r="BT28">
        <v>1199.96129032258</v>
      </c>
      <c r="BU28">
        <v>18.536000000000001</v>
      </c>
      <c r="BV28">
        <v>12.8216419354839</v>
      </c>
      <c r="BW28">
        <v>500.04751612903198</v>
      </c>
      <c r="BX28">
        <v>99.054851612903207</v>
      </c>
      <c r="BY28">
        <v>0.100032303225806</v>
      </c>
      <c r="BZ28">
        <v>25.915451612903201</v>
      </c>
      <c r="CA28">
        <v>27.001412903225798</v>
      </c>
      <c r="CB28">
        <v>999.9</v>
      </c>
      <c r="CC28">
        <v>9998.47580645161</v>
      </c>
      <c r="CD28">
        <v>0</v>
      </c>
      <c r="CE28">
        <v>185.97483870967699</v>
      </c>
      <c r="CF28">
        <v>2200.0322580645202</v>
      </c>
      <c r="CG28">
        <v>0.98200277419354898</v>
      </c>
      <c r="CH28">
        <v>1.7997132258064499E-2</v>
      </c>
      <c r="CI28">
        <v>0</v>
      </c>
      <c r="CJ28">
        <v>806.287709677419</v>
      </c>
      <c r="CK28">
        <v>1.9999499999999999</v>
      </c>
      <c r="CL28">
        <v>18550.274193548401</v>
      </c>
      <c r="CM28">
        <v>17938.525806451598</v>
      </c>
      <c r="CN28">
        <v>48.374935483870999</v>
      </c>
      <c r="CO28">
        <v>49.378999999999998</v>
      </c>
      <c r="CP28">
        <v>48.811999999999998</v>
      </c>
      <c r="CQ28">
        <v>48.429000000000002</v>
      </c>
      <c r="CR28">
        <v>49.420999999999999</v>
      </c>
      <c r="CS28">
        <v>2158.4722580645198</v>
      </c>
      <c r="CT28">
        <v>39.56</v>
      </c>
      <c r="CU28">
        <v>0</v>
      </c>
      <c r="CV28">
        <v>176.5</v>
      </c>
      <c r="CW28">
        <v>806.233846153846</v>
      </c>
      <c r="CX28">
        <v>-5.2795213708872204</v>
      </c>
      <c r="CY28">
        <v>-144.07863234365999</v>
      </c>
      <c r="CZ28">
        <v>18548.396153846199</v>
      </c>
      <c r="DA28">
        <v>15</v>
      </c>
      <c r="DB28">
        <v>1562698821.8</v>
      </c>
      <c r="DC28" t="s">
        <v>343</v>
      </c>
      <c r="DD28">
        <v>76</v>
      </c>
      <c r="DE28">
        <v>1.024</v>
      </c>
      <c r="DF28">
        <v>7.4999999999999997E-2</v>
      </c>
      <c r="DG28">
        <v>1200</v>
      </c>
      <c r="DH28">
        <v>13</v>
      </c>
      <c r="DI28">
        <v>0.04</v>
      </c>
      <c r="DJ28">
        <v>0.02</v>
      </c>
      <c r="DK28">
        <v>46.796532717224601</v>
      </c>
      <c r="DL28">
        <v>-1.2148948437862399</v>
      </c>
      <c r="DM28">
        <v>0.25803323491184599</v>
      </c>
      <c r="DN28">
        <v>0</v>
      </c>
      <c r="DO28">
        <v>1137.1681944444399</v>
      </c>
      <c r="DP28">
        <v>1.83293459386435</v>
      </c>
      <c r="DQ28">
        <v>0.32737731539585901</v>
      </c>
      <c r="DR28">
        <v>1</v>
      </c>
      <c r="DS28">
        <v>0.29161455483059301</v>
      </c>
      <c r="DT28">
        <v>-2.4280221393027698E-2</v>
      </c>
      <c r="DU28">
        <v>5.0145519460687701E-3</v>
      </c>
      <c r="DV28">
        <v>1</v>
      </c>
      <c r="DW28">
        <v>2</v>
      </c>
      <c r="DX28">
        <v>3</v>
      </c>
      <c r="DY28" t="s">
        <v>293</v>
      </c>
      <c r="DZ28">
        <v>1.8666100000000001</v>
      </c>
      <c r="EA28">
        <v>1.8631</v>
      </c>
      <c r="EB28">
        <v>1.86873</v>
      </c>
      <c r="EC28">
        <v>1.8666499999999999</v>
      </c>
      <c r="ED28">
        <v>1.87134</v>
      </c>
      <c r="EE28">
        <v>1.8638300000000001</v>
      </c>
      <c r="EF28">
        <v>1.8653200000000001</v>
      </c>
      <c r="EG28">
        <v>1.8652299999999999</v>
      </c>
      <c r="EH28" t="s">
        <v>284</v>
      </c>
      <c r="EI28" t="s">
        <v>19</v>
      </c>
      <c r="EJ28" t="s">
        <v>19</v>
      </c>
      <c r="EK28" t="s">
        <v>19</v>
      </c>
      <c r="EL28" t="s">
        <v>285</v>
      </c>
      <c r="EM28" t="s">
        <v>286</v>
      </c>
      <c r="EN28" t="s">
        <v>287</v>
      </c>
      <c r="EO28" t="s">
        <v>287</v>
      </c>
      <c r="EP28" t="s">
        <v>287</v>
      </c>
      <c r="EQ28" t="s">
        <v>287</v>
      </c>
      <c r="ER28">
        <v>0</v>
      </c>
      <c r="ES28">
        <v>100</v>
      </c>
      <c r="ET28">
        <v>100</v>
      </c>
      <c r="EU28">
        <v>1.024</v>
      </c>
      <c r="EV28">
        <v>7.4999999999999997E-2</v>
      </c>
      <c r="EW28">
        <v>2</v>
      </c>
      <c r="EX28">
        <v>497.54399999999998</v>
      </c>
      <c r="EY28">
        <v>477.274</v>
      </c>
      <c r="EZ28">
        <v>18.6904</v>
      </c>
      <c r="FA28">
        <v>34.846899999999998</v>
      </c>
      <c r="FB28">
        <v>30.001200000000001</v>
      </c>
      <c r="FC28">
        <v>34.681199999999997</v>
      </c>
      <c r="FD28">
        <v>34.659700000000001</v>
      </c>
      <c r="FE28">
        <v>53.799900000000001</v>
      </c>
      <c r="FF28">
        <v>63.856400000000001</v>
      </c>
      <c r="FG28">
        <v>0</v>
      </c>
      <c r="FH28">
        <v>18.664100000000001</v>
      </c>
      <c r="FI28">
        <v>1200</v>
      </c>
      <c r="FJ28">
        <v>13.007899999999999</v>
      </c>
      <c r="FK28">
        <v>100.477</v>
      </c>
      <c r="FL28">
        <v>100.98099999999999</v>
      </c>
    </row>
  </sheetData>
  <sortState xmlns:xlrd2="http://schemas.microsoft.com/office/spreadsheetml/2017/richdata2" ref="M33:P45">
    <sortCondition ref="M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2019-07-09T14:01:08Z</dcterms:created>
  <dcterms:modified xsi:type="dcterms:W3CDTF">2019-08-28T03:02:03Z</dcterms:modified>
</cp:coreProperties>
</file>