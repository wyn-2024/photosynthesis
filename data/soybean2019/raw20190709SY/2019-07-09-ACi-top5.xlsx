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20190803_De Kauwe\A-Ci\raw\"/>
    </mc:Choice>
  </mc:AlternateContent>
  <xr:revisionPtr revIDLastSave="0" documentId="13_ncr:1_{4E48223A-65CD-4712-B00D-7417DBCF6231}" xr6:coauthVersionLast="41" xr6:coauthVersionMax="41" xr10:uidLastSave="{00000000-0000-0000-0000-000000000000}"/>
  <bookViews>
    <workbookView xWindow="-110" yWindow="-110" windowWidth="19420" windowHeight="104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Q28" i="1" l="1"/>
  <c r="BP28" i="1"/>
  <c r="BN28" i="1"/>
  <c r="BO28" i="1" s="1"/>
  <c r="BM28" i="1"/>
  <c r="BL28" i="1"/>
  <c r="BK28" i="1"/>
  <c r="BJ28" i="1"/>
  <c r="BI28" i="1"/>
  <c r="BD28" i="1" s="1"/>
  <c r="BF28" i="1"/>
  <c r="AY28" i="1"/>
  <c r="AS28" i="1"/>
  <c r="AT28" i="1" s="1"/>
  <c r="AO28" i="1"/>
  <c r="AM28" i="1" s="1"/>
  <c r="AN28" i="1" s="1"/>
  <c r="AB28" i="1"/>
  <c r="AA28" i="1"/>
  <c r="S28" i="1"/>
  <c r="BQ27" i="1"/>
  <c r="BP27" i="1"/>
  <c r="BN27" i="1"/>
  <c r="BM27" i="1"/>
  <c r="BL27" i="1"/>
  <c r="BK27" i="1"/>
  <c r="BJ27" i="1"/>
  <c r="BI27" i="1"/>
  <c r="BD27" i="1" s="1"/>
  <c r="BF27" i="1"/>
  <c r="AY27" i="1"/>
  <c r="AS27" i="1"/>
  <c r="AT27" i="1" s="1"/>
  <c r="AO27" i="1"/>
  <c r="AM27" i="1" s="1"/>
  <c r="AB27" i="1"/>
  <c r="AA27" i="1"/>
  <c r="Z27" i="1"/>
  <c r="S27" i="1"/>
  <c r="BQ26" i="1"/>
  <c r="BP26" i="1"/>
  <c r="BN26" i="1"/>
  <c r="BM26" i="1"/>
  <c r="BL26" i="1"/>
  <c r="BK26" i="1"/>
  <c r="BJ26" i="1"/>
  <c r="BI26" i="1"/>
  <c r="BD26" i="1" s="1"/>
  <c r="BF26" i="1"/>
  <c r="AY26" i="1"/>
  <c r="AS26" i="1"/>
  <c r="AT26" i="1" s="1"/>
  <c r="AO26" i="1"/>
  <c r="AM26" i="1" s="1"/>
  <c r="M26" i="1" s="1"/>
  <c r="BB26" i="1" s="1"/>
  <c r="AB26" i="1"/>
  <c r="AA26" i="1"/>
  <c r="S26" i="1"/>
  <c r="BQ25" i="1"/>
  <c r="BP25" i="1"/>
  <c r="BN25" i="1"/>
  <c r="BM25" i="1"/>
  <c r="BL25" i="1"/>
  <c r="BK25" i="1"/>
  <c r="BJ25" i="1"/>
  <c r="BI25" i="1"/>
  <c r="BD25" i="1" s="1"/>
  <c r="BF25" i="1"/>
  <c r="AY25" i="1"/>
  <c r="AS25" i="1"/>
  <c r="AT25" i="1" s="1"/>
  <c r="AO25" i="1"/>
  <c r="AM25" i="1" s="1"/>
  <c r="L25" i="1" s="1"/>
  <c r="AD25" i="1" s="1"/>
  <c r="AB25" i="1"/>
  <c r="AA25" i="1"/>
  <c r="S25" i="1"/>
  <c r="BQ24" i="1"/>
  <c r="BP24" i="1"/>
  <c r="BN24" i="1"/>
  <c r="BO24" i="1" s="1"/>
  <c r="BM24" i="1"/>
  <c r="BL24" i="1"/>
  <c r="BK24" i="1"/>
  <c r="BJ24" i="1"/>
  <c r="BI24" i="1"/>
  <c r="BD24" i="1" s="1"/>
  <c r="BF24" i="1"/>
  <c r="AY24" i="1"/>
  <c r="AS24" i="1"/>
  <c r="AT24" i="1" s="1"/>
  <c r="AO24" i="1"/>
  <c r="AM24" i="1" s="1"/>
  <c r="AB24" i="1"/>
  <c r="AA24" i="1"/>
  <c r="Z24" i="1" s="1"/>
  <c r="S24" i="1"/>
  <c r="BQ23" i="1"/>
  <c r="BP23" i="1"/>
  <c r="BN23" i="1"/>
  <c r="BO23" i="1" s="1"/>
  <c r="BA23" i="1" s="1"/>
  <c r="BC23" i="1" s="1"/>
  <c r="BM23" i="1"/>
  <c r="BL23" i="1"/>
  <c r="BK23" i="1"/>
  <c r="BJ23" i="1"/>
  <c r="BI23" i="1"/>
  <c r="BD23" i="1" s="1"/>
  <c r="BF23" i="1"/>
  <c r="AY23" i="1"/>
  <c r="AS23" i="1"/>
  <c r="AT23" i="1" s="1"/>
  <c r="AO23" i="1"/>
  <c r="AM23" i="1" s="1"/>
  <c r="N23" i="1" s="1"/>
  <c r="AB23" i="1"/>
  <c r="AA23" i="1"/>
  <c r="S23" i="1"/>
  <c r="BQ22" i="1"/>
  <c r="BP22" i="1"/>
  <c r="BO22" i="1" s="1"/>
  <c r="V22" i="1" s="1"/>
  <c r="BN22" i="1"/>
  <c r="BM22" i="1"/>
  <c r="BL22" i="1"/>
  <c r="BK22" i="1"/>
  <c r="BJ22" i="1"/>
  <c r="BI22" i="1"/>
  <c r="BD22" i="1" s="1"/>
  <c r="BF22" i="1"/>
  <c r="AY22" i="1"/>
  <c r="AS22" i="1"/>
  <c r="AT22" i="1" s="1"/>
  <c r="AO22" i="1"/>
  <c r="AM22" i="1" s="1"/>
  <c r="L22" i="1" s="1"/>
  <c r="AD22" i="1" s="1"/>
  <c r="AB22" i="1"/>
  <c r="AA22" i="1"/>
  <c r="S22" i="1"/>
  <c r="BQ21" i="1"/>
  <c r="BP21" i="1"/>
  <c r="BN21" i="1"/>
  <c r="BM21" i="1"/>
  <c r="BL21" i="1"/>
  <c r="BK21" i="1"/>
  <c r="BJ21" i="1"/>
  <c r="BI21" i="1"/>
  <c r="BD21" i="1" s="1"/>
  <c r="BF21" i="1"/>
  <c r="AY21" i="1"/>
  <c r="AS21" i="1"/>
  <c r="AT21" i="1" s="1"/>
  <c r="AO21" i="1"/>
  <c r="AM21" i="1"/>
  <c r="Q21" i="1" s="1"/>
  <c r="AB21" i="1"/>
  <c r="AA21" i="1"/>
  <c r="S21" i="1"/>
  <c r="BQ20" i="1"/>
  <c r="BP20" i="1"/>
  <c r="BN20" i="1"/>
  <c r="BM20" i="1"/>
  <c r="BL20" i="1"/>
  <c r="BK20" i="1"/>
  <c r="BJ20" i="1"/>
  <c r="BI20" i="1"/>
  <c r="BD20" i="1" s="1"/>
  <c r="BF20" i="1"/>
  <c r="AY20" i="1"/>
  <c r="AS20" i="1"/>
  <c r="AT20" i="1" s="1"/>
  <c r="AO20" i="1"/>
  <c r="AM20" i="1" s="1"/>
  <c r="N20" i="1" s="1"/>
  <c r="AB20" i="1"/>
  <c r="AA20" i="1"/>
  <c r="Z20" i="1" s="1"/>
  <c r="S20" i="1"/>
  <c r="BQ19" i="1"/>
  <c r="BP19" i="1"/>
  <c r="BN19" i="1"/>
  <c r="BM19" i="1"/>
  <c r="BL19" i="1"/>
  <c r="BK19" i="1"/>
  <c r="BJ19" i="1"/>
  <c r="BI19" i="1"/>
  <c r="BD19" i="1" s="1"/>
  <c r="BF19" i="1"/>
  <c r="AY19" i="1"/>
  <c r="AS19" i="1"/>
  <c r="AT19" i="1" s="1"/>
  <c r="AO19" i="1"/>
  <c r="AM19" i="1"/>
  <c r="AN19" i="1" s="1"/>
  <c r="AB19" i="1"/>
  <c r="AA19" i="1"/>
  <c r="S19" i="1"/>
  <c r="M19" i="1"/>
  <c r="N19" i="1" s="1"/>
  <c r="BQ18" i="1"/>
  <c r="BP18" i="1"/>
  <c r="BN18" i="1"/>
  <c r="BO18" i="1" s="1"/>
  <c r="V18" i="1" s="1"/>
  <c r="BM18" i="1"/>
  <c r="BL18" i="1"/>
  <c r="BK18" i="1"/>
  <c r="BJ18" i="1"/>
  <c r="BI18" i="1"/>
  <c r="BF18" i="1"/>
  <c r="BD18" i="1"/>
  <c r="AY18" i="1"/>
  <c r="AS18" i="1"/>
  <c r="AT18" i="1" s="1"/>
  <c r="AO18" i="1"/>
  <c r="AM18" i="1" s="1"/>
  <c r="AN18" i="1" s="1"/>
  <c r="AB18" i="1"/>
  <c r="AA18" i="1"/>
  <c r="S18" i="1"/>
  <c r="BQ17" i="1"/>
  <c r="BP17" i="1"/>
  <c r="BN17" i="1"/>
  <c r="BM17" i="1"/>
  <c r="BL17" i="1"/>
  <c r="BK17" i="1"/>
  <c r="BJ17" i="1"/>
  <c r="BI17" i="1"/>
  <c r="BF17" i="1"/>
  <c r="BD17" i="1"/>
  <c r="AY17" i="1"/>
  <c r="AS17" i="1"/>
  <c r="AT17" i="1" s="1"/>
  <c r="AO17" i="1"/>
  <c r="AM17" i="1" s="1"/>
  <c r="AB17" i="1"/>
  <c r="AA17" i="1"/>
  <c r="Z17" i="1" s="1"/>
  <c r="S17" i="1"/>
  <c r="Z19" i="1" l="1"/>
  <c r="BO20" i="1"/>
  <c r="BA20" i="1" s="1"/>
  <c r="BC20" i="1" s="1"/>
  <c r="BO21" i="1"/>
  <c r="BO25" i="1"/>
  <c r="V25" i="1" s="1"/>
  <c r="W25" i="1" s="1"/>
  <c r="X25" i="1" s="1"/>
  <c r="AE25" i="1" s="1"/>
  <c r="BO27" i="1"/>
  <c r="BA27" i="1" s="1"/>
  <c r="BC27" i="1" s="1"/>
  <c r="Q26" i="1"/>
  <c r="Z23" i="1"/>
  <c r="L19" i="1"/>
  <c r="AD19" i="1" s="1"/>
  <c r="Q24" i="1"/>
  <c r="N24" i="1"/>
  <c r="AN24" i="1"/>
  <c r="N21" i="1"/>
  <c r="AN21" i="1"/>
  <c r="Z26" i="1"/>
  <c r="BO19" i="1"/>
  <c r="BO26" i="1"/>
  <c r="V26" i="1" s="1"/>
  <c r="L18" i="1"/>
  <c r="AD18" i="1" s="1"/>
  <c r="BO17" i="1"/>
  <c r="Z21" i="1"/>
  <c r="Z28" i="1"/>
  <c r="BA17" i="1"/>
  <c r="BC17" i="1" s="1"/>
  <c r="V17" i="1"/>
  <c r="Q23" i="1"/>
  <c r="M23" i="1"/>
  <c r="BB23" i="1" s="1"/>
  <c r="BE23" i="1" s="1"/>
  <c r="L23" i="1"/>
  <c r="AN23" i="1"/>
  <c r="M27" i="1"/>
  <c r="L27" i="1"/>
  <c r="AN27" i="1"/>
  <c r="AN17" i="1"/>
  <c r="M18" i="1"/>
  <c r="BA18" i="1"/>
  <c r="BC18" i="1" s="1"/>
  <c r="Q19" i="1"/>
  <c r="BA22" i="1"/>
  <c r="BC22" i="1" s="1"/>
  <c r="V28" i="1"/>
  <c r="BA28" i="1"/>
  <c r="BC28" i="1" s="1"/>
  <c r="Q20" i="1"/>
  <c r="M20" i="1"/>
  <c r="BB20" i="1" s="1"/>
  <c r="BE20" i="1" s="1"/>
  <c r="L20" i="1"/>
  <c r="AN20" i="1"/>
  <c r="L17" i="1"/>
  <c r="N18" i="1"/>
  <c r="BB19" i="1"/>
  <c r="BA19" i="1"/>
  <c r="BC19" i="1" s="1"/>
  <c r="V19" i="1"/>
  <c r="AN22" i="1"/>
  <c r="N22" i="1"/>
  <c r="Q22" i="1"/>
  <c r="M22" i="1"/>
  <c r="BB22" i="1" s="1"/>
  <c r="BE22" i="1" s="1"/>
  <c r="AN25" i="1"/>
  <c r="N25" i="1"/>
  <c r="Q25" i="1"/>
  <c r="M25" i="1"/>
  <c r="BB25" i="1" s="1"/>
  <c r="BA26" i="1"/>
  <c r="BC26" i="1" s="1"/>
  <c r="M17" i="1"/>
  <c r="BB17" i="1" s="1"/>
  <c r="Z18" i="1"/>
  <c r="V20" i="1"/>
  <c r="V21" i="1"/>
  <c r="BA21" i="1"/>
  <c r="BC21" i="1" s="1"/>
  <c r="Z22" i="1"/>
  <c r="W22" i="1"/>
  <c r="X22" i="1" s="1"/>
  <c r="V23" i="1"/>
  <c r="V24" i="1"/>
  <c r="BA24" i="1"/>
  <c r="BC24" i="1" s="1"/>
  <c r="Z25" i="1"/>
  <c r="L26" i="1"/>
  <c r="AN26" i="1"/>
  <c r="N26" i="1"/>
  <c r="V27" i="1"/>
  <c r="L21" i="1"/>
  <c r="L24" i="1"/>
  <c r="L28" i="1"/>
  <c r="M21" i="1"/>
  <c r="BB21" i="1" s="1"/>
  <c r="M24" i="1"/>
  <c r="BB24" i="1" s="1"/>
  <c r="BE24" i="1" s="1"/>
  <c r="M28" i="1"/>
  <c r="BE17" i="1" l="1"/>
  <c r="W18" i="1"/>
  <c r="X18" i="1" s="1"/>
  <c r="BA25" i="1"/>
  <c r="BC25" i="1" s="1"/>
  <c r="BE25" i="1"/>
  <c r="T25" i="1"/>
  <c r="R25" i="1" s="1"/>
  <c r="U25" i="1" s="1"/>
  <c r="O25" i="1" s="1"/>
  <c r="P25" i="1" s="1"/>
  <c r="BE19" i="1"/>
  <c r="BE21" i="1"/>
  <c r="W23" i="1"/>
  <c r="X23" i="1" s="1"/>
  <c r="W21" i="1"/>
  <c r="X21" i="1" s="1"/>
  <c r="AD27" i="1"/>
  <c r="W17" i="1"/>
  <c r="X17" i="1" s="1"/>
  <c r="T17" i="1" s="1"/>
  <c r="R17" i="1" s="1"/>
  <c r="U17" i="1" s="1"/>
  <c r="AD26" i="1"/>
  <c r="W19" i="1"/>
  <c r="X19" i="1" s="1"/>
  <c r="AD20" i="1"/>
  <c r="W28" i="1"/>
  <c r="X28" i="1" s="1"/>
  <c r="T28" i="1" s="1"/>
  <c r="R28" i="1" s="1"/>
  <c r="U28" i="1" s="1"/>
  <c r="BB18" i="1"/>
  <c r="BE18" i="1" s="1"/>
  <c r="Q18" i="1"/>
  <c r="BB27" i="1"/>
  <c r="BE27" i="1" s="1"/>
  <c r="N27" i="1"/>
  <c r="AF18" i="1"/>
  <c r="AE18" i="1"/>
  <c r="Y18" i="1"/>
  <c r="AC18" i="1" s="1"/>
  <c r="Y22" i="1"/>
  <c r="AC22" i="1" s="1"/>
  <c r="AF22" i="1"/>
  <c r="AD28" i="1"/>
  <c r="W27" i="1"/>
  <c r="X27" i="1" s="1"/>
  <c r="W24" i="1"/>
  <c r="X24" i="1" s="1"/>
  <c r="T24" i="1" s="1"/>
  <c r="R24" i="1" s="1"/>
  <c r="U24" i="1" s="1"/>
  <c r="O24" i="1" s="1"/>
  <c r="P24" i="1" s="1"/>
  <c r="W20" i="1"/>
  <c r="X20" i="1" s="1"/>
  <c r="T18" i="1"/>
  <c r="R18" i="1" s="1"/>
  <c r="U18" i="1" s="1"/>
  <c r="O18" i="1" s="1"/>
  <c r="P18" i="1" s="1"/>
  <c r="T22" i="1"/>
  <c r="R22" i="1" s="1"/>
  <c r="U22" i="1" s="1"/>
  <c r="O22" i="1" s="1"/>
  <c r="P22" i="1" s="1"/>
  <c r="Q27" i="1"/>
  <c r="T23" i="1"/>
  <c r="R23" i="1" s="1"/>
  <c r="U23" i="1" s="1"/>
  <c r="O23" i="1" s="1"/>
  <c r="P23" i="1" s="1"/>
  <c r="AD23" i="1"/>
  <c r="N17" i="1"/>
  <c r="Q17" i="1"/>
  <c r="BE26" i="1"/>
  <c r="AD21" i="1"/>
  <c r="N28" i="1"/>
  <c r="BB28" i="1"/>
  <c r="BE28" i="1" s="1"/>
  <c r="AD24" i="1"/>
  <c r="Y25" i="1"/>
  <c r="AC25" i="1" s="1"/>
  <c r="AF25" i="1"/>
  <c r="AG25" i="1" s="1"/>
  <c r="W26" i="1"/>
  <c r="X26" i="1" s="1"/>
  <c r="AD17" i="1"/>
  <c r="Q28" i="1"/>
  <c r="AE22" i="1"/>
  <c r="O17" i="1" l="1"/>
  <c r="P17" i="1" s="1"/>
  <c r="O28" i="1"/>
  <c r="P28" i="1" s="1"/>
  <c r="Y24" i="1"/>
  <c r="AC24" i="1" s="1"/>
  <c r="AF24" i="1"/>
  <c r="AE24" i="1"/>
  <c r="AF19" i="1"/>
  <c r="Y19" i="1"/>
  <c r="AC19" i="1" s="1"/>
  <c r="T19" i="1"/>
  <c r="R19" i="1" s="1"/>
  <c r="U19" i="1" s="1"/>
  <c r="O19" i="1" s="1"/>
  <c r="P19" i="1" s="1"/>
  <c r="AE19" i="1"/>
  <c r="Y28" i="1"/>
  <c r="AC28" i="1" s="1"/>
  <c r="AF28" i="1"/>
  <c r="AE28" i="1"/>
  <c r="Y17" i="1"/>
  <c r="AC17" i="1" s="1"/>
  <c r="AF17" i="1"/>
  <c r="AE17" i="1"/>
  <c r="Y21" i="1"/>
  <c r="AC21" i="1" s="1"/>
  <c r="AF21" i="1"/>
  <c r="AE21" i="1"/>
  <c r="AF26" i="1"/>
  <c r="Y26" i="1"/>
  <c r="AC26" i="1" s="1"/>
  <c r="AE26" i="1"/>
  <c r="Y23" i="1"/>
  <c r="AC23" i="1" s="1"/>
  <c r="AF23" i="1"/>
  <c r="AE23" i="1"/>
  <c r="T21" i="1"/>
  <c r="R21" i="1" s="1"/>
  <c r="U21" i="1" s="1"/>
  <c r="O21" i="1" s="1"/>
  <c r="P21" i="1" s="1"/>
  <c r="Y20" i="1"/>
  <c r="AC20" i="1" s="1"/>
  <c r="AF20" i="1"/>
  <c r="AE20" i="1"/>
  <c r="Y27" i="1"/>
  <c r="AC27" i="1" s="1"/>
  <c r="AF27" i="1"/>
  <c r="AE27" i="1"/>
  <c r="AG22" i="1"/>
  <c r="AG18" i="1"/>
  <c r="T20" i="1"/>
  <c r="R20" i="1" s="1"/>
  <c r="U20" i="1" s="1"/>
  <c r="O20" i="1" s="1"/>
  <c r="P20" i="1" s="1"/>
  <c r="T26" i="1"/>
  <c r="R26" i="1" s="1"/>
  <c r="U26" i="1" s="1"/>
  <c r="O26" i="1" s="1"/>
  <c r="P26" i="1" s="1"/>
  <c r="T27" i="1"/>
  <c r="R27" i="1" s="1"/>
  <c r="U27" i="1" s="1"/>
  <c r="O27" i="1" s="1"/>
  <c r="P27" i="1" s="1"/>
  <c r="AG20" i="1" l="1"/>
  <c r="AG23" i="1"/>
  <c r="AG17" i="1"/>
  <c r="AG19" i="1"/>
  <c r="AG27" i="1"/>
  <c r="AG21" i="1"/>
  <c r="AG24" i="1"/>
  <c r="AG26" i="1"/>
  <c r="AG28" i="1"/>
</calcChain>
</file>

<file path=xl/sharedStrings.xml><?xml version="1.0" encoding="utf-8"?>
<sst xmlns="http://schemas.openxmlformats.org/spreadsheetml/2006/main" count="782" uniqueCount="345">
  <si>
    <t>File opened</t>
  </si>
  <si>
    <t>2019-07-09 14:01:23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</si>
  <si>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</si>
  <si>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</si>
  <si>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</si>
  <si>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</si>
  <si>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</si>
  <si>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</si>
  <si>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</si>
  <si>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</si>
  <si>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</si>
  <si>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1.3.0</t>
  </si>
  <si>
    <t>Head cal</t>
  </si>
  <si>
    <t>{"co2aspan1": "0.992625", "h2obspan2b": "0.0963575", "flowbzero": "0.20796", "co2aspanconc1": "1002", "co2bspanconc1": "1002", "h2obspan2a": "0.0975941", "co2bspan2b": "0.162103", "h2oaspan2": "0", "h2oaspanconc2": "0", "h2obzero": "1.01783", "co2aspan2a": "0.164928", "flowmeterzero": "0.991801", "co2bspan2a": "0.163389", "h2oaspan2a": "0.0661155", "co2azero": "0.869071", "co2bzero": "0.880288", "flowazero": "0.4286", "co2aspan2": "0", "h2oaspan1": "1.00223", "h2oazero": "1.00263", "h2oaspan2b": "0.0662632", "h2oaspanconc1": "12.19", "co2aspanconc2": "0", "tazero": "0.00774765", "chamberpressurezero": "2.57337", "h2obspanconc1": "20", "oxygen": "21", "co2bspanconc2": "0", "co2aspan2b": "0.163711", "h2obspanconc2": "0", "tbzero": "0.197721", "co2bspan2": "0", "co2bspan1": "0.992131", "ssb_ref": "36526.8", "h2obspan2": "0", "ssa_ref": "36614.9", "h2obspan1": "0.998578"}</t>
  </si>
  <si>
    <t>Chamber type</t>
  </si>
  <si>
    <t>6800-01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</si>
  <si>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</si>
  <si>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</si>
  <si>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</si>
  <si>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</si>
  <si>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</si>
  <si>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</si>
  <si>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</si>
  <si>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14:01:23</t>
  </si>
  <si>
    <t>Stability Definition:	gsw (GasEx): Slp&lt;1 Std&lt;1	A (GasEx): Slp&lt;0.3 Std&lt;0.5	CO2_s (Meas): Slp&lt;2.5</t>
  </si>
  <si>
    <t>SysConst</t>
  </si>
  <si>
    <t>AvgTime</t>
  </si>
  <si>
    <t>4</t>
  </si>
  <si>
    <t>Oxygen</t>
  </si>
  <si>
    <t>21</t>
  </si>
  <si>
    <t>Chamber</t>
  </si>
  <si>
    <t>Const</t>
  </si>
  <si>
    <t>S</t>
  </si>
  <si>
    <t>K</t>
  </si>
  <si>
    <t>Geometry</t>
  </si>
  <si>
    <t>0: Broadleaf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</si>
  <si>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</si>
  <si>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</si>
  <si>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</si>
  <si>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</si>
  <si>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</si>
  <si>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</si>
  <si>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</si>
  <si>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</si>
  <si>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</si>
  <si>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</si>
  <si>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</si>
  <si>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</si>
  <si>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</si>
  <si>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</si>
  <si>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</si>
  <si>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</si>
  <si>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</si>
  <si>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</si>
  <si>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</si>
  <si>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</si>
  <si>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</si>
  <si>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</si>
  <si>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</si>
  <si>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</si>
  <si>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</si>
  <si>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</si>
  <si>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</si>
  <si>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</si>
  <si>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</si>
  <si>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</si>
  <si>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</si>
  <si>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</si>
  <si>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</si>
  <si>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</si>
  <si>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</si>
  <si>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</si>
  <si>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</si>
  <si>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0.217328 74.432 385.252 619.716 848.505 1054.79 1233.43 1418.33</t>
  </si>
  <si>
    <t>Fs_true</t>
  </si>
  <si>
    <t>0.125404 100.335 402.869 601.159 799.534 1000.37 1200.63 1401.48</t>
  </si>
  <si>
    <t>leak_wt</t>
  </si>
  <si>
    <t>Sys</t>
  </si>
  <si>
    <t>UserDefVar</t>
  </si>
  <si>
    <t>GasEx</t>
  </si>
  <si>
    <t>Leak</t>
  </si>
  <si>
    <t>FLR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</si>
  <si>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</si>
  <si>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</si>
  <si>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</si>
  <si>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</si>
  <si>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</si>
  <si>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</si>
  <si>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</si>
  <si>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</si>
  <si>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obs</t>
  </si>
  <si>
    <t>time</t>
  </si>
  <si>
    <t>elapsed</t>
  </si>
  <si>
    <t>date</t>
  </si>
  <si>
    <t>hhmmss</t>
  </si>
  <si>
    <t>Treatment</t>
  </si>
  <si>
    <t>Genotype</t>
  </si>
  <si>
    <t>Plant</t>
  </si>
  <si>
    <t>species</t>
  </si>
  <si>
    <t>leaf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</si>
  <si>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</si>
  <si>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</si>
  <si>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</si>
  <si>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</si>
  <si>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</si>
  <si>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</si>
  <si>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</si>
  <si>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</si>
  <si>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</si>
  <si>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</si>
  <si>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</si>
  <si>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</si>
  <si>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</si>
  <si>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</si>
  <si>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</si>
  <si>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</si>
  <si>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</si>
  <si>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</si>
  <si>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</si>
  <si>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</si>
  <si>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</si>
  <si>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</si>
  <si>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</si>
  <si>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</si>
  <si>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</si>
  <si>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</si>
  <si>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</si>
  <si>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</si>
  <si>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</si>
  <si>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</si>
  <si>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</si>
  <si>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</si>
  <si>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</si>
  <si>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</si>
  <si>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</si>
  <si>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</si>
  <si>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</si>
  <si>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</si>
  <si>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</si>
  <si>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</si>
  <si>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</si>
  <si>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</si>
  <si>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</si>
  <si>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</si>
  <si>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</si>
  <si>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</si>
  <si>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</si>
  <si>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</si>
  <si>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</si>
  <si>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</si>
  <si>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</si>
  <si>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</si>
  <si>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</si>
  <si>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</si>
  <si>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Qin</t>
  </si>
  <si>
    <t>Qabs</t>
  </si>
  <si>
    <t>alpha</t>
  </si>
  <si>
    <t>convert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</si>
  <si>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</si>
  <si>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</si>
  <si>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</si>
  <si>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</si>
  <si>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</si>
  <si>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</si>
  <si>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</si>
  <si>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</si>
  <si>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</si>
  <si>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</si>
  <si>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</si>
  <si>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</si>
  <si>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</si>
  <si>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</si>
  <si>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</si>
  <si>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</si>
  <si>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</si>
  <si>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</si>
  <si>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</si>
  <si>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</si>
  <si>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</si>
  <si>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</si>
  <si>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</si>
  <si>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</si>
  <si>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</si>
  <si>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</si>
  <si>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</si>
  <si>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</si>
  <si>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</si>
  <si>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</si>
  <si>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F_avg</t>
  </si>
  <si>
    <t>dF/dt</t>
  </si>
  <si>
    <t>dF_dc/dt</t>
  </si>
  <si>
    <t>F_dc_avg</t>
  </si>
  <si>
    <t>period</t>
  </si>
  <si>
    <t>count</t>
  </si>
  <si>
    <t>co2_adj</t>
  </si>
  <si>
    <t>h2o_adj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</si>
  <si>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</si>
  <si>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</si>
  <si>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</si>
  <si>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</si>
  <si>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</si>
  <si>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</si>
  <si>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</si>
  <si>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</si>
  <si>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CO2_s:MN</t>
  </si>
  <si>
    <t>CO2_s:SLP</t>
  </si>
  <si>
    <t>CO2_s:SD</t>
  </si>
  <si>
    <t>CO2_s:OK</t>
  </si>
  <si>
    <t>gsw:MN</t>
  </si>
  <si>
    <t>gsw:SLP</t>
  </si>
  <si>
    <t>gsw:SD</t>
  </si>
  <si>
    <t>gsw:OK</t>
  </si>
  <si>
    <t>Stable</t>
  </si>
  <si>
    <t>Total</t>
  </si>
  <si>
    <t>State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</si>
  <si>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</si>
  <si>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</si>
  <si>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</si>
  <si>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</si>
  <si>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</si>
  <si>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</si>
  <si>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</si>
  <si>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</si>
  <si>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</si>
  <si>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</si>
  <si>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</si>
  <si>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</si>
  <si>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</si>
  <si>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</si>
  <si>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</si>
  <si>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</si>
  <si>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</si>
  <si>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</si>
  <si>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</si>
  <si>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</si>
  <si>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</si>
  <si>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</si>
  <si>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</si>
  <si>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</si>
  <si>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</si>
  <si>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</si>
  <si>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</si>
  <si>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</si>
  <si>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</si>
  <si>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</si>
  <si>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</si>
  <si>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</si>
  <si>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</si>
  <si>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</si>
  <si>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</si>
  <si>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</si>
  <si>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</si>
  <si>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</si>
  <si>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</si>
  <si>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</si>
  <si>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</si>
  <si>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</si>
  <si>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</si>
  <si>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</si>
  <si>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</si>
  <si>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</si>
  <si>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</si>
  <si>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</si>
  <si>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</si>
  <si>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J/µmol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</si>
  <si>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</si>
  <si>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</si>
  <si>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</si>
  <si>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</si>
  <si>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</si>
  <si>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</si>
  <si>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</si>
  <si>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</si>
  <si>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>mol m⁻² s⁻¹ min⁻¹</t>
  </si>
  <si>
    <t>V</t>
  </si>
  <si>
    <t>20190709 14:16:42</t>
  </si>
  <si>
    <t>14:16:42</t>
  </si>
  <si>
    <t>1</t>
  </si>
  <si>
    <t>G2</t>
  </si>
  <si>
    <t>RECT-4282-20190709-05_10_52</t>
  </si>
  <si>
    <t>MPF-4433-20190709-14_16_44</t>
  </si>
  <si>
    <t>DARK-4434-20190709-14_16_51</t>
  </si>
  <si>
    <t>14:15:57</t>
  </si>
  <si>
    <t>3/3</t>
  </si>
  <si>
    <t>5</t>
  </si>
  <si>
    <t>11111111</t>
  </si>
  <si>
    <t>oooooooo</t>
  </si>
  <si>
    <t>off</t>
  </si>
  <si>
    <t>20190709 14:18:46</t>
  </si>
  <si>
    <t>14:18:46</t>
  </si>
  <si>
    <t>MPF-4435-20190709-14_18_48</t>
  </si>
  <si>
    <t>DARK-4436-20190709-14_18_56</t>
  </si>
  <si>
    <t>14:18:01</t>
  </si>
  <si>
    <t>20190709 14:21:07</t>
  </si>
  <si>
    <t>14:21:07</t>
  </si>
  <si>
    <t>MPF-4437-20190709-14_21_09</t>
  </si>
  <si>
    <t>DARK-4438-20190709-14_21_16</t>
  </si>
  <si>
    <t>14:20:30</t>
  </si>
  <si>
    <t>1/3</t>
  </si>
  <si>
    <t>20190709 14:23:25</t>
  </si>
  <si>
    <t>14:23:25</t>
  </si>
  <si>
    <t>MPF-4439-20190709-14_23_27</t>
  </si>
  <si>
    <t>DARK-4440-20190709-14_23_35</t>
  </si>
  <si>
    <t>14:22:41</t>
  </si>
  <si>
    <t>20190709 14:25:22</t>
  </si>
  <si>
    <t>14:25:22</t>
  </si>
  <si>
    <t>MPF-4441-20190709-14_25_23</t>
  </si>
  <si>
    <t>DARK-4442-20190709-14_25_31</t>
  </si>
  <si>
    <t>14:24:38</t>
  </si>
  <si>
    <t>20190709 14:27:23</t>
  </si>
  <si>
    <t>14:27:23</t>
  </si>
  <si>
    <t>MPF-4443-20190709-14_27_24</t>
  </si>
  <si>
    <t>DARK-4444-20190709-14_27_32</t>
  </si>
  <si>
    <t>14:28:02</t>
  </si>
  <si>
    <t>20190709 14:32:48</t>
  </si>
  <si>
    <t>14:32:48</t>
  </si>
  <si>
    <t>MPF-4447-20190709-14_32_50</t>
  </si>
  <si>
    <t>DARK-4448-20190709-14_32_57</t>
  </si>
  <si>
    <t>14:32:02</t>
  </si>
  <si>
    <t>20190709 14:34:52</t>
  </si>
  <si>
    <t>14:34:52</t>
  </si>
  <si>
    <t>MPF-4449-20190709-14_34_53</t>
  </si>
  <si>
    <t>DARK-4450-20190709-14_35_01</t>
  </si>
  <si>
    <t>14:34:07</t>
  </si>
  <si>
    <t>20190709 14:37:09</t>
  </si>
  <si>
    <t>14:37:09</t>
  </si>
  <si>
    <t>MPF-4451-20190709-14_37_11</t>
  </si>
  <si>
    <t>DARK-4452-20190709-14_37_18</t>
  </si>
  <si>
    <t>14:36:09</t>
  </si>
  <si>
    <t>20190709 14:39:30</t>
  </si>
  <si>
    <t>14:39:30</t>
  </si>
  <si>
    <t>MPF-4453-20190709-14_39_31</t>
  </si>
  <si>
    <t>DARK-4454-20190709-14_39_39</t>
  </si>
  <si>
    <t>14:38:30</t>
  </si>
  <si>
    <t>2/3</t>
  </si>
  <si>
    <t>20190709 14:41:50</t>
  </si>
  <si>
    <t>14:41:50</t>
  </si>
  <si>
    <t>MPF-4455-20190709-14_41_52</t>
  </si>
  <si>
    <t>DARK-4456-20190709-14_41_59</t>
  </si>
  <si>
    <t>14:40:45</t>
  </si>
  <si>
    <t>20190709 14:44:09</t>
  </si>
  <si>
    <t>14:44:09</t>
  </si>
  <si>
    <t>MPF-4457-20190709-14_44_11</t>
  </si>
  <si>
    <t>DARK-4458-20190709-14_44_18</t>
  </si>
  <si>
    <t>14:43:09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</si>
</sst>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L28"/>
  <sheetViews>
    <sheetView tabSelected="1" topLeftCell="A15" workbookViewId="0">
      <selection activeCell="A23" sqref="A23:XFD23"/>
    </sheetView>
  </sheetViews>
  <sheetFormatPr defaultRowHeight="14.5" x14ac:dyDescent="0.35"/>
  <sheetData>
    <row r="2" spans="1:168" x14ac:dyDescent="0.35">
      <c r="A2" t="s">
        <v>25</v>
      </c>
      <c r="B2" t="s">
        <v>26</v>
      </c>
      <c r="C2" t="s">
        <v>28</v>
      </c>
      <c r="D2" t="s">
        <v>30</v>
      </c>
    </row>
    <row r="3" spans="1:168" x14ac:dyDescent="0.35">
      <c r="B3" t="s">
        <v>27</v>
      </c>
      <c r="C3" t="s">
        <v>29</v>
      </c>
      <c r="D3" t="s">
        <v>15</v>
      </c>
    </row>
    <row r="4" spans="1:168" x14ac:dyDescent="0.35">
      <c r="A4" t="s">
        <v>31</v>
      </c>
      <c r="B4" t="s">
        <v>32</v>
      </c>
      <c r="C4" t="s">
        <v>33</v>
      </c>
      <c r="D4" t="s">
        <v>34</v>
      </c>
      <c r="E4" t="s">
        <v>36</v>
      </c>
    </row>
    <row r="5" spans="1:168" x14ac:dyDescent="0.35">
      <c r="B5">
        <v>6</v>
      </c>
      <c r="C5">
        <v>0.5</v>
      </c>
      <c r="D5" t="s">
        <v>35</v>
      </c>
      <c r="E5">
        <v>2</v>
      </c>
    </row>
    <row r="6" spans="1:168" x14ac:dyDescent="0.35">
      <c r="A6" t="s">
        <v>37</v>
      </c>
      <c r="B6" t="s">
        <v>38</v>
      </c>
      <c r="C6" t="s">
        <v>39</v>
      </c>
      <c r="D6" t="s">
        <v>40</v>
      </c>
      <c r="E6" t="s">
        <v>41</v>
      </c>
    </row>
    <row r="7" spans="1:168" x14ac:dyDescent="0.35">
      <c r="B7">
        <v>0</v>
      </c>
      <c r="C7">
        <v>1</v>
      </c>
      <c r="D7">
        <v>0</v>
      </c>
      <c r="E7">
        <v>0</v>
      </c>
    </row>
    <row r="8" spans="1:168" x14ac:dyDescent="0.35">
      <c r="A8" t="s">
        <v>42</v>
      </c>
      <c r="B8" t="s">
        <v>43</v>
      </c>
      <c r="C8" t="s">
        <v>45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  <c r="M8" t="s">
        <v>56</v>
      </c>
      <c r="N8" t="s">
        <v>57</v>
      </c>
      <c r="O8" t="s">
        <v>58</v>
      </c>
      <c r="P8" t="s">
        <v>59</v>
      </c>
      <c r="Q8" t="s">
        <v>60</v>
      </c>
    </row>
    <row r="9" spans="1:168" x14ac:dyDescent="0.35">
      <c r="B9" t="s">
        <v>44</v>
      </c>
      <c r="C9" t="s">
        <v>46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68" x14ac:dyDescent="0.3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</row>
    <row r="11" spans="1:168" x14ac:dyDescent="0.35">
      <c r="B11">
        <v>0</v>
      </c>
      <c r="C11">
        <v>0</v>
      </c>
      <c r="D11">
        <v>0</v>
      </c>
      <c r="E11">
        <v>0</v>
      </c>
      <c r="F11">
        <v>1</v>
      </c>
    </row>
    <row r="12" spans="1:168" x14ac:dyDescent="0.35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74</v>
      </c>
      <c r="H12" t="s">
        <v>76</v>
      </c>
    </row>
    <row r="13" spans="1:168" x14ac:dyDescent="0.35">
      <c r="B13">
        <v>-6276</v>
      </c>
      <c r="C13">
        <v>6.6</v>
      </c>
      <c r="D13">
        <v>1.7090000000000001E-5</v>
      </c>
      <c r="E13">
        <v>3.11</v>
      </c>
      <c r="F13" t="s">
        <v>73</v>
      </c>
      <c r="G13" t="s">
        <v>75</v>
      </c>
      <c r="H13">
        <v>2</v>
      </c>
    </row>
    <row r="14" spans="1:168" x14ac:dyDescent="0.35">
      <c r="A14" t="s">
        <v>77</v>
      </c>
      <c r="B14" t="s">
        <v>77</v>
      </c>
      <c r="C14" t="s">
        <v>77</v>
      </c>
      <c r="D14" t="s">
        <v>77</v>
      </c>
      <c r="E14" t="s">
        <v>77</v>
      </c>
      <c r="F14" t="s">
        <v>78</v>
      </c>
      <c r="G14" t="s">
        <v>78</v>
      </c>
      <c r="H14" t="s">
        <v>78</v>
      </c>
      <c r="I14" t="s">
        <v>78</v>
      </c>
      <c r="J14" t="s">
        <v>78</v>
      </c>
      <c r="K14" t="s">
        <v>79</v>
      </c>
      <c r="L14" t="s">
        <v>79</v>
      </c>
      <c r="M14" t="s">
        <v>79</v>
      </c>
      <c r="N14" t="s">
        <v>79</v>
      </c>
      <c r="O14" t="s">
        <v>79</v>
      </c>
      <c r="P14" t="s">
        <v>79</v>
      </c>
      <c r="Q14" t="s">
        <v>79</v>
      </c>
      <c r="R14" t="s">
        <v>79</v>
      </c>
      <c r="S14" t="s">
        <v>79</v>
      </c>
      <c r="T14" t="s">
        <v>79</v>
      </c>
      <c r="U14" t="s">
        <v>79</v>
      </c>
      <c r="V14" t="s">
        <v>79</v>
      </c>
      <c r="W14" t="s">
        <v>79</v>
      </c>
      <c r="X14" t="s">
        <v>79</v>
      </c>
      <c r="Y14" t="s">
        <v>79</v>
      </c>
      <c r="Z14" t="s">
        <v>79</v>
      </c>
      <c r="AA14" t="s">
        <v>79</v>
      </c>
      <c r="AB14" t="s">
        <v>79</v>
      </c>
      <c r="AC14" t="s">
        <v>79</v>
      </c>
      <c r="AD14" t="s">
        <v>79</v>
      </c>
      <c r="AE14" t="s">
        <v>79</v>
      </c>
      <c r="AF14" t="s">
        <v>79</v>
      </c>
      <c r="AG14" t="s">
        <v>79</v>
      </c>
      <c r="AH14" t="s">
        <v>79</v>
      </c>
      <c r="AI14" t="s">
        <v>79</v>
      </c>
      <c r="AJ14" t="s">
        <v>79</v>
      </c>
      <c r="AK14" t="s">
        <v>80</v>
      </c>
      <c r="AL14" t="s">
        <v>80</v>
      </c>
      <c r="AM14" t="s">
        <v>80</v>
      </c>
      <c r="AN14" t="s">
        <v>80</v>
      </c>
      <c r="AO14" t="s">
        <v>80</v>
      </c>
      <c r="AP14" t="s">
        <v>81</v>
      </c>
      <c r="AQ14" t="s">
        <v>81</v>
      </c>
      <c r="AR14" t="s">
        <v>81</v>
      </c>
      <c r="AS14" t="s">
        <v>81</v>
      </c>
      <c r="AT14" t="s">
        <v>81</v>
      </c>
      <c r="AU14" t="s">
        <v>81</v>
      </c>
      <c r="AV14" t="s">
        <v>81</v>
      </c>
      <c r="AW14" t="s">
        <v>81</v>
      </c>
      <c r="AX14" t="s">
        <v>81</v>
      </c>
      <c r="AY14" t="s">
        <v>81</v>
      </c>
      <c r="AZ14" t="s">
        <v>81</v>
      </c>
      <c r="BA14" t="s">
        <v>81</v>
      </c>
      <c r="BB14" t="s">
        <v>81</v>
      </c>
      <c r="BC14" t="s">
        <v>81</v>
      </c>
      <c r="BD14" t="s">
        <v>81</v>
      </c>
      <c r="BE14" t="s">
        <v>81</v>
      </c>
      <c r="BF14" t="s">
        <v>81</v>
      </c>
      <c r="BG14" t="s">
        <v>81</v>
      </c>
      <c r="BH14" t="s">
        <v>81</v>
      </c>
      <c r="BI14" t="s">
        <v>81</v>
      </c>
      <c r="BJ14" t="s">
        <v>81</v>
      </c>
      <c r="BK14" t="s">
        <v>81</v>
      </c>
      <c r="BL14" t="s">
        <v>81</v>
      </c>
      <c r="BM14" t="s">
        <v>81</v>
      </c>
      <c r="BN14" t="s">
        <v>82</v>
      </c>
      <c r="BO14" t="s">
        <v>82</v>
      </c>
      <c r="BP14" t="s">
        <v>82</v>
      </c>
      <c r="BQ14" t="s">
        <v>82</v>
      </c>
      <c r="BR14" t="s">
        <v>83</v>
      </c>
      <c r="BS14" t="s">
        <v>83</v>
      </c>
      <c r="BT14" t="s">
        <v>83</v>
      </c>
      <c r="BU14" t="s">
        <v>83</v>
      </c>
      <c r="BV14" t="s">
        <v>83</v>
      </c>
      <c r="BW14" t="s">
        <v>83</v>
      </c>
      <c r="BX14" t="s">
        <v>83</v>
      </c>
      <c r="BY14" t="s">
        <v>83</v>
      </c>
      <c r="BZ14" t="s">
        <v>83</v>
      </c>
      <c r="CA14" t="s">
        <v>83</v>
      </c>
      <c r="CB14" t="s">
        <v>83</v>
      </c>
      <c r="CC14" t="s">
        <v>83</v>
      </c>
      <c r="CD14" t="s">
        <v>83</v>
      </c>
      <c r="CE14" t="s">
        <v>83</v>
      </c>
      <c r="CF14" t="s">
        <v>84</v>
      </c>
      <c r="CG14" t="s">
        <v>84</v>
      </c>
      <c r="CH14" t="s">
        <v>84</v>
      </c>
      <c r="CI14" t="s">
        <v>84</v>
      </c>
      <c r="CJ14" t="s">
        <v>84</v>
      </c>
      <c r="CK14" t="s">
        <v>84</v>
      </c>
      <c r="CL14" t="s">
        <v>84</v>
      </c>
      <c r="CM14" t="s">
        <v>84</v>
      </c>
      <c r="CN14" t="s">
        <v>84</v>
      </c>
      <c r="CO14" t="s">
        <v>84</v>
      </c>
      <c r="CP14" t="s">
        <v>84</v>
      </c>
      <c r="CQ14" t="s">
        <v>84</v>
      </c>
      <c r="CR14" t="s">
        <v>84</v>
      </c>
      <c r="CS14" t="s">
        <v>84</v>
      </c>
      <c r="CT14" t="s">
        <v>84</v>
      </c>
      <c r="CU14" t="s">
        <v>84</v>
      </c>
      <c r="CV14" t="s">
        <v>84</v>
      </c>
      <c r="CW14" t="s">
        <v>85</v>
      </c>
      <c r="CX14" t="s">
        <v>85</v>
      </c>
      <c r="CY14" t="s">
        <v>85</v>
      </c>
      <c r="CZ14" t="s">
        <v>85</v>
      </c>
      <c r="DA14" t="s">
        <v>85</v>
      </c>
      <c r="DB14" t="s">
        <v>86</v>
      </c>
      <c r="DC14" t="s">
        <v>86</v>
      </c>
      <c r="DD14" t="s">
        <v>86</v>
      </c>
      <c r="DE14" t="s">
        <v>86</v>
      </c>
      <c r="DF14" t="s">
        <v>86</v>
      </c>
      <c r="DG14" t="s">
        <v>86</v>
      </c>
      <c r="DH14" t="s">
        <v>86</v>
      </c>
      <c r="DI14" t="s">
        <v>86</v>
      </c>
      <c r="DJ14" t="s">
        <v>86</v>
      </c>
      <c r="DK14" t="s">
        <v>87</v>
      </c>
      <c r="DL14" t="s">
        <v>87</v>
      </c>
      <c r="DM14" t="s">
        <v>87</v>
      </c>
      <c r="DN14" t="s">
        <v>87</v>
      </c>
      <c r="DO14" t="s">
        <v>87</v>
      </c>
      <c r="DP14" t="s">
        <v>87</v>
      </c>
      <c r="DQ14" t="s">
        <v>87</v>
      </c>
      <c r="DR14" t="s">
        <v>87</v>
      </c>
      <c r="DS14" t="s">
        <v>87</v>
      </c>
      <c r="DT14" t="s">
        <v>87</v>
      </c>
      <c r="DU14" t="s">
        <v>87</v>
      </c>
      <c r="DV14" t="s">
        <v>87</v>
      </c>
      <c r="DW14" t="s">
        <v>87</v>
      </c>
      <c r="DX14" t="s">
        <v>87</v>
      </c>
      <c r="DY14" t="s">
        <v>87</v>
      </c>
      <c r="DZ14" t="s">
        <v>88</v>
      </c>
      <c r="EA14" t="s">
        <v>88</v>
      </c>
      <c r="EB14" t="s">
        <v>88</v>
      </c>
      <c r="EC14" t="s">
        <v>88</v>
      </c>
      <c r="ED14" t="s">
        <v>88</v>
      </c>
      <c r="EE14" t="s">
        <v>88</v>
      </c>
      <c r="EF14" t="s">
        <v>88</v>
      </c>
      <c r="EG14" t="s">
        <v>88</v>
      </c>
      <c r="EH14" t="s">
        <v>88</v>
      </c>
      <c r="EI14" t="s">
        <v>88</v>
      </c>
      <c r="EJ14" t="s">
        <v>88</v>
      </c>
      <c r="EK14" t="s">
        <v>88</v>
      </c>
      <c r="EL14" t="s">
        <v>88</v>
      </c>
      <c r="EM14" t="s">
        <v>88</v>
      </c>
      <c r="EN14" t="s">
        <v>88</v>
      </c>
      <c r="EO14" t="s">
        <v>88</v>
      </c>
      <c r="EP14" t="s">
        <v>88</v>
      </c>
      <c r="EQ14" t="s">
        <v>88</v>
      </c>
      <c r="ER14" t="s">
        <v>88</v>
      </c>
      <c r="ES14" t="s">
        <v>89</v>
      </c>
      <c r="ET14" t="s">
        <v>89</v>
      </c>
      <c r="EU14" t="s">
        <v>89</v>
      </c>
      <c r="EV14" t="s">
        <v>89</v>
      </c>
      <c r="EW14" t="s">
        <v>89</v>
      </c>
      <c r="EX14" t="s">
        <v>89</v>
      </c>
      <c r="EY14" t="s">
        <v>89</v>
      </c>
      <c r="EZ14" t="s">
        <v>89</v>
      </c>
      <c r="FA14" t="s">
        <v>89</v>
      </c>
      <c r="FB14" t="s">
        <v>89</v>
      </c>
      <c r="FC14" t="s">
        <v>89</v>
      </c>
      <c r="FD14" t="s">
        <v>89</v>
      </c>
      <c r="FE14" t="s">
        <v>89</v>
      </c>
      <c r="FF14" t="s">
        <v>89</v>
      </c>
      <c r="FG14" t="s">
        <v>89</v>
      </c>
      <c r="FH14" t="s">
        <v>89</v>
      </c>
      <c r="FI14" t="s">
        <v>89</v>
      </c>
      <c r="FJ14" t="s">
        <v>89</v>
      </c>
      <c r="FK14" t="s">
        <v>89</v>
      </c>
      <c r="FL14" t="s">
        <v>89</v>
      </c>
    </row>
    <row r="15" spans="1:168" x14ac:dyDescent="0.35">
      <c r="A15" t="s">
        <v>90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  <c r="I15" t="s">
        <v>98</v>
      </c>
      <c r="J15" t="s">
        <v>99</v>
      </c>
      <c r="K15" t="s">
        <v>100</v>
      </c>
      <c r="L15" t="s">
        <v>101</v>
      </c>
      <c r="M15" t="s">
        <v>102</v>
      </c>
      <c r="N15" t="s">
        <v>103</v>
      </c>
      <c r="O15" t="s">
        <v>104</v>
      </c>
      <c r="P15" t="s">
        <v>105</v>
      </c>
      <c r="Q15" t="s">
        <v>106</v>
      </c>
      <c r="R15" t="s">
        <v>107</v>
      </c>
      <c r="S15" t="s">
        <v>108</v>
      </c>
      <c r="T15" t="s">
        <v>109</v>
      </c>
      <c r="U15" t="s">
        <v>110</v>
      </c>
      <c r="V15" t="s">
        <v>111</v>
      </c>
      <c r="W15" t="s">
        <v>112</v>
      </c>
      <c r="X15" t="s">
        <v>113</v>
      </c>
      <c r="Y15" t="s">
        <v>114</v>
      </c>
      <c r="Z15" t="s">
        <v>115</v>
      </c>
      <c r="AA15" t="s">
        <v>116</v>
      </c>
      <c r="AB15" t="s">
        <v>117</v>
      </c>
      <c r="AC15" t="s">
        <v>118</v>
      </c>
      <c r="AD15" t="s">
        <v>119</v>
      </c>
      <c r="AE15" t="s">
        <v>120</v>
      </c>
      <c r="AF15" t="s">
        <v>121</v>
      </c>
      <c r="AG15" t="s">
        <v>122</v>
      </c>
      <c r="AH15" t="s">
        <v>123</v>
      </c>
      <c r="AI15" t="s">
        <v>124</v>
      </c>
      <c r="AJ15" t="s">
        <v>125</v>
      </c>
      <c r="AK15" t="s">
        <v>80</v>
      </c>
      <c r="AL15" t="s">
        <v>126</v>
      </c>
      <c r="AM15" t="s">
        <v>127</v>
      </c>
      <c r="AN15" t="s">
        <v>128</v>
      </c>
      <c r="AO15" t="s">
        <v>129</v>
      </c>
      <c r="AP15" t="s">
        <v>130</v>
      </c>
      <c r="AQ15" t="s">
        <v>131</v>
      </c>
      <c r="AR15" t="s">
        <v>132</v>
      </c>
      <c r="AS15" t="s">
        <v>133</v>
      </c>
      <c r="AT15" t="s">
        <v>134</v>
      </c>
      <c r="AU15" t="s">
        <v>135</v>
      </c>
      <c r="AV15" t="s">
        <v>136</v>
      </c>
      <c r="AW15" t="s">
        <v>137</v>
      </c>
      <c r="AX15" t="s">
        <v>138</v>
      </c>
      <c r="AY15" t="s">
        <v>139</v>
      </c>
      <c r="AZ15" t="s">
        <v>140</v>
      </c>
      <c r="BA15" t="s">
        <v>141</v>
      </c>
      <c r="BB15" t="s">
        <v>142</v>
      </c>
      <c r="BC15" t="s">
        <v>143</v>
      </c>
      <c r="BD15" t="s">
        <v>144</v>
      </c>
      <c r="BE15" t="s">
        <v>145</v>
      </c>
      <c r="BF15" t="s">
        <v>146</v>
      </c>
      <c r="BG15" t="s">
        <v>147</v>
      </c>
      <c r="BH15" t="s">
        <v>148</v>
      </c>
      <c r="BI15" t="s">
        <v>149</v>
      </c>
      <c r="BJ15" t="s">
        <v>150</v>
      </c>
      <c r="BK15" t="s">
        <v>151</v>
      </c>
      <c r="BL15" t="s">
        <v>152</v>
      </c>
      <c r="BM15" t="s">
        <v>153</v>
      </c>
      <c r="BN15" t="s">
        <v>154</v>
      </c>
      <c r="BO15" t="s">
        <v>155</v>
      </c>
      <c r="BP15" t="s">
        <v>156</v>
      </c>
      <c r="BQ15" t="s">
        <v>157</v>
      </c>
      <c r="BR15" t="s">
        <v>100</v>
      </c>
      <c r="BS15" t="s">
        <v>158</v>
      </c>
      <c r="BT15" t="s">
        <v>159</v>
      </c>
      <c r="BU15" t="s">
        <v>160</v>
      </c>
      <c r="BV15" t="s">
        <v>161</v>
      </c>
      <c r="BW15" t="s">
        <v>162</v>
      </c>
      <c r="BX15" t="s">
        <v>163</v>
      </c>
      <c r="BY15" t="s">
        <v>164</v>
      </c>
      <c r="BZ15" t="s">
        <v>165</v>
      </c>
      <c r="CA15" t="s">
        <v>166</v>
      </c>
      <c r="CB15" t="s">
        <v>167</v>
      </c>
      <c r="CC15" t="s">
        <v>168</v>
      </c>
      <c r="CD15" t="s">
        <v>169</v>
      </c>
      <c r="CE15" t="s">
        <v>170</v>
      </c>
      <c r="CF15" t="s">
        <v>171</v>
      </c>
      <c r="CG15" t="s">
        <v>172</v>
      </c>
      <c r="CH15" t="s">
        <v>173</v>
      </c>
      <c r="CI15" t="s">
        <v>174</v>
      </c>
      <c r="CJ15" t="s">
        <v>175</v>
      </c>
      <c r="CK15" t="s">
        <v>176</v>
      </c>
      <c r="CL15" t="s">
        <v>177</v>
      </c>
      <c r="CM15" t="s">
        <v>178</v>
      </c>
      <c r="CN15" t="s">
        <v>179</v>
      </c>
      <c r="CO15" t="s">
        <v>180</v>
      </c>
      <c r="CP15" t="s">
        <v>181</v>
      </c>
      <c r="CQ15" t="s">
        <v>182</v>
      </c>
      <c r="CR15" t="s">
        <v>183</v>
      </c>
      <c r="CS15" t="s">
        <v>184</v>
      </c>
      <c r="CT15" t="s">
        <v>185</v>
      </c>
      <c r="CU15" t="s">
        <v>186</v>
      </c>
      <c r="CV15" t="s">
        <v>187</v>
      </c>
      <c r="CW15" t="s">
        <v>188</v>
      </c>
      <c r="CX15" t="s">
        <v>189</v>
      </c>
      <c r="CY15" t="s">
        <v>190</v>
      </c>
      <c r="CZ15" t="s">
        <v>191</v>
      </c>
      <c r="DA15" t="s">
        <v>192</v>
      </c>
      <c r="DB15" t="s">
        <v>91</v>
      </c>
      <c r="DC15" t="s">
        <v>94</v>
      </c>
      <c r="DD15" t="s">
        <v>193</v>
      </c>
      <c r="DE15" t="s">
        <v>194</v>
      </c>
      <c r="DF15" t="s">
        <v>195</v>
      </c>
      <c r="DG15" t="s">
        <v>196</v>
      </c>
      <c r="DH15" t="s">
        <v>197</v>
      </c>
      <c r="DI15" t="s">
        <v>198</v>
      </c>
      <c r="DJ15" t="s">
        <v>199</v>
      </c>
      <c r="DK15" t="s">
        <v>200</v>
      </c>
      <c r="DL15" t="s">
        <v>201</v>
      </c>
      <c r="DM15" t="s">
        <v>202</v>
      </c>
      <c r="DN15" t="s">
        <v>203</v>
      </c>
      <c r="DO15" t="s">
        <v>204</v>
      </c>
      <c r="DP15" t="s">
        <v>205</v>
      </c>
      <c r="DQ15" t="s">
        <v>206</v>
      </c>
      <c r="DR15" t="s">
        <v>207</v>
      </c>
      <c r="DS15" t="s">
        <v>208</v>
      </c>
      <c r="DT15" t="s">
        <v>209</v>
      </c>
      <c r="DU15" t="s">
        <v>210</v>
      </c>
      <c r="DV15" t="s">
        <v>211</v>
      </c>
      <c r="DW15" t="s">
        <v>212</v>
      </c>
      <c r="DX15" t="s">
        <v>213</v>
      </c>
      <c r="DY15" t="s">
        <v>214</v>
      </c>
      <c r="DZ15" t="s">
        <v>215</v>
      </c>
      <c r="EA15" t="s">
        <v>216</v>
      </c>
      <c r="EB15" t="s">
        <v>217</v>
      </c>
      <c r="EC15" t="s">
        <v>218</v>
      </c>
      <c r="ED15" t="s">
        <v>219</v>
      </c>
      <c r="EE15" t="s">
        <v>220</v>
      </c>
      <c r="EF15" t="s">
        <v>221</v>
      </c>
      <c r="EG15" t="s">
        <v>222</v>
      </c>
      <c r="EH15" t="s">
        <v>223</v>
      </c>
      <c r="EI15" t="s">
        <v>224</v>
      </c>
      <c r="EJ15" t="s">
        <v>225</v>
      </c>
      <c r="EK15" t="s">
        <v>226</v>
      </c>
      <c r="EL15" t="s">
        <v>227</v>
      </c>
      <c r="EM15" t="s">
        <v>228</v>
      </c>
      <c r="EN15" t="s">
        <v>229</v>
      </c>
      <c r="EO15" t="s">
        <v>230</v>
      </c>
      <c r="EP15" t="s">
        <v>231</v>
      </c>
      <c r="EQ15" t="s">
        <v>232</v>
      </c>
      <c r="ER15" t="s">
        <v>233</v>
      </c>
      <c r="ES15" t="s">
        <v>234</v>
      </c>
      <c r="ET15" t="s">
        <v>235</v>
      </c>
      <c r="EU15" t="s">
        <v>236</v>
      </c>
      <c r="EV15" t="s">
        <v>237</v>
      </c>
      <c r="EW15" t="s">
        <v>238</v>
      </c>
      <c r="EX15" t="s">
        <v>239</v>
      </c>
      <c r="EY15" t="s">
        <v>240</v>
      </c>
      <c r="EZ15" t="s">
        <v>241</v>
      </c>
      <c r="FA15" t="s">
        <v>242</v>
      </c>
      <c r="FB15" t="s">
        <v>243</v>
      </c>
      <c r="FC15" t="s">
        <v>244</v>
      </c>
      <c r="FD15" t="s">
        <v>245</v>
      </c>
      <c r="FE15" t="s">
        <v>246</v>
      </c>
      <c r="FF15" t="s">
        <v>247</v>
      </c>
      <c r="FG15" t="s">
        <v>248</v>
      </c>
      <c r="FH15" t="s">
        <v>249</v>
      </c>
      <c r="FI15" t="s">
        <v>250</v>
      </c>
      <c r="FJ15" t="s">
        <v>251</v>
      </c>
      <c r="FK15" t="s">
        <v>252</v>
      </c>
      <c r="FL15" t="s">
        <v>253</v>
      </c>
    </row>
    <row r="16" spans="1:168" x14ac:dyDescent="0.35">
      <c r="B16" t="s">
        <v>254</v>
      </c>
      <c r="C16" t="s">
        <v>254</v>
      </c>
      <c r="K16" t="s">
        <v>254</v>
      </c>
      <c r="L16" t="s">
        <v>255</v>
      </c>
      <c r="M16" t="s">
        <v>256</v>
      </c>
      <c r="N16" t="s">
        <v>257</v>
      </c>
      <c r="O16" t="s">
        <v>257</v>
      </c>
      <c r="P16" t="s">
        <v>163</v>
      </c>
      <c r="Q16" t="s">
        <v>163</v>
      </c>
      <c r="R16" t="s">
        <v>255</v>
      </c>
      <c r="S16" t="s">
        <v>255</v>
      </c>
      <c r="T16" t="s">
        <v>255</v>
      </c>
      <c r="U16" t="s">
        <v>255</v>
      </c>
      <c r="V16" t="s">
        <v>258</v>
      </c>
      <c r="W16" t="s">
        <v>259</v>
      </c>
      <c r="X16" t="s">
        <v>259</v>
      </c>
      <c r="Y16" t="s">
        <v>260</v>
      </c>
      <c r="Z16" t="s">
        <v>261</v>
      </c>
      <c r="AA16" t="s">
        <v>260</v>
      </c>
      <c r="AB16" t="s">
        <v>260</v>
      </c>
      <c r="AC16" t="s">
        <v>260</v>
      </c>
      <c r="AD16" t="s">
        <v>258</v>
      </c>
      <c r="AE16" t="s">
        <v>258</v>
      </c>
      <c r="AF16" t="s">
        <v>258</v>
      </c>
      <c r="AG16" t="s">
        <v>258</v>
      </c>
      <c r="AK16" t="s">
        <v>262</v>
      </c>
      <c r="AL16" t="s">
        <v>261</v>
      </c>
      <c r="AN16" t="s">
        <v>261</v>
      </c>
      <c r="AO16" t="s">
        <v>262</v>
      </c>
      <c r="AU16" t="s">
        <v>256</v>
      </c>
      <c r="BA16" t="s">
        <v>256</v>
      </c>
      <c r="BB16" t="s">
        <v>256</v>
      </c>
      <c r="BC16" t="s">
        <v>256</v>
      </c>
      <c r="BE16" t="s">
        <v>263</v>
      </c>
      <c r="BN16" t="s">
        <v>256</v>
      </c>
      <c r="BO16" t="s">
        <v>256</v>
      </c>
      <c r="BQ16" t="s">
        <v>264</v>
      </c>
      <c r="BR16" t="s">
        <v>254</v>
      </c>
      <c r="BS16" t="s">
        <v>257</v>
      </c>
      <c r="BT16" t="s">
        <v>257</v>
      </c>
      <c r="BU16" t="s">
        <v>265</v>
      </c>
      <c r="BV16" t="s">
        <v>265</v>
      </c>
      <c r="BW16" t="s">
        <v>262</v>
      </c>
      <c r="BX16" t="s">
        <v>260</v>
      </c>
      <c r="BY16" t="s">
        <v>260</v>
      </c>
      <c r="BZ16" t="s">
        <v>259</v>
      </c>
      <c r="CA16" t="s">
        <v>259</v>
      </c>
      <c r="CB16" t="s">
        <v>259</v>
      </c>
      <c r="CC16" t="s">
        <v>266</v>
      </c>
      <c r="CD16" t="s">
        <v>256</v>
      </c>
      <c r="CE16" t="s">
        <v>256</v>
      </c>
      <c r="CF16" t="s">
        <v>256</v>
      </c>
      <c r="CK16" t="s">
        <v>256</v>
      </c>
      <c r="CN16" t="s">
        <v>259</v>
      </c>
      <c r="CO16" t="s">
        <v>259</v>
      </c>
      <c r="CP16" t="s">
        <v>259</v>
      </c>
      <c r="CQ16" t="s">
        <v>259</v>
      </c>
      <c r="CR16" t="s">
        <v>259</v>
      </c>
      <c r="CS16" t="s">
        <v>256</v>
      </c>
      <c r="CT16" t="s">
        <v>256</v>
      </c>
      <c r="CU16" t="s">
        <v>256</v>
      </c>
      <c r="CV16" t="s">
        <v>254</v>
      </c>
      <c r="CX16" t="s">
        <v>267</v>
      </c>
      <c r="CY16" t="s">
        <v>267</v>
      </c>
      <c r="DA16" t="s">
        <v>254</v>
      </c>
      <c r="DB16" t="s">
        <v>268</v>
      </c>
      <c r="DE16" t="s">
        <v>269</v>
      </c>
      <c r="DF16" t="s">
        <v>270</v>
      </c>
      <c r="DG16" t="s">
        <v>269</v>
      </c>
      <c r="DH16" t="s">
        <v>270</v>
      </c>
      <c r="DI16" t="s">
        <v>261</v>
      </c>
      <c r="DJ16" t="s">
        <v>261</v>
      </c>
      <c r="DK16" t="s">
        <v>256</v>
      </c>
      <c r="DL16" t="s">
        <v>271</v>
      </c>
      <c r="DM16" t="s">
        <v>256</v>
      </c>
      <c r="DO16" t="s">
        <v>257</v>
      </c>
      <c r="DP16" t="s">
        <v>272</v>
      </c>
      <c r="DQ16" t="s">
        <v>257</v>
      </c>
      <c r="DS16" t="s">
        <v>255</v>
      </c>
      <c r="DT16" t="s">
        <v>273</v>
      </c>
      <c r="DU16" t="s">
        <v>255</v>
      </c>
      <c r="DZ16" t="s">
        <v>274</v>
      </c>
      <c r="EA16" t="s">
        <v>274</v>
      </c>
      <c r="EB16" t="s">
        <v>274</v>
      </c>
      <c r="EC16" t="s">
        <v>274</v>
      </c>
      <c r="ED16" t="s">
        <v>274</v>
      </c>
      <c r="EE16" t="s">
        <v>274</v>
      </c>
      <c r="EF16" t="s">
        <v>274</v>
      </c>
      <c r="EG16" t="s">
        <v>274</v>
      </c>
      <c r="EH16" t="s">
        <v>274</v>
      </c>
      <c r="EI16" t="s">
        <v>274</v>
      </c>
      <c r="EJ16" t="s">
        <v>274</v>
      </c>
      <c r="EK16" t="s">
        <v>274</v>
      </c>
      <c r="ER16" t="s">
        <v>274</v>
      </c>
      <c r="ES16" t="s">
        <v>261</v>
      </c>
      <c r="ET16" t="s">
        <v>261</v>
      </c>
      <c r="EU16" t="s">
        <v>269</v>
      </c>
      <c r="EV16" t="s">
        <v>270</v>
      </c>
      <c r="EX16" t="s">
        <v>262</v>
      </c>
      <c r="EY16" t="s">
        <v>262</v>
      </c>
      <c r="EZ16" t="s">
        <v>259</v>
      </c>
      <c r="FA16" t="s">
        <v>259</v>
      </c>
      <c r="FB16" t="s">
        <v>259</v>
      </c>
      <c r="FC16" t="s">
        <v>259</v>
      </c>
      <c r="FD16" t="s">
        <v>259</v>
      </c>
      <c r="FE16" t="s">
        <v>261</v>
      </c>
      <c r="FF16" t="s">
        <v>261</v>
      </c>
      <c r="FG16" t="s">
        <v>261</v>
      </c>
      <c r="FH16" t="s">
        <v>259</v>
      </c>
      <c r="FI16" t="s">
        <v>257</v>
      </c>
      <c r="FJ16" t="s">
        <v>265</v>
      </c>
      <c r="FK16" t="s">
        <v>261</v>
      </c>
      <c r="FL16" t="s">
        <v>261</v>
      </c>
    </row>
    <row r="17" spans="1:168" x14ac:dyDescent="0.35">
      <c r="A17">
        <v>1</v>
      </c>
      <c r="B17">
        <v>1562699802.4000001</v>
      </c>
      <c r="C17">
        <v>0</v>
      </c>
      <c r="D17" t="s">
        <v>275</v>
      </c>
      <c r="E17" t="s">
        <v>276</v>
      </c>
      <c r="F17" t="s">
        <v>277</v>
      </c>
      <c r="G17" t="s">
        <v>278</v>
      </c>
      <c r="H17" t="s">
        <v>277</v>
      </c>
      <c r="J17" t="s">
        <v>277</v>
      </c>
      <c r="K17">
        <v>1562699794.4000001</v>
      </c>
      <c r="L17">
        <f t="shared" ref="L17:L28" si="0">BW17*AM17*(BU17-BV17)/(100*$B$5*(1000-AM17*BU17))</f>
        <v>7.7844067929173826E-3</v>
      </c>
      <c r="M17">
        <f t="shared" ref="M17:M28" si="1">BW17*AM17*(BT17-BS17*(1000-AM17*BV17)/(1000-AM17*BU17))/(100*$B$5)</f>
        <v>30.14800954990389</v>
      </c>
      <c r="N17">
        <f t="shared" ref="N17:N28" si="2">BS17 - IF(AM17&gt;1, M17*$B$5*100/(AO17*CC17), 0)</f>
        <v>360.43928818918283</v>
      </c>
      <c r="O17">
        <f t="shared" ref="O17:O28" si="3">((U17-L17/2)*N17-M17)/(U17+L17/2)</f>
        <v>242.3805689358739</v>
      </c>
      <c r="P17">
        <f t="shared" ref="P17:P28" si="4">O17*(BX17+BY17)/1000</f>
        <v>24.040374776206015</v>
      </c>
      <c r="Q17">
        <f t="shared" ref="Q17:Q28" si="5">(BS17 - IF(AM17&gt;1, M17*$B$5*100/(AO17*CC17), 0))*(BX17+BY17)/1000</f>
        <v>35.749959702542775</v>
      </c>
      <c r="R17">
        <f t="shared" ref="R17:R28" si="6">2/((1/T17-1/S17)+SIGN(T17)*SQRT((1/T17-1/S17)*(1/T17-1/S17) + 4*$C$5/(($C$5+1)*($C$5+1))*(2*1/T17*1/S17-1/S17*1/S17)))</f>
        <v>0.48528987766071713</v>
      </c>
      <c r="S17">
        <f t="shared" ref="S17:S28" si="7">AJ17+AI17*$B$5+AH17*$B$5*$B$5</f>
        <v>2.2465747764765589</v>
      </c>
      <c r="T17">
        <f t="shared" ref="T17:T28" si="8">L17*(1000-(1000*0.61365*EXP(17.502*X17/(240.97+X17))/(BX17+BY17)+BU17)/2)/(1000*0.61365*EXP(17.502*X17/(240.97+X17))/(BX17+BY17)-BU17)</f>
        <v>0.4336987513559456</v>
      </c>
      <c r="U17">
        <f t="shared" ref="U17:U28" si="9">1/(($C$5+1)/(R17/1.6)+1/(S17/1.37)) + $C$5/(($C$5+1)/(R17/1.6) + $C$5/(S17/1.37))</f>
        <v>0.27523851902491325</v>
      </c>
      <c r="V17">
        <f t="shared" ref="V17:V28" si="10">(BO17*BQ17)</f>
        <v>353.33765258389116</v>
      </c>
      <c r="W17">
        <f t="shared" ref="W17:W28" si="11">(BZ17+(V17+2*0.95*0.0000000567*(((BZ17+$B$7)+273)^4-(BZ17+273)^4)-44100*L17)/(1.84*29.3*S17+8*0.95*0.0000000567*(BZ17+273)^3))</f>
        <v>25.972587789021876</v>
      </c>
      <c r="X17">
        <f t="shared" ref="X17:X28" si="12">($C$7*CA17+$D$7*CB17+$E$7*W17)</f>
        <v>27.000954838709699</v>
      </c>
      <c r="Y17">
        <f t="shared" ref="Y17:Y28" si="13">0.61365*EXP(17.502*X17/(240.97+X17))</f>
        <v>3.579360417111892</v>
      </c>
      <c r="Z17">
        <f t="shared" ref="Z17:Z28" si="14">(AA17/AB17*100)</f>
        <v>55.097591621418154</v>
      </c>
      <c r="AA17">
        <f t="shared" ref="AA17:AA28" si="15">BU17*(BX17+BY17)/1000</f>
        <v>1.8478171572601196</v>
      </c>
      <c r="AB17">
        <f t="shared" ref="AB17:AB28" si="16">0.61365*EXP(17.502*BZ17/(240.97+BZ17))</f>
        <v>3.3537167467440003</v>
      </c>
      <c r="AC17">
        <f t="shared" ref="AC17:AC28" si="17">(Y17-BU17*(BX17+BY17)/1000)</f>
        <v>1.7315432598517724</v>
      </c>
      <c r="AD17">
        <f t="shared" ref="AD17:AD28" si="18">(-L17*44100)</f>
        <v>-343.2923395676566</v>
      </c>
      <c r="AE17">
        <f t="shared" ref="AE17:AE28" si="19">2*29.3*S17*0.92*(BZ17-X17)</f>
        <v>-133.72682647896653</v>
      </c>
      <c r="AF17">
        <f t="shared" ref="AF17:AF28" si="20">2*0.95*0.0000000567*(((BZ17+$B$7)+273)^4-(X17+273)^4)</f>
        <v>-12.775517756315102</v>
      </c>
      <c r="AG17">
        <f t="shared" ref="AG17:AG28" si="21">V17+AF17+AD17+AE17</f>
        <v>-136.45703121904705</v>
      </c>
      <c r="AH17">
        <v>-4.1091598743853902E-2</v>
      </c>
      <c r="AI17">
        <v>4.6128919411738203E-2</v>
      </c>
      <c r="AJ17">
        <v>3.44909881478487</v>
      </c>
      <c r="AK17">
        <v>1</v>
      </c>
      <c r="AL17">
        <v>0</v>
      </c>
      <c r="AM17">
        <f t="shared" ref="AM17:AM28" si="22">IF(AK17*$H$13&gt;=AO17,1,(AO17/(AO17-AK17*$H$13)))</f>
        <v>1.0000380304185417</v>
      </c>
      <c r="AN17">
        <f t="shared" ref="AN17:AN28" si="23">(AM17-1)*100</f>
        <v>3.8030418541667999E-3</v>
      </c>
      <c r="AO17">
        <f t="shared" ref="AO17:AO28" si="24">MAX(0,($B$13+$C$13*CC17)/(1+$D$13*CC17)*BX17/(BZ17+273)*$E$13)</f>
        <v>52591.481701569639</v>
      </c>
      <c r="AP17" t="s">
        <v>279</v>
      </c>
      <c r="AQ17">
        <v>687.861538461539</v>
      </c>
      <c r="AR17">
        <v>4005.07</v>
      </c>
      <c r="AS17">
        <f t="shared" ref="AS17:AS28" si="25">AR17-AQ17</f>
        <v>3317.2084615384611</v>
      </c>
      <c r="AT17">
        <f t="shared" ref="AT17:AT28" si="26">AS17/AR17</f>
        <v>0.82825230558728336</v>
      </c>
      <c r="AU17">
        <v>-4.0580585712533601</v>
      </c>
      <c r="AV17" t="s">
        <v>280</v>
      </c>
      <c r="AW17">
        <v>904.53280769230798</v>
      </c>
      <c r="AX17">
        <v>1233.1500000000001</v>
      </c>
      <c r="AY17">
        <f t="shared" ref="AY17:AY28" si="27">1-AW17/AX17</f>
        <v>0.26648598492291453</v>
      </c>
      <c r="AZ17">
        <v>0.5</v>
      </c>
      <c r="BA17">
        <f t="shared" ref="BA17:BA28" si="28">BO17</f>
        <v>1849.1659935753719</v>
      </c>
      <c r="BB17">
        <f t="shared" ref="BB17:BB28" si="29">M17</f>
        <v>30.14800954990389</v>
      </c>
      <c r="BC17">
        <f t="shared" ref="BC17:BC28" si="30">AY17*AZ17*BA17</f>
        <v>246.3884105419464</v>
      </c>
      <c r="BD17">
        <f t="shared" ref="BD17:BD28" si="31">BI17/AX17</f>
        <v>0.50225033450918388</v>
      </c>
      <c r="BE17">
        <f t="shared" ref="BE17:BE28" si="32">(BB17-AU17)/BA17</f>
        <v>1.8498105762273752E-2</v>
      </c>
      <c r="BF17">
        <f t="shared" ref="BF17:BF28" si="33">(AR17-AX17)/AX17</f>
        <v>2.2478368406114422</v>
      </c>
      <c r="BG17" t="s">
        <v>281</v>
      </c>
      <c r="BH17">
        <v>613.79999999999995</v>
      </c>
      <c r="BI17">
        <f t="shared" ref="BI17:BI28" si="34">AX17-BH17</f>
        <v>619.35000000000014</v>
      </c>
      <c r="BJ17">
        <f t="shared" ref="BJ17:BJ28" si="35">(AX17-AW17)/(AX17-BH17)</f>
        <v>0.5305839869341924</v>
      </c>
      <c r="BK17">
        <f t="shared" ref="BK17:BK28" si="36">(AR17-AX17)/(AR17-BH17)</f>
        <v>0.81736930412500319</v>
      </c>
      <c r="BL17">
        <f t="shared" ref="BL17:BL28" si="37">(AX17-AW17)/(AX17-AQ17)</f>
        <v>0.60264835126080074</v>
      </c>
      <c r="BM17">
        <f t="shared" ref="BM17:BM28" si="38">(AR17-AX17)/(AR17-AQ17)</f>
        <v>0.83561827124799803</v>
      </c>
      <c r="BN17">
        <f t="shared" ref="BN17:BN28" si="39">$B$11*CD17+$C$11*CE17+$F$11*CF17</f>
        <v>2199.9745161290298</v>
      </c>
      <c r="BO17">
        <f t="shared" ref="BO17:BO28" si="40">BN17*BP17</f>
        <v>1849.1659935753719</v>
      </c>
      <c r="BP17">
        <f t="shared" ref="BP17:BP28" si="41">($B$11*$D$9+$C$11*$D$9+$F$11*((CS17+CK17)/MAX(CS17+CK17+CT17, 0.1)*$I$9+CT17/MAX(CS17+CK17+CT17, 0.1)*$J$9))/($B$11+$C$11+$F$11)</f>
        <v>0.84053973353703937</v>
      </c>
      <c r="BQ17">
        <f t="shared" ref="BQ17:BQ28" si="42">($B$11*$K$9+$C$11*$K$9+$F$11*((CS17+CK17)/MAX(CS17+CK17+CT17, 0.1)*$P$9+CT17/MAX(CS17+CK17+CT17, 0.1)*$Q$9))/($B$11+$C$11+$F$11)</f>
        <v>0.19107946707407863</v>
      </c>
      <c r="BR17">
        <v>1562699794.4000001</v>
      </c>
      <c r="BS17">
        <v>360.43932258064501</v>
      </c>
      <c r="BT17">
        <v>399.979806451613</v>
      </c>
      <c r="BU17">
        <v>18.630116129032299</v>
      </c>
      <c r="BV17">
        <v>9.4638429032258102</v>
      </c>
      <c r="BW17">
        <v>500.03438709677403</v>
      </c>
      <c r="BX17">
        <v>99.084383870967699</v>
      </c>
      <c r="BY17">
        <v>0.100030464516129</v>
      </c>
      <c r="BZ17">
        <v>25.896845161290301</v>
      </c>
      <c r="CA17">
        <v>27.000954838709699</v>
      </c>
      <c r="CB17">
        <v>999.9</v>
      </c>
      <c r="CC17">
        <v>10001.009677419401</v>
      </c>
      <c r="CD17">
        <v>0</v>
      </c>
      <c r="CE17">
        <v>196.71296774193499</v>
      </c>
      <c r="CF17">
        <v>2199.9745161290298</v>
      </c>
      <c r="CG17">
        <v>0.98199393548387104</v>
      </c>
      <c r="CH17">
        <v>1.8006387096774198E-2</v>
      </c>
      <c r="CI17">
        <v>0</v>
      </c>
      <c r="CJ17">
        <v>904.67829032258101</v>
      </c>
      <c r="CK17">
        <v>1.9999499999999999</v>
      </c>
      <c r="CL17">
        <v>20732.367741935501</v>
      </c>
      <c r="CM17">
        <v>17938</v>
      </c>
      <c r="CN17">
        <v>49.653064516129</v>
      </c>
      <c r="CO17">
        <v>50.316064516129003</v>
      </c>
      <c r="CP17">
        <v>49.933</v>
      </c>
      <c r="CQ17">
        <v>49.527999999999999</v>
      </c>
      <c r="CR17">
        <v>50.536000000000001</v>
      </c>
      <c r="CS17">
        <v>2158.3945161290299</v>
      </c>
      <c r="CT17">
        <v>39.58</v>
      </c>
      <c r="CU17">
        <v>0</v>
      </c>
      <c r="CV17">
        <v>1019.59999990463</v>
      </c>
      <c r="CW17">
        <v>904.53280769230798</v>
      </c>
      <c r="CX17">
        <v>-12.6891965629118</v>
      </c>
      <c r="CY17">
        <v>-284.52991420229</v>
      </c>
      <c r="CZ17">
        <v>20729.026923076901</v>
      </c>
      <c r="DA17">
        <v>15</v>
      </c>
      <c r="DB17">
        <v>1562699757.9000001</v>
      </c>
      <c r="DC17" t="s">
        <v>282</v>
      </c>
      <c r="DD17">
        <v>77</v>
      </c>
      <c r="DE17">
        <v>0.36799999999999999</v>
      </c>
      <c r="DF17">
        <v>3.1E-2</v>
      </c>
      <c r="DG17">
        <v>400</v>
      </c>
      <c r="DH17">
        <v>9</v>
      </c>
      <c r="DI17">
        <v>0.03</v>
      </c>
      <c r="DJ17">
        <v>0.01</v>
      </c>
      <c r="DK17">
        <v>30.2158964870736</v>
      </c>
      <c r="DL17">
        <v>-0.22601225601489999</v>
      </c>
      <c r="DM17">
        <v>0.29406017719041599</v>
      </c>
      <c r="DN17">
        <v>1</v>
      </c>
      <c r="DO17">
        <v>360.36104166666701</v>
      </c>
      <c r="DP17">
        <v>0.48708277059607802</v>
      </c>
      <c r="DQ17">
        <v>9.6944491205019301E-2</v>
      </c>
      <c r="DR17">
        <v>1</v>
      </c>
      <c r="DS17">
        <v>0.48297709883761197</v>
      </c>
      <c r="DT17">
        <v>3.45539250081087E-2</v>
      </c>
      <c r="DU17">
        <v>1.2917458229659401E-2</v>
      </c>
      <c r="DV17">
        <v>1</v>
      </c>
      <c r="DW17">
        <v>3</v>
      </c>
      <c r="DX17">
        <v>3</v>
      </c>
      <c r="DY17" t="s">
        <v>283</v>
      </c>
      <c r="DZ17">
        <v>1.8666100000000001</v>
      </c>
      <c r="EA17">
        <v>1.8631</v>
      </c>
      <c r="EB17">
        <v>1.8687</v>
      </c>
      <c r="EC17">
        <v>1.86663</v>
      </c>
      <c r="ED17">
        <v>1.87134</v>
      </c>
      <c r="EE17">
        <v>1.86375</v>
      </c>
      <c r="EF17">
        <v>1.8652500000000001</v>
      </c>
      <c r="EG17">
        <v>1.8652299999999999</v>
      </c>
      <c r="EH17" t="s">
        <v>284</v>
      </c>
      <c r="EI17" t="s">
        <v>19</v>
      </c>
      <c r="EJ17" t="s">
        <v>19</v>
      </c>
      <c r="EK17" t="s">
        <v>19</v>
      </c>
      <c r="EL17" t="s">
        <v>285</v>
      </c>
      <c r="EM17" t="s">
        <v>286</v>
      </c>
      <c r="EN17" t="s">
        <v>287</v>
      </c>
      <c r="EO17" t="s">
        <v>287</v>
      </c>
      <c r="EP17" t="s">
        <v>287</v>
      </c>
      <c r="EQ17" t="s">
        <v>287</v>
      </c>
      <c r="ER17">
        <v>0</v>
      </c>
      <c r="ES17">
        <v>100</v>
      </c>
      <c r="ET17">
        <v>100</v>
      </c>
      <c r="EU17">
        <v>0.36799999999999999</v>
      </c>
      <c r="EV17">
        <v>3.1E-2</v>
      </c>
      <c r="EW17">
        <v>2</v>
      </c>
      <c r="EX17">
        <v>499.02300000000002</v>
      </c>
      <c r="EY17">
        <v>470.87700000000001</v>
      </c>
      <c r="EZ17">
        <v>18.470099999999999</v>
      </c>
      <c r="FA17">
        <v>36.337299999999999</v>
      </c>
      <c r="FB17">
        <v>30.0002</v>
      </c>
      <c r="FC17">
        <v>36.115200000000002</v>
      </c>
      <c r="FD17">
        <v>36.069099999999999</v>
      </c>
      <c r="FE17">
        <v>22.217199999999998</v>
      </c>
      <c r="FF17">
        <v>69.945899999999995</v>
      </c>
      <c r="FG17">
        <v>0</v>
      </c>
      <c r="FH17">
        <v>19.023800000000001</v>
      </c>
      <c r="FI17">
        <v>400</v>
      </c>
      <c r="FJ17">
        <v>9.4878699999999991</v>
      </c>
      <c r="FK17">
        <v>100.2</v>
      </c>
      <c r="FL17">
        <v>100.65600000000001</v>
      </c>
    </row>
    <row r="18" spans="1:168" x14ac:dyDescent="0.35">
      <c r="A18">
        <v>2</v>
      </c>
      <c r="B18">
        <v>1562699926.9000001</v>
      </c>
      <c r="C18">
        <v>124.5</v>
      </c>
      <c r="D18" t="s">
        <v>288</v>
      </c>
      <c r="E18" t="s">
        <v>289</v>
      </c>
      <c r="F18" t="s">
        <v>277</v>
      </c>
      <c r="G18" t="s">
        <v>278</v>
      </c>
      <c r="H18" t="s">
        <v>277</v>
      </c>
      <c r="J18" t="s">
        <v>277</v>
      </c>
      <c r="K18">
        <v>1562699918.9000001</v>
      </c>
      <c r="L18">
        <f t="shared" si="0"/>
        <v>7.4411100825428171E-3</v>
      </c>
      <c r="M18">
        <f t="shared" si="1"/>
        <v>22.26996893117132</v>
      </c>
      <c r="N18">
        <f t="shared" si="2"/>
        <v>270.87081326156783</v>
      </c>
      <c r="O18">
        <f t="shared" si="3"/>
        <v>180.00594132052498</v>
      </c>
      <c r="P18">
        <f t="shared" si="4"/>
        <v>17.853985198203134</v>
      </c>
      <c r="Q18">
        <f t="shared" si="5"/>
        <v>26.866465935065463</v>
      </c>
      <c r="R18">
        <f t="shared" si="6"/>
        <v>0.46272113446455365</v>
      </c>
      <c r="S18">
        <f t="shared" si="7"/>
        <v>2.24517381766616</v>
      </c>
      <c r="T18">
        <f t="shared" si="8"/>
        <v>0.41554178625648575</v>
      </c>
      <c r="U18">
        <f t="shared" si="9"/>
        <v>0.2635504810809835</v>
      </c>
      <c r="V18">
        <f t="shared" si="10"/>
        <v>353.34120495802011</v>
      </c>
      <c r="W18">
        <f t="shared" si="11"/>
        <v>26.058786318507291</v>
      </c>
      <c r="X18">
        <f t="shared" si="12"/>
        <v>27.000938709677399</v>
      </c>
      <c r="Y18">
        <f t="shared" si="13"/>
        <v>3.5793570264165244</v>
      </c>
      <c r="Z18">
        <f t="shared" si="14"/>
        <v>55.310371779420876</v>
      </c>
      <c r="AA18">
        <f t="shared" si="15"/>
        <v>1.8518694064827188</v>
      </c>
      <c r="AB18">
        <f t="shared" si="16"/>
        <v>3.34814131040019</v>
      </c>
      <c r="AC18">
        <f t="shared" si="17"/>
        <v>1.7274876199338056</v>
      </c>
      <c r="AD18">
        <f t="shared" si="18"/>
        <v>-328.15295464013826</v>
      </c>
      <c r="AE18">
        <f t="shared" si="19"/>
        <v>-137.04197642363118</v>
      </c>
      <c r="AF18">
        <f t="shared" si="20"/>
        <v>-13.098555890020934</v>
      </c>
      <c r="AG18">
        <f t="shared" si="21"/>
        <v>-124.95228199577025</v>
      </c>
      <c r="AH18">
        <v>-4.1053945288103501E-2</v>
      </c>
      <c r="AI18">
        <v>4.6086650109034399E-2</v>
      </c>
      <c r="AJ18">
        <v>3.4465959473836798</v>
      </c>
      <c r="AK18">
        <v>1</v>
      </c>
      <c r="AL18">
        <v>0</v>
      </c>
      <c r="AM18">
        <f t="shared" si="22"/>
        <v>1.0000380602816743</v>
      </c>
      <c r="AN18">
        <f t="shared" si="23"/>
        <v>3.8060281674301422E-3</v>
      </c>
      <c r="AO18">
        <f t="shared" si="24"/>
        <v>52550.218563178707</v>
      </c>
      <c r="AP18" t="s">
        <v>279</v>
      </c>
      <c r="AQ18">
        <v>687.861538461539</v>
      </c>
      <c r="AR18">
        <v>4005.07</v>
      </c>
      <c r="AS18">
        <f t="shared" si="25"/>
        <v>3317.2084615384611</v>
      </c>
      <c r="AT18">
        <f t="shared" si="26"/>
        <v>0.82825230558728336</v>
      </c>
      <c r="AU18">
        <v>-4.0580585712533601</v>
      </c>
      <c r="AV18" t="s">
        <v>290</v>
      </c>
      <c r="AW18">
        <v>854.40899999999999</v>
      </c>
      <c r="AX18">
        <v>1121.7</v>
      </c>
      <c r="AY18">
        <f t="shared" si="27"/>
        <v>0.2382909868948917</v>
      </c>
      <c r="AZ18">
        <v>0.5</v>
      </c>
      <c r="BA18">
        <f t="shared" si="28"/>
        <v>1849.1846903495687</v>
      </c>
      <c r="BB18">
        <f t="shared" si="29"/>
        <v>22.26996893117132</v>
      </c>
      <c r="BC18">
        <f t="shared" si="30"/>
        <v>220.32202240716171</v>
      </c>
      <c r="BD18">
        <f t="shared" si="31"/>
        <v>0.47009004190068648</v>
      </c>
      <c r="BE18">
        <f t="shared" si="32"/>
        <v>1.4237640858603285E-2</v>
      </c>
      <c r="BF18">
        <f t="shared" si="33"/>
        <v>2.5705357938842828</v>
      </c>
      <c r="BG18" t="s">
        <v>291</v>
      </c>
      <c r="BH18">
        <v>594.4</v>
      </c>
      <c r="BI18">
        <f t="shared" si="34"/>
        <v>527.30000000000007</v>
      </c>
      <c r="BJ18">
        <f t="shared" si="35"/>
        <v>0.50690498767305148</v>
      </c>
      <c r="BK18">
        <f t="shared" si="36"/>
        <v>0.84539694546819244</v>
      </c>
      <c r="BL18">
        <f t="shared" si="37"/>
        <v>0.61610720048227885</v>
      </c>
      <c r="BM18">
        <f t="shared" si="38"/>
        <v>0.86921579799140669</v>
      </c>
      <c r="BN18">
        <f t="shared" si="39"/>
        <v>2199.9967741935502</v>
      </c>
      <c r="BO18">
        <f t="shared" si="40"/>
        <v>1849.1846903495687</v>
      </c>
      <c r="BP18">
        <f t="shared" si="41"/>
        <v>0.840539728076384</v>
      </c>
      <c r="BQ18">
        <f t="shared" si="42"/>
        <v>0.19107945615276792</v>
      </c>
      <c r="BR18">
        <v>1562699918.9000001</v>
      </c>
      <c r="BS18">
        <v>270.870838709677</v>
      </c>
      <c r="BT18">
        <v>300.00983870967701</v>
      </c>
      <c r="BU18">
        <v>18.670761290322599</v>
      </c>
      <c r="BV18">
        <v>9.9092806451612905</v>
      </c>
      <c r="BW18">
        <v>500.04532258064501</v>
      </c>
      <c r="BX18">
        <v>99.085499999999996</v>
      </c>
      <c r="BY18">
        <v>0.100032806451613</v>
      </c>
      <c r="BZ18">
        <v>25.8687516129032</v>
      </c>
      <c r="CA18">
        <v>27.000938709677399</v>
      </c>
      <c r="CB18">
        <v>999.9</v>
      </c>
      <c r="CC18">
        <v>9991.7329032258094</v>
      </c>
      <c r="CD18">
        <v>0</v>
      </c>
      <c r="CE18">
        <v>197.03464516129</v>
      </c>
      <c r="CF18">
        <v>2199.9967741935502</v>
      </c>
      <c r="CG18">
        <v>0.98199422580645201</v>
      </c>
      <c r="CH18">
        <v>1.8006145161290298E-2</v>
      </c>
      <c r="CI18">
        <v>0</v>
      </c>
      <c r="CJ18">
        <v>854.41490322580603</v>
      </c>
      <c r="CK18">
        <v>1.9999499999999999</v>
      </c>
      <c r="CL18">
        <v>19617.1161290323</v>
      </c>
      <c r="CM18">
        <v>17938.193548387098</v>
      </c>
      <c r="CN18">
        <v>49.534064516129</v>
      </c>
      <c r="CO18">
        <v>50.183064516129001</v>
      </c>
      <c r="CP18">
        <v>49.846548387096803</v>
      </c>
      <c r="CQ18">
        <v>49.412999999999997</v>
      </c>
      <c r="CR18">
        <v>50.437064516128999</v>
      </c>
      <c r="CS18">
        <v>2158.4167741935498</v>
      </c>
      <c r="CT18">
        <v>39.58</v>
      </c>
      <c r="CU18">
        <v>0</v>
      </c>
      <c r="CV18">
        <v>123.5</v>
      </c>
      <c r="CW18">
        <v>854.40899999999999</v>
      </c>
      <c r="CX18">
        <v>-4.7309401642013196</v>
      </c>
      <c r="CY18">
        <v>-125.699145184784</v>
      </c>
      <c r="CZ18">
        <v>19616.6115384615</v>
      </c>
      <c r="DA18">
        <v>15</v>
      </c>
      <c r="DB18">
        <v>1562699881.9000001</v>
      </c>
      <c r="DC18" t="s">
        <v>292</v>
      </c>
      <c r="DD18">
        <v>78</v>
      </c>
      <c r="DE18">
        <v>0.26600000000000001</v>
      </c>
      <c r="DF18">
        <v>3.1E-2</v>
      </c>
      <c r="DG18">
        <v>300</v>
      </c>
      <c r="DH18">
        <v>9</v>
      </c>
      <c r="DI18">
        <v>0.08</v>
      </c>
      <c r="DJ18">
        <v>0.01</v>
      </c>
      <c r="DK18">
        <v>22.2294608320191</v>
      </c>
      <c r="DL18">
        <v>0.17919324363403399</v>
      </c>
      <c r="DM18">
        <v>0.102833769079336</v>
      </c>
      <c r="DN18">
        <v>1</v>
      </c>
      <c r="DO18">
        <v>270.91412500000001</v>
      </c>
      <c r="DP18">
        <v>-0.21223808605050201</v>
      </c>
      <c r="DQ18">
        <v>4.1902644274821599E-2</v>
      </c>
      <c r="DR18">
        <v>1</v>
      </c>
      <c r="DS18">
        <v>0.45143333435441602</v>
      </c>
      <c r="DT18">
        <v>6.2004657102241602E-2</v>
      </c>
      <c r="DU18">
        <v>1.25259980239512E-2</v>
      </c>
      <c r="DV18">
        <v>1</v>
      </c>
      <c r="DW18">
        <v>3</v>
      </c>
      <c r="DX18">
        <v>3</v>
      </c>
      <c r="DY18" t="s">
        <v>283</v>
      </c>
      <c r="DZ18">
        <v>1.8666100000000001</v>
      </c>
      <c r="EA18">
        <v>1.8631</v>
      </c>
      <c r="EB18">
        <v>1.86873</v>
      </c>
      <c r="EC18">
        <v>1.86663</v>
      </c>
      <c r="ED18">
        <v>1.87134</v>
      </c>
      <c r="EE18">
        <v>1.86375</v>
      </c>
      <c r="EF18">
        <v>1.86524</v>
      </c>
      <c r="EG18">
        <v>1.8652299999999999</v>
      </c>
      <c r="EH18" t="s">
        <v>284</v>
      </c>
      <c r="EI18" t="s">
        <v>19</v>
      </c>
      <c r="EJ18" t="s">
        <v>19</v>
      </c>
      <c r="EK18" t="s">
        <v>19</v>
      </c>
      <c r="EL18" t="s">
        <v>285</v>
      </c>
      <c r="EM18" t="s">
        <v>286</v>
      </c>
      <c r="EN18" t="s">
        <v>287</v>
      </c>
      <c r="EO18" t="s">
        <v>287</v>
      </c>
      <c r="EP18" t="s">
        <v>287</v>
      </c>
      <c r="EQ18" t="s">
        <v>287</v>
      </c>
      <c r="ER18">
        <v>0</v>
      </c>
      <c r="ES18">
        <v>100</v>
      </c>
      <c r="ET18">
        <v>100</v>
      </c>
      <c r="EU18">
        <v>0.26600000000000001</v>
      </c>
      <c r="EV18">
        <v>3.1E-2</v>
      </c>
      <c r="EW18">
        <v>2</v>
      </c>
      <c r="EX18">
        <v>498.911</v>
      </c>
      <c r="EY18">
        <v>471.84699999999998</v>
      </c>
      <c r="EZ18">
        <v>18.509799999999998</v>
      </c>
      <c r="FA18">
        <v>36.347299999999997</v>
      </c>
      <c r="FB18">
        <v>29.9999</v>
      </c>
      <c r="FC18">
        <v>36.170999999999999</v>
      </c>
      <c r="FD18">
        <v>36.123699999999999</v>
      </c>
      <c r="FE18">
        <v>17.728400000000001</v>
      </c>
      <c r="FF18">
        <v>68.292500000000004</v>
      </c>
      <c r="FG18">
        <v>0</v>
      </c>
      <c r="FH18">
        <v>18.851299999999998</v>
      </c>
      <c r="FI18">
        <v>300</v>
      </c>
      <c r="FJ18">
        <v>9.9315499999999997</v>
      </c>
      <c r="FK18">
        <v>100.197</v>
      </c>
      <c r="FL18">
        <v>100.65900000000001</v>
      </c>
    </row>
    <row r="19" spans="1:168" x14ac:dyDescent="0.35">
      <c r="A19">
        <v>3</v>
      </c>
      <c r="B19">
        <v>1562700067.4000001</v>
      </c>
      <c r="C19">
        <v>265</v>
      </c>
      <c r="D19" t="s">
        <v>293</v>
      </c>
      <c r="E19" t="s">
        <v>294</v>
      </c>
      <c r="F19" t="s">
        <v>277</v>
      </c>
      <c r="G19" t="s">
        <v>278</v>
      </c>
      <c r="H19" t="s">
        <v>277</v>
      </c>
      <c r="J19" t="s">
        <v>277</v>
      </c>
      <c r="K19">
        <v>1562700059.4000001</v>
      </c>
      <c r="L19">
        <f t="shared" si="0"/>
        <v>7.7416123465947756E-3</v>
      </c>
      <c r="M19">
        <f t="shared" si="1"/>
        <v>14.216672031319458</v>
      </c>
      <c r="N19">
        <f t="shared" si="2"/>
        <v>181.24582246956822</v>
      </c>
      <c r="O19">
        <f t="shared" si="3"/>
        <v>125.69108342518652</v>
      </c>
      <c r="P19">
        <f t="shared" si="4"/>
        <v>12.466563529570205</v>
      </c>
      <c r="Q19">
        <f t="shared" si="5"/>
        <v>17.976713213956629</v>
      </c>
      <c r="R19">
        <f t="shared" si="6"/>
        <v>0.48929436544833022</v>
      </c>
      <c r="S19">
        <f t="shared" si="7"/>
        <v>2.2457324594355876</v>
      </c>
      <c r="T19">
        <f t="shared" si="8"/>
        <v>0.43687996603677137</v>
      </c>
      <c r="U19">
        <f t="shared" si="9"/>
        <v>0.27728985081116259</v>
      </c>
      <c r="V19">
        <f t="shared" si="10"/>
        <v>353.33898886621415</v>
      </c>
      <c r="W19">
        <f t="shared" si="11"/>
        <v>26.077093477603153</v>
      </c>
      <c r="X19">
        <f t="shared" si="12"/>
        <v>26.978390322580601</v>
      </c>
      <c r="Y19">
        <f t="shared" si="13"/>
        <v>3.574619575260944</v>
      </c>
      <c r="Z19">
        <f t="shared" si="14"/>
        <v>55.321120440664863</v>
      </c>
      <c r="AA19">
        <f t="shared" si="15"/>
        <v>1.8652517242910462</v>
      </c>
      <c r="AB19">
        <f t="shared" si="16"/>
        <v>3.3716810314636301</v>
      </c>
      <c r="AC19">
        <f t="shared" si="17"/>
        <v>1.7093678509698977</v>
      </c>
      <c r="AD19">
        <f t="shared" si="18"/>
        <v>-341.40510448482962</v>
      </c>
      <c r="AE19">
        <f t="shared" si="19"/>
        <v>-120.01899313102103</v>
      </c>
      <c r="AF19">
        <f t="shared" si="20"/>
        <v>-11.474129528271327</v>
      </c>
      <c r="AG19">
        <f t="shared" si="21"/>
        <v>-119.55923827790781</v>
      </c>
      <c r="AH19">
        <v>-4.1068957324744297E-2</v>
      </c>
      <c r="AI19">
        <v>4.6103502435290399E-2</v>
      </c>
      <c r="AJ19">
        <v>3.4475939085146399</v>
      </c>
      <c r="AK19">
        <v>1</v>
      </c>
      <c r="AL19">
        <v>0</v>
      </c>
      <c r="AM19">
        <f t="shared" si="22"/>
        <v>1.0000380620217448</v>
      </c>
      <c r="AN19">
        <f t="shared" si="23"/>
        <v>3.806202174483353E-3</v>
      </c>
      <c r="AO19">
        <f t="shared" si="24"/>
        <v>52547.816231370969</v>
      </c>
      <c r="AP19" t="s">
        <v>279</v>
      </c>
      <c r="AQ19">
        <v>687.861538461539</v>
      </c>
      <c r="AR19">
        <v>4005.07</v>
      </c>
      <c r="AS19">
        <f t="shared" si="25"/>
        <v>3317.2084615384611</v>
      </c>
      <c r="AT19">
        <f t="shared" si="26"/>
        <v>0.82825230558728336</v>
      </c>
      <c r="AU19">
        <v>-4.0580585712533601</v>
      </c>
      <c r="AV19" t="s">
        <v>295</v>
      </c>
      <c r="AW19">
        <v>836.73634615384594</v>
      </c>
      <c r="AX19">
        <v>1058.06</v>
      </c>
      <c r="AY19">
        <f t="shared" si="27"/>
        <v>0.20917873641017903</v>
      </c>
      <c r="AZ19">
        <v>0.5</v>
      </c>
      <c r="BA19">
        <f t="shared" si="28"/>
        <v>1849.1747417883855</v>
      </c>
      <c r="BB19">
        <f t="shared" si="29"/>
        <v>14.216672031319458</v>
      </c>
      <c r="BC19">
        <f t="shared" si="30"/>
        <v>193.4040179444568</v>
      </c>
      <c r="BD19">
        <f t="shared" si="31"/>
        <v>0.42725365291193312</v>
      </c>
      <c r="BE19">
        <f t="shared" si="32"/>
        <v>9.8826412613114353E-3</v>
      </c>
      <c r="BF19">
        <f t="shared" si="33"/>
        <v>2.785295729920799</v>
      </c>
      <c r="BG19" t="s">
        <v>296</v>
      </c>
      <c r="BH19">
        <v>606</v>
      </c>
      <c r="BI19">
        <f t="shared" si="34"/>
        <v>452.05999999999995</v>
      </c>
      <c r="BJ19">
        <f t="shared" si="35"/>
        <v>0.48958911172444813</v>
      </c>
      <c r="BK19">
        <f t="shared" si="36"/>
        <v>0.86700479837131927</v>
      </c>
      <c r="BL19">
        <f t="shared" si="37"/>
        <v>0.59785136039297149</v>
      </c>
      <c r="BM19">
        <f t="shared" si="38"/>
        <v>0.88840060375139362</v>
      </c>
      <c r="BN19">
        <f t="shared" si="39"/>
        <v>2199.9851612903199</v>
      </c>
      <c r="BO19">
        <f t="shared" si="40"/>
        <v>1849.1747417883855</v>
      </c>
      <c r="BP19">
        <f t="shared" si="41"/>
        <v>0.84053964286914573</v>
      </c>
      <c r="BQ19">
        <f t="shared" si="42"/>
        <v>0.19107928573829142</v>
      </c>
      <c r="BR19">
        <v>1562700059.4000001</v>
      </c>
      <c r="BS19">
        <v>181.245838709677</v>
      </c>
      <c r="BT19">
        <v>199.98758064516099</v>
      </c>
      <c r="BU19">
        <v>18.8059451612903</v>
      </c>
      <c r="BV19">
        <v>9.6917396774193492</v>
      </c>
      <c r="BW19">
        <v>500.03674193548397</v>
      </c>
      <c r="BX19">
        <v>99.0841322580645</v>
      </c>
      <c r="BY19">
        <v>0.100019790322581</v>
      </c>
      <c r="BZ19">
        <v>25.9870870967742</v>
      </c>
      <c r="CA19">
        <v>26.978390322580601</v>
      </c>
      <c r="CB19">
        <v>999.9</v>
      </c>
      <c r="CC19">
        <v>9995.5245161290295</v>
      </c>
      <c r="CD19">
        <v>0</v>
      </c>
      <c r="CE19">
        <v>220.371677419355</v>
      </c>
      <c r="CF19">
        <v>2199.9851612903199</v>
      </c>
      <c r="CG19">
        <v>0.98199632258064495</v>
      </c>
      <c r="CH19">
        <v>1.8003867741935499E-2</v>
      </c>
      <c r="CI19">
        <v>0</v>
      </c>
      <c r="CJ19">
        <v>836.78503225806401</v>
      </c>
      <c r="CK19">
        <v>1.9999499999999999</v>
      </c>
      <c r="CL19">
        <v>19223.329032258102</v>
      </c>
      <c r="CM19">
        <v>17938.1161290323</v>
      </c>
      <c r="CN19">
        <v>49.395000000000003</v>
      </c>
      <c r="CO19">
        <v>49.971548387096803</v>
      </c>
      <c r="CP19">
        <v>49.686999999999998</v>
      </c>
      <c r="CQ19">
        <v>49.2093548387097</v>
      </c>
      <c r="CR19">
        <v>50.283999999999999</v>
      </c>
      <c r="CS19">
        <v>2158.4119354838699</v>
      </c>
      <c r="CT19">
        <v>39.5735483870968</v>
      </c>
      <c r="CU19">
        <v>0</v>
      </c>
      <c r="CV19">
        <v>139.89999985694899</v>
      </c>
      <c r="CW19">
        <v>836.73634615384594</v>
      </c>
      <c r="CX19">
        <v>-6.6823589730812403</v>
      </c>
      <c r="CY19">
        <v>-112.70085482910299</v>
      </c>
      <c r="CZ19">
        <v>19222.257692307699</v>
      </c>
      <c r="DA19">
        <v>15</v>
      </c>
      <c r="DB19">
        <v>1562700030.4000001</v>
      </c>
      <c r="DC19" t="s">
        <v>297</v>
      </c>
      <c r="DD19">
        <v>79</v>
      </c>
      <c r="DE19">
        <v>0.14299999999999999</v>
      </c>
      <c r="DF19">
        <v>3.9E-2</v>
      </c>
      <c r="DG19">
        <v>200</v>
      </c>
      <c r="DH19">
        <v>10</v>
      </c>
      <c r="DI19">
        <v>0.09</v>
      </c>
      <c r="DJ19">
        <v>0.01</v>
      </c>
      <c r="DK19">
        <v>12.029098281054999</v>
      </c>
      <c r="DL19">
        <v>17.131283473097</v>
      </c>
      <c r="DM19">
        <v>4.7292729624827601</v>
      </c>
      <c r="DN19">
        <v>0</v>
      </c>
      <c r="DO19">
        <v>182.79868055555599</v>
      </c>
      <c r="DP19">
        <v>-13.845799854576301</v>
      </c>
      <c r="DQ19">
        <v>4.4058524393583198</v>
      </c>
      <c r="DR19">
        <v>0</v>
      </c>
      <c r="DS19">
        <v>0.403141701176228</v>
      </c>
      <c r="DT19">
        <v>0.64084244719129302</v>
      </c>
      <c r="DU19">
        <v>0.165391802797038</v>
      </c>
      <c r="DV19">
        <v>1</v>
      </c>
      <c r="DW19">
        <v>1</v>
      </c>
      <c r="DX19">
        <v>3</v>
      </c>
      <c r="DY19" t="s">
        <v>298</v>
      </c>
      <c r="DZ19">
        <v>1.8666100000000001</v>
      </c>
      <c r="EA19">
        <v>1.8631</v>
      </c>
      <c r="EB19">
        <v>1.8687400000000001</v>
      </c>
      <c r="EC19">
        <v>1.8667199999999999</v>
      </c>
      <c r="ED19">
        <v>1.87134</v>
      </c>
      <c r="EE19">
        <v>1.8638399999999999</v>
      </c>
      <c r="EF19">
        <v>1.8653500000000001</v>
      </c>
      <c r="EG19">
        <v>1.8652500000000001</v>
      </c>
      <c r="EH19" t="s">
        <v>284</v>
      </c>
      <c r="EI19" t="s">
        <v>19</v>
      </c>
      <c r="EJ19" t="s">
        <v>19</v>
      </c>
      <c r="EK19" t="s">
        <v>19</v>
      </c>
      <c r="EL19" t="s">
        <v>285</v>
      </c>
      <c r="EM19" t="s">
        <v>286</v>
      </c>
      <c r="EN19" t="s">
        <v>287</v>
      </c>
      <c r="EO19" t="s">
        <v>287</v>
      </c>
      <c r="EP19" t="s">
        <v>287</v>
      </c>
      <c r="EQ19" t="s">
        <v>287</v>
      </c>
      <c r="ER19">
        <v>0</v>
      </c>
      <c r="ES19">
        <v>100</v>
      </c>
      <c r="ET19">
        <v>100</v>
      </c>
      <c r="EU19">
        <v>0.14299999999999999</v>
      </c>
      <c r="EV19">
        <v>3.9E-2</v>
      </c>
      <c r="EW19">
        <v>2</v>
      </c>
      <c r="EX19">
        <v>498.85700000000003</v>
      </c>
      <c r="EY19">
        <v>472.51400000000001</v>
      </c>
      <c r="EZ19">
        <v>19.333400000000001</v>
      </c>
      <c r="FA19">
        <v>36.218800000000002</v>
      </c>
      <c r="FB19">
        <v>29.999500000000001</v>
      </c>
      <c r="FC19">
        <v>36.119</v>
      </c>
      <c r="FD19">
        <v>36.080500000000001</v>
      </c>
      <c r="FE19">
        <v>13.045299999999999</v>
      </c>
      <c r="FF19">
        <v>69.9953</v>
      </c>
      <c r="FG19">
        <v>0</v>
      </c>
      <c r="FH19">
        <v>19.349599999999999</v>
      </c>
      <c r="FI19">
        <v>200</v>
      </c>
      <c r="FJ19">
        <v>9.5289400000000004</v>
      </c>
      <c r="FK19">
        <v>100.218</v>
      </c>
      <c r="FL19">
        <v>100.688</v>
      </c>
    </row>
    <row r="20" spans="1:168" x14ac:dyDescent="0.35">
      <c r="A20">
        <v>4</v>
      </c>
      <c r="B20">
        <v>1562700205.9000001</v>
      </c>
      <c r="C20">
        <v>403.5</v>
      </c>
      <c r="D20" t="s">
        <v>299</v>
      </c>
      <c r="E20" t="s">
        <v>300</v>
      </c>
      <c r="F20" t="s">
        <v>277</v>
      </c>
      <c r="G20" t="s">
        <v>278</v>
      </c>
      <c r="H20" t="s">
        <v>277</v>
      </c>
      <c r="J20" t="s">
        <v>277</v>
      </c>
      <c r="K20">
        <v>1562700197.90323</v>
      </c>
      <c r="L20">
        <f t="shared" si="0"/>
        <v>8.2245570624304414E-3</v>
      </c>
      <c r="M20">
        <f t="shared" si="1"/>
        <v>5.3300843315150281</v>
      </c>
      <c r="N20">
        <f t="shared" si="2"/>
        <v>92.705016129032202</v>
      </c>
      <c r="O20">
        <f t="shared" si="3"/>
        <v>72.598825756814009</v>
      </c>
      <c r="P20">
        <f t="shared" si="4"/>
        <v>7.2004450214926567</v>
      </c>
      <c r="Q20">
        <f t="shared" si="5"/>
        <v>9.1946028726371551</v>
      </c>
      <c r="R20">
        <f t="shared" si="6"/>
        <v>0.53162802487418837</v>
      </c>
      <c r="S20">
        <f t="shared" si="7"/>
        <v>2.247097565853462</v>
      </c>
      <c r="T20">
        <f t="shared" si="8"/>
        <v>0.47039018824468665</v>
      </c>
      <c r="U20">
        <f t="shared" si="9"/>
        <v>0.29890594191994402</v>
      </c>
      <c r="V20">
        <f t="shared" si="10"/>
        <v>353.34123635650872</v>
      </c>
      <c r="W20">
        <f t="shared" si="11"/>
        <v>26.077648557295941</v>
      </c>
      <c r="X20">
        <f t="shared" si="12"/>
        <v>26.983832258064499</v>
      </c>
      <c r="Y20">
        <f t="shared" si="13"/>
        <v>3.5757624329802415</v>
      </c>
      <c r="Z20">
        <f t="shared" si="14"/>
        <v>55.505906680911046</v>
      </c>
      <c r="AA20">
        <f t="shared" si="15"/>
        <v>1.8894009704919335</v>
      </c>
      <c r="AB20">
        <f t="shared" si="16"/>
        <v>3.4039638003818333</v>
      </c>
      <c r="AC20">
        <f t="shared" si="17"/>
        <v>1.6863614624883081</v>
      </c>
      <c r="AD20">
        <f t="shared" si="18"/>
        <v>-362.70296645318246</v>
      </c>
      <c r="AE20">
        <f t="shared" si="19"/>
        <v>-101.23232616567665</v>
      </c>
      <c r="AF20">
        <f t="shared" si="20"/>
        <v>-9.6802591807726515</v>
      </c>
      <c r="AG20">
        <f t="shared" si="21"/>
        <v>-120.27431544312302</v>
      </c>
      <c r="AH20">
        <v>-4.11056551273433E-2</v>
      </c>
      <c r="AI20">
        <v>4.6144698933611797E-2</v>
      </c>
      <c r="AJ20">
        <v>3.4500329568361501</v>
      </c>
      <c r="AK20">
        <v>0</v>
      </c>
      <c r="AL20">
        <v>0</v>
      </c>
      <c r="AM20">
        <f t="shared" si="22"/>
        <v>1</v>
      </c>
      <c r="AN20">
        <f t="shared" si="23"/>
        <v>0</v>
      </c>
      <c r="AO20">
        <f t="shared" si="24"/>
        <v>52564.461015694505</v>
      </c>
      <c r="AP20" t="s">
        <v>279</v>
      </c>
      <c r="AQ20">
        <v>687.861538461539</v>
      </c>
      <c r="AR20">
        <v>4005.07</v>
      </c>
      <c r="AS20">
        <f t="shared" si="25"/>
        <v>3317.2084615384611</v>
      </c>
      <c r="AT20">
        <f t="shared" si="26"/>
        <v>0.82825230558728336</v>
      </c>
      <c r="AU20">
        <v>-4.0580585712533601</v>
      </c>
      <c r="AV20" t="s">
        <v>301</v>
      </c>
      <c r="AW20">
        <v>838.42711538461504</v>
      </c>
      <c r="AX20">
        <v>1010.79</v>
      </c>
      <c r="AY20">
        <f t="shared" si="27"/>
        <v>0.17052294207044483</v>
      </c>
      <c r="AZ20">
        <v>0.5</v>
      </c>
      <c r="BA20">
        <f t="shared" si="28"/>
        <v>1849.1866548656917</v>
      </c>
      <c r="BB20">
        <f t="shared" si="29"/>
        <v>5.3300843315150281</v>
      </c>
      <c r="BC20">
        <f t="shared" si="30"/>
        <v>157.66437441255101</v>
      </c>
      <c r="BD20">
        <f t="shared" si="31"/>
        <v>0.37514221549481097</v>
      </c>
      <c r="BE20">
        <f t="shared" si="32"/>
        <v>5.0769038799116026E-3</v>
      </c>
      <c r="BF20">
        <f t="shared" si="33"/>
        <v>2.9623166038445179</v>
      </c>
      <c r="BG20" t="s">
        <v>302</v>
      </c>
      <c r="BH20">
        <v>631.6</v>
      </c>
      <c r="BI20">
        <f t="shared" si="34"/>
        <v>379.18999999999994</v>
      </c>
      <c r="BJ20">
        <f t="shared" si="35"/>
        <v>0.45455545930901381</v>
      </c>
      <c r="BK20">
        <f t="shared" si="36"/>
        <v>0.88759645113192054</v>
      </c>
      <c r="BL20">
        <f t="shared" si="37"/>
        <v>0.53374943724140089</v>
      </c>
      <c r="BM20">
        <f t="shared" si="38"/>
        <v>0.9026505372566509</v>
      </c>
      <c r="BN20">
        <f t="shared" si="39"/>
        <v>2199.9993548387101</v>
      </c>
      <c r="BO20">
        <f t="shared" si="40"/>
        <v>1849.1866548656917</v>
      </c>
      <c r="BP20">
        <f t="shared" si="41"/>
        <v>0.84053963506787588</v>
      </c>
      <c r="BQ20">
        <f t="shared" si="42"/>
        <v>0.19107927013575179</v>
      </c>
      <c r="BR20">
        <v>1562700197.90323</v>
      </c>
      <c r="BS20">
        <v>92.705016129032202</v>
      </c>
      <c r="BT20">
        <v>100.015009677419</v>
      </c>
      <c r="BU20">
        <v>19.049974193548401</v>
      </c>
      <c r="BV20">
        <v>9.3699183870967708</v>
      </c>
      <c r="BW20">
        <v>500.07229032258101</v>
      </c>
      <c r="BX20">
        <v>99.081190322580696</v>
      </c>
      <c r="BY20">
        <v>0.100097341935484</v>
      </c>
      <c r="BZ20">
        <v>26.1482064516129</v>
      </c>
      <c r="CA20">
        <v>26.983832258064499</v>
      </c>
      <c r="CB20">
        <v>999.9</v>
      </c>
      <c r="CC20">
        <v>10004.7532258065</v>
      </c>
      <c r="CD20">
        <v>0</v>
      </c>
      <c r="CE20">
        <v>200.895935483871</v>
      </c>
      <c r="CF20">
        <v>2199.9993548387101</v>
      </c>
      <c r="CG20">
        <v>0.98199641935483895</v>
      </c>
      <c r="CH20">
        <v>1.80037741935484E-2</v>
      </c>
      <c r="CI20">
        <v>0</v>
      </c>
      <c r="CJ20">
        <v>838.45177419354798</v>
      </c>
      <c r="CK20">
        <v>1.9999499999999999</v>
      </c>
      <c r="CL20">
        <v>19255.864516129001</v>
      </c>
      <c r="CM20">
        <v>17938.2193548387</v>
      </c>
      <c r="CN20">
        <v>49.366870967741903</v>
      </c>
      <c r="CO20">
        <v>49.933</v>
      </c>
      <c r="CP20">
        <v>49.649000000000001</v>
      </c>
      <c r="CQ20">
        <v>49.120935483871001</v>
      </c>
      <c r="CR20">
        <v>50.262</v>
      </c>
      <c r="CS20">
        <v>2158.4261290322602</v>
      </c>
      <c r="CT20">
        <v>39.573225806451603</v>
      </c>
      <c r="CU20">
        <v>0</v>
      </c>
      <c r="CV20">
        <v>138.09999990463299</v>
      </c>
      <c r="CW20">
        <v>838.42711538461504</v>
      </c>
      <c r="CX20">
        <v>-3.3667350349367702</v>
      </c>
      <c r="CY20">
        <v>-76.126495613642007</v>
      </c>
      <c r="CZ20">
        <v>19255.065384615398</v>
      </c>
      <c r="DA20">
        <v>15</v>
      </c>
      <c r="DB20">
        <v>1562700161.4000001</v>
      </c>
      <c r="DC20" t="s">
        <v>303</v>
      </c>
      <c r="DD20">
        <v>80</v>
      </c>
      <c r="DE20">
        <v>0.20200000000000001</v>
      </c>
      <c r="DF20">
        <v>3.5999999999999997E-2</v>
      </c>
      <c r="DG20">
        <v>100</v>
      </c>
      <c r="DH20">
        <v>9</v>
      </c>
      <c r="DI20">
        <v>0.18</v>
      </c>
      <c r="DJ20">
        <v>0.01</v>
      </c>
      <c r="DK20">
        <v>5.3096680235267302</v>
      </c>
      <c r="DL20">
        <v>0.123672747978447</v>
      </c>
      <c r="DM20">
        <v>8.1769009457638098E-2</v>
      </c>
      <c r="DN20">
        <v>1</v>
      </c>
      <c r="DO20">
        <v>92.724922222222204</v>
      </c>
      <c r="DP20">
        <v>-7.8069543402428401E-2</v>
      </c>
      <c r="DQ20">
        <v>2.9780811412636801E-2</v>
      </c>
      <c r="DR20">
        <v>1</v>
      </c>
      <c r="DS20">
        <v>0.51946241926743797</v>
      </c>
      <c r="DT20">
        <v>8.7015309062137905E-2</v>
      </c>
      <c r="DU20">
        <v>2.1406540678570399E-2</v>
      </c>
      <c r="DV20">
        <v>1</v>
      </c>
      <c r="DW20">
        <v>3</v>
      </c>
      <c r="DX20">
        <v>3</v>
      </c>
      <c r="DY20" t="s">
        <v>283</v>
      </c>
      <c r="DZ20">
        <v>1.8666100000000001</v>
      </c>
      <c r="EA20">
        <v>1.8631</v>
      </c>
      <c r="EB20">
        <v>1.8687400000000001</v>
      </c>
      <c r="EC20">
        <v>1.8667100000000001</v>
      </c>
      <c r="ED20">
        <v>1.8713500000000001</v>
      </c>
      <c r="EE20">
        <v>1.8638600000000001</v>
      </c>
      <c r="EF20">
        <v>1.8653500000000001</v>
      </c>
      <c r="EG20">
        <v>1.86528</v>
      </c>
      <c r="EH20" t="s">
        <v>284</v>
      </c>
      <c r="EI20" t="s">
        <v>19</v>
      </c>
      <c r="EJ20" t="s">
        <v>19</v>
      </c>
      <c r="EK20" t="s">
        <v>19</v>
      </c>
      <c r="EL20" t="s">
        <v>285</v>
      </c>
      <c r="EM20" t="s">
        <v>286</v>
      </c>
      <c r="EN20" t="s">
        <v>287</v>
      </c>
      <c r="EO20" t="s">
        <v>287</v>
      </c>
      <c r="EP20" t="s">
        <v>287</v>
      </c>
      <c r="EQ20" t="s">
        <v>287</v>
      </c>
      <c r="ER20">
        <v>0</v>
      </c>
      <c r="ES20">
        <v>100</v>
      </c>
      <c r="ET20">
        <v>100</v>
      </c>
      <c r="EU20">
        <v>0.20200000000000001</v>
      </c>
      <c r="EV20">
        <v>3.5999999999999997E-2</v>
      </c>
      <c r="EW20">
        <v>2</v>
      </c>
      <c r="EX20">
        <v>500.09199999999998</v>
      </c>
      <c r="EY20">
        <v>473.471</v>
      </c>
      <c r="EZ20">
        <v>19.6403</v>
      </c>
      <c r="FA20">
        <v>36.061500000000002</v>
      </c>
      <c r="FB20">
        <v>29.9999</v>
      </c>
      <c r="FC20">
        <v>36.025799999999997</v>
      </c>
      <c r="FD20">
        <v>36.000700000000002</v>
      </c>
      <c r="FE20">
        <v>8.1769099999999995</v>
      </c>
      <c r="FF20">
        <v>70.934700000000007</v>
      </c>
      <c r="FG20">
        <v>0</v>
      </c>
      <c r="FH20">
        <v>19.6648</v>
      </c>
      <c r="FI20">
        <v>100</v>
      </c>
      <c r="FJ20">
        <v>9.2582699999999996</v>
      </c>
      <c r="FK20">
        <v>100.241</v>
      </c>
      <c r="FL20">
        <v>100.71599999999999</v>
      </c>
    </row>
    <row r="21" spans="1:168" x14ac:dyDescent="0.35">
      <c r="A21">
        <v>5</v>
      </c>
      <c r="B21">
        <v>1562700322</v>
      </c>
      <c r="C21">
        <v>519.59999990463302</v>
      </c>
      <c r="D21" t="s">
        <v>304</v>
      </c>
      <c r="E21" t="s">
        <v>305</v>
      </c>
      <c r="F21" t="s">
        <v>277</v>
      </c>
      <c r="G21" t="s">
        <v>278</v>
      </c>
      <c r="H21" t="s">
        <v>277</v>
      </c>
      <c r="J21" t="s">
        <v>277</v>
      </c>
      <c r="K21">
        <v>1562700314</v>
      </c>
      <c r="L21">
        <f t="shared" si="0"/>
        <v>8.6018002210988369E-3</v>
      </c>
      <c r="M21">
        <f t="shared" si="1"/>
        <v>-5.0638811812552804</v>
      </c>
      <c r="N21">
        <f t="shared" si="2"/>
        <v>6.2122850580645199E-2</v>
      </c>
      <c r="O21">
        <f t="shared" si="3"/>
        <v>15.901262174525874</v>
      </c>
      <c r="P21">
        <f t="shared" si="4"/>
        <v>1.577092854449694</v>
      </c>
      <c r="Q21">
        <f t="shared" si="5"/>
        <v>6.161366479809193E-3</v>
      </c>
      <c r="R21">
        <f t="shared" si="6"/>
        <v>0.56434395501713808</v>
      </c>
      <c r="S21">
        <f t="shared" si="7"/>
        <v>2.2474192230390266</v>
      </c>
      <c r="T21">
        <f t="shared" si="8"/>
        <v>0.4958634312645655</v>
      </c>
      <c r="U21">
        <f t="shared" si="9"/>
        <v>0.31537220266030475</v>
      </c>
      <c r="V21">
        <f t="shared" si="10"/>
        <v>353.34436956890517</v>
      </c>
      <c r="W21">
        <f t="shared" si="11"/>
        <v>26.068650882597229</v>
      </c>
      <c r="X21">
        <f t="shared" si="12"/>
        <v>26.993929032258102</v>
      </c>
      <c r="Y21">
        <f t="shared" si="13"/>
        <v>3.5778836955840316</v>
      </c>
      <c r="Z21">
        <f t="shared" si="14"/>
        <v>55.579310746832618</v>
      </c>
      <c r="AA21">
        <f t="shared" si="15"/>
        <v>1.9049462332913221</v>
      </c>
      <c r="AB21">
        <f t="shared" si="16"/>
        <v>3.4274376700504186</v>
      </c>
      <c r="AC21">
        <f t="shared" si="17"/>
        <v>1.6729374622927096</v>
      </c>
      <c r="AD21">
        <f t="shared" si="18"/>
        <v>-379.33938975045868</v>
      </c>
      <c r="AE21">
        <f t="shared" si="19"/>
        <v>-88.376584690176898</v>
      </c>
      <c r="AF21">
        <f t="shared" si="20"/>
        <v>-8.4550756492893022</v>
      </c>
      <c r="AG21">
        <f t="shared" si="21"/>
        <v>-122.82668052101972</v>
      </c>
      <c r="AH21">
        <v>-4.1114305077690101E-2</v>
      </c>
      <c r="AI21">
        <v>4.6154409260653402E-2</v>
      </c>
      <c r="AJ21">
        <v>3.4506077502719501</v>
      </c>
      <c r="AK21">
        <v>0</v>
      </c>
      <c r="AL21">
        <v>0</v>
      </c>
      <c r="AM21">
        <f t="shared" si="22"/>
        <v>1</v>
      </c>
      <c r="AN21">
        <f t="shared" si="23"/>
        <v>0</v>
      </c>
      <c r="AO21">
        <f t="shared" si="24"/>
        <v>52554.615855255426</v>
      </c>
      <c r="AP21" t="s">
        <v>279</v>
      </c>
      <c r="AQ21">
        <v>687.861538461539</v>
      </c>
      <c r="AR21">
        <v>4005.07</v>
      </c>
      <c r="AS21">
        <f t="shared" si="25"/>
        <v>3317.2084615384611</v>
      </c>
      <c r="AT21">
        <f t="shared" si="26"/>
        <v>0.82825230558728336</v>
      </c>
      <c r="AU21">
        <v>-4.0580585712533601</v>
      </c>
      <c r="AV21" t="s">
        <v>306</v>
      </c>
      <c r="AW21">
        <v>857.28538461538506</v>
      </c>
      <c r="AX21">
        <v>973.04499999999996</v>
      </c>
      <c r="AY21">
        <f t="shared" si="27"/>
        <v>0.1189663534416342</v>
      </c>
      <c r="AZ21">
        <v>0.5</v>
      </c>
      <c r="BA21">
        <f t="shared" si="28"/>
        <v>1849.2022061304137</v>
      </c>
      <c r="BB21">
        <f t="shared" si="29"/>
        <v>-5.0638811812552804</v>
      </c>
      <c r="BC21">
        <f t="shared" si="30"/>
        <v>109.99642161978025</v>
      </c>
      <c r="BD21">
        <f t="shared" si="31"/>
        <v>0.29396893257762996</v>
      </c>
      <c r="BE21">
        <f t="shared" si="32"/>
        <v>-5.4392245838094427E-4</v>
      </c>
      <c r="BF21">
        <f t="shared" si="33"/>
        <v>3.1160172448345147</v>
      </c>
      <c r="BG21" t="s">
        <v>307</v>
      </c>
      <c r="BH21">
        <v>687</v>
      </c>
      <c r="BI21">
        <f t="shared" si="34"/>
        <v>286.04499999999996</v>
      </c>
      <c r="BJ21">
        <f t="shared" si="35"/>
        <v>0.40469022491081796</v>
      </c>
      <c r="BK21">
        <f t="shared" si="36"/>
        <v>0.91379175243439714</v>
      </c>
      <c r="BL21">
        <f t="shared" si="37"/>
        <v>0.40591279297941724</v>
      </c>
      <c r="BM21">
        <f t="shared" si="38"/>
        <v>0.914029080522061</v>
      </c>
      <c r="BN21">
        <f t="shared" si="39"/>
        <v>2200.01774193548</v>
      </c>
      <c r="BO21">
        <f t="shared" si="40"/>
        <v>1849.2022061304137</v>
      </c>
      <c r="BP21">
        <f t="shared" si="41"/>
        <v>0.84053967878621105</v>
      </c>
      <c r="BQ21">
        <f t="shared" si="42"/>
        <v>0.19107935757242211</v>
      </c>
      <c r="BR21">
        <v>1562700314</v>
      </c>
      <c r="BS21">
        <v>6.2122850580645199E-2</v>
      </c>
      <c r="BT21">
        <v>-6.0135538709677396</v>
      </c>
      <c r="BU21">
        <v>19.206890322580598</v>
      </c>
      <c r="BV21">
        <v>9.0835522580645094</v>
      </c>
      <c r="BW21">
        <v>500.02793548387098</v>
      </c>
      <c r="BX21">
        <v>99.080380645161299</v>
      </c>
      <c r="BY21">
        <v>9.9976054838709694E-2</v>
      </c>
      <c r="BZ21">
        <v>26.264525806451601</v>
      </c>
      <c r="CA21">
        <v>26.993929032258102</v>
      </c>
      <c r="CB21">
        <v>999.9</v>
      </c>
      <c r="CC21">
        <v>10006.9403225806</v>
      </c>
      <c r="CD21">
        <v>0</v>
      </c>
      <c r="CE21">
        <v>193.23574193548399</v>
      </c>
      <c r="CF21">
        <v>2200.01774193548</v>
      </c>
      <c r="CG21">
        <v>0.98199503225806495</v>
      </c>
      <c r="CH21">
        <v>1.8005187096774199E-2</v>
      </c>
      <c r="CI21">
        <v>0</v>
      </c>
      <c r="CJ21">
        <v>857.24338709677397</v>
      </c>
      <c r="CK21">
        <v>1.9999499999999999</v>
      </c>
      <c r="CL21">
        <v>19662.454838709698</v>
      </c>
      <c r="CM21">
        <v>17938.380645161302</v>
      </c>
      <c r="CN21">
        <v>49.3546774193548</v>
      </c>
      <c r="CO21">
        <v>49.941064516129003</v>
      </c>
      <c r="CP21">
        <v>49.652999999999999</v>
      </c>
      <c r="CQ21">
        <v>49.128935483870997</v>
      </c>
      <c r="CR21">
        <v>50.26</v>
      </c>
      <c r="CS21">
        <v>2158.4416129032302</v>
      </c>
      <c r="CT21">
        <v>39.576774193548403</v>
      </c>
      <c r="CU21">
        <v>0</v>
      </c>
      <c r="CV21">
        <v>115.299999952316</v>
      </c>
      <c r="CW21">
        <v>857.28538461538506</v>
      </c>
      <c r="CX21">
        <v>6.6439658294618704</v>
      </c>
      <c r="CY21">
        <v>146.28034186808699</v>
      </c>
      <c r="CZ21">
        <v>19663.134615384599</v>
      </c>
      <c r="DA21">
        <v>15</v>
      </c>
      <c r="DB21">
        <v>1562700278.9000001</v>
      </c>
      <c r="DC21" t="s">
        <v>308</v>
      </c>
      <c r="DD21">
        <v>81</v>
      </c>
      <c r="DE21">
        <v>0.108</v>
      </c>
      <c r="DF21">
        <v>3.4000000000000002E-2</v>
      </c>
      <c r="DG21">
        <v>-6</v>
      </c>
      <c r="DH21">
        <v>9</v>
      </c>
      <c r="DI21">
        <v>0.18</v>
      </c>
      <c r="DJ21">
        <v>0.01</v>
      </c>
      <c r="DK21">
        <v>-5.0949528980812397</v>
      </c>
      <c r="DL21">
        <v>2.2339690249300801E-2</v>
      </c>
      <c r="DM21">
        <v>0.16218358360075</v>
      </c>
      <c r="DN21">
        <v>1</v>
      </c>
      <c r="DO21">
        <v>0.130033227333333</v>
      </c>
      <c r="DP21">
        <v>-0.354675575651139</v>
      </c>
      <c r="DQ21">
        <v>6.3799286604172598E-2</v>
      </c>
      <c r="DR21">
        <v>1</v>
      </c>
      <c r="DS21">
        <v>0.54932572244645195</v>
      </c>
      <c r="DT21">
        <v>0.121635479825958</v>
      </c>
      <c r="DU21">
        <v>3.86994273074188E-2</v>
      </c>
      <c r="DV21">
        <v>1</v>
      </c>
      <c r="DW21">
        <v>3</v>
      </c>
      <c r="DX21">
        <v>3</v>
      </c>
      <c r="DY21" t="s">
        <v>283</v>
      </c>
      <c r="DZ21">
        <v>1.8667199999999999</v>
      </c>
      <c r="EA21">
        <v>1.8632500000000001</v>
      </c>
      <c r="EB21">
        <v>1.86883</v>
      </c>
      <c r="EC21">
        <v>1.86676</v>
      </c>
      <c r="ED21">
        <v>1.8714900000000001</v>
      </c>
      <c r="EE21">
        <v>1.8638699999999999</v>
      </c>
      <c r="EF21">
        <v>1.86541</v>
      </c>
      <c r="EG21">
        <v>1.8653900000000001</v>
      </c>
      <c r="EH21" t="s">
        <v>284</v>
      </c>
      <c r="EI21" t="s">
        <v>19</v>
      </c>
      <c r="EJ21" t="s">
        <v>19</v>
      </c>
      <c r="EK21" t="s">
        <v>19</v>
      </c>
      <c r="EL21" t="s">
        <v>285</v>
      </c>
      <c r="EM21" t="s">
        <v>286</v>
      </c>
      <c r="EN21" t="s">
        <v>287</v>
      </c>
      <c r="EO21" t="s">
        <v>287</v>
      </c>
      <c r="EP21" t="s">
        <v>287</v>
      </c>
      <c r="EQ21" t="s">
        <v>287</v>
      </c>
      <c r="ER21">
        <v>0</v>
      </c>
      <c r="ES21">
        <v>100</v>
      </c>
      <c r="ET21">
        <v>100</v>
      </c>
      <c r="EU21">
        <v>0.108</v>
      </c>
      <c r="EV21">
        <v>3.4000000000000002E-2</v>
      </c>
      <c r="EW21">
        <v>2</v>
      </c>
      <c r="EX21">
        <v>499.90499999999997</v>
      </c>
      <c r="EY21">
        <v>474.30599999999998</v>
      </c>
      <c r="EZ21">
        <v>19.893699999999999</v>
      </c>
      <c r="FA21">
        <v>35.942100000000003</v>
      </c>
      <c r="FB21">
        <v>29.995799999999999</v>
      </c>
      <c r="FC21">
        <v>35.943199999999997</v>
      </c>
      <c r="FD21">
        <v>35.924700000000001</v>
      </c>
      <c r="FE21">
        <v>0</v>
      </c>
      <c r="FF21">
        <v>72.171300000000002</v>
      </c>
      <c r="FG21">
        <v>0</v>
      </c>
      <c r="FH21">
        <v>19.984300000000001</v>
      </c>
      <c r="FI21">
        <v>0</v>
      </c>
      <c r="FJ21">
        <v>8.98489</v>
      </c>
      <c r="FK21">
        <v>100.26600000000001</v>
      </c>
      <c r="FL21">
        <v>100.745</v>
      </c>
    </row>
    <row r="22" spans="1:168" x14ac:dyDescent="0.35">
      <c r="A22">
        <v>6</v>
      </c>
      <c r="B22">
        <v>1562700443</v>
      </c>
      <c r="C22">
        <v>640.59999990463302</v>
      </c>
      <c r="D22" t="s">
        <v>309</v>
      </c>
      <c r="E22" t="s">
        <v>310</v>
      </c>
      <c r="F22" t="s">
        <v>277</v>
      </c>
      <c r="G22" t="s">
        <v>278</v>
      </c>
      <c r="H22" t="s">
        <v>277</v>
      </c>
      <c r="J22" t="s">
        <v>277</v>
      </c>
      <c r="K22">
        <v>1562700435</v>
      </c>
      <c r="L22">
        <f t="shared" si="0"/>
        <v>9.0016632038690206E-3</v>
      </c>
      <c r="M22">
        <f t="shared" si="1"/>
        <v>-2.8346610975241582</v>
      </c>
      <c r="N22">
        <f t="shared" si="2"/>
        <v>16.646580645161301</v>
      </c>
      <c r="O22">
        <f t="shared" si="3"/>
        <v>24.656529820975265</v>
      </c>
      <c r="P22">
        <f t="shared" si="4"/>
        <v>2.4453726676937784</v>
      </c>
      <c r="Q22">
        <f t="shared" si="5"/>
        <v>1.6509660368187034</v>
      </c>
      <c r="R22">
        <f t="shared" si="6"/>
        <v>0.59521313803179676</v>
      </c>
      <c r="S22">
        <f t="shared" si="7"/>
        <v>2.2449754725419275</v>
      </c>
      <c r="T22">
        <f t="shared" si="8"/>
        <v>0.51949995203180555</v>
      </c>
      <c r="U22">
        <f t="shared" si="9"/>
        <v>0.33068408981643937</v>
      </c>
      <c r="V22">
        <f t="shared" si="10"/>
        <v>353.34285243587584</v>
      </c>
      <c r="W22">
        <f t="shared" si="11"/>
        <v>26.102500146395293</v>
      </c>
      <c r="X22">
        <f t="shared" si="12"/>
        <v>27.041683870967699</v>
      </c>
      <c r="Y22">
        <f t="shared" si="13"/>
        <v>3.5879315492547104</v>
      </c>
      <c r="Z22">
        <f t="shared" si="14"/>
        <v>55.385942937569908</v>
      </c>
      <c r="AA22">
        <f t="shared" si="15"/>
        <v>1.9171229001955783</v>
      </c>
      <c r="AB22">
        <f t="shared" si="16"/>
        <v>3.4613889346553628</v>
      </c>
      <c r="AC22">
        <f t="shared" si="17"/>
        <v>1.6708086490591321</v>
      </c>
      <c r="AD22">
        <f t="shared" si="18"/>
        <v>-396.97334729062379</v>
      </c>
      <c r="AE22">
        <f t="shared" si="19"/>
        <v>-73.846550815373021</v>
      </c>
      <c r="AF22">
        <f t="shared" si="20"/>
        <v>-7.0802672641824387</v>
      </c>
      <c r="AG22">
        <f t="shared" si="21"/>
        <v>-124.55731293430343</v>
      </c>
      <c r="AH22">
        <v>-4.1048616089190901E-2</v>
      </c>
      <c r="AI22">
        <v>4.6080667616391603E-2</v>
      </c>
      <c r="AJ22">
        <v>3.44624164605445</v>
      </c>
      <c r="AK22">
        <v>0</v>
      </c>
      <c r="AL22">
        <v>0</v>
      </c>
      <c r="AM22">
        <f t="shared" si="22"/>
        <v>1</v>
      </c>
      <c r="AN22">
        <f t="shared" si="23"/>
        <v>0</v>
      </c>
      <c r="AO22">
        <f t="shared" si="24"/>
        <v>52444.744799122651</v>
      </c>
      <c r="AP22" t="s">
        <v>279</v>
      </c>
      <c r="AQ22">
        <v>687.861538461539</v>
      </c>
      <c r="AR22">
        <v>4005.07</v>
      </c>
      <c r="AS22">
        <f t="shared" si="25"/>
        <v>3317.2084615384611</v>
      </c>
      <c r="AT22">
        <f t="shared" si="26"/>
        <v>0.82825230558728336</v>
      </c>
      <c r="AU22">
        <v>-4.0580585712533601</v>
      </c>
      <c r="AV22" t="s">
        <v>311</v>
      </c>
      <c r="AW22">
        <v>854.75711538461496</v>
      </c>
      <c r="AX22">
        <v>951.62900000000002</v>
      </c>
      <c r="AY22">
        <f t="shared" si="27"/>
        <v>0.1017958517609121</v>
      </c>
      <c r="AZ22">
        <v>0.5</v>
      </c>
      <c r="BA22">
        <f t="shared" si="28"/>
        <v>1849.1933613173055</v>
      </c>
      <c r="BB22">
        <f t="shared" si="29"/>
        <v>-2.8346610975241582</v>
      </c>
      <c r="BC22">
        <f t="shared" si="30"/>
        <v>94.120106642959598</v>
      </c>
      <c r="BD22">
        <f t="shared" si="31"/>
        <v>0.29531361486461633</v>
      </c>
      <c r="BE22">
        <f t="shared" si="32"/>
        <v>6.6158439637577606E-4</v>
      </c>
      <c r="BF22">
        <f t="shared" si="33"/>
        <v>3.2086464367941709</v>
      </c>
      <c r="BG22" t="s">
        <v>312</v>
      </c>
      <c r="BH22">
        <v>670.6</v>
      </c>
      <c r="BI22">
        <f t="shared" si="34"/>
        <v>281.029</v>
      </c>
      <c r="BJ22">
        <f t="shared" si="35"/>
        <v>0.3447042284439864</v>
      </c>
      <c r="BK22">
        <f t="shared" si="36"/>
        <v>0.9157200394665419</v>
      </c>
      <c r="BL22">
        <f t="shared" si="37"/>
        <v>0.36726245174581462</v>
      </c>
      <c r="BM22">
        <f t="shared" si="38"/>
        <v>0.92048511132275046</v>
      </c>
      <c r="BN22">
        <f t="shared" si="39"/>
        <v>2200.0070967741899</v>
      </c>
      <c r="BO22">
        <f t="shared" si="40"/>
        <v>1849.1933613173055</v>
      </c>
      <c r="BP22">
        <f t="shared" si="41"/>
        <v>0.84053972554394352</v>
      </c>
      <c r="BQ22">
        <f t="shared" si="42"/>
        <v>0.19107945108788724</v>
      </c>
      <c r="BR22">
        <v>1562700435</v>
      </c>
      <c r="BS22">
        <v>16.646580645161301</v>
      </c>
      <c r="BT22">
        <v>13.4250258064516</v>
      </c>
      <c r="BU22">
        <v>19.330222580645199</v>
      </c>
      <c r="BV22">
        <v>8.7377622580645191</v>
      </c>
      <c r="BW22">
        <v>500.03448387096802</v>
      </c>
      <c r="BX22">
        <v>99.077470967741903</v>
      </c>
      <c r="BY22">
        <v>0.100016109677419</v>
      </c>
      <c r="BZ22">
        <v>26.431538709677401</v>
      </c>
      <c r="CA22">
        <v>27.041683870967699</v>
      </c>
      <c r="CB22">
        <v>999.9</v>
      </c>
      <c r="CC22">
        <v>9991.2454838709691</v>
      </c>
      <c r="CD22">
        <v>0</v>
      </c>
      <c r="CE22">
        <v>195.35951612903199</v>
      </c>
      <c r="CF22">
        <v>2200.0070967741899</v>
      </c>
      <c r="CG22">
        <v>0.98199345161290397</v>
      </c>
      <c r="CH22">
        <v>1.8006790322580599E-2</v>
      </c>
      <c r="CI22">
        <v>0</v>
      </c>
      <c r="CJ22">
        <v>854.77932258064504</v>
      </c>
      <c r="CK22">
        <v>1.9999499999999999</v>
      </c>
      <c r="CL22">
        <v>19611.067741935502</v>
      </c>
      <c r="CM22">
        <v>17938.264516128998</v>
      </c>
      <c r="CN22">
        <v>49.402999999999999</v>
      </c>
      <c r="CO22">
        <v>50.061999999999998</v>
      </c>
      <c r="CP22">
        <v>49.703258064516099</v>
      </c>
      <c r="CQ22">
        <v>49.25</v>
      </c>
      <c r="CR22">
        <v>50.330290322580602</v>
      </c>
      <c r="CS22">
        <v>2158.42709677419</v>
      </c>
      <c r="CT22">
        <v>39.58</v>
      </c>
      <c r="CU22">
        <v>0</v>
      </c>
      <c r="CV22">
        <v>120.30000019073501</v>
      </c>
      <c r="CW22">
        <v>854.75711538461496</v>
      </c>
      <c r="CX22">
        <v>-2.2615042634799001</v>
      </c>
      <c r="CY22">
        <v>-54.482051284228604</v>
      </c>
      <c r="CZ22">
        <v>19610.599999999999</v>
      </c>
      <c r="DA22">
        <v>15</v>
      </c>
      <c r="DB22">
        <v>1562700482.5</v>
      </c>
      <c r="DC22" t="s">
        <v>313</v>
      </c>
      <c r="DD22">
        <v>82</v>
      </c>
      <c r="DE22">
        <v>0.16500000000000001</v>
      </c>
      <c r="DF22">
        <v>2.7E-2</v>
      </c>
      <c r="DG22">
        <v>14</v>
      </c>
      <c r="DH22">
        <v>9</v>
      </c>
      <c r="DI22">
        <v>0.23</v>
      </c>
      <c r="DJ22">
        <v>0.01</v>
      </c>
      <c r="DK22">
        <v>-2.7565480231582802</v>
      </c>
      <c r="DL22">
        <v>-0.28055219569774198</v>
      </c>
      <c r="DM22">
        <v>7.61691859231272E-2</v>
      </c>
      <c r="DN22">
        <v>1</v>
      </c>
      <c r="DO22">
        <v>16.973605555555601</v>
      </c>
      <c r="DP22">
        <v>-2.1400937680879299</v>
      </c>
      <c r="DQ22">
        <v>0.37137424590928703</v>
      </c>
      <c r="DR22">
        <v>1</v>
      </c>
      <c r="DS22">
        <v>0.58924715079178502</v>
      </c>
      <c r="DT22">
        <v>2.8685817716168301E-2</v>
      </c>
      <c r="DU22">
        <v>5.5002414711042696E-3</v>
      </c>
      <c r="DV22">
        <v>1</v>
      </c>
      <c r="DW22">
        <v>3</v>
      </c>
      <c r="DX22">
        <v>3</v>
      </c>
      <c r="DY22" t="s">
        <v>283</v>
      </c>
      <c r="DZ22">
        <v>1.8666100000000001</v>
      </c>
      <c r="EA22">
        <v>1.8631</v>
      </c>
      <c r="EB22">
        <v>1.8687400000000001</v>
      </c>
      <c r="EC22">
        <v>1.8666700000000001</v>
      </c>
      <c r="ED22">
        <v>1.87134</v>
      </c>
      <c r="EE22">
        <v>1.8638300000000001</v>
      </c>
      <c r="EF22">
        <v>1.86534</v>
      </c>
      <c r="EG22">
        <v>1.8652500000000001</v>
      </c>
      <c r="EH22" t="s">
        <v>284</v>
      </c>
      <c r="EI22" t="s">
        <v>19</v>
      </c>
      <c r="EJ22" t="s">
        <v>19</v>
      </c>
      <c r="EK22" t="s">
        <v>19</v>
      </c>
      <c r="EL22" t="s">
        <v>285</v>
      </c>
      <c r="EM22" t="s">
        <v>286</v>
      </c>
      <c r="EN22" t="s">
        <v>287</v>
      </c>
      <c r="EO22" t="s">
        <v>287</v>
      </c>
      <c r="EP22" t="s">
        <v>287</v>
      </c>
      <c r="EQ22" t="s">
        <v>287</v>
      </c>
      <c r="ER22">
        <v>0</v>
      </c>
      <c r="ES22">
        <v>100</v>
      </c>
      <c r="ET22">
        <v>100</v>
      </c>
      <c r="EU22">
        <v>0.16500000000000001</v>
      </c>
      <c r="EV22">
        <v>2.7E-2</v>
      </c>
      <c r="EW22">
        <v>2</v>
      </c>
      <c r="EX22">
        <v>500.6</v>
      </c>
      <c r="EY22">
        <v>474.40800000000002</v>
      </c>
      <c r="EZ22">
        <v>19.5641</v>
      </c>
      <c r="FA22">
        <v>35.844099999999997</v>
      </c>
      <c r="FB22">
        <v>30.000299999999999</v>
      </c>
      <c r="FC22">
        <v>35.856000000000002</v>
      </c>
      <c r="FD22">
        <v>35.844799999999999</v>
      </c>
      <c r="FE22">
        <v>4.4029199999999999</v>
      </c>
      <c r="FF22">
        <v>73.342699999999994</v>
      </c>
      <c r="FG22">
        <v>0</v>
      </c>
      <c r="FH22">
        <v>19.535699999999999</v>
      </c>
      <c r="FI22">
        <v>12.5</v>
      </c>
      <c r="FJ22">
        <v>8.69665</v>
      </c>
      <c r="FK22">
        <v>100.27800000000001</v>
      </c>
      <c r="FL22">
        <v>100.761</v>
      </c>
    </row>
    <row r="23" spans="1:168" x14ac:dyDescent="0.35">
      <c r="A23">
        <v>8</v>
      </c>
      <c r="B23">
        <v>1562700768.5</v>
      </c>
      <c r="C23">
        <v>966.09999990463302</v>
      </c>
      <c r="D23" t="s">
        <v>314</v>
      </c>
      <c r="E23" t="s">
        <v>315</v>
      </c>
      <c r="F23" t="s">
        <v>277</v>
      </c>
      <c r="G23" t="s">
        <v>278</v>
      </c>
      <c r="H23" t="s">
        <v>277</v>
      </c>
      <c r="J23" t="s">
        <v>277</v>
      </c>
      <c r="K23">
        <v>1562700760.52581</v>
      </c>
      <c r="L23">
        <f t="shared" si="0"/>
        <v>9.8098138618436803E-3</v>
      </c>
      <c r="M23">
        <f t="shared" si="1"/>
        <v>31.891184311104499</v>
      </c>
      <c r="N23">
        <f t="shared" si="2"/>
        <v>357.57574193548402</v>
      </c>
      <c r="O23">
        <f t="shared" si="3"/>
        <v>262.94717635716796</v>
      </c>
      <c r="P23">
        <f t="shared" si="4"/>
        <v>26.074548139495651</v>
      </c>
      <c r="Q23">
        <f t="shared" si="5"/>
        <v>35.458170822675534</v>
      </c>
      <c r="R23">
        <f t="shared" si="6"/>
        <v>0.67424354034754064</v>
      </c>
      <c r="S23">
        <f t="shared" si="7"/>
        <v>2.2440379385583191</v>
      </c>
      <c r="T23">
        <f t="shared" si="8"/>
        <v>0.5787718029008575</v>
      </c>
      <c r="U23">
        <f t="shared" si="9"/>
        <v>0.36917807281905168</v>
      </c>
      <c r="V23">
        <f t="shared" si="10"/>
        <v>353.34141089275204</v>
      </c>
      <c r="W23">
        <f t="shared" si="11"/>
        <v>26.151856873773333</v>
      </c>
      <c r="X23">
        <f t="shared" si="12"/>
        <v>27.028400000000001</v>
      </c>
      <c r="Y23">
        <f t="shared" si="13"/>
        <v>3.5851340874589002</v>
      </c>
      <c r="Z23">
        <f t="shared" si="14"/>
        <v>55.326649949267001</v>
      </c>
      <c r="AA23">
        <f t="shared" si="15"/>
        <v>1.9513092496130957</v>
      </c>
      <c r="AB23">
        <f t="shared" si="16"/>
        <v>3.5268884911744918</v>
      </c>
      <c r="AC23">
        <f t="shared" si="17"/>
        <v>1.6338248378458045</v>
      </c>
      <c r="AD23">
        <f t="shared" si="18"/>
        <v>-432.61279130730628</v>
      </c>
      <c r="AE23">
        <f t="shared" si="19"/>
        <v>-33.712212411963542</v>
      </c>
      <c r="AF23">
        <f t="shared" si="20"/>
        <v>-3.2385475473525496</v>
      </c>
      <c r="AG23">
        <f t="shared" si="21"/>
        <v>-116.22214037387033</v>
      </c>
      <c r="AH23">
        <v>-4.1023431856709397E-2</v>
      </c>
      <c r="AI23">
        <v>4.6052396109171202E-2</v>
      </c>
      <c r="AJ23">
        <v>3.4445671087448302</v>
      </c>
      <c r="AK23">
        <v>0</v>
      </c>
      <c r="AL23">
        <v>0</v>
      </c>
      <c r="AM23">
        <f t="shared" si="22"/>
        <v>1</v>
      </c>
      <c r="AN23">
        <f t="shared" si="23"/>
        <v>0</v>
      </c>
      <c r="AO23">
        <f t="shared" si="24"/>
        <v>52357.916565921347</v>
      </c>
      <c r="AP23" t="s">
        <v>279</v>
      </c>
      <c r="AQ23">
        <v>687.861538461539</v>
      </c>
      <c r="AR23">
        <v>4005.07</v>
      </c>
      <c r="AS23">
        <f t="shared" si="25"/>
        <v>3317.2084615384611</v>
      </c>
      <c r="AT23">
        <f t="shared" si="26"/>
        <v>0.82825230558728336</v>
      </c>
      <c r="AU23">
        <v>-4.0580585712533601</v>
      </c>
      <c r="AV23" t="s">
        <v>316</v>
      </c>
      <c r="AW23">
        <v>808.73673076923103</v>
      </c>
      <c r="AX23">
        <v>1096.1500000000001</v>
      </c>
      <c r="AY23">
        <f t="shared" si="27"/>
        <v>0.26220249895613656</v>
      </c>
      <c r="AZ23">
        <v>0.5</v>
      </c>
      <c r="BA23">
        <f t="shared" si="28"/>
        <v>1849.1857742205354</v>
      </c>
      <c r="BB23">
        <f t="shared" si="29"/>
        <v>31.891184311104499</v>
      </c>
      <c r="BC23">
        <f t="shared" si="30"/>
        <v>242.43056551738127</v>
      </c>
      <c r="BD23">
        <f t="shared" si="31"/>
        <v>0.4805455457738449</v>
      </c>
      <c r="BE23">
        <f t="shared" si="32"/>
        <v>1.9440579407177788E-2</v>
      </c>
      <c r="BF23">
        <f t="shared" si="33"/>
        <v>2.6537608903890888</v>
      </c>
      <c r="BG23" t="s">
        <v>317</v>
      </c>
      <c r="BH23">
        <v>569.4</v>
      </c>
      <c r="BI23">
        <f t="shared" si="34"/>
        <v>526.75000000000011</v>
      </c>
      <c r="BJ23">
        <f t="shared" si="35"/>
        <v>0.54563506261180639</v>
      </c>
      <c r="BK23">
        <f t="shared" si="36"/>
        <v>0.84668201544385813</v>
      </c>
      <c r="BL23">
        <f t="shared" si="37"/>
        <v>0.70394658753709238</v>
      </c>
      <c r="BM23">
        <f t="shared" si="38"/>
        <v>0.87691805737493378</v>
      </c>
      <c r="BN23">
        <f t="shared" si="39"/>
        <v>2199.9980645161299</v>
      </c>
      <c r="BO23">
        <f t="shared" si="40"/>
        <v>1849.1857742205354</v>
      </c>
      <c r="BP23">
        <f t="shared" si="41"/>
        <v>0.84053972775982755</v>
      </c>
      <c r="BQ23">
        <f t="shared" si="42"/>
        <v>0.19107945551965524</v>
      </c>
      <c r="BR23">
        <v>1562700760.52581</v>
      </c>
      <c r="BS23">
        <v>357.57574193548402</v>
      </c>
      <c r="BT23">
        <v>400.05193548387098</v>
      </c>
      <c r="BU23">
        <v>19.677858064516101</v>
      </c>
      <c r="BV23">
        <v>8.1384119354838695</v>
      </c>
      <c r="BW23">
        <v>500.02977419354801</v>
      </c>
      <c r="BX23">
        <v>99.062664516129104</v>
      </c>
      <c r="BY23">
        <v>0.100020935483871</v>
      </c>
      <c r="BZ23">
        <v>26.7497419354839</v>
      </c>
      <c r="CA23">
        <v>27.028400000000001</v>
      </c>
      <c r="CB23">
        <v>999.9</v>
      </c>
      <c r="CC23">
        <v>9986.6080645161292</v>
      </c>
      <c r="CD23">
        <v>0</v>
      </c>
      <c r="CE23">
        <v>160.605774193548</v>
      </c>
      <c r="CF23">
        <v>2199.9980645161299</v>
      </c>
      <c r="CG23">
        <v>0.98199325806451598</v>
      </c>
      <c r="CH23">
        <v>1.8006951612903201E-2</v>
      </c>
      <c r="CI23">
        <v>0</v>
      </c>
      <c r="CJ23">
        <v>808.65519354838705</v>
      </c>
      <c r="CK23">
        <v>1.9999499999999999</v>
      </c>
      <c r="CL23">
        <v>18579.445161290299</v>
      </c>
      <c r="CM23">
        <v>17938.1967741935</v>
      </c>
      <c r="CN23">
        <v>49.249935483870999</v>
      </c>
      <c r="CO23">
        <v>49.686999999999998</v>
      </c>
      <c r="CP23">
        <v>49.457322580645098</v>
      </c>
      <c r="CQ23">
        <v>48.927</v>
      </c>
      <c r="CR23">
        <v>50.207322580645098</v>
      </c>
      <c r="CS23">
        <v>2158.41806451613</v>
      </c>
      <c r="CT23">
        <v>39.58</v>
      </c>
      <c r="CU23">
        <v>0</v>
      </c>
      <c r="CV23">
        <v>159.200000047684</v>
      </c>
      <c r="CW23">
        <v>808.73673076923103</v>
      </c>
      <c r="CX23">
        <v>5.8727179649081602</v>
      </c>
      <c r="CY23">
        <v>125.69230784602701</v>
      </c>
      <c r="CZ23">
        <v>18580.934615384602</v>
      </c>
      <c r="DA23">
        <v>15</v>
      </c>
      <c r="DB23">
        <v>1562700722.0999999</v>
      </c>
      <c r="DC23" t="s">
        <v>318</v>
      </c>
      <c r="DD23">
        <v>84</v>
      </c>
      <c r="DE23">
        <v>0.33900000000000002</v>
      </c>
      <c r="DF23">
        <v>2.5000000000000001E-2</v>
      </c>
      <c r="DG23">
        <v>400</v>
      </c>
      <c r="DH23">
        <v>8</v>
      </c>
      <c r="DI23">
        <v>0.05</v>
      </c>
      <c r="DJ23">
        <v>0.01</v>
      </c>
      <c r="DK23">
        <v>31.825585964614501</v>
      </c>
      <c r="DL23">
        <v>0.28090490041185301</v>
      </c>
      <c r="DM23">
        <v>6.6433719153861495E-2</v>
      </c>
      <c r="DN23">
        <v>1</v>
      </c>
      <c r="DO23">
        <v>357.74715277777801</v>
      </c>
      <c r="DP23">
        <v>-0.95852074145007304</v>
      </c>
      <c r="DQ23">
        <v>0.16974978806419699</v>
      </c>
      <c r="DR23">
        <v>1</v>
      </c>
      <c r="DS23">
        <v>0.65771753374794595</v>
      </c>
      <c r="DT23">
        <v>8.7210131965467605E-2</v>
      </c>
      <c r="DU23">
        <v>1.8518977402803699E-2</v>
      </c>
      <c r="DV23">
        <v>1</v>
      </c>
      <c r="DW23">
        <v>3</v>
      </c>
      <c r="DX23">
        <v>3</v>
      </c>
      <c r="DY23" t="s">
        <v>283</v>
      </c>
      <c r="DZ23">
        <v>1.86663</v>
      </c>
      <c r="EA23">
        <v>1.8631500000000001</v>
      </c>
      <c r="EB23">
        <v>1.86876</v>
      </c>
      <c r="EC23">
        <v>1.86676</v>
      </c>
      <c r="ED23">
        <v>1.8714200000000001</v>
      </c>
      <c r="EE23">
        <v>1.8638600000000001</v>
      </c>
      <c r="EF23">
        <v>1.8653900000000001</v>
      </c>
      <c r="EG23">
        <v>1.8653599999999999</v>
      </c>
      <c r="EH23" t="s">
        <v>284</v>
      </c>
      <c r="EI23" t="s">
        <v>19</v>
      </c>
      <c r="EJ23" t="s">
        <v>19</v>
      </c>
      <c r="EK23" t="s">
        <v>19</v>
      </c>
      <c r="EL23" t="s">
        <v>285</v>
      </c>
      <c r="EM23" t="s">
        <v>286</v>
      </c>
      <c r="EN23" t="s">
        <v>287</v>
      </c>
      <c r="EO23" t="s">
        <v>287</v>
      </c>
      <c r="EP23" t="s">
        <v>287</v>
      </c>
      <c r="EQ23" t="s">
        <v>287</v>
      </c>
      <c r="ER23">
        <v>0</v>
      </c>
      <c r="ES23">
        <v>100</v>
      </c>
      <c r="ET23">
        <v>100</v>
      </c>
      <c r="EU23">
        <v>0.33900000000000002</v>
      </c>
      <c r="EV23">
        <v>2.5000000000000001E-2</v>
      </c>
      <c r="EW23">
        <v>2</v>
      </c>
      <c r="EX23">
        <v>501.26900000000001</v>
      </c>
      <c r="EY23">
        <v>477.04899999999998</v>
      </c>
      <c r="EZ23">
        <v>21.128399999999999</v>
      </c>
      <c r="FA23">
        <v>35.435499999999998</v>
      </c>
      <c r="FB23">
        <v>30.002800000000001</v>
      </c>
      <c r="FC23">
        <v>35.502800000000001</v>
      </c>
      <c r="FD23">
        <v>35.4953</v>
      </c>
      <c r="FE23">
        <v>22.234999999999999</v>
      </c>
      <c r="FF23">
        <v>74.907799999999995</v>
      </c>
      <c r="FG23">
        <v>0</v>
      </c>
      <c r="FH23">
        <v>20.985299999999999</v>
      </c>
      <c r="FI23">
        <v>400</v>
      </c>
      <c r="FJ23">
        <v>8.1896699999999996</v>
      </c>
      <c r="FK23">
        <v>100.34699999999999</v>
      </c>
      <c r="FL23">
        <v>100.84699999999999</v>
      </c>
    </row>
    <row r="24" spans="1:168" x14ac:dyDescent="0.35">
      <c r="A24">
        <v>9</v>
      </c>
      <c r="B24">
        <v>1562700892</v>
      </c>
      <c r="C24">
        <v>1089.5999999046301</v>
      </c>
      <c r="D24" t="s">
        <v>319</v>
      </c>
      <c r="E24" t="s">
        <v>320</v>
      </c>
      <c r="F24" t="s">
        <v>277</v>
      </c>
      <c r="G24" t="s">
        <v>278</v>
      </c>
      <c r="H24" t="s">
        <v>277</v>
      </c>
      <c r="J24" t="s">
        <v>277</v>
      </c>
      <c r="K24">
        <v>1562700884.0225799</v>
      </c>
      <c r="L24">
        <f t="shared" si="0"/>
        <v>9.1982844935466126E-3</v>
      </c>
      <c r="M24">
        <f t="shared" si="1"/>
        <v>37.961008876562779</v>
      </c>
      <c r="N24">
        <f t="shared" si="2"/>
        <v>449.48596774193499</v>
      </c>
      <c r="O24">
        <f t="shared" si="3"/>
        <v>329.4548325577901</v>
      </c>
      <c r="P24">
        <f t="shared" si="4"/>
        <v>32.668974757588856</v>
      </c>
      <c r="Q24">
        <f t="shared" si="5"/>
        <v>44.571347216392375</v>
      </c>
      <c r="R24">
        <f t="shared" si="6"/>
        <v>0.62645476400230837</v>
      </c>
      <c r="S24">
        <f t="shared" si="7"/>
        <v>2.2486170196279289</v>
      </c>
      <c r="T24">
        <f t="shared" si="8"/>
        <v>0.54329289873958109</v>
      </c>
      <c r="U24">
        <f t="shared" si="9"/>
        <v>0.34610576960072109</v>
      </c>
      <c r="V24">
        <f t="shared" si="10"/>
        <v>353.33990335569729</v>
      </c>
      <c r="W24">
        <f t="shared" si="11"/>
        <v>26.236776048961016</v>
      </c>
      <c r="X24">
        <f t="shared" si="12"/>
        <v>26.980690322580699</v>
      </c>
      <c r="Y24">
        <f t="shared" si="13"/>
        <v>3.5751025580198101</v>
      </c>
      <c r="Z24">
        <f t="shared" si="14"/>
        <v>55.477809772457718</v>
      </c>
      <c r="AA24">
        <f t="shared" si="15"/>
        <v>1.9429626077767723</v>
      </c>
      <c r="AB24">
        <f t="shared" si="16"/>
        <v>3.5022338043730188</v>
      </c>
      <c r="AC24">
        <f t="shared" si="17"/>
        <v>1.6321399502430378</v>
      </c>
      <c r="AD24">
        <f t="shared" si="18"/>
        <v>-405.64434616540564</v>
      </c>
      <c r="AE24">
        <f t="shared" si="19"/>
        <v>-42.443291235892815</v>
      </c>
      <c r="AF24">
        <f t="shared" si="20"/>
        <v>-4.0655966065803391</v>
      </c>
      <c r="AG24">
        <f t="shared" si="21"/>
        <v>-98.81333065218152</v>
      </c>
      <c r="AH24">
        <v>-4.1146525837897498E-2</v>
      </c>
      <c r="AI24">
        <v>4.6190579886679801E-2</v>
      </c>
      <c r="AJ24">
        <v>3.45274847047216</v>
      </c>
      <c r="AK24">
        <v>0</v>
      </c>
      <c r="AL24">
        <v>0</v>
      </c>
      <c r="AM24">
        <f t="shared" si="22"/>
        <v>1</v>
      </c>
      <c r="AN24">
        <f t="shared" si="23"/>
        <v>0</v>
      </c>
      <c r="AO24">
        <f t="shared" si="24"/>
        <v>52529.424764589203</v>
      </c>
      <c r="AP24" t="s">
        <v>279</v>
      </c>
      <c r="AQ24">
        <v>687.861538461539</v>
      </c>
      <c r="AR24">
        <v>4005.07</v>
      </c>
      <c r="AS24">
        <f t="shared" si="25"/>
        <v>3317.2084615384611</v>
      </c>
      <c r="AT24">
        <f t="shared" si="26"/>
        <v>0.82825230558728336</v>
      </c>
      <c r="AU24">
        <v>-4.0580585712533601</v>
      </c>
      <c r="AV24" t="s">
        <v>321</v>
      </c>
      <c r="AW24">
        <v>834.55538461538504</v>
      </c>
      <c r="AX24">
        <v>1155.79</v>
      </c>
      <c r="AY24">
        <f t="shared" si="27"/>
        <v>0.27793510532589394</v>
      </c>
      <c r="AZ24">
        <v>0.5</v>
      </c>
      <c r="BA24">
        <f t="shared" si="28"/>
        <v>1849.1837516398714</v>
      </c>
      <c r="BB24">
        <f t="shared" si="29"/>
        <v>37.961008876562779</v>
      </c>
      <c r="BC24">
        <f t="shared" si="30"/>
        <v>256.97654038947968</v>
      </c>
      <c r="BD24">
        <f t="shared" si="31"/>
        <v>0.50302390572681888</v>
      </c>
      <c r="BE24">
        <f t="shared" si="32"/>
        <v>2.2723035182714148E-2</v>
      </c>
      <c r="BF24">
        <f t="shared" si="33"/>
        <v>2.4652229211188885</v>
      </c>
      <c r="BG24" t="s">
        <v>322</v>
      </c>
      <c r="BH24">
        <v>574.4</v>
      </c>
      <c r="BI24">
        <f t="shared" si="34"/>
        <v>581.39</v>
      </c>
      <c r="BJ24">
        <f t="shared" si="35"/>
        <v>0.5525286217248575</v>
      </c>
      <c r="BK24">
        <f t="shared" si="36"/>
        <v>0.83053164542203128</v>
      </c>
      <c r="BL24">
        <f t="shared" si="37"/>
        <v>0.68650368974876164</v>
      </c>
      <c r="BM24">
        <f t="shared" si="38"/>
        <v>0.85893908478653636</v>
      </c>
      <c r="BN24">
        <f t="shared" si="39"/>
        <v>2199.9964516128998</v>
      </c>
      <c r="BO24">
        <f t="shared" si="40"/>
        <v>1849.1837516398714</v>
      </c>
      <c r="BP24">
        <f t="shared" si="41"/>
        <v>0.84053942463596498</v>
      </c>
      <c r="BQ24">
        <f t="shared" si="42"/>
        <v>0.19107884927193014</v>
      </c>
      <c r="BR24">
        <v>1562700884.0225799</v>
      </c>
      <c r="BS24">
        <v>449.48596774193499</v>
      </c>
      <c r="BT24">
        <v>499.99987096774203</v>
      </c>
      <c r="BU24">
        <v>19.5940774193548</v>
      </c>
      <c r="BV24">
        <v>8.7725658064516097</v>
      </c>
      <c r="BW24">
        <v>500.00700000000001</v>
      </c>
      <c r="BX24">
        <v>99.060735483870999</v>
      </c>
      <c r="BY24">
        <v>9.9973448387096805E-2</v>
      </c>
      <c r="BZ24">
        <v>26.6305774193548</v>
      </c>
      <c r="CA24">
        <v>26.980690322580699</v>
      </c>
      <c r="CB24">
        <v>999.9</v>
      </c>
      <c r="CC24">
        <v>10016.768709677401</v>
      </c>
      <c r="CD24">
        <v>0</v>
      </c>
      <c r="CE24">
        <v>173.23083870967699</v>
      </c>
      <c r="CF24">
        <v>2199.9964516128998</v>
      </c>
      <c r="CG24">
        <v>0.98200309677419295</v>
      </c>
      <c r="CH24">
        <v>1.7996980645161299E-2</v>
      </c>
      <c r="CI24">
        <v>0</v>
      </c>
      <c r="CJ24">
        <v>834.46238709677402</v>
      </c>
      <c r="CK24">
        <v>1.9999499999999999</v>
      </c>
      <c r="CL24">
        <v>19153.341935483899</v>
      </c>
      <c r="CM24">
        <v>17938.2387096774</v>
      </c>
      <c r="CN24">
        <v>49.136935483871</v>
      </c>
      <c r="CO24">
        <v>49.558</v>
      </c>
      <c r="CP24">
        <v>49.3241935483871</v>
      </c>
      <c r="CQ24">
        <v>48.8445161290323</v>
      </c>
      <c r="CR24">
        <v>50.1046774193548</v>
      </c>
      <c r="CS24">
        <v>2158.4387096774199</v>
      </c>
      <c r="CT24">
        <v>39.557741935483897</v>
      </c>
      <c r="CU24">
        <v>0</v>
      </c>
      <c r="CV24">
        <v>123.09999990463299</v>
      </c>
      <c r="CW24">
        <v>834.55538461538504</v>
      </c>
      <c r="CX24">
        <v>3.5583589789705101</v>
      </c>
      <c r="CY24">
        <v>59.309401722397702</v>
      </c>
      <c r="CZ24">
        <v>19154.0461538462</v>
      </c>
      <c r="DA24">
        <v>15</v>
      </c>
      <c r="DB24">
        <v>1562700847.5</v>
      </c>
      <c r="DC24" t="s">
        <v>323</v>
      </c>
      <c r="DD24">
        <v>85</v>
      </c>
      <c r="DE24">
        <v>0.48599999999999999</v>
      </c>
      <c r="DF24">
        <v>2.7E-2</v>
      </c>
      <c r="DG24">
        <v>500</v>
      </c>
      <c r="DH24">
        <v>9</v>
      </c>
      <c r="DI24">
        <v>0.04</v>
      </c>
      <c r="DJ24">
        <v>0.01</v>
      </c>
      <c r="DK24">
        <v>38.008001555365901</v>
      </c>
      <c r="DL24">
        <v>-0.17649141452193801</v>
      </c>
      <c r="DM24">
        <v>0.283383140277709</v>
      </c>
      <c r="DN24">
        <v>1</v>
      </c>
      <c r="DO24">
        <v>449.47473611111099</v>
      </c>
      <c r="DP24">
        <v>0.11187463737999501</v>
      </c>
      <c r="DQ24">
        <v>4.0900282889390398E-2</v>
      </c>
      <c r="DR24">
        <v>1</v>
      </c>
      <c r="DS24">
        <v>0.61902899257995603</v>
      </c>
      <c r="DT24">
        <v>5.7616574514587099E-2</v>
      </c>
      <c r="DU24">
        <v>1.48384840170778E-2</v>
      </c>
      <c r="DV24">
        <v>1</v>
      </c>
      <c r="DW24">
        <v>3</v>
      </c>
      <c r="DX24">
        <v>3</v>
      </c>
      <c r="DY24" t="s">
        <v>283</v>
      </c>
      <c r="DZ24">
        <v>1.86673</v>
      </c>
      <c r="EA24">
        <v>1.8632299999999999</v>
      </c>
      <c r="EB24">
        <v>1.86887</v>
      </c>
      <c r="EC24">
        <v>1.86677</v>
      </c>
      <c r="ED24">
        <v>1.8714900000000001</v>
      </c>
      <c r="EE24">
        <v>1.86389</v>
      </c>
      <c r="EF24">
        <v>1.86544</v>
      </c>
      <c r="EG24">
        <v>1.8653900000000001</v>
      </c>
      <c r="EH24" t="s">
        <v>284</v>
      </c>
      <c r="EI24" t="s">
        <v>19</v>
      </c>
      <c r="EJ24" t="s">
        <v>19</v>
      </c>
      <c r="EK24" t="s">
        <v>19</v>
      </c>
      <c r="EL24" t="s">
        <v>285</v>
      </c>
      <c r="EM24" t="s">
        <v>286</v>
      </c>
      <c r="EN24" t="s">
        <v>287</v>
      </c>
      <c r="EO24" t="s">
        <v>287</v>
      </c>
      <c r="EP24" t="s">
        <v>287</v>
      </c>
      <c r="EQ24" t="s">
        <v>287</v>
      </c>
      <c r="ER24">
        <v>0</v>
      </c>
      <c r="ES24">
        <v>100</v>
      </c>
      <c r="ET24">
        <v>100</v>
      </c>
      <c r="EU24">
        <v>0.48599999999999999</v>
      </c>
      <c r="EV24">
        <v>2.7E-2</v>
      </c>
      <c r="EW24">
        <v>2</v>
      </c>
      <c r="EX24">
        <v>501.08800000000002</v>
      </c>
      <c r="EY24">
        <v>477.85</v>
      </c>
      <c r="EZ24">
        <v>20.344999999999999</v>
      </c>
      <c r="FA24">
        <v>35.330300000000001</v>
      </c>
      <c r="FB24">
        <v>29.991099999999999</v>
      </c>
      <c r="FC24">
        <v>35.383499999999998</v>
      </c>
      <c r="FD24">
        <v>35.372999999999998</v>
      </c>
      <c r="FE24">
        <v>26.545300000000001</v>
      </c>
      <c r="FF24">
        <v>72.975800000000007</v>
      </c>
      <c r="FG24">
        <v>0</v>
      </c>
      <c r="FH24">
        <v>20.718</v>
      </c>
      <c r="FI24">
        <v>500</v>
      </c>
      <c r="FJ24">
        <v>8.6537799999999994</v>
      </c>
      <c r="FK24">
        <v>100.36499999999999</v>
      </c>
      <c r="FL24">
        <v>100.87</v>
      </c>
    </row>
    <row r="25" spans="1:168" x14ac:dyDescent="0.35">
      <c r="A25">
        <v>10</v>
      </c>
      <c r="B25">
        <v>1562701029.5</v>
      </c>
      <c r="C25">
        <v>1227.0999999046301</v>
      </c>
      <c r="D25" t="s">
        <v>324</v>
      </c>
      <c r="E25" t="s">
        <v>325</v>
      </c>
      <c r="F25" t="s">
        <v>277</v>
      </c>
      <c r="G25" t="s">
        <v>278</v>
      </c>
      <c r="H25" t="s">
        <v>277</v>
      </c>
      <c r="J25" t="s">
        <v>277</v>
      </c>
      <c r="K25">
        <v>1562701021.5483899</v>
      </c>
      <c r="L25">
        <f t="shared" si="0"/>
        <v>9.0401321362126551E-3</v>
      </c>
      <c r="M25">
        <f t="shared" si="1"/>
        <v>41.211229314888854</v>
      </c>
      <c r="N25">
        <f t="shared" si="2"/>
        <v>544.63964516128999</v>
      </c>
      <c r="O25">
        <f t="shared" si="3"/>
        <v>410.37450788494675</v>
      </c>
      <c r="P25">
        <f t="shared" si="4"/>
        <v>40.691234669346521</v>
      </c>
      <c r="Q25">
        <f t="shared" si="5"/>
        <v>54.004474414626799</v>
      </c>
      <c r="R25">
        <f t="shared" si="6"/>
        <v>0.61219420583545658</v>
      </c>
      <c r="S25">
        <f t="shared" si="7"/>
        <v>2.2471403343773044</v>
      </c>
      <c r="T25">
        <f t="shared" si="8"/>
        <v>0.53247392875537758</v>
      </c>
      <c r="U25">
        <f t="shared" si="9"/>
        <v>0.33908993284629985</v>
      </c>
      <c r="V25">
        <f t="shared" si="10"/>
        <v>353.34185776836961</v>
      </c>
      <c r="W25">
        <f t="shared" si="11"/>
        <v>26.298797068344143</v>
      </c>
      <c r="X25">
        <f t="shared" si="12"/>
        <v>26.983329032258101</v>
      </c>
      <c r="Y25">
        <f t="shared" si="13"/>
        <v>3.5756567374381358</v>
      </c>
      <c r="Z25">
        <f t="shared" si="14"/>
        <v>55.333987973078493</v>
      </c>
      <c r="AA25">
        <f t="shared" si="15"/>
        <v>1.9390326362003425</v>
      </c>
      <c r="AB25">
        <f t="shared" si="16"/>
        <v>3.5042343905227566</v>
      </c>
      <c r="AC25">
        <f t="shared" si="17"/>
        <v>1.6366241012377933</v>
      </c>
      <c r="AD25">
        <f t="shared" si="18"/>
        <v>-398.66982720697808</v>
      </c>
      <c r="AE25">
        <f t="shared" si="19"/>
        <v>-41.560349180147824</v>
      </c>
      <c r="AF25">
        <f t="shared" si="20"/>
        <v>-3.9838824468008989</v>
      </c>
      <c r="AG25">
        <f t="shared" si="21"/>
        <v>-90.872201065557221</v>
      </c>
      <c r="AH25">
        <v>-4.1106805186909401E-2</v>
      </c>
      <c r="AI25">
        <v>4.6145989976225502E-2</v>
      </c>
      <c r="AJ25">
        <v>3.4501093812486898</v>
      </c>
      <c r="AK25">
        <v>0</v>
      </c>
      <c r="AL25">
        <v>0</v>
      </c>
      <c r="AM25">
        <f t="shared" si="22"/>
        <v>1</v>
      </c>
      <c r="AN25">
        <f t="shared" si="23"/>
        <v>0</v>
      </c>
      <c r="AO25">
        <f t="shared" si="24"/>
        <v>52479.008197284704</v>
      </c>
      <c r="AP25" t="s">
        <v>279</v>
      </c>
      <c r="AQ25">
        <v>687.861538461539</v>
      </c>
      <c r="AR25">
        <v>4005.07</v>
      </c>
      <c r="AS25">
        <f t="shared" si="25"/>
        <v>3317.2084615384611</v>
      </c>
      <c r="AT25">
        <f t="shared" si="26"/>
        <v>0.82825230558728336</v>
      </c>
      <c r="AU25">
        <v>-4.0580585712533601</v>
      </c>
      <c r="AV25" t="s">
        <v>326</v>
      </c>
      <c r="AW25">
        <v>839.57761538461602</v>
      </c>
      <c r="AX25">
        <v>1164.81</v>
      </c>
      <c r="AY25">
        <f t="shared" si="27"/>
        <v>0.27921496605917184</v>
      </c>
      <c r="AZ25">
        <v>0.5</v>
      </c>
      <c r="BA25">
        <f t="shared" si="28"/>
        <v>1849.1957516398734</v>
      </c>
      <c r="BB25">
        <f t="shared" si="29"/>
        <v>41.211229314888854</v>
      </c>
      <c r="BC25">
        <f t="shared" si="30"/>
        <v>258.161564515446</v>
      </c>
      <c r="BD25">
        <f t="shared" si="31"/>
        <v>0.49845897614203166</v>
      </c>
      <c r="BE25">
        <f t="shared" si="32"/>
        <v>2.4480527735366714E-2</v>
      </c>
      <c r="BF25">
        <f t="shared" si="33"/>
        <v>2.4383890935002279</v>
      </c>
      <c r="BG25" t="s">
        <v>327</v>
      </c>
      <c r="BH25">
        <v>584.20000000000005</v>
      </c>
      <c r="BI25">
        <f t="shared" si="34"/>
        <v>580.6099999999999</v>
      </c>
      <c r="BJ25">
        <f t="shared" si="35"/>
        <v>0.5601563607505623</v>
      </c>
      <c r="BK25">
        <f t="shared" si="36"/>
        <v>0.83027417002107662</v>
      </c>
      <c r="BL25">
        <f t="shared" si="37"/>
        <v>0.68190257615320415</v>
      </c>
      <c r="BM25">
        <f t="shared" si="38"/>
        <v>0.85621993098460236</v>
      </c>
      <c r="BN25">
        <f t="shared" si="39"/>
        <v>2200.01096774194</v>
      </c>
      <c r="BO25">
        <f t="shared" si="40"/>
        <v>1849.1957516398734</v>
      </c>
      <c r="BP25">
        <f t="shared" si="41"/>
        <v>0.84053933310062612</v>
      </c>
      <c r="BQ25">
        <f t="shared" si="42"/>
        <v>0.19107866620125252</v>
      </c>
      <c r="BR25">
        <v>1562701021.5483899</v>
      </c>
      <c r="BS25">
        <v>544.63964516128999</v>
      </c>
      <c r="BT25">
        <v>600.00009677419303</v>
      </c>
      <c r="BU25">
        <v>19.5553064516129</v>
      </c>
      <c r="BV25">
        <v>8.9195483870967802</v>
      </c>
      <c r="BW25">
        <v>500.01229032258101</v>
      </c>
      <c r="BX25">
        <v>99.0563516129032</v>
      </c>
      <c r="BY25">
        <v>9.9989454838709704E-2</v>
      </c>
      <c r="BZ25">
        <v>26.6402741935484</v>
      </c>
      <c r="CA25">
        <v>26.983329032258101</v>
      </c>
      <c r="CB25">
        <v>999.9</v>
      </c>
      <c r="CC25">
        <v>10007.5419354839</v>
      </c>
      <c r="CD25">
        <v>0</v>
      </c>
      <c r="CE25">
        <v>152.16006451612901</v>
      </c>
      <c r="CF25">
        <v>2200.01096774194</v>
      </c>
      <c r="CG25">
        <v>0.982005258064516</v>
      </c>
      <c r="CH25">
        <v>1.7994551612903201E-2</v>
      </c>
      <c r="CI25">
        <v>0</v>
      </c>
      <c r="CJ25">
        <v>839.61277419354803</v>
      </c>
      <c r="CK25">
        <v>1.9999499999999999</v>
      </c>
      <c r="CL25">
        <v>19264.974193548402</v>
      </c>
      <c r="CM25">
        <v>17938.380645161302</v>
      </c>
      <c r="CN25">
        <v>49.011935483871</v>
      </c>
      <c r="CO25">
        <v>49.350612903225802</v>
      </c>
      <c r="CP25">
        <v>49.128999999999998</v>
      </c>
      <c r="CQ25">
        <v>48.640999999999998</v>
      </c>
      <c r="CR25">
        <v>49.929000000000002</v>
      </c>
      <c r="CS25">
        <v>2158.4596774193501</v>
      </c>
      <c r="CT25">
        <v>39.551290322580599</v>
      </c>
      <c r="CU25">
        <v>0</v>
      </c>
      <c r="CV25">
        <v>136.90000009536701</v>
      </c>
      <c r="CW25">
        <v>839.57761538461602</v>
      </c>
      <c r="CX25">
        <v>-3.4983931757933999</v>
      </c>
      <c r="CY25">
        <v>-82.608547072341693</v>
      </c>
      <c r="CZ25">
        <v>19264.219230769198</v>
      </c>
      <c r="DA25">
        <v>15</v>
      </c>
      <c r="DB25">
        <v>1562700969</v>
      </c>
      <c r="DC25" t="s">
        <v>328</v>
      </c>
      <c r="DD25">
        <v>86</v>
      </c>
      <c r="DE25">
        <v>0.58899999999999997</v>
      </c>
      <c r="DF25">
        <v>2.8000000000000001E-2</v>
      </c>
      <c r="DG25">
        <v>600</v>
      </c>
      <c r="DH25">
        <v>9</v>
      </c>
      <c r="DI25">
        <v>0.02</v>
      </c>
      <c r="DJ25">
        <v>0.01</v>
      </c>
      <c r="DK25">
        <v>41.273101559261399</v>
      </c>
      <c r="DL25">
        <v>-0.28711260521983201</v>
      </c>
      <c r="DM25">
        <v>6.9505441906244497E-2</v>
      </c>
      <c r="DN25">
        <v>1</v>
      </c>
      <c r="DO25">
        <v>544.58416666666699</v>
      </c>
      <c r="DP25">
        <v>0.31254232042098501</v>
      </c>
      <c r="DQ25">
        <v>5.5436149457431201E-2</v>
      </c>
      <c r="DR25">
        <v>1</v>
      </c>
      <c r="DS25">
        <v>0.61275571815265095</v>
      </c>
      <c r="DT25">
        <v>-4.8381945584797803E-3</v>
      </c>
      <c r="DU25">
        <v>1.32948371390645E-3</v>
      </c>
      <c r="DV25">
        <v>1</v>
      </c>
      <c r="DW25">
        <v>3</v>
      </c>
      <c r="DX25">
        <v>3</v>
      </c>
      <c r="DY25" t="s">
        <v>283</v>
      </c>
      <c r="DZ25">
        <v>1.8667199999999999</v>
      </c>
      <c r="EA25">
        <v>1.8631899999999999</v>
      </c>
      <c r="EB25">
        <v>1.8688199999999999</v>
      </c>
      <c r="EC25">
        <v>1.86676</v>
      </c>
      <c r="ED25">
        <v>1.8714900000000001</v>
      </c>
      <c r="EE25">
        <v>1.8638600000000001</v>
      </c>
      <c r="EF25">
        <v>1.8653999999999999</v>
      </c>
      <c r="EG25">
        <v>1.8653900000000001</v>
      </c>
      <c r="EH25" t="s">
        <v>284</v>
      </c>
      <c r="EI25" t="s">
        <v>19</v>
      </c>
      <c r="EJ25" t="s">
        <v>19</v>
      </c>
      <c r="EK25" t="s">
        <v>19</v>
      </c>
      <c r="EL25" t="s">
        <v>285</v>
      </c>
      <c r="EM25" t="s">
        <v>286</v>
      </c>
      <c r="EN25" t="s">
        <v>287</v>
      </c>
      <c r="EO25" t="s">
        <v>287</v>
      </c>
      <c r="EP25" t="s">
        <v>287</v>
      </c>
      <c r="EQ25" t="s">
        <v>287</v>
      </c>
      <c r="ER25">
        <v>0</v>
      </c>
      <c r="ES25">
        <v>100</v>
      </c>
      <c r="ET25">
        <v>100</v>
      </c>
      <c r="EU25">
        <v>0.58899999999999997</v>
      </c>
      <c r="EV25">
        <v>2.8000000000000001E-2</v>
      </c>
      <c r="EW25">
        <v>2</v>
      </c>
      <c r="EX25">
        <v>501.108</v>
      </c>
      <c r="EY25">
        <v>478.79300000000001</v>
      </c>
      <c r="EZ25">
        <v>20.606200000000001</v>
      </c>
      <c r="FA25">
        <v>35.207799999999999</v>
      </c>
      <c r="FB25">
        <v>29.996700000000001</v>
      </c>
      <c r="FC25">
        <v>35.255899999999997</v>
      </c>
      <c r="FD25">
        <v>35.244999999999997</v>
      </c>
      <c r="FE25">
        <v>30.7163</v>
      </c>
      <c r="FF25">
        <v>72.100499999999997</v>
      </c>
      <c r="FG25">
        <v>0</v>
      </c>
      <c r="FH25">
        <v>20.6494</v>
      </c>
      <c r="FI25">
        <v>600</v>
      </c>
      <c r="FJ25">
        <v>8.8580400000000008</v>
      </c>
      <c r="FK25">
        <v>100.387</v>
      </c>
      <c r="FL25">
        <v>100.896</v>
      </c>
    </row>
    <row r="26" spans="1:168" x14ac:dyDescent="0.35">
      <c r="A26">
        <v>11</v>
      </c>
      <c r="B26">
        <v>1562701170.0999999</v>
      </c>
      <c r="C26">
        <v>1367.6999998092699</v>
      </c>
      <c r="D26" t="s">
        <v>329</v>
      </c>
      <c r="E26" t="s">
        <v>330</v>
      </c>
      <c r="F26" t="s">
        <v>277</v>
      </c>
      <c r="G26" t="s">
        <v>278</v>
      </c>
      <c r="H26" t="s">
        <v>277</v>
      </c>
      <c r="J26" t="s">
        <v>277</v>
      </c>
      <c r="K26">
        <v>1562701162.0999999</v>
      </c>
      <c r="L26">
        <f t="shared" si="0"/>
        <v>8.1192745747357773E-3</v>
      </c>
      <c r="M26">
        <f t="shared" si="1"/>
        <v>42.80682232238798</v>
      </c>
      <c r="N26">
        <f t="shared" si="2"/>
        <v>741.414806451613</v>
      </c>
      <c r="O26">
        <f t="shared" si="3"/>
        <v>579.33379097459124</v>
      </c>
      <c r="P26">
        <f t="shared" si="4"/>
        <v>57.444066580781239</v>
      </c>
      <c r="Q26">
        <f t="shared" si="5"/>
        <v>73.515272489347041</v>
      </c>
      <c r="R26">
        <f t="shared" si="6"/>
        <v>0.52826174601120501</v>
      </c>
      <c r="S26">
        <f t="shared" si="7"/>
        <v>2.2461460761829208</v>
      </c>
      <c r="T26">
        <f t="shared" si="8"/>
        <v>0.46772738811162301</v>
      </c>
      <c r="U26">
        <f t="shared" si="9"/>
        <v>0.29718830693386866</v>
      </c>
      <c r="V26">
        <f t="shared" si="10"/>
        <v>353.34518895940465</v>
      </c>
      <c r="W26">
        <f t="shared" si="11"/>
        <v>26.348720011789784</v>
      </c>
      <c r="X26">
        <f t="shared" si="12"/>
        <v>26.998106451612902</v>
      </c>
      <c r="Y26">
        <f t="shared" si="13"/>
        <v>3.5787616637842858</v>
      </c>
      <c r="Z26">
        <f t="shared" si="14"/>
        <v>55.192947580866672</v>
      </c>
      <c r="AA26">
        <f t="shared" si="15"/>
        <v>1.9051217193626531</v>
      </c>
      <c r="AB26">
        <f t="shared" si="16"/>
        <v>3.4517484621949919</v>
      </c>
      <c r="AC26">
        <f t="shared" si="17"/>
        <v>1.6736399444216328</v>
      </c>
      <c r="AD26">
        <f t="shared" si="18"/>
        <v>-358.06000874584777</v>
      </c>
      <c r="AE26">
        <f t="shared" si="19"/>
        <v>-74.333105463232087</v>
      </c>
      <c r="AF26">
        <f t="shared" si="20"/>
        <v>-7.1199647822860666</v>
      </c>
      <c r="AG26">
        <f t="shared" si="21"/>
        <v>-86.16789003196125</v>
      </c>
      <c r="AH26">
        <v>-4.1080074357252402E-2</v>
      </c>
      <c r="AI26">
        <v>4.6115982278186203E-2</v>
      </c>
      <c r="AJ26">
        <v>3.4483328593748901</v>
      </c>
      <c r="AK26">
        <v>0</v>
      </c>
      <c r="AL26">
        <v>0</v>
      </c>
      <c r="AM26">
        <f t="shared" si="22"/>
        <v>1</v>
      </c>
      <c r="AN26">
        <f t="shared" si="23"/>
        <v>0</v>
      </c>
      <c r="AO26">
        <f t="shared" si="24"/>
        <v>52491.108305194713</v>
      </c>
      <c r="AP26" t="s">
        <v>279</v>
      </c>
      <c r="AQ26">
        <v>687.861538461539</v>
      </c>
      <c r="AR26">
        <v>4005.07</v>
      </c>
      <c r="AS26">
        <f t="shared" si="25"/>
        <v>3317.2084615384611</v>
      </c>
      <c r="AT26">
        <f t="shared" si="26"/>
        <v>0.82825230558728336</v>
      </c>
      <c r="AU26">
        <v>-4.0580585712533601</v>
      </c>
      <c r="AV26" t="s">
        <v>331</v>
      </c>
      <c r="AW26">
        <v>831.01980769230795</v>
      </c>
      <c r="AX26">
        <v>1135.27</v>
      </c>
      <c r="AY26">
        <f t="shared" si="27"/>
        <v>0.26799809059315582</v>
      </c>
      <c r="AZ26">
        <v>0.5</v>
      </c>
      <c r="BA26">
        <f t="shared" si="28"/>
        <v>1849.2131129301958</v>
      </c>
      <c r="BB26">
        <f t="shared" si="29"/>
        <v>42.80682232238798</v>
      </c>
      <c r="BC26">
        <f t="shared" si="30"/>
        <v>247.79279168255917</v>
      </c>
      <c r="BD26">
        <f t="shared" si="31"/>
        <v>0.50267337285403468</v>
      </c>
      <c r="BE26">
        <f t="shared" si="32"/>
        <v>2.5343147615571986E-2</v>
      </c>
      <c r="BF26">
        <f t="shared" si="33"/>
        <v>2.5278568093933602</v>
      </c>
      <c r="BG26" t="s">
        <v>332</v>
      </c>
      <c r="BH26">
        <v>564.6</v>
      </c>
      <c r="BI26">
        <f t="shared" si="34"/>
        <v>570.66999999999996</v>
      </c>
      <c r="BJ26">
        <f t="shared" si="35"/>
        <v>0.53314558730560924</v>
      </c>
      <c r="BK26">
        <f t="shared" si="36"/>
        <v>0.83413022058032771</v>
      </c>
      <c r="BL26">
        <f t="shared" si="37"/>
        <v>0.68002780113164552</v>
      </c>
      <c r="BM26">
        <f t="shared" si="38"/>
        <v>0.8651250089567899</v>
      </c>
      <c r="BN26">
        <f t="shared" si="39"/>
        <v>2200.0316129032299</v>
      </c>
      <c r="BO26">
        <f t="shared" si="40"/>
        <v>1849.2131129301958</v>
      </c>
      <c r="BP26">
        <f t="shared" si="41"/>
        <v>0.84053933683703619</v>
      </c>
      <c r="BQ26">
        <f t="shared" si="42"/>
        <v>0.1910786736740725</v>
      </c>
      <c r="BR26">
        <v>1562701162.0999999</v>
      </c>
      <c r="BS26">
        <v>741.414806451613</v>
      </c>
      <c r="BT26">
        <v>800.00506451612898</v>
      </c>
      <c r="BU26">
        <v>19.213496774193501</v>
      </c>
      <c r="BV26">
        <v>9.6578325806451595</v>
      </c>
      <c r="BW26">
        <v>500.01390322580602</v>
      </c>
      <c r="BX26">
        <v>99.0554129032258</v>
      </c>
      <c r="BY26">
        <v>9.9974674193548399E-2</v>
      </c>
      <c r="BZ26">
        <v>26.384261290322598</v>
      </c>
      <c r="CA26">
        <v>26.998106451612902</v>
      </c>
      <c r="CB26">
        <v>999.9</v>
      </c>
      <c r="CC26">
        <v>10001.129032258101</v>
      </c>
      <c r="CD26">
        <v>0</v>
      </c>
      <c r="CE26">
        <v>157.41303225806499</v>
      </c>
      <c r="CF26">
        <v>2200.0316129032299</v>
      </c>
      <c r="CG26">
        <v>0.98200477419354804</v>
      </c>
      <c r="CH26">
        <v>1.7994954838709699E-2</v>
      </c>
      <c r="CI26">
        <v>0</v>
      </c>
      <c r="CJ26">
        <v>831.08974193548397</v>
      </c>
      <c r="CK26">
        <v>1.9999499999999999</v>
      </c>
      <c r="CL26">
        <v>19079.996774193602</v>
      </c>
      <c r="CM26">
        <v>17938.532258064501</v>
      </c>
      <c r="CN26">
        <v>48.905000000000001</v>
      </c>
      <c r="CO26">
        <v>49.186999999999998</v>
      </c>
      <c r="CP26">
        <v>48.951225806451603</v>
      </c>
      <c r="CQ26">
        <v>48.518000000000001</v>
      </c>
      <c r="CR26">
        <v>49.8241935483871</v>
      </c>
      <c r="CS26">
        <v>2158.4796774193601</v>
      </c>
      <c r="CT26">
        <v>39.551935483870999</v>
      </c>
      <c r="CU26">
        <v>0</v>
      </c>
      <c r="CV26">
        <v>139.799999952316</v>
      </c>
      <c r="CW26">
        <v>831.01980769230795</v>
      </c>
      <c r="CX26">
        <v>-5.7286495734897898</v>
      </c>
      <c r="CY26">
        <v>-132.27350438130901</v>
      </c>
      <c r="CZ26">
        <v>19079.030769230802</v>
      </c>
      <c r="DA26">
        <v>15</v>
      </c>
      <c r="DB26">
        <v>1562701110.5999999</v>
      </c>
      <c r="DC26" t="s">
        <v>333</v>
      </c>
      <c r="DD26">
        <v>87</v>
      </c>
      <c r="DE26">
        <v>0.89400000000000002</v>
      </c>
      <c r="DF26">
        <v>0.03</v>
      </c>
      <c r="DG26">
        <v>800</v>
      </c>
      <c r="DH26">
        <v>9</v>
      </c>
      <c r="DI26">
        <v>0.02</v>
      </c>
      <c r="DJ26">
        <v>0.01</v>
      </c>
      <c r="DK26">
        <v>43.011373912275197</v>
      </c>
      <c r="DL26">
        <v>-0.83354899147363104</v>
      </c>
      <c r="DM26">
        <v>0.17299874108371499</v>
      </c>
      <c r="DN26">
        <v>0</v>
      </c>
      <c r="DO26">
        <v>741.11654166666699</v>
      </c>
      <c r="DP26">
        <v>1.62708662936464</v>
      </c>
      <c r="DQ26">
        <v>0.28570458409867899</v>
      </c>
      <c r="DR26">
        <v>1</v>
      </c>
      <c r="DS26">
        <v>0.53706179529078102</v>
      </c>
      <c r="DT26">
        <v>-4.56451561180597E-2</v>
      </c>
      <c r="DU26">
        <v>8.5856966548619792E-3</v>
      </c>
      <c r="DV26">
        <v>1</v>
      </c>
      <c r="DW26">
        <v>2</v>
      </c>
      <c r="DX26">
        <v>3</v>
      </c>
      <c r="DY26" t="s">
        <v>334</v>
      </c>
      <c r="DZ26">
        <v>1.86669</v>
      </c>
      <c r="EA26">
        <v>1.8631899999999999</v>
      </c>
      <c r="EB26">
        <v>1.8688400000000001</v>
      </c>
      <c r="EC26">
        <v>1.86677</v>
      </c>
      <c r="ED26">
        <v>1.8714299999999999</v>
      </c>
      <c r="EE26">
        <v>1.86388</v>
      </c>
      <c r="EF26">
        <v>1.8654500000000001</v>
      </c>
      <c r="EG26">
        <v>1.86534</v>
      </c>
      <c r="EH26" t="s">
        <v>284</v>
      </c>
      <c r="EI26" t="s">
        <v>19</v>
      </c>
      <c r="EJ26" t="s">
        <v>19</v>
      </c>
      <c r="EK26" t="s">
        <v>19</v>
      </c>
      <c r="EL26" t="s">
        <v>285</v>
      </c>
      <c r="EM26" t="s">
        <v>286</v>
      </c>
      <c r="EN26" t="s">
        <v>287</v>
      </c>
      <c r="EO26" t="s">
        <v>287</v>
      </c>
      <c r="EP26" t="s">
        <v>287</v>
      </c>
      <c r="EQ26" t="s">
        <v>287</v>
      </c>
      <c r="ER26">
        <v>0</v>
      </c>
      <c r="ES26">
        <v>100</v>
      </c>
      <c r="ET26">
        <v>100</v>
      </c>
      <c r="EU26">
        <v>0.89400000000000002</v>
      </c>
      <c r="EV26">
        <v>0.03</v>
      </c>
      <c r="EW26">
        <v>2</v>
      </c>
      <c r="EX26">
        <v>500.435</v>
      </c>
      <c r="EY26">
        <v>480.52</v>
      </c>
      <c r="EZ26">
        <v>19.1751</v>
      </c>
      <c r="FA26">
        <v>35.0991</v>
      </c>
      <c r="FB26">
        <v>29.996600000000001</v>
      </c>
      <c r="FC26">
        <v>35.139400000000002</v>
      </c>
      <c r="FD26">
        <v>35.1325</v>
      </c>
      <c r="FE26">
        <v>38.753300000000003</v>
      </c>
      <c r="FF26">
        <v>69.3142</v>
      </c>
      <c r="FG26">
        <v>0</v>
      </c>
      <c r="FH26">
        <v>20.165800000000001</v>
      </c>
      <c r="FI26">
        <v>800</v>
      </c>
      <c r="FJ26">
        <v>9.6578300000000006</v>
      </c>
      <c r="FK26">
        <v>100.40300000000001</v>
      </c>
      <c r="FL26">
        <v>100.91200000000001</v>
      </c>
    </row>
    <row r="27" spans="1:168" x14ac:dyDescent="0.35">
      <c r="A27">
        <v>12</v>
      </c>
      <c r="B27">
        <v>1562701310.5999999</v>
      </c>
      <c r="C27">
        <v>1508.1999998092699</v>
      </c>
      <c r="D27" t="s">
        <v>335</v>
      </c>
      <c r="E27" t="s">
        <v>336</v>
      </c>
      <c r="F27" t="s">
        <v>277</v>
      </c>
      <c r="G27" t="s">
        <v>278</v>
      </c>
      <c r="H27" t="s">
        <v>277</v>
      </c>
      <c r="J27" t="s">
        <v>277</v>
      </c>
      <c r="K27">
        <v>1562701302.5999999</v>
      </c>
      <c r="L27">
        <f t="shared" si="0"/>
        <v>6.7761561023097243E-3</v>
      </c>
      <c r="M27">
        <f t="shared" si="1"/>
        <v>42.766988146788947</v>
      </c>
      <c r="N27">
        <f t="shared" si="2"/>
        <v>941.02456417404278</v>
      </c>
      <c r="O27">
        <f t="shared" si="3"/>
        <v>738.43732780689663</v>
      </c>
      <c r="P27">
        <f t="shared" si="4"/>
        <v>73.222110337789402</v>
      </c>
      <c r="Q27">
        <f t="shared" si="5"/>
        <v>93.310294420192804</v>
      </c>
      <c r="R27">
        <f t="shared" si="6"/>
        <v>0.41619108605766092</v>
      </c>
      <c r="S27">
        <f t="shared" si="7"/>
        <v>2.2478706308524714</v>
      </c>
      <c r="T27">
        <f t="shared" si="8"/>
        <v>0.37764195827539038</v>
      </c>
      <c r="U27">
        <f t="shared" si="9"/>
        <v>0.239191456429873</v>
      </c>
      <c r="V27">
        <f t="shared" si="10"/>
        <v>353.33577982446724</v>
      </c>
      <c r="W27">
        <f t="shared" si="11"/>
        <v>26.527749942238895</v>
      </c>
      <c r="X27">
        <f t="shared" si="12"/>
        <v>27.0273161290323</v>
      </c>
      <c r="Y27">
        <f t="shared" si="13"/>
        <v>3.5849059181758722</v>
      </c>
      <c r="Z27">
        <f t="shared" si="14"/>
        <v>54.580363323944304</v>
      </c>
      <c r="AA27">
        <f t="shared" si="15"/>
        <v>1.8544776180639315</v>
      </c>
      <c r="AB27">
        <f t="shared" si="16"/>
        <v>3.3977011238589094</v>
      </c>
      <c r="AC27">
        <f t="shared" si="17"/>
        <v>1.7304283001119407</v>
      </c>
      <c r="AD27">
        <f t="shared" si="18"/>
        <v>-298.82848411185881</v>
      </c>
      <c r="AE27">
        <f t="shared" si="19"/>
        <v>-110.31201836293398</v>
      </c>
      <c r="AF27">
        <f t="shared" si="20"/>
        <v>-10.545524651514475</v>
      </c>
      <c r="AG27">
        <f t="shared" si="21"/>
        <v>-66.350247301840042</v>
      </c>
      <c r="AH27">
        <v>-4.1126446141806598E-2</v>
      </c>
      <c r="AI27">
        <v>4.6168038668739801E-2</v>
      </c>
      <c r="AJ27">
        <v>3.4514144599450698</v>
      </c>
      <c r="AK27">
        <v>1</v>
      </c>
      <c r="AL27">
        <v>0</v>
      </c>
      <c r="AM27">
        <f t="shared" si="22"/>
        <v>1.0000380279246845</v>
      </c>
      <c r="AN27">
        <f t="shared" si="23"/>
        <v>3.8027924684547187E-3</v>
      </c>
      <c r="AO27">
        <f t="shared" si="24"/>
        <v>52594.93050021743</v>
      </c>
      <c r="AP27" t="s">
        <v>279</v>
      </c>
      <c r="AQ27">
        <v>687.861538461539</v>
      </c>
      <c r="AR27">
        <v>4005.07</v>
      </c>
      <c r="AS27">
        <f t="shared" si="25"/>
        <v>3317.2084615384611</v>
      </c>
      <c r="AT27">
        <f t="shared" si="26"/>
        <v>0.82825230558728336</v>
      </c>
      <c r="AU27">
        <v>-4.0580585712533601</v>
      </c>
      <c r="AV27" t="s">
        <v>337</v>
      </c>
      <c r="AW27">
        <v>821.36703846153898</v>
      </c>
      <c r="AX27">
        <v>1100.74</v>
      </c>
      <c r="AY27">
        <f t="shared" si="27"/>
        <v>0.25380467825141362</v>
      </c>
      <c r="AZ27">
        <v>0.5</v>
      </c>
      <c r="BA27">
        <f t="shared" si="28"/>
        <v>1849.1640193818039</v>
      </c>
      <c r="BB27">
        <f t="shared" si="29"/>
        <v>42.766988146788947</v>
      </c>
      <c r="BC27">
        <f t="shared" si="30"/>
        <v>234.66323948664476</v>
      </c>
      <c r="BD27">
        <f t="shared" si="31"/>
        <v>0.49324999545760129</v>
      </c>
      <c r="BE27">
        <f t="shared" si="32"/>
        <v>2.5322278730956729E-2</v>
      </c>
      <c r="BF27">
        <f t="shared" si="33"/>
        <v>2.6385249922779219</v>
      </c>
      <c r="BG27" t="s">
        <v>338</v>
      </c>
      <c r="BH27">
        <v>557.79999999999995</v>
      </c>
      <c r="BI27">
        <f t="shared" si="34"/>
        <v>542.94000000000005</v>
      </c>
      <c r="BJ27">
        <f t="shared" si="35"/>
        <v>0.51455586535982056</v>
      </c>
      <c r="BK27">
        <f t="shared" si="36"/>
        <v>0.84250145767520368</v>
      </c>
      <c r="BL27">
        <f t="shared" si="37"/>
        <v>0.67664697377883565</v>
      </c>
      <c r="BM27">
        <f t="shared" si="38"/>
        <v>0.87553436381053495</v>
      </c>
      <c r="BN27">
        <f t="shared" si="39"/>
        <v>2199.97322580645</v>
      </c>
      <c r="BO27">
        <f t="shared" si="40"/>
        <v>1849.1640193818039</v>
      </c>
      <c r="BP27">
        <f t="shared" si="41"/>
        <v>0.84053932915658591</v>
      </c>
      <c r="BQ27">
        <f t="shared" si="42"/>
        <v>0.19107865831317186</v>
      </c>
      <c r="BR27">
        <v>1562701302.5999999</v>
      </c>
      <c r="BS27">
        <v>941.02461290322594</v>
      </c>
      <c r="BT27">
        <v>999.98916129032204</v>
      </c>
      <c r="BU27">
        <v>18.702212903225799</v>
      </c>
      <c r="BV27">
        <v>10.7239838709677</v>
      </c>
      <c r="BW27">
        <v>500.04851612903201</v>
      </c>
      <c r="BX27">
        <v>99.058170967742001</v>
      </c>
      <c r="BY27">
        <v>0.100021041935484</v>
      </c>
      <c r="BZ27">
        <v>26.117054838709699</v>
      </c>
      <c r="CA27">
        <v>27.0273161290323</v>
      </c>
      <c r="CB27">
        <v>999.9</v>
      </c>
      <c r="CC27">
        <v>10012.1396774194</v>
      </c>
      <c r="CD27">
        <v>0</v>
      </c>
      <c r="CE27">
        <v>216.65270967741901</v>
      </c>
      <c r="CF27">
        <v>2199.97322580645</v>
      </c>
      <c r="CG27">
        <v>0.98200448387096795</v>
      </c>
      <c r="CH27">
        <v>1.79951967741936E-2</v>
      </c>
      <c r="CI27">
        <v>0</v>
      </c>
      <c r="CJ27">
        <v>821.47354838709703</v>
      </c>
      <c r="CK27">
        <v>1.9999499999999999</v>
      </c>
      <c r="CL27">
        <v>18864.222580645201</v>
      </c>
      <c r="CM27">
        <v>17938.0419354839</v>
      </c>
      <c r="CN27">
        <v>48.787999999999997</v>
      </c>
      <c r="CO27">
        <v>49.120935483871001</v>
      </c>
      <c r="CP27">
        <v>48.941064516129003</v>
      </c>
      <c r="CQ27">
        <v>48.441064516129003</v>
      </c>
      <c r="CR27">
        <v>49.7195161290323</v>
      </c>
      <c r="CS27">
        <v>2158.4229032258099</v>
      </c>
      <c r="CT27">
        <v>39.550322580645201</v>
      </c>
      <c r="CU27">
        <v>0</v>
      </c>
      <c r="CV27">
        <v>140.200000047684</v>
      </c>
      <c r="CW27">
        <v>821.36703846153898</v>
      </c>
      <c r="CX27">
        <v>-6.7753504330526901</v>
      </c>
      <c r="CY27">
        <v>-135.48376075541</v>
      </c>
      <c r="CZ27">
        <v>18862.4115384615</v>
      </c>
      <c r="DA27">
        <v>15</v>
      </c>
      <c r="DB27">
        <v>1562701245.5999999</v>
      </c>
      <c r="DC27" t="s">
        <v>339</v>
      </c>
      <c r="DD27">
        <v>88</v>
      </c>
      <c r="DE27">
        <v>1.069</v>
      </c>
      <c r="DF27">
        <v>3.9E-2</v>
      </c>
      <c r="DG27">
        <v>1000</v>
      </c>
      <c r="DH27">
        <v>10</v>
      </c>
      <c r="DI27">
        <v>0.03</v>
      </c>
      <c r="DJ27">
        <v>0.01</v>
      </c>
      <c r="DK27">
        <v>42.835360640908597</v>
      </c>
      <c r="DL27">
        <v>-0.404507767606122</v>
      </c>
      <c r="DM27">
        <v>0.11023544668384801</v>
      </c>
      <c r="DN27">
        <v>0</v>
      </c>
      <c r="DO27">
        <v>940.75941666666699</v>
      </c>
      <c r="DP27">
        <v>1.4522091452830701</v>
      </c>
      <c r="DQ27">
        <v>0.255681048595922</v>
      </c>
      <c r="DR27">
        <v>1</v>
      </c>
      <c r="DS27">
        <v>0.42978204904727302</v>
      </c>
      <c r="DT27">
        <v>-6.3518194217760698E-2</v>
      </c>
      <c r="DU27">
        <v>1.1909940102145499E-2</v>
      </c>
      <c r="DV27">
        <v>1</v>
      </c>
      <c r="DW27">
        <v>2</v>
      </c>
      <c r="DX27">
        <v>3</v>
      </c>
      <c r="DY27" t="s">
        <v>334</v>
      </c>
      <c r="DZ27">
        <v>1.8666100000000001</v>
      </c>
      <c r="EA27">
        <v>1.8631</v>
      </c>
      <c r="EB27">
        <v>1.8687400000000001</v>
      </c>
      <c r="EC27">
        <v>1.8666700000000001</v>
      </c>
      <c r="ED27">
        <v>1.87134</v>
      </c>
      <c r="EE27">
        <v>1.86382</v>
      </c>
      <c r="EF27">
        <v>1.86538</v>
      </c>
      <c r="EG27">
        <v>1.8652299999999999</v>
      </c>
      <c r="EH27" t="s">
        <v>284</v>
      </c>
      <c r="EI27" t="s">
        <v>19</v>
      </c>
      <c r="EJ27" t="s">
        <v>19</v>
      </c>
      <c r="EK27" t="s">
        <v>19</v>
      </c>
      <c r="EL27" t="s">
        <v>285</v>
      </c>
      <c r="EM27" t="s">
        <v>286</v>
      </c>
      <c r="EN27" t="s">
        <v>287</v>
      </c>
      <c r="EO27" t="s">
        <v>287</v>
      </c>
      <c r="EP27" t="s">
        <v>287</v>
      </c>
      <c r="EQ27" t="s">
        <v>287</v>
      </c>
      <c r="ER27">
        <v>0</v>
      </c>
      <c r="ES27">
        <v>100</v>
      </c>
      <c r="ET27">
        <v>100</v>
      </c>
      <c r="EU27">
        <v>1.069</v>
      </c>
      <c r="EV27">
        <v>3.9E-2</v>
      </c>
      <c r="EW27">
        <v>2</v>
      </c>
      <c r="EX27">
        <v>499.18</v>
      </c>
      <c r="EY27">
        <v>481.59399999999999</v>
      </c>
      <c r="EZ27">
        <v>18.9373</v>
      </c>
      <c r="FA27">
        <v>35.089500000000001</v>
      </c>
      <c r="FB27">
        <v>30.0001</v>
      </c>
      <c r="FC27">
        <v>35.087600000000002</v>
      </c>
      <c r="FD27">
        <v>35.0794</v>
      </c>
      <c r="FE27">
        <v>46.408700000000003</v>
      </c>
      <c r="FF27">
        <v>65.405699999999996</v>
      </c>
      <c r="FG27">
        <v>0</v>
      </c>
      <c r="FH27">
        <v>18.928899999999999</v>
      </c>
      <c r="FI27">
        <v>1000</v>
      </c>
      <c r="FJ27">
        <v>10.9435</v>
      </c>
      <c r="FK27">
        <v>100.404</v>
      </c>
      <c r="FL27">
        <v>100.90900000000001</v>
      </c>
    </row>
    <row r="28" spans="1:168" x14ac:dyDescent="0.35">
      <c r="A28">
        <v>13</v>
      </c>
      <c r="B28">
        <v>1562701449.5999999</v>
      </c>
      <c r="C28">
        <v>1647.1999998092699</v>
      </c>
      <c r="D28" t="s">
        <v>340</v>
      </c>
      <c r="E28" t="s">
        <v>341</v>
      </c>
      <c r="F28" t="s">
        <v>277</v>
      </c>
      <c r="G28" t="s">
        <v>278</v>
      </c>
      <c r="H28" t="s">
        <v>277</v>
      </c>
      <c r="J28" t="s">
        <v>277</v>
      </c>
      <c r="K28">
        <v>1562701441.5999999</v>
      </c>
      <c r="L28">
        <f t="shared" si="0"/>
        <v>5.625472437771205E-3</v>
      </c>
      <c r="M28">
        <f t="shared" si="1"/>
        <v>42.622914086353425</v>
      </c>
      <c r="N28">
        <f t="shared" si="2"/>
        <v>1141.1276933214403</v>
      </c>
      <c r="O28">
        <f t="shared" si="3"/>
        <v>892.79187705969775</v>
      </c>
      <c r="P28">
        <f t="shared" si="4"/>
        <v>88.529174720256606</v>
      </c>
      <c r="Q28">
        <f t="shared" si="5"/>
        <v>113.15413539926521</v>
      </c>
      <c r="R28">
        <f t="shared" si="6"/>
        <v>0.33334459596551524</v>
      </c>
      <c r="S28">
        <f t="shared" si="7"/>
        <v>2.2461975135623873</v>
      </c>
      <c r="T28">
        <f t="shared" si="8"/>
        <v>0.30809996501295855</v>
      </c>
      <c r="U28">
        <f t="shared" si="9"/>
        <v>0.19467104687513545</v>
      </c>
      <c r="V28">
        <f t="shared" si="10"/>
        <v>353.33967511815882</v>
      </c>
      <c r="W28">
        <f t="shared" si="11"/>
        <v>26.566408640483893</v>
      </c>
      <c r="X28">
        <f t="shared" si="12"/>
        <v>27.0590096774194</v>
      </c>
      <c r="Y28">
        <f t="shared" si="13"/>
        <v>3.5915830688674304</v>
      </c>
      <c r="Z28">
        <f t="shared" si="14"/>
        <v>54.986511297031115</v>
      </c>
      <c r="AA28">
        <f t="shared" si="15"/>
        <v>1.8305625694922327</v>
      </c>
      <c r="AB28">
        <f t="shared" si="16"/>
        <v>3.3291120427766985</v>
      </c>
      <c r="AC28">
        <f t="shared" si="17"/>
        <v>1.7610204993751977</v>
      </c>
      <c r="AD28">
        <f t="shared" si="18"/>
        <v>-248.08333450571013</v>
      </c>
      <c r="AE28">
        <f t="shared" si="19"/>
        <v>-155.78543141952102</v>
      </c>
      <c r="AF28">
        <f t="shared" si="20"/>
        <v>-14.880454057362732</v>
      </c>
      <c r="AG28">
        <f t="shared" si="21"/>
        <v>-65.409544864435048</v>
      </c>
      <c r="AH28">
        <v>-4.1081457000217397E-2</v>
      </c>
      <c r="AI28">
        <v>4.6117534416040599E-2</v>
      </c>
      <c r="AJ28">
        <v>3.4484247590739701</v>
      </c>
      <c r="AK28">
        <v>2</v>
      </c>
      <c r="AL28">
        <v>0</v>
      </c>
      <c r="AM28">
        <f t="shared" si="22"/>
        <v>1.0000760508700477</v>
      </c>
      <c r="AN28">
        <f t="shared" si="23"/>
        <v>7.605087004769473E-3</v>
      </c>
      <c r="AO28">
        <f t="shared" si="24"/>
        <v>52600.373946654778</v>
      </c>
      <c r="AP28" t="s">
        <v>279</v>
      </c>
      <c r="AQ28">
        <v>687.861538461539</v>
      </c>
      <c r="AR28">
        <v>4005.07</v>
      </c>
      <c r="AS28">
        <f t="shared" si="25"/>
        <v>3317.2084615384611</v>
      </c>
      <c r="AT28">
        <f t="shared" si="26"/>
        <v>0.82825230558728336</v>
      </c>
      <c r="AU28">
        <v>-4.0580585712533601</v>
      </c>
      <c r="AV28" t="s">
        <v>342</v>
      </c>
      <c r="AW28">
        <v>814.62265384615398</v>
      </c>
      <c r="AX28">
        <v>1081.3699999999999</v>
      </c>
      <c r="AY28">
        <f t="shared" si="27"/>
        <v>0.24667537119935445</v>
      </c>
      <c r="AZ28">
        <v>0.5</v>
      </c>
      <c r="BA28">
        <f t="shared" si="28"/>
        <v>1849.1846036007166</v>
      </c>
      <c r="BB28">
        <f t="shared" si="29"/>
        <v>42.622914086353425</v>
      </c>
      <c r="BC28">
        <f t="shared" si="30"/>
        <v>228.07414925466895</v>
      </c>
      <c r="BD28">
        <f t="shared" si="31"/>
        <v>0.47862433764576418</v>
      </c>
      <c r="BE28">
        <f t="shared" si="32"/>
        <v>2.5244084645043005E-2</v>
      </c>
      <c r="BF28">
        <f t="shared" si="33"/>
        <v>2.7036999361920531</v>
      </c>
      <c r="BG28" t="s">
        <v>343</v>
      </c>
      <c r="BH28">
        <v>563.79999999999995</v>
      </c>
      <c r="BI28">
        <f t="shared" si="34"/>
        <v>517.56999999999994</v>
      </c>
      <c r="BJ28">
        <f t="shared" si="35"/>
        <v>0.51538409520228368</v>
      </c>
      <c r="BK28">
        <f t="shared" si="36"/>
        <v>0.84959913055354563</v>
      </c>
      <c r="BL28">
        <f t="shared" si="37"/>
        <v>0.67786940364883219</v>
      </c>
      <c r="BM28">
        <f t="shared" si="38"/>
        <v>0.88137361094395661</v>
      </c>
      <c r="BN28">
        <f t="shared" si="39"/>
        <v>2199.99774193548</v>
      </c>
      <c r="BO28">
        <f t="shared" si="40"/>
        <v>1849.1846036007166</v>
      </c>
      <c r="BP28">
        <f t="shared" si="41"/>
        <v>0.84053931890578648</v>
      </c>
      <c r="BQ28">
        <f t="shared" si="42"/>
        <v>0.19107863781157317</v>
      </c>
      <c r="BR28">
        <v>1562701441.5999999</v>
      </c>
      <c r="BS28">
        <v>1141.1277419354799</v>
      </c>
      <c r="BT28">
        <v>1199.9706451612899</v>
      </c>
      <c r="BU28">
        <v>18.460709677419398</v>
      </c>
      <c r="BV28">
        <v>11.8357225806452</v>
      </c>
      <c r="BW28">
        <v>500.033677419355</v>
      </c>
      <c r="BX28">
        <v>99.059929032258097</v>
      </c>
      <c r="BY28">
        <v>9.9995016129032305E-2</v>
      </c>
      <c r="BZ28">
        <v>25.772558064516101</v>
      </c>
      <c r="CA28">
        <v>27.0590096774194</v>
      </c>
      <c r="CB28">
        <v>999.9</v>
      </c>
      <c r="CC28">
        <v>10001.009677419401</v>
      </c>
      <c r="CD28">
        <v>0</v>
      </c>
      <c r="CE28">
        <v>162.22622580645199</v>
      </c>
      <c r="CF28">
        <v>2199.99774193548</v>
      </c>
      <c r="CG28">
        <v>0.98200632258064502</v>
      </c>
      <c r="CH28">
        <v>1.7993664516129E-2</v>
      </c>
      <c r="CI28">
        <v>0</v>
      </c>
      <c r="CJ28">
        <v>814.71558064516103</v>
      </c>
      <c r="CK28">
        <v>1.9999499999999999</v>
      </c>
      <c r="CL28">
        <v>18715.487096774199</v>
      </c>
      <c r="CM28">
        <v>17938.267741935499</v>
      </c>
      <c r="CN28">
        <v>48.860774193548401</v>
      </c>
      <c r="CO28">
        <v>49.358741935483899</v>
      </c>
      <c r="CP28">
        <v>49.082322580645098</v>
      </c>
      <c r="CQ28">
        <v>48.626967741935502</v>
      </c>
      <c r="CR28">
        <v>49.777999999999999</v>
      </c>
      <c r="CS28">
        <v>2158.44709677419</v>
      </c>
      <c r="CT28">
        <v>39.549999999999997</v>
      </c>
      <c r="CU28">
        <v>0</v>
      </c>
      <c r="CV28">
        <v>138.700000047684</v>
      </c>
      <c r="CW28">
        <v>814.62265384615398</v>
      </c>
      <c r="CX28">
        <v>-4.7660512719608699</v>
      </c>
      <c r="CY28">
        <v>-80.529914534930001</v>
      </c>
      <c r="CZ28">
        <v>18714.5884615385</v>
      </c>
      <c r="DA28">
        <v>15</v>
      </c>
      <c r="DB28">
        <v>1562701389.5999999</v>
      </c>
      <c r="DC28" t="s">
        <v>344</v>
      </c>
      <c r="DD28">
        <v>89</v>
      </c>
      <c r="DE28">
        <v>1.081</v>
      </c>
      <c r="DF28">
        <v>5.3999999999999999E-2</v>
      </c>
      <c r="DG28">
        <v>1200</v>
      </c>
      <c r="DH28">
        <v>11</v>
      </c>
      <c r="DI28">
        <v>0.05</v>
      </c>
      <c r="DJ28">
        <v>0.01</v>
      </c>
      <c r="DK28">
        <v>42.669646114133698</v>
      </c>
      <c r="DL28">
        <v>-0.291361178045073</v>
      </c>
      <c r="DM28">
        <v>0.11163262860677201</v>
      </c>
      <c r="DN28">
        <v>1</v>
      </c>
      <c r="DO28">
        <v>1140.98694444444</v>
      </c>
      <c r="DP28">
        <v>0.84402855489093898</v>
      </c>
      <c r="DQ28">
        <v>0.15077244525081801</v>
      </c>
      <c r="DR28">
        <v>1</v>
      </c>
      <c r="DS28">
        <v>0.33942442842642101</v>
      </c>
      <c r="DT28">
        <v>-2.7910756912102298E-2</v>
      </c>
      <c r="DU28">
        <v>5.3080118454859196E-3</v>
      </c>
      <c r="DV28">
        <v>1</v>
      </c>
      <c r="DW28">
        <v>3</v>
      </c>
      <c r="DX28">
        <v>3</v>
      </c>
      <c r="DY28" t="s">
        <v>283</v>
      </c>
      <c r="DZ28">
        <v>1.8665499999999999</v>
      </c>
      <c r="EA28">
        <v>1.8630899999999999</v>
      </c>
      <c r="EB28">
        <v>1.8687100000000001</v>
      </c>
      <c r="EC28">
        <v>1.86663</v>
      </c>
      <c r="ED28">
        <v>1.87134</v>
      </c>
      <c r="EE28">
        <v>1.8637300000000001</v>
      </c>
      <c r="EF28">
        <v>1.8653500000000001</v>
      </c>
      <c r="EG28">
        <v>1.8652299999999999</v>
      </c>
      <c r="EH28" t="s">
        <v>284</v>
      </c>
      <c r="EI28" t="s">
        <v>19</v>
      </c>
      <c r="EJ28" t="s">
        <v>19</v>
      </c>
      <c r="EK28" t="s">
        <v>19</v>
      </c>
      <c r="EL28" t="s">
        <v>285</v>
      </c>
      <c r="EM28" t="s">
        <v>286</v>
      </c>
      <c r="EN28" t="s">
        <v>287</v>
      </c>
      <c r="EO28" t="s">
        <v>287</v>
      </c>
      <c r="EP28" t="s">
        <v>287</v>
      </c>
      <c r="EQ28" t="s">
        <v>287</v>
      </c>
      <c r="ER28">
        <v>0</v>
      </c>
      <c r="ES28">
        <v>100</v>
      </c>
      <c r="ET28">
        <v>100</v>
      </c>
      <c r="EU28">
        <v>1.081</v>
      </c>
      <c r="EV28">
        <v>5.3999999999999999E-2</v>
      </c>
      <c r="EW28">
        <v>2</v>
      </c>
      <c r="EX28">
        <v>498.04700000000003</v>
      </c>
      <c r="EY28">
        <v>481.84800000000001</v>
      </c>
      <c r="EZ28">
        <v>18.1782</v>
      </c>
      <c r="FA28">
        <v>35.205199999999998</v>
      </c>
      <c r="FB28">
        <v>30.000699999999998</v>
      </c>
      <c r="FC28">
        <v>35.1389</v>
      </c>
      <c r="FD28">
        <v>35.122999999999998</v>
      </c>
      <c r="FE28">
        <v>53.747</v>
      </c>
      <c r="FF28">
        <v>62.956600000000002</v>
      </c>
      <c r="FG28">
        <v>0</v>
      </c>
      <c r="FH28">
        <v>17.593399999999999</v>
      </c>
      <c r="FI28">
        <v>1200</v>
      </c>
      <c r="FJ28">
        <v>11.8142</v>
      </c>
      <c r="FK28">
        <v>100.384</v>
      </c>
      <c r="FL28">
        <v>100.88200000000001</v>
      </c>
    </row>
  </sheetData>
  <sortState xmlns:xlrd2="http://schemas.microsoft.com/office/spreadsheetml/2017/richdata2" ref="M33:P45">
    <sortCondition ref="M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19</v>
      </c>
    </row>
    <row r="12" spans="1:2" x14ac:dyDescent="0.35">
      <c r="A12" t="s">
        <v>21</v>
      </c>
      <c r="B12" t="s">
        <v>17</v>
      </c>
    </row>
    <row r="13" spans="1:2" x14ac:dyDescent="0.35">
      <c r="A13" t="s">
        <v>22</v>
      </c>
      <c r="B13" t="s">
        <v>11</v>
      </c>
    </row>
    <row r="14" spans="1:2" x14ac:dyDescent="0.35">
      <c r="A14" t="s">
        <v>23</v>
      </c>
      <c r="B1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Wu, Genghong</cp:lastModifiedBy>
  <dcterms:created xsi:type="dcterms:W3CDTF">2019-07-09T14:44:41Z</dcterms:created>
  <dcterms:modified xsi:type="dcterms:W3CDTF">2019-08-28T03:02:26Z</dcterms:modified>
</cp:coreProperties>
</file>