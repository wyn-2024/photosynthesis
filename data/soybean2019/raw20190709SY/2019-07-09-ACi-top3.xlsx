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A5B26ABF-BC6A-474A-A2C0-8326DDACBAAE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Q28" i="1" l="1"/>
  <c r="BP28" i="1"/>
  <c r="BN28" i="1"/>
  <c r="BM28" i="1"/>
  <c r="BL28" i="1"/>
  <c r="BK28" i="1"/>
  <c r="BJ28" i="1"/>
  <c r="BI28" i="1"/>
  <c r="BD28" i="1" s="1"/>
  <c r="BF28" i="1"/>
  <c r="AY28" i="1"/>
  <c r="AS28" i="1"/>
  <c r="AT28" i="1" s="1"/>
  <c r="AO28" i="1"/>
  <c r="AM28" i="1" s="1"/>
  <c r="AN28" i="1" s="1"/>
  <c r="AB28" i="1"/>
  <c r="AA28" i="1"/>
  <c r="S28" i="1"/>
  <c r="L28" i="1"/>
  <c r="AD28" i="1" s="1"/>
  <c r="BQ27" i="1"/>
  <c r="BP27" i="1"/>
  <c r="BN27" i="1"/>
  <c r="BM27" i="1"/>
  <c r="BL27" i="1"/>
  <c r="BK27" i="1"/>
  <c r="BJ27" i="1"/>
  <c r="BI27" i="1"/>
  <c r="BD27" i="1" s="1"/>
  <c r="BF27" i="1"/>
  <c r="AY27" i="1"/>
  <c r="AS27" i="1"/>
  <c r="AT27" i="1" s="1"/>
  <c r="AO27" i="1"/>
  <c r="AM27" i="1" s="1"/>
  <c r="AB27" i="1"/>
  <c r="AA27" i="1"/>
  <c r="Z27" i="1" s="1"/>
  <c r="S27" i="1"/>
  <c r="BQ26" i="1"/>
  <c r="BP26" i="1"/>
  <c r="BN26" i="1"/>
  <c r="BO26" i="1" s="1"/>
  <c r="BA26" i="1" s="1"/>
  <c r="BM26" i="1"/>
  <c r="BL26" i="1"/>
  <c r="BK26" i="1"/>
  <c r="BJ26" i="1"/>
  <c r="BI26" i="1"/>
  <c r="BD26" i="1" s="1"/>
  <c r="BF26" i="1"/>
  <c r="AY26" i="1"/>
  <c r="AS26" i="1"/>
  <c r="AT26" i="1" s="1"/>
  <c r="AO26" i="1"/>
  <c r="AM26" i="1" s="1"/>
  <c r="AB26" i="1"/>
  <c r="AA26" i="1"/>
  <c r="Z26" i="1"/>
  <c r="S26" i="1"/>
  <c r="BQ25" i="1"/>
  <c r="BP25" i="1"/>
  <c r="BN25" i="1"/>
  <c r="BM25" i="1"/>
  <c r="BL25" i="1"/>
  <c r="BK25" i="1"/>
  <c r="BJ25" i="1"/>
  <c r="BI25" i="1"/>
  <c r="BD25" i="1" s="1"/>
  <c r="BF25" i="1"/>
  <c r="AY25" i="1"/>
  <c r="AS25" i="1"/>
  <c r="AT25" i="1" s="1"/>
  <c r="AO25" i="1"/>
  <c r="AM25" i="1" s="1"/>
  <c r="M25" i="1" s="1"/>
  <c r="BB25" i="1" s="1"/>
  <c r="AB25" i="1"/>
  <c r="AA25" i="1"/>
  <c r="S25" i="1"/>
  <c r="BQ24" i="1"/>
  <c r="BP24" i="1"/>
  <c r="BN24" i="1"/>
  <c r="BM24" i="1"/>
  <c r="BL24" i="1"/>
  <c r="BK24" i="1"/>
  <c r="BJ24" i="1"/>
  <c r="BI24" i="1"/>
  <c r="BD24" i="1" s="1"/>
  <c r="BF24" i="1"/>
  <c r="AY24" i="1"/>
  <c r="AS24" i="1"/>
  <c r="AT24" i="1" s="1"/>
  <c r="AO24" i="1"/>
  <c r="AM24" i="1" s="1"/>
  <c r="AN24" i="1" s="1"/>
  <c r="AB24" i="1"/>
  <c r="AA24" i="1"/>
  <c r="S24" i="1"/>
  <c r="L24" i="1"/>
  <c r="AD24" i="1" s="1"/>
  <c r="BQ23" i="1"/>
  <c r="BP23" i="1"/>
  <c r="BN23" i="1"/>
  <c r="BO23" i="1" s="1"/>
  <c r="BA23" i="1" s="1"/>
  <c r="BM23" i="1"/>
  <c r="BL23" i="1"/>
  <c r="BK23" i="1"/>
  <c r="BJ23" i="1"/>
  <c r="BI23" i="1"/>
  <c r="BD23" i="1" s="1"/>
  <c r="BF23" i="1"/>
  <c r="AY23" i="1"/>
  <c r="AT23" i="1"/>
  <c r="AS23" i="1"/>
  <c r="AO23" i="1"/>
  <c r="AM23" i="1" s="1"/>
  <c r="N23" i="1" s="1"/>
  <c r="AB23" i="1"/>
  <c r="AA23" i="1"/>
  <c r="Z23" i="1" s="1"/>
  <c r="S23" i="1"/>
  <c r="BQ22" i="1"/>
  <c r="BP22" i="1"/>
  <c r="BN22" i="1"/>
  <c r="BM22" i="1"/>
  <c r="BL22" i="1"/>
  <c r="BK22" i="1"/>
  <c r="BJ22" i="1"/>
  <c r="BI22" i="1"/>
  <c r="BD22" i="1" s="1"/>
  <c r="BF22" i="1"/>
  <c r="AY22" i="1"/>
  <c r="AS22" i="1"/>
  <c r="AT22" i="1" s="1"/>
  <c r="AO22" i="1"/>
  <c r="AM22" i="1" s="1"/>
  <c r="Q22" i="1" s="1"/>
  <c r="AB22" i="1"/>
  <c r="AA22" i="1"/>
  <c r="S22" i="1"/>
  <c r="M22" i="1"/>
  <c r="BB22" i="1" s="1"/>
  <c r="BQ21" i="1"/>
  <c r="BP21" i="1"/>
  <c r="BO21" i="1" s="1"/>
  <c r="V21" i="1" s="1"/>
  <c r="W21" i="1" s="1"/>
  <c r="X21" i="1" s="1"/>
  <c r="BN21" i="1"/>
  <c r="BM21" i="1"/>
  <c r="BL21" i="1"/>
  <c r="BK21" i="1"/>
  <c r="BJ21" i="1"/>
  <c r="BI21" i="1"/>
  <c r="BD21" i="1" s="1"/>
  <c r="BF21" i="1"/>
  <c r="AY21" i="1"/>
  <c r="AS21" i="1"/>
  <c r="AT21" i="1" s="1"/>
  <c r="AO21" i="1"/>
  <c r="AM21" i="1" s="1"/>
  <c r="AN21" i="1" s="1"/>
  <c r="AB21" i="1"/>
  <c r="AA21" i="1"/>
  <c r="S21" i="1"/>
  <c r="L21" i="1"/>
  <c r="AD21" i="1" s="1"/>
  <c r="BQ20" i="1"/>
  <c r="BP20" i="1"/>
  <c r="BN20" i="1"/>
  <c r="BO20" i="1" s="1"/>
  <c r="BA20" i="1" s="1"/>
  <c r="BM20" i="1"/>
  <c r="BL20" i="1"/>
  <c r="BK20" i="1"/>
  <c r="BJ20" i="1"/>
  <c r="BI20" i="1"/>
  <c r="BD20" i="1" s="1"/>
  <c r="BF20" i="1"/>
  <c r="AY20" i="1"/>
  <c r="AS20" i="1"/>
  <c r="AT20" i="1" s="1"/>
  <c r="AO20" i="1"/>
  <c r="AM20" i="1" s="1"/>
  <c r="AB20" i="1"/>
  <c r="AA20" i="1"/>
  <c r="Z20" i="1"/>
  <c r="S20" i="1"/>
  <c r="BQ19" i="1"/>
  <c r="BP19" i="1"/>
  <c r="BN19" i="1"/>
  <c r="BM19" i="1"/>
  <c r="BL19" i="1"/>
  <c r="BK19" i="1"/>
  <c r="BJ19" i="1"/>
  <c r="BI19" i="1"/>
  <c r="BD19" i="1" s="1"/>
  <c r="BF19" i="1"/>
  <c r="AY19" i="1"/>
  <c r="AS19" i="1"/>
  <c r="AT19" i="1" s="1"/>
  <c r="AO19" i="1"/>
  <c r="AM19" i="1" s="1"/>
  <c r="N19" i="1" s="1"/>
  <c r="AB19" i="1"/>
  <c r="AA19" i="1"/>
  <c r="Z19" i="1" s="1"/>
  <c r="S19" i="1"/>
  <c r="BQ18" i="1"/>
  <c r="BP18" i="1"/>
  <c r="BO18" i="1" s="1"/>
  <c r="V18" i="1" s="1"/>
  <c r="BN18" i="1"/>
  <c r="BM18" i="1"/>
  <c r="BL18" i="1"/>
  <c r="BK18" i="1"/>
  <c r="BJ18" i="1"/>
  <c r="BI18" i="1"/>
  <c r="BD18" i="1" s="1"/>
  <c r="BF18" i="1"/>
  <c r="AY18" i="1"/>
  <c r="AS18" i="1"/>
  <c r="AT18" i="1" s="1"/>
  <c r="AO18" i="1"/>
  <c r="AM18" i="1" s="1"/>
  <c r="Q18" i="1" s="1"/>
  <c r="AB18" i="1"/>
  <c r="AA18" i="1"/>
  <c r="S18" i="1"/>
  <c r="BQ17" i="1"/>
  <c r="BP17" i="1"/>
  <c r="BN17" i="1"/>
  <c r="BO17" i="1" s="1"/>
  <c r="BM17" i="1"/>
  <c r="BL17" i="1"/>
  <c r="BK17" i="1"/>
  <c r="BJ17" i="1"/>
  <c r="BI17" i="1"/>
  <c r="BD17" i="1" s="1"/>
  <c r="BF17" i="1"/>
  <c r="AY17" i="1"/>
  <c r="AS17" i="1"/>
  <c r="AT17" i="1" s="1"/>
  <c r="AO17" i="1"/>
  <c r="AM17" i="1" s="1"/>
  <c r="N17" i="1" s="1"/>
  <c r="AB17" i="1"/>
  <c r="AA17" i="1"/>
  <c r="S17" i="1"/>
  <c r="Z17" i="1" l="1"/>
  <c r="Z18" i="1"/>
  <c r="BC20" i="1"/>
  <c r="BC23" i="1"/>
  <c r="BO24" i="1"/>
  <c r="V24" i="1" s="1"/>
  <c r="W24" i="1" s="1"/>
  <c r="X24" i="1" s="1"/>
  <c r="BO28" i="1"/>
  <c r="AN20" i="1"/>
  <c r="N20" i="1"/>
  <c r="AN27" i="1"/>
  <c r="N27" i="1"/>
  <c r="BA17" i="1"/>
  <c r="V17" i="1"/>
  <c r="N26" i="1"/>
  <c r="M26" i="1"/>
  <c r="BB26" i="1" s="1"/>
  <c r="BE26" i="1" s="1"/>
  <c r="Q26" i="1"/>
  <c r="BA18" i="1"/>
  <c r="BC18" i="1" s="1"/>
  <c r="BO22" i="1"/>
  <c r="BA22" i="1" s="1"/>
  <c r="AN23" i="1"/>
  <c r="M19" i="1"/>
  <c r="BB19" i="1" s="1"/>
  <c r="Z22" i="1"/>
  <c r="BO25" i="1"/>
  <c r="BA25" i="1" s="1"/>
  <c r="BC25" i="1" s="1"/>
  <c r="BC26" i="1"/>
  <c r="BC17" i="1"/>
  <c r="M18" i="1"/>
  <c r="BB18" i="1" s="1"/>
  <c r="BE18" i="1" s="1"/>
  <c r="Q19" i="1"/>
  <c r="BO19" i="1"/>
  <c r="BA19" i="1" s="1"/>
  <c r="BC19" i="1" s="1"/>
  <c r="Z25" i="1"/>
  <c r="BO27" i="1"/>
  <c r="BA27" i="1" s="1"/>
  <c r="BC27" i="1" s="1"/>
  <c r="Q17" i="1"/>
  <c r="M17" i="1"/>
  <c r="BB17" i="1" s="1"/>
  <c r="BE17" i="1" s="1"/>
  <c r="L17" i="1"/>
  <c r="AN17" i="1"/>
  <c r="Y21" i="1"/>
  <c r="AC21" i="1" s="1"/>
  <c r="AF21" i="1"/>
  <c r="AE21" i="1"/>
  <c r="V25" i="1"/>
  <c r="V28" i="1"/>
  <c r="BA28" i="1"/>
  <c r="Y24" i="1"/>
  <c r="AC24" i="1" s="1"/>
  <c r="AE24" i="1"/>
  <c r="AF24" i="1"/>
  <c r="AN25" i="1"/>
  <c r="N25" i="1"/>
  <c r="Q20" i="1"/>
  <c r="M20" i="1"/>
  <c r="BB20" i="1" s="1"/>
  <c r="BE20" i="1" s="1"/>
  <c r="L20" i="1"/>
  <c r="Z21" i="1"/>
  <c r="BA21" i="1"/>
  <c r="BC21" i="1" s="1"/>
  <c r="Q23" i="1"/>
  <c r="M23" i="1"/>
  <c r="BB23" i="1" s="1"/>
  <c r="BE23" i="1" s="1"/>
  <c r="L23" i="1"/>
  <c r="Z24" i="1"/>
  <c r="BA24" i="1"/>
  <c r="Q25" i="1"/>
  <c r="Q27" i="1"/>
  <c r="M27" i="1"/>
  <c r="BB27" i="1" s="1"/>
  <c r="BE27" i="1" s="1"/>
  <c r="L27" i="1"/>
  <c r="Z28" i="1"/>
  <c r="BC28" i="1"/>
  <c r="AG21" i="1"/>
  <c r="AN18" i="1"/>
  <c r="N18" i="1"/>
  <c r="AN22" i="1"/>
  <c r="N22" i="1"/>
  <c r="BC24" i="1"/>
  <c r="L18" i="1"/>
  <c r="V19" i="1"/>
  <c r="L19" i="1"/>
  <c r="AN19" i="1"/>
  <c r="V20" i="1"/>
  <c r="T21" i="1"/>
  <c r="R21" i="1" s="1"/>
  <c r="U21" i="1" s="1"/>
  <c r="N21" i="1"/>
  <c r="Q21" i="1"/>
  <c r="M21" i="1"/>
  <c r="BB21" i="1" s="1"/>
  <c r="L22" i="1"/>
  <c r="V23" i="1"/>
  <c r="T24" i="1"/>
  <c r="R24" i="1" s="1"/>
  <c r="U24" i="1" s="1"/>
  <c r="N24" i="1"/>
  <c r="Q24" i="1"/>
  <c r="M24" i="1"/>
  <c r="BB24" i="1" s="1"/>
  <c r="BE24" i="1" s="1"/>
  <c r="L25" i="1"/>
  <c r="V26" i="1"/>
  <c r="L26" i="1"/>
  <c r="AN26" i="1"/>
  <c r="N28" i="1"/>
  <c r="Q28" i="1"/>
  <c r="M28" i="1"/>
  <c r="BB28" i="1" s="1"/>
  <c r="BE28" i="1" s="1"/>
  <c r="BE19" i="1" l="1"/>
  <c r="V27" i="1"/>
  <c r="O24" i="1"/>
  <c r="P24" i="1" s="1"/>
  <c r="BC22" i="1"/>
  <c r="BE22" i="1"/>
  <c r="V22" i="1"/>
  <c r="AG24" i="1"/>
  <c r="AD18" i="1"/>
  <c r="AD26" i="1"/>
  <c r="AD19" i="1"/>
  <c r="O21" i="1"/>
  <c r="P21" i="1" s="1"/>
  <c r="W19" i="1"/>
  <c r="X19" i="1" s="1"/>
  <c r="T19" i="1" s="1"/>
  <c r="R19" i="1" s="1"/>
  <c r="U19" i="1" s="1"/>
  <c r="O19" i="1" s="1"/>
  <c r="P19" i="1" s="1"/>
  <c r="AD20" i="1"/>
  <c r="W22" i="1"/>
  <c r="X22" i="1" s="1"/>
  <c r="W25" i="1"/>
  <c r="X25" i="1" s="1"/>
  <c r="T25" i="1" s="1"/>
  <c r="R25" i="1" s="1"/>
  <c r="U25" i="1" s="1"/>
  <c r="O25" i="1" s="1"/>
  <c r="P25" i="1" s="1"/>
  <c r="W18" i="1"/>
  <c r="X18" i="1" s="1"/>
  <c r="T18" i="1" s="1"/>
  <c r="R18" i="1" s="1"/>
  <c r="U18" i="1" s="1"/>
  <c r="O18" i="1" s="1"/>
  <c r="P18" i="1" s="1"/>
  <c r="AD25" i="1"/>
  <c r="W28" i="1"/>
  <c r="X28" i="1" s="1"/>
  <c r="AD17" i="1"/>
  <c r="W23" i="1"/>
  <c r="X23" i="1" s="1"/>
  <c r="T23" i="1"/>
  <c r="R23" i="1" s="1"/>
  <c r="U23" i="1" s="1"/>
  <c r="O23" i="1" s="1"/>
  <c r="P23" i="1" s="1"/>
  <c r="AD23" i="1"/>
  <c r="W26" i="1"/>
  <c r="X26" i="1" s="1"/>
  <c r="AD22" i="1"/>
  <c r="T22" i="1"/>
  <c r="R22" i="1" s="1"/>
  <c r="U22" i="1" s="1"/>
  <c r="O22" i="1" s="1"/>
  <c r="P22" i="1" s="1"/>
  <c r="W27" i="1"/>
  <c r="X27" i="1" s="1"/>
  <c r="T27" i="1" s="1"/>
  <c r="R27" i="1" s="1"/>
  <c r="U27" i="1" s="1"/>
  <c r="O27" i="1" s="1"/>
  <c r="P27" i="1" s="1"/>
  <c r="BE21" i="1"/>
  <c r="W20" i="1"/>
  <c r="X20" i="1" s="1"/>
  <c r="T20" i="1" s="1"/>
  <c r="R20" i="1" s="1"/>
  <c r="U20" i="1" s="1"/>
  <c r="O20" i="1" s="1"/>
  <c r="P20" i="1" s="1"/>
  <c r="AD27" i="1"/>
  <c r="W17" i="1"/>
  <c r="X17" i="1" s="1"/>
  <c r="T17" i="1" s="1"/>
  <c r="R17" i="1" s="1"/>
  <c r="U17" i="1" s="1"/>
  <c r="O17" i="1" s="1"/>
  <c r="P17" i="1" s="1"/>
  <c r="BE25" i="1"/>
  <c r="Y20" i="1" l="1"/>
  <c r="AC20" i="1" s="1"/>
  <c r="AF20" i="1"/>
  <c r="AE20" i="1"/>
  <c r="Y17" i="1"/>
  <c r="AC17" i="1" s="1"/>
  <c r="AF17" i="1"/>
  <c r="AE17" i="1"/>
  <c r="Y23" i="1"/>
  <c r="AC23" i="1" s="1"/>
  <c r="AF23" i="1"/>
  <c r="AG23" i="1" s="1"/>
  <c r="AE23" i="1"/>
  <c r="AF18" i="1"/>
  <c r="Y18" i="1"/>
  <c r="AC18" i="1" s="1"/>
  <c r="AE18" i="1"/>
  <c r="AF22" i="1"/>
  <c r="Y22" i="1"/>
  <c r="AC22" i="1" s="1"/>
  <c r="AE22" i="1"/>
  <c r="AF19" i="1"/>
  <c r="AG19" i="1" s="1"/>
  <c r="Y19" i="1"/>
  <c r="AC19" i="1" s="1"/>
  <c r="AE19" i="1"/>
  <c r="AF25" i="1"/>
  <c r="AG25" i="1" s="1"/>
  <c r="Y25" i="1"/>
  <c r="AC25" i="1" s="1"/>
  <c r="AE25" i="1"/>
  <c r="Y27" i="1"/>
  <c r="AC27" i="1" s="1"/>
  <c r="AF27" i="1"/>
  <c r="AE27" i="1"/>
  <c r="Y28" i="1"/>
  <c r="AC28" i="1" s="1"/>
  <c r="AE28" i="1"/>
  <c r="AF28" i="1"/>
  <c r="T28" i="1"/>
  <c r="R28" i="1" s="1"/>
  <c r="U28" i="1" s="1"/>
  <c r="O28" i="1" s="1"/>
  <c r="P28" i="1" s="1"/>
  <c r="AF26" i="1"/>
  <c r="Y26" i="1"/>
  <c r="AC26" i="1" s="1"/>
  <c r="AE26" i="1"/>
  <c r="T26" i="1"/>
  <c r="R26" i="1" s="1"/>
  <c r="U26" i="1" s="1"/>
  <c r="O26" i="1" s="1"/>
  <c r="P26" i="1" s="1"/>
  <c r="AG28" i="1" l="1"/>
  <c r="AG27" i="1"/>
  <c r="AG18" i="1"/>
  <c r="AG20" i="1"/>
  <c r="AG26" i="1"/>
  <c r="AG22" i="1"/>
  <c r="AG17" i="1"/>
</calcChain>
</file>

<file path=xl/sharedStrings.xml><?xml version="1.0" encoding="utf-8"?>
<sst xmlns="http://schemas.openxmlformats.org/spreadsheetml/2006/main" count="782" uniqueCount="344">
  <si>
    <t>File opened</t>
  </si>
  <si>
    <t>2019-07-09 12:43:54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</si>
  <si>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</si>
  <si>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</si>
  <si>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</si>
  <si>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</si>
  <si>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</si>
  <si>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</si>
  <si>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</si>
  <si>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</si>
  <si>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</si>
  <si>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</si>
  <si>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</si>
  <si>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{"co2aspan1": "0.992625", "h2obspan2b": "0.0963575", "flowbzero": "0.20796", "co2aspanconc1": "1002", "co2bspanconc1": "1002", "h2obspan2a": "0.0975941", "co2bspan2b": "0.162103", "h2oaspan2": "0", "h2oaspanconc2": "0", "h2obzero": "1.01783", "co2aspan2a": "0.164928", "flowmeterzero": "0.991801", "co2bspan2a": "0.163389", "h2oaspan2a": "0.0661155", "co2azero": "0.869071", "co2bzero": "0.880288", "flowazero": "0.4286", "co2aspan2": "0", "h2oaspan1": "1.00223", "h2oazero": "1.00263", "h2oaspan2b": "0.0662632", "h2oaspanconc1": "12.19", "co2aspanconc2": "0", "tazero": "0.00774765", "chamberpressurezero": "2.57337", "h2obspanconc1": "20", "oxygen": "21", "co2bspanconc2": "0", "co2aspan2b": "0.163711", "h2obspanconc2": "0", "tbzero": "0.197721", "co2bspan2": "0", "co2bspan1": "0.992131", "ssb_ref": "36526.8", "h2obspan2": "0", "ssa_ref": "36614.9", "h2obspan1": "0.998578"}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</si>
  <si>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</si>
  <si>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</si>
  <si>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</si>
  <si>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</si>
  <si>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</si>
  <si>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</si>
  <si>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</si>
  <si>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</si>
  <si>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</si>
  <si>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12:43:54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</si>
  <si>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</si>
  <si>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</si>
  <si>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</si>
  <si>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</si>
  <si>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</si>
  <si>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</si>
  <si>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</si>
  <si>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</si>
  <si>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</si>
  <si>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</si>
  <si>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</si>
  <si>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</si>
  <si>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</si>
  <si>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</si>
  <si>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</si>
  <si>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</si>
  <si>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</si>
  <si>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</si>
  <si>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</si>
  <si>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</si>
  <si>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</si>
  <si>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</si>
  <si>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</si>
  <si>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</si>
  <si>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</si>
  <si>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</si>
  <si>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</si>
  <si>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</si>
  <si>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</si>
  <si>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</si>
  <si>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</si>
  <si>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</si>
  <si>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</si>
  <si>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</si>
  <si>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</si>
  <si>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</si>
  <si>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</si>
  <si>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</si>
  <si>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</si>
  <si>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</si>
  <si>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</si>
  <si>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</si>
  <si>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</si>
  <si>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</si>
  <si>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</si>
  <si>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</si>
  <si>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</si>
  <si>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</si>
  <si>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</si>
  <si>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0.217328 74.432 385.252 619.716 848.505 1054.79 1233.43 1418.33</t>
  </si>
  <si>
    <t>Fs_true</t>
  </si>
  <si>
    <t>0.125404 100.335 402.869 601.159 799.534 1000.37 1200.63 1401.48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</si>
  <si>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</si>
  <si>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</si>
  <si>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</si>
  <si>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</si>
  <si>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</si>
  <si>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</si>
  <si>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</si>
  <si>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</si>
  <si>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</si>
  <si>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</si>
  <si>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</si>
  <si>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</si>
  <si>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</si>
  <si>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</si>
  <si>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</si>
  <si>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</si>
  <si>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</si>
  <si>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</si>
  <si>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</si>
  <si>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Treatment</t>
  </si>
  <si>
    <t>Genotype</t>
  </si>
  <si>
    <t>Plant</t>
  </si>
  <si>
    <t>species</t>
  </si>
  <si>
    <t>leaf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</si>
  <si>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</si>
  <si>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</si>
  <si>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</si>
  <si>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</si>
  <si>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</si>
  <si>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</si>
  <si>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</si>
  <si>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</si>
  <si>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</si>
  <si>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</si>
  <si>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</si>
  <si>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</si>
  <si>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</si>
  <si>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</si>
  <si>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</si>
  <si>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</si>
  <si>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</si>
  <si>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</si>
  <si>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</si>
  <si>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</si>
  <si>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</si>
  <si>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</si>
  <si>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</si>
  <si>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</si>
  <si>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</si>
  <si>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</si>
  <si>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</si>
  <si>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</si>
  <si>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</si>
  <si>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</si>
  <si>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</si>
  <si>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</si>
  <si>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</si>
  <si>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</si>
  <si>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</si>
  <si>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</si>
  <si>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</si>
  <si>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</si>
  <si>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</si>
  <si>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</si>
  <si>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</si>
  <si>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</si>
  <si>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</si>
  <si>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</si>
  <si>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</si>
  <si>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</si>
  <si>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</si>
  <si>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</si>
  <si>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</si>
  <si>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</si>
  <si>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</si>
  <si>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</si>
  <si>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</si>
  <si>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</si>
  <si>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</si>
  <si>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</si>
  <si>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</si>
  <si>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</si>
  <si>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</si>
  <si>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</si>
  <si>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</si>
  <si>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</si>
  <si>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</si>
  <si>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</si>
  <si>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</si>
  <si>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</si>
  <si>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</si>
  <si>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</si>
  <si>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</si>
  <si>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</si>
  <si>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</si>
  <si>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</si>
  <si>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</si>
  <si>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</si>
  <si>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</si>
  <si>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</si>
  <si>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</si>
  <si>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</si>
  <si>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</si>
  <si>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</si>
  <si>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</si>
  <si>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</si>
  <si>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</si>
  <si>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</si>
  <si>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</si>
  <si>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</si>
  <si>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</si>
  <si>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</si>
  <si>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</si>
  <si>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</si>
  <si>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</si>
  <si>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</si>
  <si>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</si>
  <si>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</si>
  <si>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</si>
  <si>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</si>
  <si>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</si>
  <si>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</si>
  <si>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</si>
  <si>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</si>
  <si>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</si>
  <si>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</si>
  <si>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</si>
  <si>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</si>
  <si>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CO2_s:MN</t>
  </si>
  <si>
    <t>CO2_s:SLP</t>
  </si>
  <si>
    <t>CO2_s:SD</t>
  </si>
  <si>
    <t>CO2_s:OK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</si>
  <si>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</si>
  <si>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</si>
  <si>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</si>
  <si>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</si>
  <si>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</si>
  <si>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</si>
  <si>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</si>
  <si>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</si>
  <si>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</si>
  <si>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</si>
  <si>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</si>
  <si>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</si>
  <si>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</si>
  <si>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</si>
  <si>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</si>
  <si>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</si>
  <si>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</si>
  <si>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</si>
  <si>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</si>
  <si>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</si>
  <si>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</si>
  <si>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</si>
  <si>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</si>
  <si>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</si>
  <si>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</si>
  <si>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</si>
  <si>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</si>
  <si>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</si>
  <si>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</si>
  <si>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</si>
  <si>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</si>
  <si>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</si>
  <si>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</si>
  <si>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</si>
  <si>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</si>
  <si>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</si>
  <si>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</si>
  <si>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</si>
  <si>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</si>
  <si>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</si>
  <si>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</si>
  <si>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</si>
  <si>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</si>
  <si>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</si>
  <si>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</si>
  <si>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</si>
  <si>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</si>
  <si>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</si>
  <si>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</si>
  <si>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</si>
  <si>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</si>
  <si>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</si>
  <si>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</si>
  <si>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</si>
  <si>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</si>
  <si>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</si>
  <si>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</si>
  <si>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</si>
  <si>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</si>
  <si>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</si>
  <si>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</si>
  <si>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</si>
  <si>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</si>
  <si>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</si>
  <si>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</si>
  <si>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>mol m⁻² s⁻¹ min⁻¹</t>
  </si>
  <si>
    <t>V</t>
  </si>
  <si>
    <t>20190709 12:52:15</t>
  </si>
  <si>
    <t>12:52:15</t>
  </si>
  <si>
    <t>1</t>
  </si>
  <si>
    <t>G2</t>
  </si>
  <si>
    <t>RECT-4282-20190709-05_10_52</t>
  </si>
  <si>
    <t>MPF-4381-20190709-12_52_17</t>
  </si>
  <si>
    <t>DARK-4382-20190709-12_52_24</t>
  </si>
  <si>
    <t>12:51:24</t>
  </si>
  <si>
    <t>2/3</t>
  </si>
  <si>
    <t>5</t>
  </si>
  <si>
    <t>11111111</t>
  </si>
  <si>
    <t>oooooooo</t>
  </si>
  <si>
    <t>off</t>
  </si>
  <si>
    <t>20190709 12:54:19</t>
  </si>
  <si>
    <t>12:54:19</t>
  </si>
  <si>
    <t>MPF-4383-20190709-12_54_21</t>
  </si>
  <si>
    <t>DARK-4384-20190709-12_54_29</t>
  </si>
  <si>
    <t>12:53:35</t>
  </si>
  <si>
    <t>3/3</t>
  </si>
  <si>
    <t>20190709 12:56:26</t>
  </si>
  <si>
    <t>12:56:26</t>
  </si>
  <si>
    <t>MPF-4385-20190709-12_56_27</t>
  </si>
  <si>
    <t>DARK-4386-20190709-12_56_35</t>
  </si>
  <si>
    <t>12:55:40</t>
  </si>
  <si>
    <t>20190709 12:58:32</t>
  </si>
  <si>
    <t>12:58:32</t>
  </si>
  <si>
    <t>MPF-4387-20190709-12_58_33</t>
  </si>
  <si>
    <t>DARK-4388-20190709-12_58_41</t>
  </si>
  <si>
    <t>12:57:48</t>
  </si>
  <si>
    <t>20190709 13:00:32</t>
  </si>
  <si>
    <t>13:00:32</t>
  </si>
  <si>
    <t>MPF-4389-20190709-13_00_33</t>
  </si>
  <si>
    <t>DARK-4390-20190709-13_00_41</t>
  </si>
  <si>
    <t>12:59:48</t>
  </si>
  <si>
    <t>20190709 13:02:32</t>
  </si>
  <si>
    <t>13:02:32</t>
  </si>
  <si>
    <t>MPF-4391-20190709-13_02_33</t>
  </si>
  <si>
    <t>DARK-4392-20190709-13_02_41</t>
  </si>
  <si>
    <t>13:03:12</t>
  </si>
  <si>
    <t>20190709 13:08:36</t>
  </si>
  <si>
    <t>13:08:36</t>
  </si>
  <si>
    <t>MPF-4395-20190709-13_08_37</t>
  </si>
  <si>
    <t>DARK-4396-20190709-13_08_45</t>
  </si>
  <si>
    <t>13:07:32</t>
  </si>
  <si>
    <t>20190709 13:10:43</t>
  </si>
  <si>
    <t>13:10:43</t>
  </si>
  <si>
    <t>MPF-4397-20190709-13_10_45</t>
  </si>
  <si>
    <t>DARK-4398-20190709-13_10_52</t>
  </si>
  <si>
    <t>13:09:53</t>
  </si>
  <si>
    <t>20190709 13:12:59</t>
  </si>
  <si>
    <t>13:12:59</t>
  </si>
  <si>
    <t>MPF-4399-20190709-13_13_01</t>
  </si>
  <si>
    <t>DARK-4400-20190709-13_13_08</t>
  </si>
  <si>
    <t>13:12:05</t>
  </si>
  <si>
    <t>20190709 13:15:20</t>
  </si>
  <si>
    <t>13:15:20</t>
  </si>
  <si>
    <t>MPF-4401-20190709-13_15_21</t>
  </si>
  <si>
    <t>DARK-4402-20190709-13_15_29</t>
  </si>
  <si>
    <t>13:14:36</t>
  </si>
  <si>
    <t>20190709 13:17:40</t>
  </si>
  <si>
    <t>13:17:40</t>
  </si>
  <si>
    <t>MPF-4403-20190709-13_17_42</t>
  </si>
  <si>
    <t>DARK-4404-20190709-13_17_49</t>
  </si>
  <si>
    <t>13:18:20</t>
  </si>
  <si>
    <t>20190709 13:20:42</t>
  </si>
  <si>
    <t>13:20:42</t>
  </si>
  <si>
    <t>MPF-4405-20190709-13_20_43</t>
  </si>
  <si>
    <t>DARK-4406-20190709-13_20_51</t>
  </si>
  <si>
    <t>13:19:29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</si>
</sst>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3" workbookViewId="0">
      <selection activeCell="A23" sqref="A23:XFD23"/>
    </sheetView>
  </sheetViews>
  <sheetFormatPr defaultRowHeight="14.5" x14ac:dyDescent="0.35"/>
  <sheetData>
    <row r="2" spans="1:168" x14ac:dyDescent="0.35">
      <c r="A2" t="s">
        <v>25</v>
      </c>
      <c r="B2" t="s">
        <v>26</v>
      </c>
      <c r="C2" t="s">
        <v>28</v>
      </c>
      <c r="D2" t="s">
        <v>30</v>
      </c>
    </row>
    <row r="3" spans="1:168" x14ac:dyDescent="0.35">
      <c r="B3" t="s">
        <v>27</v>
      </c>
      <c r="C3" t="s">
        <v>29</v>
      </c>
      <c r="D3" t="s">
        <v>15</v>
      </c>
    </row>
    <row r="4" spans="1:168" x14ac:dyDescent="0.3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35">
      <c r="B5">
        <v>6</v>
      </c>
      <c r="C5">
        <v>0.5</v>
      </c>
      <c r="D5" t="s">
        <v>35</v>
      </c>
      <c r="E5">
        <v>2</v>
      </c>
    </row>
    <row r="6" spans="1:168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35">
      <c r="B7">
        <v>0</v>
      </c>
      <c r="C7">
        <v>1</v>
      </c>
      <c r="D7">
        <v>0</v>
      </c>
      <c r="E7">
        <v>0</v>
      </c>
    </row>
    <row r="8" spans="1:168" x14ac:dyDescent="0.3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3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3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3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3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3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N15" t="s">
        <v>103</v>
      </c>
      <c r="O15" t="s">
        <v>104</v>
      </c>
      <c r="P15" t="s">
        <v>105</v>
      </c>
      <c r="Q15" t="s">
        <v>106</v>
      </c>
      <c r="R15" t="s">
        <v>107</v>
      </c>
      <c r="S15" t="s">
        <v>108</v>
      </c>
      <c r="T15" t="s">
        <v>109</v>
      </c>
      <c r="U15" t="s">
        <v>110</v>
      </c>
      <c r="V15" t="s">
        <v>111</v>
      </c>
      <c r="W15" t="s">
        <v>112</v>
      </c>
      <c r="X15" t="s">
        <v>113</v>
      </c>
      <c r="Y15" t="s">
        <v>114</v>
      </c>
      <c r="Z15" t="s">
        <v>115</v>
      </c>
      <c r="AA15" t="s">
        <v>116</v>
      </c>
      <c r="AB15" t="s">
        <v>117</v>
      </c>
      <c r="AC15" t="s">
        <v>118</v>
      </c>
      <c r="AD15" t="s">
        <v>119</v>
      </c>
      <c r="AE15" t="s">
        <v>120</v>
      </c>
      <c r="AF15" t="s">
        <v>121</v>
      </c>
      <c r="AG15" t="s">
        <v>122</v>
      </c>
      <c r="AH15" t="s">
        <v>123</v>
      </c>
      <c r="AI15" t="s">
        <v>124</v>
      </c>
      <c r="AJ15" t="s">
        <v>125</v>
      </c>
      <c r="AK15" t="s">
        <v>80</v>
      </c>
      <c r="AL15" t="s">
        <v>126</v>
      </c>
      <c r="AM15" t="s">
        <v>127</v>
      </c>
      <c r="AN15" t="s">
        <v>128</v>
      </c>
      <c r="AO15" t="s">
        <v>129</v>
      </c>
      <c r="AP15" t="s">
        <v>130</v>
      </c>
      <c r="AQ15" t="s">
        <v>131</v>
      </c>
      <c r="AR15" t="s">
        <v>132</v>
      </c>
      <c r="AS15" t="s">
        <v>133</v>
      </c>
      <c r="AT15" t="s">
        <v>134</v>
      </c>
      <c r="AU15" t="s">
        <v>135</v>
      </c>
      <c r="AV15" t="s">
        <v>136</v>
      </c>
      <c r="AW15" t="s">
        <v>137</v>
      </c>
      <c r="AX15" t="s">
        <v>138</v>
      </c>
      <c r="AY15" t="s">
        <v>139</v>
      </c>
      <c r="AZ15" t="s">
        <v>140</v>
      </c>
      <c r="BA15" t="s">
        <v>141</v>
      </c>
      <c r="BB15" t="s">
        <v>142</v>
      </c>
      <c r="BC15" t="s">
        <v>143</v>
      </c>
      <c r="BD15" t="s">
        <v>144</v>
      </c>
      <c r="BE15" t="s">
        <v>145</v>
      </c>
      <c r="BF15" t="s">
        <v>146</v>
      </c>
      <c r="BG15" t="s">
        <v>147</v>
      </c>
      <c r="BH15" t="s">
        <v>148</v>
      </c>
      <c r="BI15" t="s">
        <v>149</v>
      </c>
      <c r="BJ15" t="s">
        <v>150</v>
      </c>
      <c r="BK15" t="s">
        <v>151</v>
      </c>
      <c r="BL15" t="s">
        <v>152</v>
      </c>
      <c r="BM15" t="s">
        <v>153</v>
      </c>
      <c r="BN15" t="s">
        <v>154</v>
      </c>
      <c r="BO15" t="s">
        <v>155</v>
      </c>
      <c r="BP15" t="s">
        <v>156</v>
      </c>
      <c r="BQ15" t="s">
        <v>157</v>
      </c>
      <c r="BR15" t="s">
        <v>100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163</v>
      </c>
      <c r="BY15" t="s">
        <v>164</v>
      </c>
      <c r="BZ15" t="s">
        <v>165</v>
      </c>
      <c r="CA15" t="s">
        <v>166</v>
      </c>
      <c r="CB15" t="s">
        <v>167</v>
      </c>
      <c r="CC15" t="s">
        <v>168</v>
      </c>
      <c r="CD15" t="s">
        <v>169</v>
      </c>
      <c r="CE15" t="s">
        <v>170</v>
      </c>
      <c r="CF15" t="s">
        <v>171</v>
      </c>
      <c r="CG15" t="s">
        <v>172</v>
      </c>
      <c r="CH15" t="s">
        <v>173</v>
      </c>
      <c r="CI15" t="s">
        <v>174</v>
      </c>
      <c r="CJ15" t="s">
        <v>175</v>
      </c>
      <c r="CK15" t="s">
        <v>176</v>
      </c>
      <c r="CL15" t="s">
        <v>177</v>
      </c>
      <c r="CM15" t="s">
        <v>178</v>
      </c>
      <c r="CN15" t="s">
        <v>179</v>
      </c>
      <c r="CO15" t="s">
        <v>180</v>
      </c>
      <c r="CP15" t="s">
        <v>181</v>
      </c>
      <c r="CQ15" t="s">
        <v>182</v>
      </c>
      <c r="CR15" t="s">
        <v>183</v>
      </c>
      <c r="CS15" t="s">
        <v>184</v>
      </c>
      <c r="CT15" t="s">
        <v>185</v>
      </c>
      <c r="CU15" t="s">
        <v>186</v>
      </c>
      <c r="CV15" t="s">
        <v>187</v>
      </c>
      <c r="CW15" t="s">
        <v>188</v>
      </c>
      <c r="CX15" t="s">
        <v>189</v>
      </c>
      <c r="CY15" t="s">
        <v>190</v>
      </c>
      <c r="CZ15" t="s">
        <v>191</v>
      </c>
      <c r="DA15" t="s">
        <v>192</v>
      </c>
      <c r="DB15" t="s">
        <v>91</v>
      </c>
      <c r="DC15" t="s">
        <v>94</v>
      </c>
      <c r="DD15" t="s">
        <v>193</v>
      </c>
      <c r="DE15" t="s">
        <v>194</v>
      </c>
      <c r="DF15" t="s">
        <v>195</v>
      </c>
      <c r="DG15" t="s">
        <v>196</v>
      </c>
      <c r="DH15" t="s">
        <v>197</v>
      </c>
      <c r="DI15" t="s">
        <v>198</v>
      </c>
      <c r="DJ15" t="s">
        <v>199</v>
      </c>
      <c r="DK15" t="s">
        <v>200</v>
      </c>
      <c r="DL15" t="s">
        <v>201</v>
      </c>
      <c r="DM15" t="s">
        <v>202</v>
      </c>
      <c r="DN15" t="s">
        <v>203</v>
      </c>
      <c r="DO15" t="s">
        <v>204</v>
      </c>
      <c r="DP15" t="s">
        <v>205</v>
      </c>
      <c r="DQ15" t="s">
        <v>206</v>
      </c>
      <c r="DR15" t="s">
        <v>207</v>
      </c>
      <c r="DS15" t="s">
        <v>208</v>
      </c>
      <c r="DT15" t="s">
        <v>209</v>
      </c>
      <c r="DU15" t="s">
        <v>210</v>
      </c>
      <c r="DV15" t="s">
        <v>211</v>
      </c>
      <c r="DW15" t="s">
        <v>212</v>
      </c>
      <c r="DX15" t="s">
        <v>213</v>
      </c>
      <c r="DY15" t="s">
        <v>214</v>
      </c>
      <c r="DZ15" t="s">
        <v>215</v>
      </c>
      <c r="EA15" t="s">
        <v>216</v>
      </c>
      <c r="EB15" t="s">
        <v>217</v>
      </c>
      <c r="EC15" t="s">
        <v>218</v>
      </c>
      <c r="ED15" t="s">
        <v>219</v>
      </c>
      <c r="EE15" t="s">
        <v>220</v>
      </c>
      <c r="EF15" t="s">
        <v>221</v>
      </c>
      <c r="EG15" t="s">
        <v>222</v>
      </c>
      <c r="EH15" t="s">
        <v>223</v>
      </c>
      <c r="EI15" t="s">
        <v>224</v>
      </c>
      <c r="EJ15" t="s">
        <v>225</v>
      </c>
      <c r="EK15" t="s">
        <v>226</v>
      </c>
      <c r="EL15" t="s">
        <v>227</v>
      </c>
      <c r="EM15" t="s">
        <v>228</v>
      </c>
      <c r="EN15" t="s">
        <v>229</v>
      </c>
      <c r="EO15" t="s">
        <v>230</v>
      </c>
      <c r="EP15" t="s">
        <v>231</v>
      </c>
      <c r="EQ15" t="s">
        <v>232</v>
      </c>
      <c r="ER15" t="s">
        <v>233</v>
      </c>
      <c r="ES15" t="s">
        <v>234</v>
      </c>
      <c r="ET15" t="s">
        <v>235</v>
      </c>
      <c r="EU15" t="s">
        <v>236</v>
      </c>
      <c r="EV15" t="s">
        <v>237</v>
      </c>
      <c r="EW15" t="s">
        <v>238</v>
      </c>
      <c r="EX15" t="s">
        <v>239</v>
      </c>
      <c r="EY15" t="s">
        <v>240</v>
      </c>
      <c r="EZ15" t="s">
        <v>241</v>
      </c>
      <c r="FA15" t="s">
        <v>242</v>
      </c>
      <c r="FB15" t="s">
        <v>243</v>
      </c>
      <c r="FC15" t="s">
        <v>244</v>
      </c>
      <c r="FD15" t="s">
        <v>245</v>
      </c>
      <c r="FE15" t="s">
        <v>246</v>
      </c>
      <c r="FF15" t="s">
        <v>247</v>
      </c>
      <c r="FG15" t="s">
        <v>248</v>
      </c>
      <c r="FH15" t="s">
        <v>249</v>
      </c>
      <c r="FI15" t="s">
        <v>250</v>
      </c>
      <c r="FJ15" t="s">
        <v>251</v>
      </c>
      <c r="FK15" t="s">
        <v>252</v>
      </c>
      <c r="FL15" t="s">
        <v>253</v>
      </c>
    </row>
    <row r="16" spans="1:168" x14ac:dyDescent="0.35">
      <c r="B16" t="s">
        <v>254</v>
      </c>
      <c r="C16" t="s">
        <v>254</v>
      </c>
      <c r="K16" t="s">
        <v>254</v>
      </c>
      <c r="L16" t="s">
        <v>255</v>
      </c>
      <c r="M16" t="s">
        <v>256</v>
      </c>
      <c r="N16" t="s">
        <v>257</v>
      </c>
      <c r="O16" t="s">
        <v>257</v>
      </c>
      <c r="P16" t="s">
        <v>163</v>
      </c>
      <c r="Q16" t="s">
        <v>163</v>
      </c>
      <c r="R16" t="s">
        <v>255</v>
      </c>
      <c r="S16" t="s">
        <v>255</v>
      </c>
      <c r="T16" t="s">
        <v>255</v>
      </c>
      <c r="U16" t="s">
        <v>255</v>
      </c>
      <c r="V16" t="s">
        <v>258</v>
      </c>
      <c r="W16" t="s">
        <v>259</v>
      </c>
      <c r="X16" t="s">
        <v>259</v>
      </c>
      <c r="Y16" t="s">
        <v>260</v>
      </c>
      <c r="Z16" t="s">
        <v>261</v>
      </c>
      <c r="AA16" t="s">
        <v>260</v>
      </c>
      <c r="AB16" t="s">
        <v>260</v>
      </c>
      <c r="AC16" t="s">
        <v>260</v>
      </c>
      <c r="AD16" t="s">
        <v>258</v>
      </c>
      <c r="AE16" t="s">
        <v>258</v>
      </c>
      <c r="AF16" t="s">
        <v>258</v>
      </c>
      <c r="AG16" t="s">
        <v>258</v>
      </c>
      <c r="AK16" t="s">
        <v>262</v>
      </c>
      <c r="AL16" t="s">
        <v>261</v>
      </c>
      <c r="AN16" t="s">
        <v>261</v>
      </c>
      <c r="AO16" t="s">
        <v>262</v>
      </c>
      <c r="AU16" t="s">
        <v>256</v>
      </c>
      <c r="BA16" t="s">
        <v>256</v>
      </c>
      <c r="BB16" t="s">
        <v>256</v>
      </c>
      <c r="BC16" t="s">
        <v>256</v>
      </c>
      <c r="BE16" t="s">
        <v>263</v>
      </c>
      <c r="BN16" t="s">
        <v>256</v>
      </c>
      <c r="BO16" t="s">
        <v>256</v>
      </c>
      <c r="BQ16" t="s">
        <v>264</v>
      </c>
      <c r="BR16" t="s">
        <v>254</v>
      </c>
      <c r="BS16" t="s">
        <v>257</v>
      </c>
      <c r="BT16" t="s">
        <v>257</v>
      </c>
      <c r="BU16" t="s">
        <v>265</v>
      </c>
      <c r="BV16" t="s">
        <v>265</v>
      </c>
      <c r="BW16" t="s">
        <v>262</v>
      </c>
      <c r="BX16" t="s">
        <v>260</v>
      </c>
      <c r="BY16" t="s">
        <v>260</v>
      </c>
      <c r="BZ16" t="s">
        <v>259</v>
      </c>
      <c r="CA16" t="s">
        <v>259</v>
      </c>
      <c r="CB16" t="s">
        <v>259</v>
      </c>
      <c r="CC16" t="s">
        <v>266</v>
      </c>
      <c r="CD16" t="s">
        <v>256</v>
      </c>
      <c r="CE16" t="s">
        <v>256</v>
      </c>
      <c r="CF16" t="s">
        <v>256</v>
      </c>
      <c r="CK16" t="s">
        <v>256</v>
      </c>
      <c r="CN16" t="s">
        <v>259</v>
      </c>
      <c r="CO16" t="s">
        <v>259</v>
      </c>
      <c r="CP16" t="s">
        <v>259</v>
      </c>
      <c r="CQ16" t="s">
        <v>259</v>
      </c>
      <c r="CR16" t="s">
        <v>259</v>
      </c>
      <c r="CS16" t="s">
        <v>256</v>
      </c>
      <c r="CT16" t="s">
        <v>256</v>
      </c>
      <c r="CU16" t="s">
        <v>256</v>
      </c>
      <c r="CV16" t="s">
        <v>254</v>
      </c>
      <c r="CX16" t="s">
        <v>267</v>
      </c>
      <c r="CY16" t="s">
        <v>267</v>
      </c>
      <c r="DA16" t="s">
        <v>254</v>
      </c>
      <c r="DB16" t="s">
        <v>268</v>
      </c>
      <c r="DE16" t="s">
        <v>269</v>
      </c>
      <c r="DF16" t="s">
        <v>270</v>
      </c>
      <c r="DG16" t="s">
        <v>269</v>
      </c>
      <c r="DH16" t="s">
        <v>270</v>
      </c>
      <c r="DI16" t="s">
        <v>261</v>
      </c>
      <c r="DJ16" t="s">
        <v>261</v>
      </c>
      <c r="DK16" t="s">
        <v>256</v>
      </c>
      <c r="DL16" t="s">
        <v>271</v>
      </c>
      <c r="DM16" t="s">
        <v>256</v>
      </c>
      <c r="DO16" t="s">
        <v>257</v>
      </c>
      <c r="DP16" t="s">
        <v>272</v>
      </c>
      <c r="DQ16" t="s">
        <v>257</v>
      </c>
      <c r="DS16" t="s">
        <v>255</v>
      </c>
      <c r="DT16" t="s">
        <v>273</v>
      </c>
      <c r="DU16" t="s">
        <v>255</v>
      </c>
      <c r="DZ16" t="s">
        <v>274</v>
      </c>
      <c r="EA16" t="s">
        <v>274</v>
      </c>
      <c r="EB16" t="s">
        <v>274</v>
      </c>
      <c r="EC16" t="s">
        <v>274</v>
      </c>
      <c r="ED16" t="s">
        <v>274</v>
      </c>
      <c r="EE16" t="s">
        <v>274</v>
      </c>
      <c r="EF16" t="s">
        <v>274</v>
      </c>
      <c r="EG16" t="s">
        <v>274</v>
      </c>
      <c r="EH16" t="s">
        <v>274</v>
      </c>
      <c r="EI16" t="s">
        <v>274</v>
      </c>
      <c r="EJ16" t="s">
        <v>274</v>
      </c>
      <c r="EK16" t="s">
        <v>274</v>
      </c>
      <c r="ER16" t="s">
        <v>274</v>
      </c>
      <c r="ES16" t="s">
        <v>261</v>
      </c>
      <c r="ET16" t="s">
        <v>261</v>
      </c>
      <c r="EU16" t="s">
        <v>269</v>
      </c>
      <c r="EV16" t="s">
        <v>270</v>
      </c>
      <c r="EX16" t="s">
        <v>262</v>
      </c>
      <c r="EY16" t="s">
        <v>262</v>
      </c>
      <c r="EZ16" t="s">
        <v>259</v>
      </c>
      <c r="FA16" t="s">
        <v>259</v>
      </c>
      <c r="FB16" t="s">
        <v>259</v>
      </c>
      <c r="FC16" t="s">
        <v>259</v>
      </c>
      <c r="FD16" t="s">
        <v>259</v>
      </c>
      <c r="FE16" t="s">
        <v>261</v>
      </c>
      <c r="FF16" t="s">
        <v>261</v>
      </c>
      <c r="FG16" t="s">
        <v>261</v>
      </c>
      <c r="FH16" t="s">
        <v>259</v>
      </c>
      <c r="FI16" t="s">
        <v>257</v>
      </c>
      <c r="FJ16" t="s">
        <v>265</v>
      </c>
      <c r="FK16" t="s">
        <v>261</v>
      </c>
      <c r="FL16" t="s">
        <v>261</v>
      </c>
    </row>
    <row r="17" spans="1:168" x14ac:dyDescent="0.35">
      <c r="A17">
        <v>1</v>
      </c>
      <c r="B17">
        <v>1562694735.5</v>
      </c>
      <c r="C17">
        <v>0</v>
      </c>
      <c r="D17" t="s">
        <v>275</v>
      </c>
      <c r="E17" t="s">
        <v>276</v>
      </c>
      <c r="F17" t="s">
        <v>277</v>
      </c>
      <c r="G17" t="s">
        <v>278</v>
      </c>
      <c r="H17" t="s">
        <v>277</v>
      </c>
      <c r="J17" t="s">
        <v>277</v>
      </c>
      <c r="K17">
        <v>1562694727.46452</v>
      </c>
      <c r="L17">
        <f t="shared" ref="L17:L28" si="0">BW17*AM17*(BU17-BV17)/(100*$B$5*(1000-AM17*BU17))</f>
        <v>1.1248780900241347E-2</v>
      </c>
      <c r="M17">
        <f t="shared" ref="M17:M28" si="1">BW17*AM17*(BT17-BS17*(1000-AM17*BV17)/(1000-AM17*BU17))/(100*$B$5)</f>
        <v>34.485400653336633</v>
      </c>
      <c r="N17">
        <f t="shared" ref="N17:N28" si="2">BS17 - IF(AM17&gt;1, M17*$B$5*100/(AO17*CC17), 0)</f>
        <v>353.82161290322603</v>
      </c>
      <c r="O17">
        <f t="shared" ref="O17:O28" si="3">((U17-L17/2)*N17-M17)/(U17+L17/2)</f>
        <v>264.89189104166849</v>
      </c>
      <c r="P17">
        <f t="shared" ref="P17:P28" si="4">O17*(BX17+BY17)/1000</f>
        <v>26.281224245886317</v>
      </c>
      <c r="Q17">
        <f t="shared" ref="Q17:Q28" si="5">(BS17 - IF(AM17&gt;1, M17*$B$5*100/(AO17*CC17), 0))*(BX17+BY17)/1000</f>
        <v>35.104378300082125</v>
      </c>
      <c r="R17">
        <f t="shared" ref="R17:R28" si="6">2/((1/T17-1/S17)+SIGN(T17)*SQRT((1/T17-1/S17)*(1/T17-1/S17) + 4*$C$5/(($C$5+1)*($C$5+1))*(2*1/T17*1/S17-1/S17*1/S17)))</f>
        <v>0.79686937404381308</v>
      </c>
      <c r="S17">
        <f t="shared" ref="S17:S28" si="7">AJ17+AI17*$B$5+AH17*$B$5*$B$5</f>
        <v>2.2480667737604736</v>
      </c>
      <c r="T17">
        <f t="shared" ref="T17:T28" si="8">L17*(1000-(1000*0.61365*EXP(17.502*X17/(240.97+X17))/(BX17+BY17)+BU17)/2)/(1000*0.61365*EXP(17.502*X17/(240.97+X17))/(BX17+BY17)-BU17)</f>
        <v>0.66725681286730376</v>
      </c>
      <c r="U17">
        <f t="shared" ref="U17:U28" si="9">1/(($C$5+1)/(R17/1.6)+1/(S17/1.37)) + $C$5/(($C$5+1)/(R17/1.6) + $C$5/(S17/1.37))</f>
        <v>0.42691336688748382</v>
      </c>
      <c r="V17">
        <f t="shared" ref="V17:V28" si="10">(BO17*BQ17)</f>
        <v>353.33644911235052</v>
      </c>
      <c r="W17">
        <f t="shared" ref="W17:W28" si="11">(BZ17+(V17+2*0.95*0.0000000567*(((BZ17+$B$7)+273)^4-(BZ17+273)^4)-44100*L17)/(1.84*29.3*S17+8*0.95*0.0000000567*(BZ17+273)^3))</f>
        <v>25.707526364404554</v>
      </c>
      <c r="X17">
        <f t="shared" ref="X17:X28" si="12">($C$7*CA17+$D$7*CB17+$E$7*W17)</f>
        <v>26.9318903225806</v>
      </c>
      <c r="Y17">
        <f t="shared" ref="Y17:Y28" si="13">0.61365*EXP(17.502*X17/(240.97+X17))</f>
        <v>3.5648671326526333</v>
      </c>
      <c r="Z17">
        <f t="shared" ref="Z17:Z28" si="14">(AA17/AB17*100)</f>
        <v>54.863092333545119</v>
      </c>
      <c r="AA17">
        <f t="shared" ref="AA17:AA28" si="15">BU17*(BX17+BY17)/1000</f>
        <v>1.9386675974748773</v>
      </c>
      <c r="AB17">
        <f t="shared" ref="AB17:AB28" si="16">0.61365*EXP(17.502*BZ17/(240.97+BZ17))</f>
        <v>3.5336462365055419</v>
      </c>
      <c r="AC17">
        <f t="shared" ref="AC17:AC28" si="17">(Y17-BU17*(BX17+BY17)/1000)</f>
        <v>1.6261995351777561</v>
      </c>
      <c r="AD17">
        <f t="shared" ref="AD17:AD28" si="18">(-L17*44100)</f>
        <v>-496.07123770064339</v>
      </c>
      <c r="AE17">
        <f t="shared" ref="AE17:AE28" si="19">2*29.3*S17*0.92*(BZ17-X17)</f>
        <v>-18.13275111795253</v>
      </c>
      <c r="AF17">
        <f t="shared" ref="AF17:AF28" si="20">2*0.95*0.0000000567*(((BZ17+$B$7)+273)^4-(X17+273)^4)</f>
        <v>-1.7382357113330598</v>
      </c>
      <c r="AG17">
        <f t="shared" ref="AG17:AG28" si="21">V17+AF17+AD17+AE17</f>
        <v>-162.60577541757846</v>
      </c>
      <c r="AH17">
        <v>-4.1131722286502699E-2</v>
      </c>
      <c r="AI17">
        <v>4.6173961603376799E-2</v>
      </c>
      <c r="AJ17">
        <v>3.4517650064543099</v>
      </c>
      <c r="AK17">
        <v>0</v>
      </c>
      <c r="AL17">
        <v>0</v>
      </c>
      <c r="AM17">
        <f t="shared" ref="AM17:AM28" si="22">IF(AK17*$H$13&gt;=AO17,1,(AO17/(AO17-AK17*$H$13)))</f>
        <v>1</v>
      </c>
      <c r="AN17">
        <f t="shared" ref="AN17:AN28" si="23">(AM17-1)*100</f>
        <v>0</v>
      </c>
      <c r="AO17">
        <f t="shared" ref="AO17:AO28" si="24">MAX(0,($B$13+$C$13*CC17)/(1+$D$13*CC17)*BX17/(BZ17+273)*$E$13)</f>
        <v>52485.912232702489</v>
      </c>
      <c r="AP17" t="s">
        <v>279</v>
      </c>
      <c r="AQ17">
        <v>687.861538461539</v>
      </c>
      <c r="AR17">
        <v>4005.07</v>
      </c>
      <c r="AS17">
        <f t="shared" ref="AS17:AS28" si="25">AR17-AQ17</f>
        <v>3317.2084615384611</v>
      </c>
      <c r="AT17">
        <f t="shared" ref="AT17:AT28" si="26">AS17/AR17</f>
        <v>0.82825230558728336</v>
      </c>
      <c r="AU17">
        <v>-4.0580585712533601</v>
      </c>
      <c r="AV17" t="s">
        <v>280</v>
      </c>
      <c r="AW17">
        <v>921.132269230769</v>
      </c>
      <c r="AX17">
        <v>1300.49</v>
      </c>
      <c r="AY17">
        <f t="shared" ref="AY17:AY28" si="27">1-AW17/AX17</f>
        <v>0.29170368920117107</v>
      </c>
      <c r="AZ17">
        <v>0.5</v>
      </c>
      <c r="BA17">
        <f t="shared" ref="BA17:BA28" si="28">BO17</f>
        <v>1849.1675419624514</v>
      </c>
      <c r="BB17">
        <f t="shared" ref="BB17:BB28" si="29">M17</f>
        <v>34.485400653336633</v>
      </c>
      <c r="BC17">
        <f t="shared" ref="BC17:BC28" si="30">AY17*AZ17*BA17</f>
        <v>269.70449697075418</v>
      </c>
      <c r="BD17">
        <f t="shared" ref="BD17:BD28" si="31">BI17/AX17</f>
        <v>0.53417557997370224</v>
      </c>
      <c r="BE17">
        <f t="shared" ref="BE17:BE28" si="32">(BB17-AU17)/BA17</f>
        <v>2.0843681467437657E-2</v>
      </c>
      <c r="BF17">
        <f t="shared" ref="BF17:BF28" si="33">(AR17-AX17)/AX17</f>
        <v>2.0796622811401857</v>
      </c>
      <c r="BG17" t="s">
        <v>281</v>
      </c>
      <c r="BH17">
        <v>605.79999999999995</v>
      </c>
      <c r="BI17">
        <f t="shared" ref="BI17:BI28" si="34">AX17-BH17</f>
        <v>694.69</v>
      </c>
      <c r="BJ17">
        <f t="shared" ref="BJ17:BJ28" si="35">(AX17-AW17)/(AX17-BH17)</f>
        <v>0.54608203769916219</v>
      </c>
      <c r="BK17">
        <f t="shared" ref="BK17:BK28" si="36">(AR17-AX17)/(AR17-BH17)</f>
        <v>0.79563553351160676</v>
      </c>
      <c r="BL17">
        <f t="shared" ref="BL17:BL28" si="37">(AX17-AW17)/(AX17-AQ17)</f>
        <v>0.61922968746272455</v>
      </c>
      <c r="BM17">
        <f t="shared" ref="BM17:BM28" si="38">(AR17-AX17)/(AR17-AQ17)</f>
        <v>0.815318069804291</v>
      </c>
      <c r="BN17">
        <f t="shared" ref="BN17:BN28" si="39">$B$11*CD17+$C$11*CE17+$F$11*CF17</f>
        <v>2199.9774193548401</v>
      </c>
      <c r="BO17">
        <f t="shared" ref="BO17:BO28" si="40">BN17*BP17</f>
        <v>1849.1675419624514</v>
      </c>
      <c r="BP17">
        <f t="shared" ref="BP17:BP28" si="41">($B$11*$D$9+$C$11*$D$9+$F$11*((CS17+CK17)/MAX(CS17+CK17+CT17, 0.1)*$I$9+CT17/MAX(CS17+CK17+CT17, 0.1)*$J$9))/($B$11+$C$11+$F$11)</f>
        <v>0.84053932812852861</v>
      </c>
      <c r="BQ17">
        <f t="shared" ref="BQ17:BQ28" si="42">($B$11*$K$9+$C$11*$K$9+$F$11*((CS17+CK17)/MAX(CS17+CK17+CT17, 0.1)*$P$9+CT17/MAX(CS17+CK17+CT17, 0.1)*$Q$9))/($B$11+$C$11+$F$11)</f>
        <v>0.19107865625705714</v>
      </c>
      <c r="BR17">
        <v>1562694727.46452</v>
      </c>
      <c r="BS17">
        <v>353.82161290322603</v>
      </c>
      <c r="BT17">
        <v>399.97703225806498</v>
      </c>
      <c r="BU17">
        <v>19.540083870967699</v>
      </c>
      <c r="BV17">
        <v>6.3062083870967802</v>
      </c>
      <c r="BW17">
        <v>500.03396774193499</v>
      </c>
      <c r="BX17">
        <v>99.114893548387101</v>
      </c>
      <c r="BY17">
        <v>0.10001311612903201</v>
      </c>
      <c r="BZ17">
        <v>26.782277419354799</v>
      </c>
      <c r="CA17">
        <v>26.9318903225806</v>
      </c>
      <c r="CB17">
        <v>999.9</v>
      </c>
      <c r="CC17">
        <v>10007.6935483871</v>
      </c>
      <c r="CD17">
        <v>0</v>
      </c>
      <c r="CE17">
        <v>346.27712903225802</v>
      </c>
      <c r="CF17">
        <v>2199.9774193548401</v>
      </c>
      <c r="CG17">
        <v>0.98200574193548396</v>
      </c>
      <c r="CH17">
        <v>1.7994148387096801E-2</v>
      </c>
      <c r="CI17">
        <v>0</v>
      </c>
      <c r="CJ17">
        <v>921.25858064516103</v>
      </c>
      <c r="CK17">
        <v>1.9999499999999999</v>
      </c>
      <c r="CL17">
        <v>21140.174193548399</v>
      </c>
      <c r="CM17">
        <v>17938.1161290323</v>
      </c>
      <c r="CN17">
        <v>48.850548387096801</v>
      </c>
      <c r="CO17">
        <v>49.883000000000003</v>
      </c>
      <c r="CP17">
        <v>49.235774193548401</v>
      </c>
      <c r="CQ17">
        <v>48.925064516128998</v>
      </c>
      <c r="CR17">
        <v>49.933064516129001</v>
      </c>
      <c r="CS17">
        <v>2158.42709677419</v>
      </c>
      <c r="CT17">
        <v>39.550322580645201</v>
      </c>
      <c r="CU17">
        <v>0</v>
      </c>
      <c r="CV17">
        <v>812.10000014305103</v>
      </c>
      <c r="CW17">
        <v>921.132269230769</v>
      </c>
      <c r="CX17">
        <v>-8.6070085475308495</v>
      </c>
      <c r="CY17">
        <v>-106.48888962087101</v>
      </c>
      <c r="CZ17">
        <v>21138.6</v>
      </c>
      <c r="DA17">
        <v>15</v>
      </c>
      <c r="DB17">
        <v>1562694684.5</v>
      </c>
      <c r="DC17" t="s">
        <v>282</v>
      </c>
      <c r="DD17">
        <v>51</v>
      </c>
      <c r="DE17">
        <v>0.40500000000000003</v>
      </c>
      <c r="DF17">
        <v>0</v>
      </c>
      <c r="DG17">
        <v>400</v>
      </c>
      <c r="DH17">
        <v>6</v>
      </c>
      <c r="DI17">
        <v>0.04</v>
      </c>
      <c r="DJ17">
        <v>0.01</v>
      </c>
      <c r="DK17">
        <v>34.529623024515303</v>
      </c>
      <c r="DL17">
        <v>-0.33961620027182798</v>
      </c>
      <c r="DM17">
        <v>0.106322192571769</v>
      </c>
      <c r="DN17">
        <v>0</v>
      </c>
      <c r="DO17">
        <v>353.782958333333</v>
      </c>
      <c r="DP17">
        <v>0.23195842472101499</v>
      </c>
      <c r="DQ17">
        <v>4.2960717683586599E-2</v>
      </c>
      <c r="DR17">
        <v>1</v>
      </c>
      <c r="DS17">
        <v>0.80849815367716504</v>
      </c>
      <c r="DT17">
        <v>-5.0607863017779003E-2</v>
      </c>
      <c r="DU17">
        <v>1.0627121245600699E-2</v>
      </c>
      <c r="DV17">
        <v>1</v>
      </c>
      <c r="DW17">
        <v>2</v>
      </c>
      <c r="DX17">
        <v>3</v>
      </c>
      <c r="DY17" t="s">
        <v>283</v>
      </c>
      <c r="DZ17">
        <v>1.8666799999999999</v>
      </c>
      <c r="EA17">
        <v>1.8632200000000001</v>
      </c>
      <c r="EB17">
        <v>1.86877</v>
      </c>
      <c r="EC17">
        <v>1.86676</v>
      </c>
      <c r="ED17">
        <v>1.8714599999999999</v>
      </c>
      <c r="EE17">
        <v>1.8638600000000001</v>
      </c>
      <c r="EF17">
        <v>1.8653900000000001</v>
      </c>
      <c r="EG17">
        <v>1.8652899999999999</v>
      </c>
      <c r="EH17" t="s">
        <v>284</v>
      </c>
      <c r="EI17" t="s">
        <v>19</v>
      </c>
      <c r="EJ17" t="s">
        <v>19</v>
      </c>
      <c r="EK17" t="s">
        <v>19</v>
      </c>
      <c r="EL17" t="s">
        <v>285</v>
      </c>
      <c r="EM17" t="s">
        <v>286</v>
      </c>
      <c r="EN17" t="s">
        <v>287</v>
      </c>
      <c r="EO17" t="s">
        <v>287</v>
      </c>
      <c r="EP17" t="s">
        <v>287</v>
      </c>
      <c r="EQ17" t="s">
        <v>287</v>
      </c>
      <c r="ER17">
        <v>0</v>
      </c>
      <c r="ES17">
        <v>100</v>
      </c>
      <c r="ET17">
        <v>100</v>
      </c>
      <c r="EU17">
        <v>0.40500000000000003</v>
      </c>
      <c r="EV17">
        <v>0</v>
      </c>
      <c r="EW17">
        <v>2</v>
      </c>
      <c r="EX17">
        <v>508.03199999999998</v>
      </c>
      <c r="EY17">
        <v>464.63499999999999</v>
      </c>
      <c r="EZ17">
        <v>20.515000000000001</v>
      </c>
      <c r="FA17">
        <v>36.486400000000003</v>
      </c>
      <c r="FB17">
        <v>29.998899999999999</v>
      </c>
      <c r="FC17">
        <v>36.460999999999999</v>
      </c>
      <c r="FD17">
        <v>36.435000000000002</v>
      </c>
      <c r="FE17">
        <v>22.110900000000001</v>
      </c>
      <c r="FF17">
        <v>80.014799999999994</v>
      </c>
      <c r="FG17">
        <v>0</v>
      </c>
      <c r="FH17">
        <v>20.560300000000002</v>
      </c>
      <c r="FI17">
        <v>400</v>
      </c>
      <c r="FJ17">
        <v>6.4633200000000004</v>
      </c>
      <c r="FK17">
        <v>100.164</v>
      </c>
      <c r="FL17">
        <v>100.598</v>
      </c>
    </row>
    <row r="18" spans="1:168" x14ac:dyDescent="0.35">
      <c r="A18">
        <v>2</v>
      </c>
      <c r="B18">
        <v>1562694859.9000001</v>
      </c>
      <c r="C18">
        <v>124.40000009536701</v>
      </c>
      <c r="D18" t="s">
        <v>288</v>
      </c>
      <c r="E18" t="s">
        <v>289</v>
      </c>
      <c r="F18" t="s">
        <v>277</v>
      </c>
      <c r="G18" t="s">
        <v>278</v>
      </c>
      <c r="H18" t="s">
        <v>277</v>
      </c>
      <c r="J18" t="s">
        <v>277</v>
      </c>
      <c r="K18">
        <v>1562694851.96452</v>
      </c>
      <c r="L18">
        <f t="shared" si="0"/>
        <v>1.046963590292101E-2</v>
      </c>
      <c r="M18">
        <f t="shared" si="1"/>
        <v>25.836462710946432</v>
      </c>
      <c r="N18">
        <f t="shared" si="2"/>
        <v>265.63974193548398</v>
      </c>
      <c r="O18">
        <f t="shared" si="3"/>
        <v>193.58747165257958</v>
      </c>
      <c r="P18">
        <f t="shared" si="4"/>
        <v>19.206236099987088</v>
      </c>
      <c r="Q18">
        <f t="shared" si="5"/>
        <v>26.354699287093879</v>
      </c>
      <c r="R18">
        <f t="shared" si="6"/>
        <v>0.72192463738049439</v>
      </c>
      <c r="S18">
        <f t="shared" si="7"/>
        <v>2.2466205909358838</v>
      </c>
      <c r="T18">
        <f t="shared" si="8"/>
        <v>0.61373006361661897</v>
      </c>
      <c r="U18">
        <f t="shared" si="9"/>
        <v>0.39194370228104991</v>
      </c>
      <c r="V18">
        <f t="shared" si="10"/>
        <v>353.34487038515471</v>
      </c>
      <c r="W18">
        <f t="shared" si="11"/>
        <v>25.896935816490462</v>
      </c>
      <c r="X18">
        <f t="shared" si="12"/>
        <v>27.032954838709699</v>
      </c>
      <c r="Y18">
        <f t="shared" si="13"/>
        <v>3.586093080285071</v>
      </c>
      <c r="Z18">
        <f t="shared" si="14"/>
        <v>55.145588072005566</v>
      </c>
      <c r="AA18">
        <f t="shared" si="15"/>
        <v>1.9407714857694585</v>
      </c>
      <c r="AB18">
        <f t="shared" si="16"/>
        <v>3.5193594875356551</v>
      </c>
      <c r="AC18">
        <f t="shared" si="17"/>
        <v>1.6453215945156126</v>
      </c>
      <c r="AD18">
        <f t="shared" si="18"/>
        <v>-461.71094331881653</v>
      </c>
      <c r="AE18">
        <f t="shared" si="19"/>
        <v>-38.700904743378217</v>
      </c>
      <c r="AF18">
        <f t="shared" si="20"/>
        <v>-3.7129204235020068</v>
      </c>
      <c r="AG18">
        <f t="shared" si="21"/>
        <v>-150.77989810054203</v>
      </c>
      <c r="AH18">
        <v>-4.1092830452225199E-2</v>
      </c>
      <c r="AI18">
        <v>4.6130302112288503E-2</v>
      </c>
      <c r="AJ18">
        <v>3.44918067454226</v>
      </c>
      <c r="AK18">
        <v>0</v>
      </c>
      <c r="AL18">
        <v>0</v>
      </c>
      <c r="AM18">
        <f t="shared" si="22"/>
        <v>1</v>
      </c>
      <c r="AN18">
        <f t="shared" si="23"/>
        <v>0</v>
      </c>
      <c r="AO18">
        <f t="shared" si="24"/>
        <v>52450.302609087405</v>
      </c>
      <c r="AP18" t="s">
        <v>279</v>
      </c>
      <c r="AQ18">
        <v>687.861538461539</v>
      </c>
      <c r="AR18">
        <v>4005.07</v>
      </c>
      <c r="AS18">
        <f t="shared" si="25"/>
        <v>3317.2084615384611</v>
      </c>
      <c r="AT18">
        <f t="shared" si="26"/>
        <v>0.82825230558728336</v>
      </c>
      <c r="AU18">
        <v>-4.0580585712533601</v>
      </c>
      <c r="AV18" t="s">
        <v>290</v>
      </c>
      <c r="AW18">
        <v>848.46615384615404</v>
      </c>
      <c r="AX18">
        <v>1156.32</v>
      </c>
      <c r="AY18">
        <f t="shared" si="27"/>
        <v>0.26623585698928143</v>
      </c>
      <c r="AZ18">
        <v>0.5</v>
      </c>
      <c r="BA18">
        <f t="shared" si="28"/>
        <v>1849.2061256593627</v>
      </c>
      <c r="BB18">
        <f t="shared" si="29"/>
        <v>25.836462710946432</v>
      </c>
      <c r="BC18">
        <f t="shared" si="30"/>
        <v>246.16248880737464</v>
      </c>
      <c r="BD18">
        <f t="shared" si="31"/>
        <v>0.48716618237166182</v>
      </c>
      <c r="BE18">
        <f t="shared" si="32"/>
        <v>1.6166137926641597E-2</v>
      </c>
      <c r="BF18">
        <f t="shared" si="33"/>
        <v>2.4636346340113464</v>
      </c>
      <c r="BG18" t="s">
        <v>291</v>
      </c>
      <c r="BH18">
        <v>593</v>
      </c>
      <c r="BI18">
        <f t="shared" si="34"/>
        <v>563.31999999999994</v>
      </c>
      <c r="BJ18">
        <f t="shared" si="35"/>
        <v>0.54649905232167495</v>
      </c>
      <c r="BK18">
        <f t="shared" si="36"/>
        <v>0.83490373878613267</v>
      </c>
      <c r="BL18">
        <f t="shared" si="37"/>
        <v>0.65716359384954937</v>
      </c>
      <c r="BM18">
        <f t="shared" si="38"/>
        <v>0.85877931189130075</v>
      </c>
      <c r="BN18">
        <f t="shared" si="39"/>
        <v>2200.0225806451599</v>
      </c>
      <c r="BO18">
        <f t="shared" si="40"/>
        <v>1849.2061256593627</v>
      </c>
      <c r="BP18">
        <f t="shared" si="41"/>
        <v>0.84053961169665825</v>
      </c>
      <c r="BQ18">
        <f t="shared" si="42"/>
        <v>0.19107922339331654</v>
      </c>
      <c r="BR18">
        <v>1562694851.96452</v>
      </c>
      <c r="BS18">
        <v>265.63974193548398</v>
      </c>
      <c r="BT18">
        <v>299.97877419354802</v>
      </c>
      <c r="BU18">
        <v>19.561825806451601</v>
      </c>
      <c r="BV18">
        <v>7.2447838709677397</v>
      </c>
      <c r="BW18">
        <v>500.03064516129001</v>
      </c>
      <c r="BX18">
        <v>99.112174193548398</v>
      </c>
      <c r="BY18">
        <v>0.100011058064516</v>
      </c>
      <c r="BZ18">
        <v>26.713429032258102</v>
      </c>
      <c r="CA18">
        <v>27.032954838709699</v>
      </c>
      <c r="CB18">
        <v>999.9</v>
      </c>
      <c r="CC18">
        <v>9998.5051612903208</v>
      </c>
      <c r="CD18">
        <v>0</v>
      </c>
      <c r="CE18">
        <v>743.05183870967699</v>
      </c>
      <c r="CF18">
        <v>2200.0225806451599</v>
      </c>
      <c r="CG18">
        <v>0.98199722580645099</v>
      </c>
      <c r="CH18">
        <v>1.80029483870968E-2</v>
      </c>
      <c r="CI18">
        <v>0</v>
      </c>
      <c r="CJ18">
        <v>848.49654838709705</v>
      </c>
      <c r="CK18">
        <v>1.9999499999999999</v>
      </c>
      <c r="CL18">
        <v>19538.658064516101</v>
      </c>
      <c r="CM18">
        <v>17938.412903225799</v>
      </c>
      <c r="CN18">
        <v>48.866870967741903</v>
      </c>
      <c r="CO18">
        <v>49.695129032258002</v>
      </c>
      <c r="CP18">
        <v>49.225612903225802</v>
      </c>
      <c r="CQ18">
        <v>48.737806451612897</v>
      </c>
      <c r="CR18">
        <v>49.929000000000002</v>
      </c>
      <c r="CS18">
        <v>2158.4509677419401</v>
      </c>
      <c r="CT18">
        <v>39.571935483871002</v>
      </c>
      <c r="CU18">
        <v>0</v>
      </c>
      <c r="CV18">
        <v>123.59999990463299</v>
      </c>
      <c r="CW18">
        <v>848.46615384615404</v>
      </c>
      <c r="CX18">
        <v>-3.8877948675464502</v>
      </c>
      <c r="CY18">
        <v>-42.044444347522898</v>
      </c>
      <c r="CZ18">
        <v>19537.623076923101</v>
      </c>
      <c r="DA18">
        <v>15</v>
      </c>
      <c r="DB18">
        <v>1562694815</v>
      </c>
      <c r="DC18" t="s">
        <v>292</v>
      </c>
      <c r="DD18">
        <v>52</v>
      </c>
      <c r="DE18">
        <v>0.246</v>
      </c>
      <c r="DF18">
        <v>8.0000000000000002E-3</v>
      </c>
      <c r="DG18">
        <v>300</v>
      </c>
      <c r="DH18">
        <v>7</v>
      </c>
      <c r="DI18">
        <v>0.05</v>
      </c>
      <c r="DJ18">
        <v>0.01</v>
      </c>
      <c r="DK18">
        <v>25.901145632472499</v>
      </c>
      <c r="DL18">
        <v>-0.28110341128190702</v>
      </c>
      <c r="DM18">
        <v>0.118870148035472</v>
      </c>
      <c r="DN18">
        <v>1</v>
      </c>
      <c r="DO18">
        <v>265.58881944444403</v>
      </c>
      <c r="DP18">
        <v>0.39588503425772797</v>
      </c>
      <c r="DQ18">
        <v>8.4773608050581803E-2</v>
      </c>
      <c r="DR18">
        <v>1</v>
      </c>
      <c r="DS18">
        <v>0.71241467529379698</v>
      </c>
      <c r="DT18">
        <v>7.0418848068515005E-2</v>
      </c>
      <c r="DU18">
        <v>1.7671305593093701E-2</v>
      </c>
      <c r="DV18">
        <v>1</v>
      </c>
      <c r="DW18">
        <v>3</v>
      </c>
      <c r="DX18">
        <v>3</v>
      </c>
      <c r="DY18" t="s">
        <v>293</v>
      </c>
      <c r="DZ18">
        <v>1.8666100000000001</v>
      </c>
      <c r="EA18">
        <v>1.8631</v>
      </c>
      <c r="EB18">
        <v>1.8687400000000001</v>
      </c>
      <c r="EC18">
        <v>1.86669</v>
      </c>
      <c r="ED18">
        <v>1.87141</v>
      </c>
      <c r="EE18">
        <v>1.8638399999999999</v>
      </c>
      <c r="EF18">
        <v>1.8653500000000001</v>
      </c>
      <c r="EG18">
        <v>1.8652299999999999</v>
      </c>
      <c r="EH18" t="s">
        <v>284</v>
      </c>
      <c r="EI18" t="s">
        <v>19</v>
      </c>
      <c r="EJ18" t="s">
        <v>19</v>
      </c>
      <c r="EK18" t="s">
        <v>19</v>
      </c>
      <c r="EL18" t="s">
        <v>285</v>
      </c>
      <c r="EM18" t="s">
        <v>286</v>
      </c>
      <c r="EN18" t="s">
        <v>287</v>
      </c>
      <c r="EO18" t="s">
        <v>287</v>
      </c>
      <c r="EP18" t="s">
        <v>287</v>
      </c>
      <c r="EQ18" t="s">
        <v>287</v>
      </c>
      <c r="ER18">
        <v>0</v>
      </c>
      <c r="ES18">
        <v>100</v>
      </c>
      <c r="ET18">
        <v>100</v>
      </c>
      <c r="EU18">
        <v>0.246</v>
      </c>
      <c r="EV18">
        <v>8.0000000000000002E-3</v>
      </c>
      <c r="EW18">
        <v>2</v>
      </c>
      <c r="EX18">
        <v>508.14100000000002</v>
      </c>
      <c r="EY18">
        <v>465.435</v>
      </c>
      <c r="EZ18">
        <v>19.660900000000002</v>
      </c>
      <c r="FA18">
        <v>36.326500000000003</v>
      </c>
      <c r="FB18">
        <v>29.999500000000001</v>
      </c>
      <c r="FC18">
        <v>36.380000000000003</v>
      </c>
      <c r="FD18">
        <v>36.364400000000003</v>
      </c>
      <c r="FE18">
        <v>17.645299999999999</v>
      </c>
      <c r="FF18">
        <v>78.553299999999993</v>
      </c>
      <c r="FG18">
        <v>0</v>
      </c>
      <c r="FH18">
        <v>19.675799999999999</v>
      </c>
      <c r="FI18">
        <v>300</v>
      </c>
      <c r="FJ18">
        <v>7.2890300000000003</v>
      </c>
      <c r="FK18">
        <v>100.184</v>
      </c>
      <c r="FL18">
        <v>100.624</v>
      </c>
    </row>
    <row r="19" spans="1:168" x14ac:dyDescent="0.35">
      <c r="A19">
        <v>3</v>
      </c>
      <c r="B19">
        <v>1562694986</v>
      </c>
      <c r="C19">
        <v>250.5</v>
      </c>
      <c r="D19" t="s">
        <v>294</v>
      </c>
      <c r="E19" t="s">
        <v>295</v>
      </c>
      <c r="F19" t="s">
        <v>277</v>
      </c>
      <c r="G19" t="s">
        <v>278</v>
      </c>
      <c r="H19" t="s">
        <v>277</v>
      </c>
      <c r="J19" t="s">
        <v>277</v>
      </c>
      <c r="K19">
        <v>1562694978</v>
      </c>
      <c r="L19">
        <f t="shared" si="0"/>
        <v>1.0276077703704155E-2</v>
      </c>
      <c r="M19">
        <f t="shared" si="1"/>
        <v>16.316012458438937</v>
      </c>
      <c r="N19">
        <f t="shared" si="2"/>
        <v>178.21219354838701</v>
      </c>
      <c r="O19">
        <f t="shared" si="3"/>
        <v>131.73342383776912</v>
      </c>
      <c r="P19">
        <f t="shared" si="4"/>
        <v>13.0689257530119</v>
      </c>
      <c r="Q19">
        <f t="shared" si="5"/>
        <v>17.679961986211577</v>
      </c>
      <c r="R19">
        <f t="shared" si="6"/>
        <v>0.70792420842560821</v>
      </c>
      <c r="S19">
        <f t="shared" si="7"/>
        <v>2.2462053060595997</v>
      </c>
      <c r="T19">
        <f t="shared" si="8"/>
        <v>0.60354673494346356</v>
      </c>
      <c r="U19">
        <f t="shared" si="9"/>
        <v>0.38530548880770299</v>
      </c>
      <c r="V19">
        <f t="shared" si="10"/>
        <v>353.34290391955966</v>
      </c>
      <c r="W19">
        <f t="shared" si="11"/>
        <v>25.807049279720534</v>
      </c>
      <c r="X19">
        <f t="shared" si="12"/>
        <v>26.981022580645199</v>
      </c>
      <c r="Y19">
        <f t="shared" si="13"/>
        <v>3.5751723344315245</v>
      </c>
      <c r="Z19">
        <f t="shared" si="14"/>
        <v>55.423418889587651</v>
      </c>
      <c r="AA19">
        <f t="shared" si="15"/>
        <v>1.932943802706379</v>
      </c>
      <c r="AB19">
        <f t="shared" si="16"/>
        <v>3.4875939475280542</v>
      </c>
      <c r="AC19">
        <f t="shared" si="17"/>
        <v>1.6422285317251455</v>
      </c>
      <c r="AD19">
        <f t="shared" si="18"/>
        <v>-453.17502673335326</v>
      </c>
      <c r="AE19">
        <f t="shared" si="19"/>
        <v>-51.048812913462356</v>
      </c>
      <c r="AF19">
        <f t="shared" si="20"/>
        <v>-4.8934279416388691</v>
      </c>
      <c r="AG19">
        <f t="shared" si="21"/>
        <v>-155.77436366889486</v>
      </c>
      <c r="AH19">
        <v>-4.1081666465967601E-2</v>
      </c>
      <c r="AI19">
        <v>4.6117769559695501E-2</v>
      </c>
      <c r="AJ19">
        <v>3.4484386814762602</v>
      </c>
      <c r="AK19">
        <v>0</v>
      </c>
      <c r="AL19">
        <v>0</v>
      </c>
      <c r="AM19">
        <f t="shared" si="22"/>
        <v>1</v>
      </c>
      <c r="AN19">
        <f t="shared" si="23"/>
        <v>0</v>
      </c>
      <c r="AO19">
        <f t="shared" si="24"/>
        <v>52463.48080488808</v>
      </c>
      <c r="AP19" t="s">
        <v>279</v>
      </c>
      <c r="AQ19">
        <v>687.861538461539</v>
      </c>
      <c r="AR19">
        <v>4005.07</v>
      </c>
      <c r="AS19">
        <f t="shared" si="25"/>
        <v>3317.2084615384611</v>
      </c>
      <c r="AT19">
        <f t="shared" si="26"/>
        <v>0.82825230558728336</v>
      </c>
      <c r="AU19">
        <v>-4.0580585712533601</v>
      </c>
      <c r="AV19" t="s">
        <v>296</v>
      </c>
      <c r="AW19">
        <v>816.43515384615398</v>
      </c>
      <c r="AX19">
        <v>1050.72</v>
      </c>
      <c r="AY19">
        <f t="shared" si="27"/>
        <v>0.22297552740391924</v>
      </c>
      <c r="AZ19">
        <v>0.5</v>
      </c>
      <c r="BA19">
        <f t="shared" si="28"/>
        <v>1849.1936322850515</v>
      </c>
      <c r="BB19">
        <f t="shared" si="29"/>
        <v>16.316012458438937</v>
      </c>
      <c r="BC19">
        <f t="shared" si="30"/>
        <v>206.16246271536423</v>
      </c>
      <c r="BD19">
        <f t="shared" si="31"/>
        <v>0.43790924318562507</v>
      </c>
      <c r="BE19">
        <f t="shared" si="32"/>
        <v>1.1017813750805546E-2</v>
      </c>
      <c r="BF19">
        <f t="shared" si="33"/>
        <v>2.8117386173290697</v>
      </c>
      <c r="BG19" t="s">
        <v>297</v>
      </c>
      <c r="BH19">
        <v>590.6</v>
      </c>
      <c r="BI19">
        <f t="shared" si="34"/>
        <v>460.12</v>
      </c>
      <c r="BJ19">
        <f t="shared" si="35"/>
        <v>0.50918205284240203</v>
      </c>
      <c r="BK19">
        <f t="shared" si="36"/>
        <v>0.86524409351963849</v>
      </c>
      <c r="BL19">
        <f t="shared" si="37"/>
        <v>0.64566455240017362</v>
      </c>
      <c r="BM19">
        <f t="shared" si="38"/>
        <v>0.89061330762126012</v>
      </c>
      <c r="BN19">
        <f t="shared" si="39"/>
        <v>2200.0074193548398</v>
      </c>
      <c r="BO19">
        <f t="shared" si="40"/>
        <v>1849.1936322850515</v>
      </c>
      <c r="BP19">
        <f t="shared" si="41"/>
        <v>0.84053972546480515</v>
      </c>
      <c r="BQ19">
        <f t="shared" si="42"/>
        <v>0.19107945092961048</v>
      </c>
      <c r="BR19">
        <v>1562694978</v>
      </c>
      <c r="BS19">
        <v>178.21219354838701</v>
      </c>
      <c r="BT19">
        <v>199.98845161290299</v>
      </c>
      <c r="BU19">
        <v>19.483874193548399</v>
      </c>
      <c r="BV19">
        <v>7.3931441935483901</v>
      </c>
      <c r="BW19">
        <v>500.01248387096803</v>
      </c>
      <c r="BX19">
        <v>99.107387096774204</v>
      </c>
      <c r="BY19">
        <v>9.9977080645161295E-2</v>
      </c>
      <c r="BZ19">
        <v>26.559470967741898</v>
      </c>
      <c r="CA19">
        <v>26.981022580645199</v>
      </c>
      <c r="CB19">
        <v>999.9</v>
      </c>
      <c r="CC19">
        <v>9996.2716129032306</v>
      </c>
      <c r="CD19">
        <v>0</v>
      </c>
      <c r="CE19">
        <v>293.321967741935</v>
      </c>
      <c r="CF19">
        <v>2200.0074193548398</v>
      </c>
      <c r="CG19">
        <v>0.98199412903225802</v>
      </c>
      <c r="CH19">
        <v>1.8006225806451601E-2</v>
      </c>
      <c r="CI19">
        <v>0</v>
      </c>
      <c r="CJ19">
        <v>816.42583870967701</v>
      </c>
      <c r="CK19">
        <v>1.9999499999999999</v>
      </c>
      <c r="CL19">
        <v>18802.193548387098</v>
      </c>
      <c r="CM19">
        <v>17938.264516128998</v>
      </c>
      <c r="CN19">
        <v>48.965451612903202</v>
      </c>
      <c r="CO19">
        <v>49.816064516129003</v>
      </c>
      <c r="CP19">
        <v>49.3648387096774</v>
      </c>
      <c r="CQ19">
        <v>48.737806451612897</v>
      </c>
      <c r="CR19">
        <v>49.999935483870999</v>
      </c>
      <c r="CS19">
        <v>2158.4274193548399</v>
      </c>
      <c r="CT19">
        <v>39.58</v>
      </c>
      <c r="CU19">
        <v>0</v>
      </c>
      <c r="CV19">
        <v>125.09999990463299</v>
      </c>
      <c r="CW19">
        <v>816.43515384615398</v>
      </c>
      <c r="CX19">
        <v>-4.0192820503113502</v>
      </c>
      <c r="CY19">
        <v>-118.235897261883</v>
      </c>
      <c r="CZ19">
        <v>18800.907692307701</v>
      </c>
      <c r="DA19">
        <v>15</v>
      </c>
      <c r="DB19">
        <v>1562694940.9000001</v>
      </c>
      <c r="DC19" t="s">
        <v>298</v>
      </c>
      <c r="DD19">
        <v>53</v>
      </c>
      <c r="DE19">
        <v>0.156</v>
      </c>
      <c r="DF19">
        <v>1.6E-2</v>
      </c>
      <c r="DG19">
        <v>200</v>
      </c>
      <c r="DH19">
        <v>7</v>
      </c>
      <c r="DI19">
        <v>0.05</v>
      </c>
      <c r="DJ19">
        <v>0.01</v>
      </c>
      <c r="DK19">
        <v>16.329913868819599</v>
      </c>
      <c r="DL19">
        <v>-9.1420304012584094E-2</v>
      </c>
      <c r="DM19">
        <v>5.3048402244411499E-2</v>
      </c>
      <c r="DN19">
        <v>1</v>
      </c>
      <c r="DO19">
        <v>178.22388888888901</v>
      </c>
      <c r="DP19">
        <v>6.9364368297447597E-3</v>
      </c>
      <c r="DQ19">
        <v>3.33681299860418E-2</v>
      </c>
      <c r="DR19">
        <v>1</v>
      </c>
      <c r="DS19">
        <v>0.69835673538199705</v>
      </c>
      <c r="DT19">
        <v>6.8335271917423099E-2</v>
      </c>
      <c r="DU19">
        <v>1.64849860686785E-2</v>
      </c>
      <c r="DV19">
        <v>1</v>
      </c>
      <c r="DW19">
        <v>3</v>
      </c>
      <c r="DX19">
        <v>3</v>
      </c>
      <c r="DY19" t="s">
        <v>293</v>
      </c>
      <c r="DZ19">
        <v>1.86663</v>
      </c>
      <c r="EA19">
        <v>1.86313</v>
      </c>
      <c r="EB19">
        <v>1.8687400000000001</v>
      </c>
      <c r="EC19">
        <v>1.86676</v>
      </c>
      <c r="ED19">
        <v>1.87147</v>
      </c>
      <c r="EE19">
        <v>1.8638600000000001</v>
      </c>
      <c r="EF19">
        <v>1.86537</v>
      </c>
      <c r="EG19">
        <v>1.8652599999999999</v>
      </c>
      <c r="EH19" t="s">
        <v>284</v>
      </c>
      <c r="EI19" t="s">
        <v>19</v>
      </c>
      <c r="EJ19" t="s">
        <v>19</v>
      </c>
      <c r="EK19" t="s">
        <v>19</v>
      </c>
      <c r="EL19" t="s">
        <v>285</v>
      </c>
      <c r="EM19" t="s">
        <v>286</v>
      </c>
      <c r="EN19" t="s">
        <v>287</v>
      </c>
      <c r="EO19" t="s">
        <v>287</v>
      </c>
      <c r="EP19" t="s">
        <v>287</v>
      </c>
      <c r="EQ19" t="s">
        <v>287</v>
      </c>
      <c r="ER19">
        <v>0</v>
      </c>
      <c r="ES19">
        <v>100</v>
      </c>
      <c r="ET19">
        <v>100</v>
      </c>
      <c r="EU19">
        <v>0.156</v>
      </c>
      <c r="EV19">
        <v>1.6E-2</v>
      </c>
      <c r="EW19">
        <v>2</v>
      </c>
      <c r="EX19">
        <v>508.18099999999998</v>
      </c>
      <c r="EY19">
        <v>465.303</v>
      </c>
      <c r="EZ19">
        <v>19.900099999999998</v>
      </c>
      <c r="FA19">
        <v>36.259</v>
      </c>
      <c r="FB19">
        <v>29.9999</v>
      </c>
      <c r="FC19">
        <v>36.319099999999999</v>
      </c>
      <c r="FD19">
        <v>36.307299999999998</v>
      </c>
      <c r="FE19">
        <v>12.990500000000001</v>
      </c>
      <c r="FF19">
        <v>78.332999999999998</v>
      </c>
      <c r="FG19">
        <v>0</v>
      </c>
      <c r="FH19">
        <v>19.918900000000001</v>
      </c>
      <c r="FI19">
        <v>200</v>
      </c>
      <c r="FJ19">
        <v>7.3387700000000002</v>
      </c>
      <c r="FK19">
        <v>100.19499999999999</v>
      </c>
      <c r="FL19">
        <v>100.64100000000001</v>
      </c>
    </row>
    <row r="20" spans="1:168" x14ac:dyDescent="0.35">
      <c r="A20">
        <v>4</v>
      </c>
      <c r="B20">
        <v>1562695112</v>
      </c>
      <c r="C20">
        <v>376.5</v>
      </c>
      <c r="D20" t="s">
        <v>299</v>
      </c>
      <c r="E20" t="s">
        <v>300</v>
      </c>
      <c r="F20" t="s">
        <v>277</v>
      </c>
      <c r="G20" t="s">
        <v>278</v>
      </c>
      <c r="H20" t="s">
        <v>277</v>
      </c>
      <c r="J20" t="s">
        <v>277</v>
      </c>
      <c r="K20">
        <v>1562695104</v>
      </c>
      <c r="L20">
        <f t="shared" si="0"/>
        <v>1.0552757756931862E-2</v>
      </c>
      <c r="M20">
        <f t="shared" si="1"/>
        <v>6.0798435638526405</v>
      </c>
      <c r="N20">
        <f t="shared" si="2"/>
        <v>91.5372548387097</v>
      </c>
      <c r="O20">
        <f t="shared" si="3"/>
        <v>74.166092983315067</v>
      </c>
      <c r="P20">
        <f t="shared" si="4"/>
        <v>7.3577997504237436</v>
      </c>
      <c r="Q20">
        <f t="shared" si="5"/>
        <v>9.0811415798625283</v>
      </c>
      <c r="R20">
        <f t="shared" si="6"/>
        <v>0.73972843174603298</v>
      </c>
      <c r="S20">
        <f t="shared" si="7"/>
        <v>2.2466915066794195</v>
      </c>
      <c r="T20">
        <f t="shared" si="8"/>
        <v>0.62657896011334713</v>
      </c>
      <c r="U20">
        <f t="shared" si="9"/>
        <v>0.40032769634417104</v>
      </c>
      <c r="V20">
        <f t="shared" si="10"/>
        <v>353.34201115515856</v>
      </c>
      <c r="W20">
        <f t="shared" si="11"/>
        <v>25.81786193887535</v>
      </c>
      <c r="X20">
        <f t="shared" si="12"/>
        <v>26.960461290322598</v>
      </c>
      <c r="Y20">
        <f t="shared" si="13"/>
        <v>3.5708565650295094</v>
      </c>
      <c r="Z20">
        <f t="shared" si="14"/>
        <v>55.475633661548187</v>
      </c>
      <c r="AA20">
        <f t="shared" si="15"/>
        <v>1.9464859646003698</v>
      </c>
      <c r="AB20">
        <f t="shared" si="16"/>
        <v>3.5087223635437934</v>
      </c>
      <c r="AC20">
        <f t="shared" si="17"/>
        <v>1.6243706004291396</v>
      </c>
      <c r="AD20">
        <f t="shared" si="18"/>
        <v>-465.3766170806951</v>
      </c>
      <c r="AE20">
        <f t="shared" si="19"/>
        <v>-36.149543482736775</v>
      </c>
      <c r="AF20">
        <f t="shared" si="20"/>
        <v>-3.4658870175148353</v>
      </c>
      <c r="AG20">
        <f t="shared" si="21"/>
        <v>-151.65003642578813</v>
      </c>
      <c r="AH20">
        <v>-4.10947370458963E-2</v>
      </c>
      <c r="AI20">
        <v>4.6132442430711101E-2</v>
      </c>
      <c r="AJ20">
        <v>3.4493073857474199</v>
      </c>
      <c r="AK20">
        <v>0</v>
      </c>
      <c r="AL20">
        <v>0</v>
      </c>
      <c r="AM20">
        <f t="shared" si="22"/>
        <v>1</v>
      </c>
      <c r="AN20">
        <f t="shared" si="23"/>
        <v>0</v>
      </c>
      <c r="AO20">
        <f t="shared" si="24"/>
        <v>52461.528280051141</v>
      </c>
      <c r="AP20" t="s">
        <v>279</v>
      </c>
      <c r="AQ20">
        <v>687.861538461539</v>
      </c>
      <c r="AR20">
        <v>4005.07</v>
      </c>
      <c r="AS20">
        <f t="shared" si="25"/>
        <v>3317.2084615384611</v>
      </c>
      <c r="AT20">
        <f t="shared" si="26"/>
        <v>0.82825230558728336</v>
      </c>
      <c r="AU20">
        <v>-4.0580585712533601</v>
      </c>
      <c r="AV20" t="s">
        <v>301</v>
      </c>
      <c r="AW20">
        <v>815.60165384615402</v>
      </c>
      <c r="AX20">
        <v>1006.32</v>
      </c>
      <c r="AY20">
        <f t="shared" si="27"/>
        <v>0.18952057611281303</v>
      </c>
      <c r="AZ20">
        <v>0.5</v>
      </c>
      <c r="BA20">
        <f t="shared" si="28"/>
        <v>1849.190477272256</v>
      </c>
      <c r="BB20">
        <f t="shared" si="29"/>
        <v>6.0798435638526405</v>
      </c>
      <c r="BC20">
        <f t="shared" si="30"/>
        <v>175.22982229748283</v>
      </c>
      <c r="BD20">
        <f t="shared" si="31"/>
        <v>0.39263852452500198</v>
      </c>
      <c r="BE20">
        <f t="shared" si="32"/>
        <v>5.4823460642412763E-3</v>
      </c>
      <c r="BF20">
        <f t="shared" si="33"/>
        <v>2.9799169250337862</v>
      </c>
      <c r="BG20" t="s">
        <v>302</v>
      </c>
      <c r="BH20">
        <v>611.20000000000005</v>
      </c>
      <c r="BI20">
        <f t="shared" si="34"/>
        <v>395.12</v>
      </c>
      <c r="BJ20">
        <f t="shared" si="35"/>
        <v>0.48268461772080895</v>
      </c>
      <c r="BK20">
        <f t="shared" si="36"/>
        <v>0.88357833387843376</v>
      </c>
      <c r="BL20">
        <f t="shared" si="37"/>
        <v>0.59887982009488061</v>
      </c>
      <c r="BM20">
        <f t="shared" si="38"/>
        <v>0.90399805582590198</v>
      </c>
      <c r="BN20">
        <f t="shared" si="39"/>
        <v>2200.0038709677401</v>
      </c>
      <c r="BO20">
        <f t="shared" si="40"/>
        <v>1849.190477272256</v>
      </c>
      <c r="BP20">
        <f t="shared" si="41"/>
        <v>0.84053964707745354</v>
      </c>
      <c r="BQ20">
        <f t="shared" si="42"/>
        <v>0.19107929415490715</v>
      </c>
      <c r="BR20">
        <v>1562695104</v>
      </c>
      <c r="BS20">
        <v>91.5372548387097</v>
      </c>
      <c r="BT20">
        <v>99.9925322580645</v>
      </c>
      <c r="BU20">
        <v>19.620438709677401</v>
      </c>
      <c r="BV20">
        <v>7.2051477419354804</v>
      </c>
      <c r="BW20">
        <v>499.98222580645199</v>
      </c>
      <c r="BX20">
        <v>99.1071387096774</v>
      </c>
      <c r="BY20">
        <v>9.9917432258064501E-2</v>
      </c>
      <c r="BZ20">
        <v>26.662009677419402</v>
      </c>
      <c r="CA20">
        <v>26.960461290322598</v>
      </c>
      <c r="CB20">
        <v>999.9</v>
      </c>
      <c r="CC20">
        <v>9999.4770967742006</v>
      </c>
      <c r="CD20">
        <v>0</v>
      </c>
      <c r="CE20">
        <v>325.72754838709699</v>
      </c>
      <c r="CF20">
        <v>2200.0038709677401</v>
      </c>
      <c r="CG20">
        <v>0.98199593548387099</v>
      </c>
      <c r="CH20">
        <v>1.8004174193548401E-2</v>
      </c>
      <c r="CI20">
        <v>0</v>
      </c>
      <c r="CJ20">
        <v>815.61883870967802</v>
      </c>
      <c r="CK20">
        <v>1.9999499999999999</v>
      </c>
      <c r="CL20">
        <v>18774.506451612899</v>
      </c>
      <c r="CM20">
        <v>17938.264516128998</v>
      </c>
      <c r="CN20">
        <v>48.890999999999998</v>
      </c>
      <c r="CO20">
        <v>49.5741935483871</v>
      </c>
      <c r="CP20">
        <v>49.2093548387097</v>
      </c>
      <c r="CQ20">
        <v>48.527999999999999</v>
      </c>
      <c r="CR20">
        <v>49.901000000000003</v>
      </c>
      <c r="CS20">
        <v>2158.4299999999998</v>
      </c>
      <c r="CT20">
        <v>39.5741935483871</v>
      </c>
      <c r="CU20">
        <v>0</v>
      </c>
      <c r="CV20">
        <v>125.19999980926499</v>
      </c>
      <c r="CW20">
        <v>815.60165384615402</v>
      </c>
      <c r="CX20">
        <v>-0.67107690019197896</v>
      </c>
      <c r="CY20">
        <v>-10.369230599328301</v>
      </c>
      <c r="CZ20">
        <v>18774.080769230801</v>
      </c>
      <c r="DA20">
        <v>15</v>
      </c>
      <c r="DB20">
        <v>1562695068</v>
      </c>
      <c r="DC20" t="s">
        <v>303</v>
      </c>
      <c r="DD20">
        <v>54</v>
      </c>
      <c r="DE20">
        <v>0.255</v>
      </c>
      <c r="DF20">
        <v>1.4999999999999999E-2</v>
      </c>
      <c r="DG20">
        <v>100</v>
      </c>
      <c r="DH20">
        <v>7</v>
      </c>
      <c r="DI20">
        <v>0.1</v>
      </c>
      <c r="DJ20">
        <v>0.01</v>
      </c>
      <c r="DK20">
        <v>6.0599590783832298</v>
      </c>
      <c r="DL20">
        <v>0.154772602595284</v>
      </c>
      <c r="DM20">
        <v>0.13380899602087701</v>
      </c>
      <c r="DN20">
        <v>1</v>
      </c>
      <c r="DO20">
        <v>91.543783333333295</v>
      </c>
      <c r="DP20">
        <v>1.19942118463861E-2</v>
      </c>
      <c r="DQ20">
        <v>2.5204596141709199E-2</v>
      </c>
      <c r="DR20">
        <v>1</v>
      </c>
      <c r="DS20">
        <v>0.72655783193385703</v>
      </c>
      <c r="DT20">
        <v>0.101995456466794</v>
      </c>
      <c r="DU20">
        <v>3.1213539675966701E-2</v>
      </c>
      <c r="DV20">
        <v>1</v>
      </c>
      <c r="DW20">
        <v>3</v>
      </c>
      <c r="DX20">
        <v>3</v>
      </c>
      <c r="DY20" t="s">
        <v>293</v>
      </c>
      <c r="DZ20">
        <v>1.86669</v>
      </c>
      <c r="EA20">
        <v>1.8632</v>
      </c>
      <c r="EB20">
        <v>1.8687499999999999</v>
      </c>
      <c r="EC20">
        <v>1.86676</v>
      </c>
      <c r="ED20">
        <v>1.87147</v>
      </c>
      <c r="EE20">
        <v>1.8638600000000001</v>
      </c>
      <c r="EF20">
        <v>1.8653900000000001</v>
      </c>
      <c r="EG20">
        <v>1.86531</v>
      </c>
      <c r="EH20" t="s">
        <v>284</v>
      </c>
      <c r="EI20" t="s">
        <v>19</v>
      </c>
      <c r="EJ20" t="s">
        <v>19</v>
      </c>
      <c r="EK20" t="s">
        <v>19</v>
      </c>
      <c r="EL20" t="s">
        <v>285</v>
      </c>
      <c r="EM20" t="s">
        <v>286</v>
      </c>
      <c r="EN20" t="s">
        <v>287</v>
      </c>
      <c r="EO20" t="s">
        <v>287</v>
      </c>
      <c r="EP20" t="s">
        <v>287</v>
      </c>
      <c r="EQ20" t="s">
        <v>287</v>
      </c>
      <c r="ER20">
        <v>0</v>
      </c>
      <c r="ES20">
        <v>100</v>
      </c>
      <c r="ET20">
        <v>100</v>
      </c>
      <c r="EU20">
        <v>0.255</v>
      </c>
      <c r="EV20">
        <v>1.4999999999999999E-2</v>
      </c>
      <c r="EW20">
        <v>2</v>
      </c>
      <c r="EX20">
        <v>508.18400000000003</v>
      </c>
      <c r="EY20">
        <v>465.77800000000002</v>
      </c>
      <c r="EZ20">
        <v>20.452999999999999</v>
      </c>
      <c r="FA20">
        <v>36.134599999999999</v>
      </c>
      <c r="FB20">
        <v>29.999300000000002</v>
      </c>
      <c r="FC20">
        <v>36.226199999999999</v>
      </c>
      <c r="FD20">
        <v>36.214500000000001</v>
      </c>
      <c r="FE20">
        <v>8.1475799999999996</v>
      </c>
      <c r="FF20">
        <v>79.126800000000003</v>
      </c>
      <c r="FG20">
        <v>0</v>
      </c>
      <c r="FH20">
        <v>20.477499999999999</v>
      </c>
      <c r="FI20">
        <v>100</v>
      </c>
      <c r="FJ20">
        <v>7.0755699999999999</v>
      </c>
      <c r="FK20">
        <v>100.217</v>
      </c>
      <c r="FL20">
        <v>100.669</v>
      </c>
    </row>
    <row r="21" spans="1:168" x14ac:dyDescent="0.35">
      <c r="A21">
        <v>5</v>
      </c>
      <c r="B21">
        <v>1562695232</v>
      </c>
      <c r="C21">
        <v>496.5</v>
      </c>
      <c r="D21" t="s">
        <v>304</v>
      </c>
      <c r="E21" t="s">
        <v>305</v>
      </c>
      <c r="F21" t="s">
        <v>277</v>
      </c>
      <c r="G21" t="s">
        <v>278</v>
      </c>
      <c r="H21" t="s">
        <v>277</v>
      </c>
      <c r="J21" t="s">
        <v>277</v>
      </c>
      <c r="K21">
        <v>1562695224</v>
      </c>
      <c r="L21">
        <f t="shared" si="0"/>
        <v>1.0677578151816891E-2</v>
      </c>
      <c r="M21">
        <f t="shared" si="1"/>
        <v>-5.7970708792935959</v>
      </c>
      <c r="N21">
        <f t="shared" si="2"/>
        <v>1.0802374193548401</v>
      </c>
      <c r="O21">
        <f t="shared" si="3"/>
        <v>15.250023820451188</v>
      </c>
      <c r="P21">
        <f t="shared" si="4"/>
        <v>1.5128570714161476</v>
      </c>
      <c r="Q21">
        <f t="shared" si="5"/>
        <v>0.10716342727856469</v>
      </c>
      <c r="R21">
        <f t="shared" si="6"/>
        <v>0.74529889063705179</v>
      </c>
      <c r="S21">
        <f t="shared" si="7"/>
        <v>2.247635418127965</v>
      </c>
      <c r="T21">
        <f t="shared" si="8"/>
        <v>0.63061956814325471</v>
      </c>
      <c r="U21">
        <f t="shared" si="9"/>
        <v>0.40296211229676698</v>
      </c>
      <c r="V21">
        <f t="shared" si="10"/>
        <v>353.34190851369721</v>
      </c>
      <c r="W21">
        <f t="shared" si="11"/>
        <v>25.88337870369368</v>
      </c>
      <c r="X21">
        <f t="shared" si="12"/>
        <v>27.034029032258101</v>
      </c>
      <c r="Y21">
        <f t="shared" si="13"/>
        <v>3.5863192776523465</v>
      </c>
      <c r="Z21">
        <f t="shared" si="14"/>
        <v>55.327842151990282</v>
      </c>
      <c r="AA21">
        <f t="shared" si="15"/>
        <v>1.9535154436581597</v>
      </c>
      <c r="AB21">
        <f t="shared" si="16"/>
        <v>3.53079998726805</v>
      </c>
      <c r="AC21">
        <f t="shared" si="17"/>
        <v>1.6328038339941868</v>
      </c>
      <c r="AD21">
        <f t="shared" si="18"/>
        <v>-470.88119649512487</v>
      </c>
      <c r="AE21">
        <f t="shared" si="19"/>
        <v>-32.165581066986263</v>
      </c>
      <c r="AF21">
        <f t="shared" si="20"/>
        <v>-3.0854029688879279</v>
      </c>
      <c r="AG21">
        <f t="shared" si="21"/>
        <v>-152.79027201730185</v>
      </c>
      <c r="AH21">
        <v>-4.1120119586296799E-2</v>
      </c>
      <c r="AI21">
        <v>4.6160936555943298E-2</v>
      </c>
      <c r="AJ21">
        <v>3.45099410389899</v>
      </c>
      <c r="AK21">
        <v>0</v>
      </c>
      <c r="AL21">
        <v>0</v>
      </c>
      <c r="AM21">
        <f t="shared" si="22"/>
        <v>1</v>
      </c>
      <c r="AN21">
        <f t="shared" si="23"/>
        <v>0</v>
      </c>
      <c r="AO21">
        <f t="shared" si="24"/>
        <v>52473.866144213294</v>
      </c>
      <c r="AP21" t="s">
        <v>279</v>
      </c>
      <c r="AQ21">
        <v>687.861538461539</v>
      </c>
      <c r="AR21">
        <v>4005.07</v>
      </c>
      <c r="AS21">
        <f t="shared" si="25"/>
        <v>3317.2084615384611</v>
      </c>
      <c r="AT21">
        <f t="shared" si="26"/>
        <v>0.82825230558728336</v>
      </c>
      <c r="AU21">
        <v>-4.0580585712533601</v>
      </c>
      <c r="AV21" t="s">
        <v>306</v>
      </c>
      <c r="AW21">
        <v>835.63603846153796</v>
      </c>
      <c r="AX21">
        <v>951.01599999999996</v>
      </c>
      <c r="AY21">
        <f t="shared" si="27"/>
        <v>0.12132283950896938</v>
      </c>
      <c r="AZ21">
        <v>0.5</v>
      </c>
      <c r="BA21">
        <f t="shared" si="28"/>
        <v>1849.1899355108519</v>
      </c>
      <c r="BB21">
        <f t="shared" si="29"/>
        <v>-5.7970708792935959</v>
      </c>
      <c r="BC21">
        <f t="shared" si="30"/>
        <v>112.17448688379227</v>
      </c>
      <c r="BD21">
        <f t="shared" si="31"/>
        <v>0.30137873600444154</v>
      </c>
      <c r="BE21">
        <f t="shared" si="32"/>
        <v>-9.4041843655169003E-4</v>
      </c>
      <c r="BF21">
        <f t="shared" si="33"/>
        <v>3.211359220034153</v>
      </c>
      <c r="BG21" t="s">
        <v>307</v>
      </c>
      <c r="BH21">
        <v>664.4</v>
      </c>
      <c r="BI21">
        <f t="shared" si="34"/>
        <v>286.61599999999999</v>
      </c>
      <c r="BJ21">
        <f t="shared" si="35"/>
        <v>0.40255938795622714</v>
      </c>
      <c r="BK21">
        <f t="shared" si="36"/>
        <v>0.91420403691475061</v>
      </c>
      <c r="BL21">
        <f t="shared" si="37"/>
        <v>0.43844957392675177</v>
      </c>
      <c r="BM21">
        <f t="shared" si="38"/>
        <v>0.92066990525629655</v>
      </c>
      <c r="BN21">
        <f t="shared" si="39"/>
        <v>2200.0032258064498</v>
      </c>
      <c r="BO21">
        <f t="shared" si="40"/>
        <v>1849.1899355108519</v>
      </c>
      <c r="BP21">
        <f t="shared" si="41"/>
        <v>0.84053964731483466</v>
      </c>
      <c r="BQ21">
        <f t="shared" si="42"/>
        <v>0.19107929462966927</v>
      </c>
      <c r="BR21">
        <v>1562695224</v>
      </c>
      <c r="BS21">
        <v>1.0802374193548401</v>
      </c>
      <c r="BT21">
        <v>-5.86216548387097</v>
      </c>
      <c r="BU21">
        <v>19.6919838709677</v>
      </c>
      <c r="BV21">
        <v>7.1316412903225803</v>
      </c>
      <c r="BW21">
        <v>500.01735483870999</v>
      </c>
      <c r="BX21">
        <v>99.103593548387096</v>
      </c>
      <c r="BY21">
        <v>9.9993883870967804E-2</v>
      </c>
      <c r="BZ21">
        <v>26.7685806451613</v>
      </c>
      <c r="CA21">
        <v>27.034029032258101</v>
      </c>
      <c r="CB21">
        <v>999.9</v>
      </c>
      <c r="CC21">
        <v>10006.0112903226</v>
      </c>
      <c r="CD21">
        <v>0</v>
      </c>
      <c r="CE21">
        <v>307.81509677419399</v>
      </c>
      <c r="CF21">
        <v>2200.0032258064498</v>
      </c>
      <c r="CG21">
        <v>0.98199548387096702</v>
      </c>
      <c r="CH21">
        <v>1.80046387096774E-2</v>
      </c>
      <c r="CI21">
        <v>0</v>
      </c>
      <c r="CJ21">
        <v>835.58477419354801</v>
      </c>
      <c r="CK21">
        <v>1.9999499999999999</v>
      </c>
      <c r="CL21">
        <v>19226.858064516098</v>
      </c>
      <c r="CM21">
        <v>17938.2419354839</v>
      </c>
      <c r="CN21">
        <v>48.832322580645098</v>
      </c>
      <c r="CO21">
        <v>49.4796774193548</v>
      </c>
      <c r="CP21">
        <v>49.1991935483871</v>
      </c>
      <c r="CQ21">
        <v>48.425129032258099</v>
      </c>
      <c r="CR21">
        <v>49.858741935483899</v>
      </c>
      <c r="CS21">
        <v>2158.42903225806</v>
      </c>
      <c r="CT21">
        <v>39.5741935483871</v>
      </c>
      <c r="CU21">
        <v>0</v>
      </c>
      <c r="CV21">
        <v>119.19999980926499</v>
      </c>
      <c r="CW21">
        <v>835.63603846153796</v>
      </c>
      <c r="CX21">
        <v>8.9867008472148093</v>
      </c>
      <c r="CY21">
        <v>145.210256537578</v>
      </c>
      <c r="CZ21">
        <v>19228.023076923098</v>
      </c>
      <c r="DA21">
        <v>15</v>
      </c>
      <c r="DB21">
        <v>1562695188.5</v>
      </c>
      <c r="DC21" t="s">
        <v>308</v>
      </c>
      <c r="DD21">
        <v>55</v>
      </c>
      <c r="DE21">
        <v>0.114</v>
      </c>
      <c r="DF21">
        <v>1.4999999999999999E-2</v>
      </c>
      <c r="DG21">
        <v>-6</v>
      </c>
      <c r="DH21">
        <v>7</v>
      </c>
      <c r="DI21">
        <v>0.13</v>
      </c>
      <c r="DJ21">
        <v>0.01</v>
      </c>
      <c r="DK21">
        <v>-5.8197138109581603</v>
      </c>
      <c r="DL21">
        <v>3.4259881306257598E-3</v>
      </c>
      <c r="DM21">
        <v>0.13085770594896801</v>
      </c>
      <c r="DN21">
        <v>1</v>
      </c>
      <c r="DO21">
        <v>1.1372686111111101</v>
      </c>
      <c r="DP21">
        <v>-0.28726355392657399</v>
      </c>
      <c r="DQ21">
        <v>5.3162596900284097E-2</v>
      </c>
      <c r="DR21">
        <v>1</v>
      </c>
      <c r="DS21">
        <v>0.72887155535632397</v>
      </c>
      <c r="DT21">
        <v>0.13266808693002799</v>
      </c>
      <c r="DU21">
        <v>4.1566069259770598E-2</v>
      </c>
      <c r="DV21">
        <v>1</v>
      </c>
      <c r="DW21">
        <v>3</v>
      </c>
      <c r="DX21">
        <v>3</v>
      </c>
      <c r="DY21" t="s">
        <v>293</v>
      </c>
      <c r="DZ21">
        <v>1.8667499999999999</v>
      </c>
      <c r="EA21">
        <v>1.86324</v>
      </c>
      <c r="EB21">
        <v>1.8688199999999999</v>
      </c>
      <c r="EC21">
        <v>1.86676</v>
      </c>
      <c r="ED21">
        <v>1.8714900000000001</v>
      </c>
      <c r="EE21">
        <v>1.86388</v>
      </c>
      <c r="EF21">
        <v>1.8653900000000001</v>
      </c>
      <c r="EG21">
        <v>1.86537</v>
      </c>
      <c r="EH21" t="s">
        <v>284</v>
      </c>
      <c r="EI21" t="s">
        <v>19</v>
      </c>
      <c r="EJ21" t="s">
        <v>19</v>
      </c>
      <c r="EK21" t="s">
        <v>19</v>
      </c>
      <c r="EL21" t="s">
        <v>285</v>
      </c>
      <c r="EM21" t="s">
        <v>286</v>
      </c>
      <c r="EN21" t="s">
        <v>287</v>
      </c>
      <c r="EO21" t="s">
        <v>287</v>
      </c>
      <c r="EP21" t="s">
        <v>287</v>
      </c>
      <c r="EQ21" t="s">
        <v>287</v>
      </c>
      <c r="ER21">
        <v>0</v>
      </c>
      <c r="ES21">
        <v>100</v>
      </c>
      <c r="ET21">
        <v>100</v>
      </c>
      <c r="EU21">
        <v>0.114</v>
      </c>
      <c r="EV21">
        <v>1.4999999999999999E-2</v>
      </c>
      <c r="EW21">
        <v>2</v>
      </c>
      <c r="EX21">
        <v>508.57799999999997</v>
      </c>
      <c r="EY21">
        <v>466.327</v>
      </c>
      <c r="EZ21">
        <v>20.087499999999999</v>
      </c>
      <c r="FA21">
        <v>35.984299999999998</v>
      </c>
      <c r="FB21">
        <v>29.9998</v>
      </c>
      <c r="FC21">
        <v>36.106499999999997</v>
      </c>
      <c r="FD21">
        <v>36.101500000000001</v>
      </c>
      <c r="FE21">
        <v>0</v>
      </c>
      <c r="FF21">
        <v>80.058400000000006</v>
      </c>
      <c r="FG21">
        <v>0</v>
      </c>
      <c r="FH21">
        <v>20.0916</v>
      </c>
      <c r="FI21">
        <v>0</v>
      </c>
      <c r="FJ21">
        <v>7.1634399999999996</v>
      </c>
      <c r="FK21">
        <v>100.24</v>
      </c>
      <c r="FL21">
        <v>100.697</v>
      </c>
    </row>
    <row r="22" spans="1:168" x14ac:dyDescent="0.35">
      <c r="A22">
        <v>6</v>
      </c>
      <c r="B22">
        <v>1562695352</v>
      </c>
      <c r="C22">
        <v>616.5</v>
      </c>
      <c r="D22" t="s">
        <v>309</v>
      </c>
      <c r="E22" t="s">
        <v>310</v>
      </c>
      <c r="F22" t="s">
        <v>277</v>
      </c>
      <c r="G22" t="s">
        <v>278</v>
      </c>
      <c r="H22" t="s">
        <v>277</v>
      </c>
      <c r="J22" t="s">
        <v>277</v>
      </c>
      <c r="K22">
        <v>1562695344</v>
      </c>
      <c r="L22">
        <f t="shared" si="0"/>
        <v>1.0978008753299993E-2</v>
      </c>
      <c r="M22">
        <f t="shared" si="1"/>
        <v>-3.1287787467206609</v>
      </c>
      <c r="N22">
        <f t="shared" si="2"/>
        <v>16.978077419354801</v>
      </c>
      <c r="O22">
        <f t="shared" si="3"/>
        <v>23.922939721933506</v>
      </c>
      <c r="P22">
        <f t="shared" si="4"/>
        <v>2.3731984365357568</v>
      </c>
      <c r="Q22">
        <f t="shared" si="5"/>
        <v>1.6842556665414414</v>
      </c>
      <c r="R22">
        <f t="shared" si="6"/>
        <v>0.77803148444490788</v>
      </c>
      <c r="S22">
        <f t="shared" si="7"/>
        <v>2.2469648481628424</v>
      </c>
      <c r="T22">
        <f t="shared" si="8"/>
        <v>0.653917609583472</v>
      </c>
      <c r="U22">
        <f t="shared" si="9"/>
        <v>0.41819013222829543</v>
      </c>
      <c r="V22">
        <f t="shared" si="10"/>
        <v>353.34409558648736</v>
      </c>
      <c r="W22">
        <f t="shared" si="11"/>
        <v>25.873857508941718</v>
      </c>
      <c r="X22">
        <f t="shared" si="12"/>
        <v>26.997938709677399</v>
      </c>
      <c r="Y22">
        <f t="shared" si="13"/>
        <v>3.5787264058388613</v>
      </c>
      <c r="Z22">
        <f t="shared" si="14"/>
        <v>55.211719393565353</v>
      </c>
      <c r="AA22">
        <f t="shared" si="15"/>
        <v>1.9598113579864609</v>
      </c>
      <c r="AB22">
        <f t="shared" si="16"/>
        <v>3.5496292807263439</v>
      </c>
      <c r="AC22">
        <f t="shared" si="17"/>
        <v>1.6189150478524004</v>
      </c>
      <c r="AD22">
        <f t="shared" si="18"/>
        <v>-484.13018602052966</v>
      </c>
      <c r="AE22">
        <f t="shared" si="19"/>
        <v>-16.82924559085183</v>
      </c>
      <c r="AF22">
        <f t="shared" si="20"/>
        <v>-1.6152237897580566</v>
      </c>
      <c r="AG22">
        <f t="shared" si="21"/>
        <v>-149.23055981465217</v>
      </c>
      <c r="AH22">
        <v>-4.1102086430864201E-2</v>
      </c>
      <c r="AI22">
        <v>4.6140692759179001E-2</v>
      </c>
      <c r="AJ22">
        <v>3.4497958031188798</v>
      </c>
      <c r="AK22">
        <v>0</v>
      </c>
      <c r="AL22">
        <v>0</v>
      </c>
      <c r="AM22">
        <f t="shared" si="22"/>
        <v>1</v>
      </c>
      <c r="AN22">
        <f t="shared" si="23"/>
        <v>0</v>
      </c>
      <c r="AO22">
        <f t="shared" si="24"/>
        <v>52435.938661169304</v>
      </c>
      <c r="AP22" t="s">
        <v>279</v>
      </c>
      <c r="AQ22">
        <v>687.861538461539</v>
      </c>
      <c r="AR22">
        <v>4005.07</v>
      </c>
      <c r="AS22">
        <f t="shared" si="25"/>
        <v>3317.2084615384611</v>
      </c>
      <c r="AT22">
        <f t="shared" si="26"/>
        <v>0.82825230558728336</v>
      </c>
      <c r="AU22">
        <v>-4.0580585712533601</v>
      </c>
      <c r="AV22" t="s">
        <v>311</v>
      </c>
      <c r="AW22">
        <v>837.50030769230796</v>
      </c>
      <c r="AX22">
        <v>942.04499999999996</v>
      </c>
      <c r="AY22">
        <f t="shared" si="27"/>
        <v>0.11097632523679013</v>
      </c>
      <c r="AZ22">
        <v>0.5</v>
      </c>
      <c r="BA22">
        <f t="shared" si="28"/>
        <v>1849.2023032527875</v>
      </c>
      <c r="BB22">
        <f t="shared" si="29"/>
        <v>-3.1287787467206609</v>
      </c>
      <c r="BC22">
        <f t="shared" si="30"/>
        <v>102.60883811720137</v>
      </c>
      <c r="BD22">
        <f t="shared" si="31"/>
        <v>0.29748578889543492</v>
      </c>
      <c r="BE22">
        <f t="shared" si="32"/>
        <v>5.0253010333054177E-4</v>
      </c>
      <c r="BF22">
        <f t="shared" si="33"/>
        <v>3.2514635712731348</v>
      </c>
      <c r="BG22" t="s">
        <v>312</v>
      </c>
      <c r="BH22">
        <v>661.8</v>
      </c>
      <c r="BI22">
        <f t="shared" si="34"/>
        <v>280.245</v>
      </c>
      <c r="BJ22">
        <f t="shared" si="35"/>
        <v>0.37304748454991882</v>
      </c>
      <c r="BK22">
        <f t="shared" si="36"/>
        <v>0.91617637821653641</v>
      </c>
      <c r="BL22">
        <f t="shared" si="37"/>
        <v>0.41129620186509719</v>
      </c>
      <c r="BM22">
        <f t="shared" si="38"/>
        <v>0.92337428760187856</v>
      </c>
      <c r="BN22">
        <f t="shared" si="39"/>
        <v>2200.0180645161299</v>
      </c>
      <c r="BO22">
        <f t="shared" si="40"/>
        <v>1849.2023032527875</v>
      </c>
      <c r="BP22">
        <f t="shared" si="41"/>
        <v>0.84053959968710501</v>
      </c>
      <c r="BQ22">
        <f t="shared" si="42"/>
        <v>0.19107919937420981</v>
      </c>
      <c r="BR22">
        <v>1562695344</v>
      </c>
      <c r="BS22">
        <v>16.978077419354801</v>
      </c>
      <c r="BT22">
        <v>13.447422580645201</v>
      </c>
      <c r="BU22">
        <v>19.755806451612901</v>
      </c>
      <c r="BV22">
        <v>6.8432451612903202</v>
      </c>
      <c r="BW22">
        <v>500.030741935484</v>
      </c>
      <c r="BX22">
        <v>99.101787096774203</v>
      </c>
      <c r="BY22">
        <v>0.10000265483871</v>
      </c>
      <c r="BZ22">
        <v>26.8590129032258</v>
      </c>
      <c r="CA22">
        <v>26.997938709677399</v>
      </c>
      <c r="CB22">
        <v>999.9</v>
      </c>
      <c r="CC22">
        <v>10001.805483871</v>
      </c>
      <c r="CD22">
        <v>0</v>
      </c>
      <c r="CE22">
        <v>349.00825806451599</v>
      </c>
      <c r="CF22">
        <v>2200.0180645161299</v>
      </c>
      <c r="CG22">
        <v>0.98199754838709696</v>
      </c>
      <c r="CH22">
        <v>1.8002619354838701E-2</v>
      </c>
      <c r="CI22">
        <v>0</v>
      </c>
      <c r="CJ22">
        <v>837.56041935483904</v>
      </c>
      <c r="CK22">
        <v>1.9999499999999999</v>
      </c>
      <c r="CL22">
        <v>19253.180645161301</v>
      </c>
      <c r="CM22">
        <v>17938.390322580599</v>
      </c>
      <c r="CN22">
        <v>48.783935483870899</v>
      </c>
      <c r="CO22">
        <v>49.463419354838699</v>
      </c>
      <c r="CP22">
        <v>49.191064516129003</v>
      </c>
      <c r="CQ22">
        <v>48.370870967741901</v>
      </c>
      <c r="CR22">
        <v>49.783999999999999</v>
      </c>
      <c r="CS22">
        <v>2158.44709677419</v>
      </c>
      <c r="CT22">
        <v>39.570967741935497</v>
      </c>
      <c r="CU22">
        <v>0</v>
      </c>
      <c r="CV22">
        <v>119.19999980926499</v>
      </c>
      <c r="CW22">
        <v>837.50030769230796</v>
      </c>
      <c r="CX22">
        <v>-2.79835894701763</v>
      </c>
      <c r="CY22">
        <v>95.675213171768206</v>
      </c>
      <c r="CZ22">
        <v>19253.1730769231</v>
      </c>
      <c r="DA22">
        <v>15</v>
      </c>
      <c r="DB22">
        <v>1562695392.5</v>
      </c>
      <c r="DC22" t="s">
        <v>313</v>
      </c>
      <c r="DD22">
        <v>56</v>
      </c>
      <c r="DE22">
        <v>0.184</v>
      </c>
      <c r="DF22">
        <v>8.9999999999999993E-3</v>
      </c>
      <c r="DG22">
        <v>14</v>
      </c>
      <c r="DH22">
        <v>7</v>
      </c>
      <c r="DI22">
        <v>0.18</v>
      </c>
      <c r="DJ22">
        <v>0.01</v>
      </c>
      <c r="DK22">
        <v>-3.0448535079202501</v>
      </c>
      <c r="DL22">
        <v>-0.24119597075781701</v>
      </c>
      <c r="DM22">
        <v>7.2104765155958594E-2</v>
      </c>
      <c r="DN22">
        <v>1</v>
      </c>
      <c r="DO22">
        <v>17.322366666666699</v>
      </c>
      <c r="DP22">
        <v>-2.2741470191009001</v>
      </c>
      <c r="DQ22">
        <v>0.394781663637566</v>
      </c>
      <c r="DR22">
        <v>1</v>
      </c>
      <c r="DS22">
        <v>0.77483370968864396</v>
      </c>
      <c r="DT22">
        <v>1.9229492326198399E-2</v>
      </c>
      <c r="DU22">
        <v>3.59105427107153E-3</v>
      </c>
      <c r="DV22">
        <v>1</v>
      </c>
      <c r="DW22">
        <v>3</v>
      </c>
      <c r="DX22">
        <v>3</v>
      </c>
      <c r="DY22" t="s">
        <v>293</v>
      </c>
      <c r="DZ22">
        <v>1.86669</v>
      </c>
      <c r="EA22">
        <v>1.8632</v>
      </c>
      <c r="EB22">
        <v>1.86876</v>
      </c>
      <c r="EC22">
        <v>1.86676</v>
      </c>
      <c r="ED22">
        <v>1.8714900000000001</v>
      </c>
      <c r="EE22">
        <v>1.8638600000000001</v>
      </c>
      <c r="EF22">
        <v>1.8653900000000001</v>
      </c>
      <c r="EG22">
        <v>1.8653299999999999</v>
      </c>
      <c r="EH22" t="s">
        <v>284</v>
      </c>
      <c r="EI22" t="s">
        <v>19</v>
      </c>
      <c r="EJ22" t="s">
        <v>19</v>
      </c>
      <c r="EK22" t="s">
        <v>19</v>
      </c>
      <c r="EL22" t="s">
        <v>285</v>
      </c>
      <c r="EM22" t="s">
        <v>286</v>
      </c>
      <c r="EN22" t="s">
        <v>287</v>
      </c>
      <c r="EO22" t="s">
        <v>287</v>
      </c>
      <c r="EP22" t="s">
        <v>287</v>
      </c>
      <c r="EQ22" t="s">
        <v>287</v>
      </c>
      <c r="ER22">
        <v>0</v>
      </c>
      <c r="ES22">
        <v>100</v>
      </c>
      <c r="ET22">
        <v>100</v>
      </c>
      <c r="EU22">
        <v>0.184</v>
      </c>
      <c r="EV22">
        <v>8.9999999999999993E-3</v>
      </c>
      <c r="EW22">
        <v>2</v>
      </c>
      <c r="EX22">
        <v>508.85500000000002</v>
      </c>
      <c r="EY22">
        <v>467.12599999999998</v>
      </c>
      <c r="EZ22">
        <v>20.921199999999999</v>
      </c>
      <c r="FA22">
        <v>35.875500000000002</v>
      </c>
      <c r="FB22">
        <v>29.9998</v>
      </c>
      <c r="FC22">
        <v>35.993000000000002</v>
      </c>
      <c r="FD22">
        <v>35.993000000000002</v>
      </c>
      <c r="FE22">
        <v>4.41012</v>
      </c>
      <c r="FF22">
        <v>81.415499999999994</v>
      </c>
      <c r="FG22">
        <v>0</v>
      </c>
      <c r="FH22">
        <v>20.820499999999999</v>
      </c>
      <c r="FI22">
        <v>12.5</v>
      </c>
      <c r="FJ22">
        <v>6.6173299999999999</v>
      </c>
      <c r="FK22">
        <v>100.262</v>
      </c>
      <c r="FL22">
        <v>100.72799999999999</v>
      </c>
    </row>
    <row r="23" spans="1:168" x14ac:dyDescent="0.35">
      <c r="A23">
        <v>8</v>
      </c>
      <c r="B23">
        <v>1562695716</v>
      </c>
      <c r="C23">
        <v>980.5</v>
      </c>
      <c r="D23" t="s">
        <v>314</v>
      </c>
      <c r="E23" t="s">
        <v>315</v>
      </c>
      <c r="F23" t="s">
        <v>277</v>
      </c>
      <c r="G23" t="s">
        <v>278</v>
      </c>
      <c r="H23" t="s">
        <v>277</v>
      </c>
      <c r="J23" t="s">
        <v>277</v>
      </c>
      <c r="K23">
        <v>1562695708</v>
      </c>
      <c r="L23">
        <f t="shared" si="0"/>
        <v>1.0739704758256793E-2</v>
      </c>
      <c r="M23">
        <f t="shared" si="1"/>
        <v>33.657951013827194</v>
      </c>
      <c r="N23">
        <f t="shared" si="2"/>
        <v>355.01087096774199</v>
      </c>
      <c r="O23">
        <f t="shared" si="3"/>
        <v>263.08883804753134</v>
      </c>
      <c r="P23">
        <f t="shared" si="4"/>
        <v>26.100308091652273</v>
      </c>
      <c r="Q23">
        <f t="shared" si="5"/>
        <v>35.219635986494566</v>
      </c>
      <c r="R23">
        <f t="shared" si="6"/>
        <v>0.74385302654586871</v>
      </c>
      <c r="S23">
        <f t="shared" si="7"/>
        <v>2.2468314051245759</v>
      </c>
      <c r="T23">
        <f t="shared" si="8"/>
        <v>0.62954776977302485</v>
      </c>
      <c r="U23">
        <f t="shared" si="9"/>
        <v>0.40226542029284662</v>
      </c>
      <c r="V23">
        <f t="shared" si="10"/>
        <v>353.34146315021968</v>
      </c>
      <c r="W23">
        <f t="shared" si="11"/>
        <v>26.112482881930443</v>
      </c>
      <c r="X23">
        <f t="shared" si="12"/>
        <v>27.0535741935484</v>
      </c>
      <c r="Y23">
        <f t="shared" si="13"/>
        <v>3.5904371583723642</v>
      </c>
      <c r="Z23">
        <f t="shared" si="14"/>
        <v>54.290305007133568</v>
      </c>
      <c r="AA23">
        <f t="shared" si="15"/>
        <v>1.9452398198101195</v>
      </c>
      <c r="AB23">
        <f t="shared" si="16"/>
        <v>3.5830335076484126</v>
      </c>
      <c r="AC23">
        <f t="shared" si="17"/>
        <v>1.6451973385622447</v>
      </c>
      <c r="AD23">
        <f t="shared" si="18"/>
        <v>-473.62097983912457</v>
      </c>
      <c r="AE23">
        <f t="shared" si="19"/>
        <v>-4.258346909754823</v>
      </c>
      <c r="AF23">
        <f t="shared" si="20"/>
        <v>-0.40916817702320324</v>
      </c>
      <c r="AG23">
        <f t="shared" si="21"/>
        <v>-124.94703177568293</v>
      </c>
      <c r="AH23">
        <v>-4.1098498421662299E-2</v>
      </c>
      <c r="AI23">
        <v>4.6136664904523103E-2</v>
      </c>
      <c r="AJ23">
        <v>3.4495573588772799</v>
      </c>
      <c r="AK23">
        <v>0</v>
      </c>
      <c r="AL23">
        <v>0</v>
      </c>
      <c r="AM23">
        <f t="shared" si="22"/>
        <v>1</v>
      </c>
      <c r="AN23">
        <f t="shared" si="23"/>
        <v>0</v>
      </c>
      <c r="AO23">
        <f t="shared" si="24"/>
        <v>52403.808178254236</v>
      </c>
      <c r="AP23" t="s">
        <v>279</v>
      </c>
      <c r="AQ23">
        <v>687.861538461539</v>
      </c>
      <c r="AR23">
        <v>4005.07</v>
      </c>
      <c r="AS23">
        <f t="shared" si="25"/>
        <v>3317.2084615384611</v>
      </c>
      <c r="AT23">
        <f t="shared" si="26"/>
        <v>0.82825230558728336</v>
      </c>
      <c r="AU23">
        <v>-4.0580585712533601</v>
      </c>
      <c r="AV23" t="s">
        <v>316</v>
      </c>
      <c r="AW23">
        <v>809.97892307692302</v>
      </c>
      <c r="AX23">
        <v>1124.5</v>
      </c>
      <c r="AY23">
        <f t="shared" si="27"/>
        <v>0.27969860108766298</v>
      </c>
      <c r="AZ23">
        <v>0.5</v>
      </c>
      <c r="BA23">
        <f t="shared" si="28"/>
        <v>1849.1870194740218</v>
      </c>
      <c r="BB23">
        <f t="shared" si="29"/>
        <v>33.657951013827194</v>
      </c>
      <c r="BC23">
        <f t="shared" si="30"/>
        <v>258.60751124817443</v>
      </c>
      <c r="BD23">
        <f t="shared" si="31"/>
        <v>0.50217874610938196</v>
      </c>
      <c r="BE23">
        <f t="shared" si="32"/>
        <v>2.0395995206481821E-2</v>
      </c>
      <c r="BF23">
        <f t="shared" si="33"/>
        <v>2.5616451756336152</v>
      </c>
      <c r="BG23" t="s">
        <v>317</v>
      </c>
      <c r="BH23">
        <v>559.79999999999995</v>
      </c>
      <c r="BI23">
        <f t="shared" si="34"/>
        <v>564.70000000000005</v>
      </c>
      <c r="BJ23">
        <f t="shared" si="35"/>
        <v>0.55697020882429071</v>
      </c>
      <c r="BK23">
        <f t="shared" si="36"/>
        <v>0.83609412324723453</v>
      </c>
      <c r="BL23">
        <f t="shared" si="37"/>
        <v>0.72032380247696659</v>
      </c>
      <c r="BM23">
        <f t="shared" si="38"/>
        <v>0.86837171477129416</v>
      </c>
      <c r="BN23">
        <f t="shared" si="39"/>
        <v>2199.9996774193601</v>
      </c>
      <c r="BO23">
        <f t="shared" si="40"/>
        <v>1849.1870194740218</v>
      </c>
      <c r="BP23">
        <f t="shared" si="41"/>
        <v>0.84053967755265857</v>
      </c>
      <c r="BQ23">
        <f t="shared" si="42"/>
        <v>0.19107935510531718</v>
      </c>
      <c r="BR23">
        <v>1562695708</v>
      </c>
      <c r="BS23">
        <v>355.01087096774199</v>
      </c>
      <c r="BT23">
        <v>399.97493548387098</v>
      </c>
      <c r="BU23">
        <v>19.607848387096801</v>
      </c>
      <c r="BV23">
        <v>6.9731070967741902</v>
      </c>
      <c r="BW23">
        <v>500.00812903225801</v>
      </c>
      <c r="BX23">
        <v>99.107232258064499</v>
      </c>
      <c r="BY23">
        <v>9.9971990322580598E-2</v>
      </c>
      <c r="BZ23">
        <v>27.018419354838699</v>
      </c>
      <c r="CA23">
        <v>27.0535741935484</v>
      </c>
      <c r="CB23">
        <v>999.9</v>
      </c>
      <c r="CC23">
        <v>10000.3829032258</v>
      </c>
      <c r="CD23">
        <v>0</v>
      </c>
      <c r="CE23">
        <v>226.47138709677401</v>
      </c>
      <c r="CF23">
        <v>2199.9996774193601</v>
      </c>
      <c r="CG23">
        <v>0.98199532258064504</v>
      </c>
      <c r="CH23">
        <v>1.80050967741936E-2</v>
      </c>
      <c r="CI23">
        <v>0</v>
      </c>
      <c r="CJ23">
        <v>809.89341935483901</v>
      </c>
      <c r="CK23">
        <v>1.9999499999999999</v>
      </c>
      <c r="CL23">
        <v>18669.525806451598</v>
      </c>
      <c r="CM23">
        <v>17938.235483871002</v>
      </c>
      <c r="CN23">
        <v>48.977645161290297</v>
      </c>
      <c r="CO23">
        <v>49.674999999999997</v>
      </c>
      <c r="CP23">
        <v>49.276000000000003</v>
      </c>
      <c r="CQ23">
        <v>48.596548387096803</v>
      </c>
      <c r="CR23">
        <v>49.999935483870999</v>
      </c>
      <c r="CS23">
        <v>2158.42903225806</v>
      </c>
      <c r="CT23">
        <v>39.576451612903199</v>
      </c>
      <c r="CU23">
        <v>0</v>
      </c>
      <c r="CV23">
        <v>181.5</v>
      </c>
      <c r="CW23">
        <v>809.97892307692302</v>
      </c>
      <c r="CX23">
        <v>7.4188717940823796</v>
      </c>
      <c r="CY23">
        <v>166.09914543694401</v>
      </c>
      <c r="CZ23">
        <v>18671.030769230802</v>
      </c>
      <c r="DA23">
        <v>15</v>
      </c>
      <c r="DB23">
        <v>1562695652.5</v>
      </c>
      <c r="DC23" t="s">
        <v>318</v>
      </c>
      <c r="DD23">
        <v>58</v>
      </c>
      <c r="DE23">
        <v>0.438</v>
      </c>
      <c r="DF23">
        <v>1.2999999999999999E-2</v>
      </c>
      <c r="DG23">
        <v>400</v>
      </c>
      <c r="DH23">
        <v>7</v>
      </c>
      <c r="DI23">
        <v>0.04</v>
      </c>
      <c r="DJ23">
        <v>0.01</v>
      </c>
      <c r="DK23">
        <v>33.532983219685498</v>
      </c>
      <c r="DL23">
        <v>0.65397132025371296</v>
      </c>
      <c r="DM23">
        <v>0.123445166951614</v>
      </c>
      <c r="DN23">
        <v>0</v>
      </c>
      <c r="DO23">
        <v>355.08334722222202</v>
      </c>
      <c r="DP23">
        <v>-0.422282461894679</v>
      </c>
      <c r="DQ23">
        <v>7.3831294125758604E-2</v>
      </c>
      <c r="DR23">
        <v>1</v>
      </c>
      <c r="DS23">
        <v>0.76839804910126097</v>
      </c>
      <c r="DT23">
        <v>-0.12661590278815801</v>
      </c>
      <c r="DU23">
        <v>2.3715389624643601E-2</v>
      </c>
      <c r="DV23">
        <v>1</v>
      </c>
      <c r="DW23">
        <v>2</v>
      </c>
      <c r="DX23">
        <v>3</v>
      </c>
      <c r="DY23" t="s">
        <v>283</v>
      </c>
      <c r="DZ23">
        <v>1.86663</v>
      </c>
      <c r="EA23">
        <v>1.86311</v>
      </c>
      <c r="EB23">
        <v>1.8687400000000001</v>
      </c>
      <c r="EC23">
        <v>1.8667400000000001</v>
      </c>
      <c r="ED23">
        <v>1.8714299999999999</v>
      </c>
      <c r="EE23">
        <v>1.8638600000000001</v>
      </c>
      <c r="EF23">
        <v>1.86537</v>
      </c>
      <c r="EG23">
        <v>1.86531</v>
      </c>
      <c r="EH23" t="s">
        <v>284</v>
      </c>
      <c r="EI23" t="s">
        <v>19</v>
      </c>
      <c r="EJ23" t="s">
        <v>19</v>
      </c>
      <c r="EK23" t="s">
        <v>19</v>
      </c>
      <c r="EL23" t="s">
        <v>285</v>
      </c>
      <c r="EM23" t="s">
        <v>286</v>
      </c>
      <c r="EN23" t="s">
        <v>287</v>
      </c>
      <c r="EO23" t="s">
        <v>287</v>
      </c>
      <c r="EP23" t="s">
        <v>287</v>
      </c>
      <c r="EQ23" t="s">
        <v>287</v>
      </c>
      <c r="ER23">
        <v>0</v>
      </c>
      <c r="ES23">
        <v>100</v>
      </c>
      <c r="ET23">
        <v>100</v>
      </c>
      <c r="EU23">
        <v>0.438</v>
      </c>
      <c r="EV23">
        <v>1.2999999999999999E-2</v>
      </c>
      <c r="EW23">
        <v>2</v>
      </c>
      <c r="EX23">
        <v>508.21</v>
      </c>
      <c r="EY23">
        <v>469.26</v>
      </c>
      <c r="EZ23">
        <v>20.634399999999999</v>
      </c>
      <c r="FA23">
        <v>35.6877</v>
      </c>
      <c r="FB23">
        <v>29.9999</v>
      </c>
      <c r="FC23">
        <v>35.768999999999998</v>
      </c>
      <c r="FD23">
        <v>35.767200000000003</v>
      </c>
      <c r="FE23">
        <v>22.220300000000002</v>
      </c>
      <c r="FF23">
        <v>79.270899999999997</v>
      </c>
      <c r="FG23">
        <v>0</v>
      </c>
      <c r="FH23">
        <v>20.6219</v>
      </c>
      <c r="FI23">
        <v>400</v>
      </c>
      <c r="FJ23">
        <v>7.2873099999999997</v>
      </c>
      <c r="FK23">
        <v>100.295</v>
      </c>
      <c r="FL23">
        <v>100.762</v>
      </c>
    </row>
    <row r="24" spans="1:168" x14ac:dyDescent="0.35">
      <c r="A24">
        <v>9</v>
      </c>
      <c r="B24">
        <v>1562695843.5</v>
      </c>
      <c r="C24">
        <v>1108</v>
      </c>
      <c r="D24" t="s">
        <v>319</v>
      </c>
      <c r="E24" t="s">
        <v>320</v>
      </c>
      <c r="F24" t="s">
        <v>277</v>
      </c>
      <c r="G24" t="s">
        <v>278</v>
      </c>
      <c r="H24" t="s">
        <v>277</v>
      </c>
      <c r="J24" t="s">
        <v>277</v>
      </c>
      <c r="K24">
        <v>1562695835.5</v>
      </c>
      <c r="L24">
        <f t="shared" si="0"/>
        <v>9.7108975513871751E-3</v>
      </c>
      <c r="M24">
        <f t="shared" si="1"/>
        <v>39.545997952960235</v>
      </c>
      <c r="N24">
        <f t="shared" si="2"/>
        <v>447.37109677419397</v>
      </c>
      <c r="O24">
        <f t="shared" si="3"/>
        <v>329.06585811630038</v>
      </c>
      <c r="P24">
        <f t="shared" si="4"/>
        <v>32.645822735515232</v>
      </c>
      <c r="Q24">
        <f t="shared" si="5"/>
        <v>44.382597471177498</v>
      </c>
      <c r="R24">
        <f t="shared" si="6"/>
        <v>0.66775351038845143</v>
      </c>
      <c r="S24">
        <f t="shared" si="7"/>
        <v>2.2480747967161117</v>
      </c>
      <c r="T24">
        <f t="shared" si="8"/>
        <v>0.5741181817514821</v>
      </c>
      <c r="U24">
        <f t="shared" si="9"/>
        <v>0.36613719144123824</v>
      </c>
      <c r="V24">
        <f t="shared" si="10"/>
        <v>353.34043569384824</v>
      </c>
      <c r="W24">
        <f t="shared" si="11"/>
        <v>25.980859235077403</v>
      </c>
      <c r="X24">
        <f t="shared" si="12"/>
        <v>26.9605903225807</v>
      </c>
      <c r="Y24">
        <f t="shared" si="13"/>
        <v>3.5708836344285237</v>
      </c>
      <c r="Z24">
        <f t="shared" si="14"/>
        <v>55.657145097896034</v>
      </c>
      <c r="AA24">
        <f t="shared" si="15"/>
        <v>1.9394435843403075</v>
      </c>
      <c r="AB24">
        <f t="shared" si="16"/>
        <v>3.4846264229489248</v>
      </c>
      <c r="AC24">
        <f t="shared" si="17"/>
        <v>1.6314400500882162</v>
      </c>
      <c r="AD24">
        <f t="shared" si="18"/>
        <v>-428.25058201617441</v>
      </c>
      <c r="AE24">
        <f t="shared" si="19"/>
        <v>-50.365674846314512</v>
      </c>
      <c r="AF24">
        <f t="shared" si="20"/>
        <v>-4.8230870216005437</v>
      </c>
      <c r="AG24">
        <f t="shared" si="21"/>
        <v>-130.09890819024122</v>
      </c>
      <c r="AH24">
        <v>-4.1131938108777598E-2</v>
      </c>
      <c r="AI24">
        <v>4.61742038827875E-2</v>
      </c>
      <c r="AJ24">
        <v>3.45177934533538</v>
      </c>
      <c r="AK24">
        <v>0</v>
      </c>
      <c r="AL24">
        <v>0</v>
      </c>
      <c r="AM24">
        <f t="shared" si="22"/>
        <v>1</v>
      </c>
      <c r="AN24">
        <f t="shared" si="23"/>
        <v>0</v>
      </c>
      <c r="AO24">
        <f t="shared" si="24"/>
        <v>52527.588090203026</v>
      </c>
      <c r="AP24" t="s">
        <v>279</v>
      </c>
      <c r="AQ24">
        <v>687.861538461539</v>
      </c>
      <c r="AR24">
        <v>4005.07</v>
      </c>
      <c r="AS24">
        <f t="shared" si="25"/>
        <v>3317.2084615384611</v>
      </c>
      <c r="AT24">
        <f t="shared" si="26"/>
        <v>0.82825230558728336</v>
      </c>
      <c r="AU24">
        <v>-4.0580585712533601</v>
      </c>
      <c r="AV24" t="s">
        <v>321</v>
      </c>
      <c r="AW24">
        <v>848.56315384615402</v>
      </c>
      <c r="AX24">
        <v>1185.81</v>
      </c>
      <c r="AY24">
        <f t="shared" si="27"/>
        <v>0.2844020932137914</v>
      </c>
      <c r="AZ24">
        <v>0.5</v>
      </c>
      <c r="BA24">
        <f t="shared" si="28"/>
        <v>1849.1813578354247</v>
      </c>
      <c r="BB24">
        <f t="shared" si="29"/>
        <v>39.545997952960235</v>
      </c>
      <c r="BC24">
        <f t="shared" si="30"/>
        <v>262.9555244501579</v>
      </c>
      <c r="BD24">
        <f t="shared" si="31"/>
        <v>0.50818427910036168</v>
      </c>
      <c r="BE24">
        <f t="shared" si="32"/>
        <v>2.358019473831096E-2</v>
      </c>
      <c r="BF24">
        <f t="shared" si="33"/>
        <v>2.3774972381747501</v>
      </c>
      <c r="BG24" t="s">
        <v>322</v>
      </c>
      <c r="BH24">
        <v>583.20000000000005</v>
      </c>
      <c r="BI24">
        <f t="shared" si="34"/>
        <v>602.6099999999999</v>
      </c>
      <c r="BJ24">
        <f t="shared" si="35"/>
        <v>0.55964362714499594</v>
      </c>
      <c r="BK24">
        <f t="shared" si="36"/>
        <v>0.82389453719749739</v>
      </c>
      <c r="BL24">
        <f t="shared" si="37"/>
        <v>0.67727259385818461</v>
      </c>
      <c r="BM24">
        <f t="shared" si="38"/>
        <v>0.84988930683375818</v>
      </c>
      <c r="BN24">
        <f t="shared" si="39"/>
        <v>2199.9929032258101</v>
      </c>
      <c r="BO24">
        <f t="shared" si="40"/>
        <v>1849.1813578354247</v>
      </c>
      <c r="BP24">
        <f t="shared" si="41"/>
        <v>0.84053969225264469</v>
      </c>
      <c r="BQ24">
        <f t="shared" si="42"/>
        <v>0.19107938450528938</v>
      </c>
      <c r="BR24">
        <v>1562695835.5</v>
      </c>
      <c r="BS24">
        <v>447.37109677419397</v>
      </c>
      <c r="BT24">
        <v>500.03822580645198</v>
      </c>
      <c r="BU24">
        <v>19.549351612903202</v>
      </c>
      <c r="BV24">
        <v>8.1243706451612905</v>
      </c>
      <c r="BW24">
        <v>500.01251612903201</v>
      </c>
      <c r="BX24">
        <v>99.107570967741907</v>
      </c>
      <c r="BY24">
        <v>9.9994722580645207E-2</v>
      </c>
      <c r="BZ24">
        <v>26.545025806451601</v>
      </c>
      <c r="CA24">
        <v>26.9605903225807</v>
      </c>
      <c r="CB24">
        <v>999.9</v>
      </c>
      <c r="CC24">
        <v>10008.485483871</v>
      </c>
      <c r="CD24">
        <v>0</v>
      </c>
      <c r="CE24">
        <v>299.65545161290299</v>
      </c>
      <c r="CF24">
        <v>2199.9929032258101</v>
      </c>
      <c r="CG24">
        <v>0.98199512903225805</v>
      </c>
      <c r="CH24">
        <v>1.8005338709677399E-2</v>
      </c>
      <c r="CI24">
        <v>0</v>
      </c>
      <c r="CJ24">
        <v>848.58058064516104</v>
      </c>
      <c r="CK24">
        <v>1.9999499999999999</v>
      </c>
      <c r="CL24">
        <v>19561.132258064499</v>
      </c>
      <c r="CM24">
        <v>17938.1870967742</v>
      </c>
      <c r="CN24">
        <v>49.033935483870998</v>
      </c>
      <c r="CO24">
        <v>49.761935483871</v>
      </c>
      <c r="CP24">
        <v>49.383000000000003</v>
      </c>
      <c r="CQ24">
        <v>48.687064516128999</v>
      </c>
      <c r="CR24">
        <v>50.05</v>
      </c>
      <c r="CS24">
        <v>2158.4219354838701</v>
      </c>
      <c r="CT24">
        <v>39.577419354838703</v>
      </c>
      <c r="CU24">
        <v>0</v>
      </c>
      <c r="CV24">
        <v>126.799999952316</v>
      </c>
      <c r="CW24">
        <v>848.56315384615402</v>
      </c>
      <c r="CX24">
        <v>6.0227008630290797</v>
      </c>
      <c r="CY24">
        <v>123.305983019785</v>
      </c>
      <c r="CZ24">
        <v>19562.026923076901</v>
      </c>
      <c r="DA24">
        <v>15</v>
      </c>
      <c r="DB24">
        <v>1562695793.5</v>
      </c>
      <c r="DC24" t="s">
        <v>323</v>
      </c>
      <c r="DD24">
        <v>59</v>
      </c>
      <c r="DE24">
        <v>0.52400000000000002</v>
      </c>
      <c r="DF24">
        <v>0.02</v>
      </c>
      <c r="DG24">
        <v>500</v>
      </c>
      <c r="DH24">
        <v>8</v>
      </c>
      <c r="DI24">
        <v>0.03</v>
      </c>
      <c r="DJ24">
        <v>0.01</v>
      </c>
      <c r="DK24">
        <v>39.5737110717929</v>
      </c>
      <c r="DL24">
        <v>-0.226499827016137</v>
      </c>
      <c r="DM24">
        <v>7.7889661018820999E-2</v>
      </c>
      <c r="DN24">
        <v>1</v>
      </c>
      <c r="DO24">
        <v>447.35737499999999</v>
      </c>
      <c r="DP24">
        <v>7.8678371599339603E-2</v>
      </c>
      <c r="DQ24">
        <v>2.4081711306390901E-2</v>
      </c>
      <c r="DR24">
        <v>1</v>
      </c>
      <c r="DS24">
        <v>0.66052486242438802</v>
      </c>
      <c r="DT24">
        <v>3.6857564799208403E-2</v>
      </c>
      <c r="DU24">
        <v>8.2514075796854894E-3</v>
      </c>
      <c r="DV24">
        <v>1</v>
      </c>
      <c r="DW24">
        <v>3</v>
      </c>
      <c r="DX24">
        <v>3</v>
      </c>
      <c r="DY24" t="s">
        <v>293</v>
      </c>
      <c r="DZ24">
        <v>1.86669</v>
      </c>
      <c r="EA24">
        <v>1.8632299999999999</v>
      </c>
      <c r="EB24">
        <v>1.8688</v>
      </c>
      <c r="EC24">
        <v>1.86676</v>
      </c>
      <c r="ED24">
        <v>1.8714900000000001</v>
      </c>
      <c r="EE24">
        <v>1.8638999999999999</v>
      </c>
      <c r="EF24">
        <v>1.8654200000000001</v>
      </c>
      <c r="EG24">
        <v>1.86538</v>
      </c>
      <c r="EH24" t="s">
        <v>284</v>
      </c>
      <c r="EI24" t="s">
        <v>19</v>
      </c>
      <c r="EJ24" t="s">
        <v>19</v>
      </c>
      <c r="EK24" t="s">
        <v>19</v>
      </c>
      <c r="EL24" t="s">
        <v>285</v>
      </c>
      <c r="EM24" t="s">
        <v>286</v>
      </c>
      <c r="EN24" t="s">
        <v>287</v>
      </c>
      <c r="EO24" t="s">
        <v>287</v>
      </c>
      <c r="EP24" t="s">
        <v>287</v>
      </c>
      <c r="EQ24" t="s">
        <v>287</v>
      </c>
      <c r="ER24">
        <v>0</v>
      </c>
      <c r="ES24">
        <v>100</v>
      </c>
      <c r="ET24">
        <v>100</v>
      </c>
      <c r="EU24">
        <v>0.52400000000000002</v>
      </c>
      <c r="EV24">
        <v>0.02</v>
      </c>
      <c r="EW24">
        <v>2</v>
      </c>
      <c r="EX24">
        <v>507.97</v>
      </c>
      <c r="EY24">
        <v>469.947</v>
      </c>
      <c r="EZ24">
        <v>19.8657</v>
      </c>
      <c r="FA24">
        <v>35.674599999999998</v>
      </c>
      <c r="FB24">
        <v>29.9938</v>
      </c>
      <c r="FC24">
        <v>35.721800000000002</v>
      </c>
      <c r="FD24">
        <v>35.714799999999997</v>
      </c>
      <c r="FE24">
        <v>26.5458</v>
      </c>
      <c r="FF24">
        <v>77.885099999999994</v>
      </c>
      <c r="FG24">
        <v>0</v>
      </c>
      <c r="FH24">
        <v>19.971299999999999</v>
      </c>
      <c r="FI24">
        <v>500</v>
      </c>
      <c r="FJ24">
        <v>7.7327300000000001</v>
      </c>
      <c r="FK24">
        <v>100.31</v>
      </c>
      <c r="FL24">
        <v>100.776</v>
      </c>
    </row>
    <row r="25" spans="1:168" x14ac:dyDescent="0.35">
      <c r="A25">
        <v>10</v>
      </c>
      <c r="B25">
        <v>1562695979.5</v>
      </c>
      <c r="C25">
        <v>1244</v>
      </c>
      <c r="D25" t="s">
        <v>324</v>
      </c>
      <c r="E25" t="s">
        <v>325</v>
      </c>
      <c r="F25" t="s">
        <v>277</v>
      </c>
      <c r="G25" t="s">
        <v>278</v>
      </c>
      <c r="H25" t="s">
        <v>277</v>
      </c>
      <c r="J25" t="s">
        <v>277</v>
      </c>
      <c r="K25">
        <v>1562695971.5032301</v>
      </c>
      <c r="L25">
        <f t="shared" si="0"/>
        <v>8.8150418956586141E-3</v>
      </c>
      <c r="M25">
        <f t="shared" si="1"/>
        <v>42.458385634411862</v>
      </c>
      <c r="N25">
        <f t="shared" si="2"/>
        <v>543.28541935483895</v>
      </c>
      <c r="O25">
        <f t="shared" si="3"/>
        <v>397.14561504712441</v>
      </c>
      <c r="P25">
        <f t="shared" si="4"/>
        <v>39.40081782296366</v>
      </c>
      <c r="Q25">
        <f t="shared" si="5"/>
        <v>53.899348306621619</v>
      </c>
      <c r="R25">
        <f t="shared" si="6"/>
        <v>0.57142536315686265</v>
      </c>
      <c r="S25">
        <f t="shared" si="7"/>
        <v>2.2465183217209956</v>
      </c>
      <c r="T25">
        <f t="shared" si="8"/>
        <v>0.50130480602028049</v>
      </c>
      <c r="U25">
        <f t="shared" si="9"/>
        <v>0.31889569949333213</v>
      </c>
      <c r="V25">
        <f t="shared" si="10"/>
        <v>353.34426815519811</v>
      </c>
      <c r="W25">
        <f t="shared" si="11"/>
        <v>26.253836299897461</v>
      </c>
      <c r="X25">
        <f t="shared" si="12"/>
        <v>27.0958516129032</v>
      </c>
      <c r="Y25">
        <f t="shared" si="13"/>
        <v>3.5993585164054598</v>
      </c>
      <c r="Z25">
        <f t="shared" si="14"/>
        <v>54.695970910834426</v>
      </c>
      <c r="AA25">
        <f t="shared" si="15"/>
        <v>1.9032095018616531</v>
      </c>
      <c r="AB25">
        <f t="shared" si="16"/>
        <v>3.4796155368816333</v>
      </c>
      <c r="AC25">
        <f t="shared" si="17"/>
        <v>1.6961490145438067</v>
      </c>
      <c r="AD25">
        <f t="shared" si="18"/>
        <v>-388.74334759854486</v>
      </c>
      <c r="AE25">
        <f t="shared" si="19"/>
        <v>-69.670021908097667</v>
      </c>
      <c r="AF25">
        <f t="shared" si="20"/>
        <v>-6.6800274000900544</v>
      </c>
      <c r="AG25">
        <f t="shared" si="21"/>
        <v>-111.74912875153449</v>
      </c>
      <c r="AH25">
        <v>-4.1090081005325803E-2</v>
      </c>
      <c r="AI25">
        <v>4.6127215617279102E-2</v>
      </c>
      <c r="AJ25">
        <v>3.4489979442090499</v>
      </c>
      <c r="AK25">
        <v>0</v>
      </c>
      <c r="AL25">
        <v>0</v>
      </c>
      <c r="AM25">
        <f t="shared" si="22"/>
        <v>1</v>
      </c>
      <c r="AN25">
        <f t="shared" si="23"/>
        <v>0</v>
      </c>
      <c r="AO25">
        <f t="shared" si="24"/>
        <v>52480.653255835939</v>
      </c>
      <c r="AP25" t="s">
        <v>279</v>
      </c>
      <c r="AQ25">
        <v>687.861538461539</v>
      </c>
      <c r="AR25">
        <v>4005.07</v>
      </c>
      <c r="AS25">
        <f t="shared" si="25"/>
        <v>3317.2084615384611</v>
      </c>
      <c r="AT25">
        <f t="shared" si="26"/>
        <v>0.82825230558728336</v>
      </c>
      <c r="AU25">
        <v>-4.0580585712533601</v>
      </c>
      <c r="AV25" t="s">
        <v>326</v>
      </c>
      <c r="AW25">
        <v>852.97865384615397</v>
      </c>
      <c r="AX25">
        <v>1195.3399999999999</v>
      </c>
      <c r="AY25">
        <f t="shared" si="27"/>
        <v>0.28641336034420828</v>
      </c>
      <c r="AZ25">
        <v>0.5</v>
      </c>
      <c r="BA25">
        <f t="shared" si="28"/>
        <v>1849.2031258334277</v>
      </c>
      <c r="BB25">
        <f t="shared" si="29"/>
        <v>42.458385634411862</v>
      </c>
      <c r="BC25">
        <f t="shared" si="30"/>
        <v>264.81824061448293</v>
      </c>
      <c r="BD25">
        <f t="shared" si="31"/>
        <v>0.51361119012163903</v>
      </c>
      <c r="BE25">
        <f t="shared" si="32"/>
        <v>2.515485916924376E-2</v>
      </c>
      <c r="BF25">
        <f t="shared" si="33"/>
        <v>2.3505697123830882</v>
      </c>
      <c r="BG25" t="s">
        <v>327</v>
      </c>
      <c r="BH25">
        <v>581.4</v>
      </c>
      <c r="BI25">
        <f t="shared" si="34"/>
        <v>613.93999999999994</v>
      </c>
      <c r="BJ25">
        <f t="shared" si="35"/>
        <v>0.55764626210028012</v>
      </c>
      <c r="BK25">
        <f t="shared" si="36"/>
        <v>0.82067781065348011</v>
      </c>
      <c r="BL25">
        <f t="shared" si="37"/>
        <v>0.67463226934981746</v>
      </c>
      <c r="BM25">
        <f t="shared" si="38"/>
        <v>0.84701640930244659</v>
      </c>
      <c r="BN25">
        <f t="shared" si="39"/>
        <v>2200.0190322580602</v>
      </c>
      <c r="BO25">
        <f t="shared" si="40"/>
        <v>1849.2031258334277</v>
      </c>
      <c r="BP25">
        <f t="shared" si="41"/>
        <v>0.84053960384853521</v>
      </c>
      <c r="BQ25">
        <f t="shared" si="42"/>
        <v>0.19107920769707082</v>
      </c>
      <c r="BR25">
        <v>1562695971.5032301</v>
      </c>
      <c r="BS25">
        <v>543.28541935483895</v>
      </c>
      <c r="BT25">
        <v>599.98064516129</v>
      </c>
      <c r="BU25">
        <v>19.183645161290301</v>
      </c>
      <c r="BV25">
        <v>8.8088383870967792</v>
      </c>
      <c r="BW25">
        <v>500.01532258064498</v>
      </c>
      <c r="BX25">
        <v>99.110022580645193</v>
      </c>
      <c r="BY25">
        <v>9.9980829032258106E-2</v>
      </c>
      <c r="BZ25">
        <v>26.520609677419401</v>
      </c>
      <c r="CA25">
        <v>27.0958516129032</v>
      </c>
      <c r="CB25">
        <v>999.9</v>
      </c>
      <c r="CC25">
        <v>9998.0532258064504</v>
      </c>
      <c r="CD25">
        <v>0</v>
      </c>
      <c r="CE25">
        <v>323.71416129032298</v>
      </c>
      <c r="CF25">
        <v>2200.0190322580602</v>
      </c>
      <c r="CG25">
        <v>0.98199583870967799</v>
      </c>
      <c r="CH25">
        <v>1.8004451612903202E-2</v>
      </c>
      <c r="CI25">
        <v>0</v>
      </c>
      <c r="CJ25">
        <v>852.98561290322596</v>
      </c>
      <c r="CK25">
        <v>1.9999499999999999</v>
      </c>
      <c r="CL25">
        <v>19695.396774193501</v>
      </c>
      <c r="CM25">
        <v>17938.3870967742</v>
      </c>
      <c r="CN25">
        <v>49.064129032258002</v>
      </c>
      <c r="CO25">
        <v>49.753999999999998</v>
      </c>
      <c r="CP25">
        <v>49.427</v>
      </c>
      <c r="CQ25">
        <v>48.733741935483899</v>
      </c>
      <c r="CR25">
        <v>50.042000000000002</v>
      </c>
      <c r="CS25">
        <v>2158.4477419354798</v>
      </c>
      <c r="CT25">
        <v>39.571290322580602</v>
      </c>
      <c r="CU25">
        <v>0</v>
      </c>
      <c r="CV25">
        <v>135.39999985694899</v>
      </c>
      <c r="CW25">
        <v>852.97865384615397</v>
      </c>
      <c r="CX25">
        <v>-4.6191794808476798</v>
      </c>
      <c r="CY25">
        <v>-52.188033949486602</v>
      </c>
      <c r="CZ25">
        <v>19695.242307692301</v>
      </c>
      <c r="DA25">
        <v>15</v>
      </c>
      <c r="DB25">
        <v>1562695925</v>
      </c>
      <c r="DC25" t="s">
        <v>328</v>
      </c>
      <c r="DD25">
        <v>60</v>
      </c>
      <c r="DE25">
        <v>0.68100000000000005</v>
      </c>
      <c r="DF25">
        <v>2.1999999999999999E-2</v>
      </c>
      <c r="DG25">
        <v>600</v>
      </c>
      <c r="DH25">
        <v>8</v>
      </c>
      <c r="DI25">
        <v>0.03</v>
      </c>
      <c r="DJ25">
        <v>0.01</v>
      </c>
      <c r="DK25">
        <v>42.508983652926901</v>
      </c>
      <c r="DL25">
        <v>-0.28371106994600498</v>
      </c>
      <c r="DM25">
        <v>6.9143182428970495E-2</v>
      </c>
      <c r="DN25">
        <v>1</v>
      </c>
      <c r="DO25">
        <v>543.14666666666699</v>
      </c>
      <c r="DP25">
        <v>0.77802732003709896</v>
      </c>
      <c r="DQ25">
        <v>0.13555913018966001</v>
      </c>
      <c r="DR25">
        <v>1</v>
      </c>
      <c r="DS25">
        <v>0.58577427475489097</v>
      </c>
      <c r="DT25">
        <v>-6.7415897177183007E-2</v>
      </c>
      <c r="DU25">
        <v>1.2622547610619201E-2</v>
      </c>
      <c r="DV25">
        <v>1</v>
      </c>
      <c r="DW25">
        <v>3</v>
      </c>
      <c r="DX25">
        <v>3</v>
      </c>
      <c r="DY25" t="s">
        <v>293</v>
      </c>
      <c r="DZ25">
        <v>1.8666100000000001</v>
      </c>
      <c r="EA25">
        <v>1.8631</v>
      </c>
      <c r="EB25">
        <v>1.8687100000000001</v>
      </c>
      <c r="EC25">
        <v>1.8666199999999999</v>
      </c>
      <c r="ED25">
        <v>1.87134</v>
      </c>
      <c r="EE25">
        <v>1.8637999999999999</v>
      </c>
      <c r="EF25">
        <v>1.8652500000000001</v>
      </c>
      <c r="EG25">
        <v>1.8652299999999999</v>
      </c>
      <c r="EH25" t="s">
        <v>284</v>
      </c>
      <c r="EI25" t="s">
        <v>19</v>
      </c>
      <c r="EJ25" t="s">
        <v>19</v>
      </c>
      <c r="EK25" t="s">
        <v>19</v>
      </c>
      <c r="EL25" t="s">
        <v>285</v>
      </c>
      <c r="EM25" t="s">
        <v>286</v>
      </c>
      <c r="EN25" t="s">
        <v>287</v>
      </c>
      <c r="EO25" t="s">
        <v>287</v>
      </c>
      <c r="EP25" t="s">
        <v>287</v>
      </c>
      <c r="EQ25" t="s">
        <v>287</v>
      </c>
      <c r="ER25">
        <v>0</v>
      </c>
      <c r="ES25">
        <v>100</v>
      </c>
      <c r="ET25">
        <v>100</v>
      </c>
      <c r="EU25">
        <v>0.68100000000000005</v>
      </c>
      <c r="EV25">
        <v>2.1999999999999999E-2</v>
      </c>
      <c r="EW25">
        <v>2</v>
      </c>
      <c r="EX25">
        <v>506.96199999999999</v>
      </c>
      <c r="EY25">
        <v>470.48700000000002</v>
      </c>
      <c r="EZ25">
        <v>18.950199999999999</v>
      </c>
      <c r="FA25">
        <v>35.708500000000001</v>
      </c>
      <c r="FB25">
        <v>30.000599999999999</v>
      </c>
      <c r="FC25">
        <v>35.725099999999998</v>
      </c>
      <c r="FD25">
        <v>35.7181</v>
      </c>
      <c r="FE25">
        <v>30.728999999999999</v>
      </c>
      <c r="FF25">
        <v>74.204300000000003</v>
      </c>
      <c r="FG25">
        <v>0</v>
      </c>
      <c r="FH25">
        <v>18.887599999999999</v>
      </c>
      <c r="FI25">
        <v>600</v>
      </c>
      <c r="FJ25">
        <v>8.8980899999999998</v>
      </c>
      <c r="FK25">
        <v>100.297</v>
      </c>
      <c r="FL25">
        <v>100.761</v>
      </c>
    </row>
    <row r="26" spans="1:168" x14ac:dyDescent="0.35">
      <c r="A26">
        <v>11</v>
      </c>
      <c r="B26">
        <v>1562696120</v>
      </c>
      <c r="C26">
        <v>1384.5</v>
      </c>
      <c r="D26" t="s">
        <v>329</v>
      </c>
      <c r="E26" t="s">
        <v>330</v>
      </c>
      <c r="F26" t="s">
        <v>277</v>
      </c>
      <c r="G26" t="s">
        <v>278</v>
      </c>
      <c r="H26" t="s">
        <v>277</v>
      </c>
      <c r="J26" t="s">
        <v>277</v>
      </c>
      <c r="K26">
        <v>1562696112.0483899</v>
      </c>
      <c r="L26">
        <f t="shared" si="0"/>
        <v>7.918608964089904E-3</v>
      </c>
      <c r="M26">
        <f t="shared" si="1"/>
        <v>44.42930980995984</v>
      </c>
      <c r="N26">
        <f t="shared" si="2"/>
        <v>739.69080645161296</v>
      </c>
      <c r="O26">
        <f t="shared" si="3"/>
        <v>563.99448211436152</v>
      </c>
      <c r="P26">
        <f t="shared" si="4"/>
        <v>55.953257289000504</v>
      </c>
      <c r="Q26">
        <f t="shared" si="5"/>
        <v>73.383891722726247</v>
      </c>
      <c r="R26">
        <f t="shared" si="6"/>
        <v>0.49895175222629401</v>
      </c>
      <c r="S26">
        <f t="shared" si="7"/>
        <v>2.246320854770615</v>
      </c>
      <c r="T26">
        <f t="shared" si="8"/>
        <v>0.44458322541693024</v>
      </c>
      <c r="U26">
        <f t="shared" si="9"/>
        <v>0.28225403691977402</v>
      </c>
      <c r="V26">
        <f t="shared" si="10"/>
        <v>353.33618521695104</v>
      </c>
      <c r="W26">
        <f t="shared" si="11"/>
        <v>26.183625752773068</v>
      </c>
      <c r="X26">
        <f t="shared" si="12"/>
        <v>27.037003225806501</v>
      </c>
      <c r="Y26">
        <f t="shared" si="13"/>
        <v>3.5869456308394052</v>
      </c>
      <c r="Z26">
        <f t="shared" si="14"/>
        <v>54.877592726195303</v>
      </c>
      <c r="AA26">
        <f t="shared" si="15"/>
        <v>1.8684900045557948</v>
      </c>
      <c r="AB26">
        <f t="shared" si="16"/>
        <v>3.4048323035567276</v>
      </c>
      <c r="AC26">
        <f t="shared" si="17"/>
        <v>1.7184556262836104</v>
      </c>
      <c r="AD26">
        <f t="shared" si="18"/>
        <v>-349.21065531636475</v>
      </c>
      <c r="AE26">
        <f t="shared" si="19"/>
        <v>-107.11383441474679</v>
      </c>
      <c r="AF26">
        <f t="shared" si="20"/>
        <v>-10.249167325574767</v>
      </c>
      <c r="AG26">
        <f t="shared" si="21"/>
        <v>-113.23747183973528</v>
      </c>
      <c r="AH26">
        <v>-4.10847725428563E-2</v>
      </c>
      <c r="AI26">
        <v>4.6121256403110301E-2</v>
      </c>
      <c r="AJ26">
        <v>3.4486451278947801</v>
      </c>
      <c r="AK26">
        <v>0</v>
      </c>
      <c r="AL26">
        <v>0</v>
      </c>
      <c r="AM26">
        <f t="shared" si="22"/>
        <v>1</v>
      </c>
      <c r="AN26">
        <f t="shared" si="23"/>
        <v>0</v>
      </c>
      <c r="AO26">
        <f t="shared" si="24"/>
        <v>52538.690577905458</v>
      </c>
      <c r="AP26" t="s">
        <v>279</v>
      </c>
      <c r="AQ26">
        <v>687.861538461539</v>
      </c>
      <c r="AR26">
        <v>4005.07</v>
      </c>
      <c r="AS26">
        <f t="shared" si="25"/>
        <v>3317.2084615384611</v>
      </c>
      <c r="AT26">
        <f t="shared" si="26"/>
        <v>0.82825230558728336</v>
      </c>
      <c r="AU26">
        <v>-4.0580585712533601</v>
      </c>
      <c r="AV26" t="s">
        <v>331</v>
      </c>
      <c r="AW26">
        <v>842.59342307692305</v>
      </c>
      <c r="AX26">
        <v>1162.5899999999999</v>
      </c>
      <c r="AY26">
        <f t="shared" si="27"/>
        <v>0.27524456336548297</v>
      </c>
      <c r="AZ26">
        <v>0.5</v>
      </c>
      <c r="BA26">
        <f t="shared" si="28"/>
        <v>1849.1605838979451</v>
      </c>
      <c r="BB26">
        <f t="shared" si="29"/>
        <v>44.42930980995984</v>
      </c>
      <c r="BC26">
        <f t="shared" si="30"/>
        <v>254.48569875382572</v>
      </c>
      <c r="BD26">
        <f t="shared" si="31"/>
        <v>0.51005943625869821</v>
      </c>
      <c r="BE26">
        <f t="shared" si="32"/>
        <v>2.6221285919367839E-2</v>
      </c>
      <c r="BF26">
        <f t="shared" si="33"/>
        <v>2.4449547991983422</v>
      </c>
      <c r="BG26" t="s">
        <v>332</v>
      </c>
      <c r="BH26">
        <v>569.6</v>
      </c>
      <c r="BI26">
        <f t="shared" si="34"/>
        <v>592.9899999999999</v>
      </c>
      <c r="BJ26">
        <f t="shared" si="35"/>
        <v>0.53963233262462595</v>
      </c>
      <c r="BK26">
        <f t="shared" si="36"/>
        <v>0.82739188524423157</v>
      </c>
      <c r="BL26">
        <f t="shared" si="37"/>
        <v>0.67406233847041386</v>
      </c>
      <c r="BM26">
        <f t="shared" si="38"/>
        <v>0.85688916839483453</v>
      </c>
      <c r="BN26">
        <f t="shared" si="39"/>
        <v>2199.9683870967701</v>
      </c>
      <c r="BO26">
        <f t="shared" si="40"/>
        <v>1849.1605838979451</v>
      </c>
      <c r="BP26">
        <f t="shared" si="41"/>
        <v>0.84053961627067963</v>
      </c>
      <c r="BQ26">
        <f t="shared" si="42"/>
        <v>0.19107923254135922</v>
      </c>
      <c r="BR26">
        <v>1562696112.0483899</v>
      </c>
      <c r="BS26">
        <v>739.69080645161296</v>
      </c>
      <c r="BT26">
        <v>800.03045161290299</v>
      </c>
      <c r="BU26">
        <v>18.8339</v>
      </c>
      <c r="BV26">
        <v>9.5112016129032195</v>
      </c>
      <c r="BW26">
        <v>500.035741935484</v>
      </c>
      <c r="BX26">
        <v>99.108854838709703</v>
      </c>
      <c r="BY26">
        <v>0.100018764516129</v>
      </c>
      <c r="BZ26">
        <v>26.152522580645201</v>
      </c>
      <c r="CA26">
        <v>27.037003225806501</v>
      </c>
      <c r="CB26">
        <v>999.9</v>
      </c>
      <c r="CC26">
        <v>9996.8793548387093</v>
      </c>
      <c r="CD26">
        <v>0</v>
      </c>
      <c r="CE26">
        <v>1122.05783870968</v>
      </c>
      <c r="CF26">
        <v>2199.9683870967701</v>
      </c>
      <c r="CG26">
        <v>0.98199603225806498</v>
      </c>
      <c r="CH26">
        <v>1.8004209677419399E-2</v>
      </c>
      <c r="CI26">
        <v>0</v>
      </c>
      <c r="CJ26">
        <v>842.68125806451599</v>
      </c>
      <c r="CK26">
        <v>1.9999499999999999</v>
      </c>
      <c r="CL26">
        <v>19465.061290322599</v>
      </c>
      <c r="CM26">
        <v>17937.970967741901</v>
      </c>
      <c r="CN26">
        <v>49.082322580645098</v>
      </c>
      <c r="CO26">
        <v>49.929000000000002</v>
      </c>
      <c r="CP26">
        <v>49.495935483871001</v>
      </c>
      <c r="CQ26">
        <v>48.76</v>
      </c>
      <c r="CR26">
        <v>50.0681935483871</v>
      </c>
      <c r="CS26">
        <v>2158.3970967741898</v>
      </c>
      <c r="CT26">
        <v>39.571290322580602</v>
      </c>
      <c r="CU26">
        <v>0</v>
      </c>
      <c r="CV26">
        <v>139.799999952316</v>
      </c>
      <c r="CW26">
        <v>842.59342307692305</v>
      </c>
      <c r="CX26">
        <v>-7.63811968074475</v>
      </c>
      <c r="CY26">
        <v>-312.48888913942301</v>
      </c>
      <c r="CZ26">
        <v>19464.0884615385</v>
      </c>
      <c r="DA26">
        <v>15</v>
      </c>
      <c r="DB26">
        <v>1562696076.5999999</v>
      </c>
      <c r="DC26" t="s">
        <v>333</v>
      </c>
      <c r="DD26">
        <v>61</v>
      </c>
      <c r="DE26">
        <v>0.94799999999999995</v>
      </c>
      <c r="DF26">
        <v>2.1999999999999999E-2</v>
      </c>
      <c r="DG26">
        <v>800</v>
      </c>
      <c r="DH26">
        <v>8</v>
      </c>
      <c r="DI26">
        <v>0.03</v>
      </c>
      <c r="DJ26">
        <v>0.01</v>
      </c>
      <c r="DK26">
        <v>44.186959333205401</v>
      </c>
      <c r="DL26">
        <v>2.9445507161057698</v>
      </c>
      <c r="DM26">
        <v>2.2321101113445598</v>
      </c>
      <c r="DN26">
        <v>0</v>
      </c>
      <c r="DO26">
        <v>739.41894444444404</v>
      </c>
      <c r="DP26">
        <v>1.49550334492549</v>
      </c>
      <c r="DQ26">
        <v>0.261583632732588</v>
      </c>
      <c r="DR26">
        <v>1</v>
      </c>
      <c r="DS26">
        <v>0.493360473059204</v>
      </c>
      <c r="DT26">
        <v>6.2703097958920595E-2</v>
      </c>
      <c r="DU26">
        <v>3.4894233079420897E-2</v>
      </c>
      <c r="DV26">
        <v>1</v>
      </c>
      <c r="DW26">
        <v>2</v>
      </c>
      <c r="DX26">
        <v>3</v>
      </c>
      <c r="DY26" t="s">
        <v>283</v>
      </c>
      <c r="DZ26">
        <v>1.8666100000000001</v>
      </c>
      <c r="EA26">
        <v>1.8631</v>
      </c>
      <c r="EB26">
        <v>1.86873</v>
      </c>
      <c r="EC26">
        <v>1.8666499999999999</v>
      </c>
      <c r="ED26">
        <v>1.8713500000000001</v>
      </c>
      <c r="EE26">
        <v>1.8638300000000001</v>
      </c>
      <c r="EF26">
        <v>1.86527</v>
      </c>
      <c r="EG26">
        <v>1.8652299999999999</v>
      </c>
      <c r="EH26" t="s">
        <v>284</v>
      </c>
      <c r="EI26" t="s">
        <v>19</v>
      </c>
      <c r="EJ26" t="s">
        <v>19</v>
      </c>
      <c r="EK26" t="s">
        <v>19</v>
      </c>
      <c r="EL26" t="s">
        <v>285</v>
      </c>
      <c r="EM26" t="s">
        <v>286</v>
      </c>
      <c r="EN26" t="s">
        <v>287</v>
      </c>
      <c r="EO26" t="s">
        <v>287</v>
      </c>
      <c r="EP26" t="s">
        <v>287</v>
      </c>
      <c r="EQ26" t="s">
        <v>287</v>
      </c>
      <c r="ER26">
        <v>0</v>
      </c>
      <c r="ES26">
        <v>100</v>
      </c>
      <c r="ET26">
        <v>100</v>
      </c>
      <c r="EU26">
        <v>0.94799999999999995</v>
      </c>
      <c r="EV26">
        <v>2.1999999999999999E-2</v>
      </c>
      <c r="EW26">
        <v>2</v>
      </c>
      <c r="EX26">
        <v>506.30099999999999</v>
      </c>
      <c r="EY26">
        <v>471.30599999999998</v>
      </c>
      <c r="EZ26">
        <v>18.491599999999998</v>
      </c>
      <c r="FA26">
        <v>35.763500000000001</v>
      </c>
      <c r="FB26">
        <v>30.0002</v>
      </c>
      <c r="FC26">
        <v>35.7515</v>
      </c>
      <c r="FD26">
        <v>35.734499999999997</v>
      </c>
      <c r="FE26">
        <v>38.762799999999999</v>
      </c>
      <c r="FF26">
        <v>73.005700000000004</v>
      </c>
      <c r="FG26">
        <v>0</v>
      </c>
      <c r="FH26">
        <v>18.482800000000001</v>
      </c>
      <c r="FI26">
        <v>800</v>
      </c>
      <c r="FJ26">
        <v>9.56189</v>
      </c>
      <c r="FK26">
        <v>100.29</v>
      </c>
      <c r="FL26">
        <v>100.75</v>
      </c>
    </row>
    <row r="27" spans="1:168" x14ac:dyDescent="0.35">
      <c r="A27">
        <v>12</v>
      </c>
      <c r="B27">
        <v>1562696260.5</v>
      </c>
      <c r="C27">
        <v>1525</v>
      </c>
      <c r="D27" t="s">
        <v>334</v>
      </c>
      <c r="E27" t="s">
        <v>335</v>
      </c>
      <c r="F27" t="s">
        <v>277</v>
      </c>
      <c r="G27" t="s">
        <v>278</v>
      </c>
      <c r="H27" t="s">
        <v>277</v>
      </c>
      <c r="J27" t="s">
        <v>277</v>
      </c>
      <c r="K27">
        <v>1562696252.5451601</v>
      </c>
      <c r="L27">
        <f t="shared" si="0"/>
        <v>6.1801348074211407E-3</v>
      </c>
      <c r="M27">
        <f t="shared" si="1"/>
        <v>44.512862456105637</v>
      </c>
      <c r="N27">
        <f t="shared" si="2"/>
        <v>939.57964516129005</v>
      </c>
      <c r="O27">
        <f t="shared" si="3"/>
        <v>706.70736825441975</v>
      </c>
      <c r="P27">
        <f t="shared" si="4"/>
        <v>70.107941118390826</v>
      </c>
      <c r="Q27">
        <f t="shared" si="5"/>
        <v>93.209717908717025</v>
      </c>
      <c r="R27">
        <f t="shared" si="6"/>
        <v>0.36714603873556284</v>
      </c>
      <c r="S27">
        <f t="shared" si="7"/>
        <v>2.2448124528267561</v>
      </c>
      <c r="T27">
        <f t="shared" si="8"/>
        <v>0.33675488459698105</v>
      </c>
      <c r="U27">
        <f t="shared" si="9"/>
        <v>0.21299229325287805</v>
      </c>
      <c r="V27">
        <f t="shared" si="10"/>
        <v>353.34397450145883</v>
      </c>
      <c r="W27">
        <f t="shared" si="11"/>
        <v>26.327236550701688</v>
      </c>
      <c r="X27">
        <f t="shared" si="12"/>
        <v>27.041667741935498</v>
      </c>
      <c r="Y27">
        <f t="shared" si="13"/>
        <v>3.5879281514729477</v>
      </c>
      <c r="Z27">
        <f t="shared" si="14"/>
        <v>54.7557351872087</v>
      </c>
      <c r="AA27">
        <f t="shared" si="15"/>
        <v>1.816935409640779</v>
      </c>
      <c r="AB27">
        <f t="shared" si="16"/>
        <v>3.318255893065293</v>
      </c>
      <c r="AC27">
        <f t="shared" si="17"/>
        <v>1.7709927418321687</v>
      </c>
      <c r="AD27">
        <f t="shared" si="18"/>
        <v>-272.54394500727233</v>
      </c>
      <c r="AE27">
        <f t="shared" si="19"/>
        <v>-160.25815839920472</v>
      </c>
      <c r="AF27">
        <f t="shared" si="20"/>
        <v>-15.311575522792968</v>
      </c>
      <c r="AG27">
        <f t="shared" si="21"/>
        <v>-94.769704427811178</v>
      </c>
      <c r="AH27">
        <v>-4.1044236341181303E-2</v>
      </c>
      <c r="AI27">
        <v>4.6075750965563801E-2</v>
      </c>
      <c r="AJ27">
        <v>3.4459504553158999</v>
      </c>
      <c r="AK27">
        <v>0</v>
      </c>
      <c r="AL27">
        <v>0</v>
      </c>
      <c r="AM27">
        <f t="shared" si="22"/>
        <v>1</v>
      </c>
      <c r="AN27">
        <f t="shared" si="23"/>
        <v>0</v>
      </c>
      <c r="AO27">
        <f t="shared" si="24"/>
        <v>52565.29452437305</v>
      </c>
      <c r="AP27" t="s">
        <v>279</v>
      </c>
      <c r="AQ27">
        <v>687.861538461539</v>
      </c>
      <c r="AR27">
        <v>4005.07</v>
      </c>
      <c r="AS27">
        <f t="shared" si="25"/>
        <v>3317.2084615384611</v>
      </c>
      <c r="AT27">
        <f t="shared" si="26"/>
        <v>0.82825230558728336</v>
      </c>
      <c r="AU27">
        <v>-4.0580585712533601</v>
      </c>
      <c r="AV27" t="s">
        <v>336</v>
      </c>
      <c r="AW27">
        <v>826.17992307692305</v>
      </c>
      <c r="AX27">
        <v>1118.42</v>
      </c>
      <c r="AY27">
        <f t="shared" si="27"/>
        <v>0.26129725588158026</v>
      </c>
      <c r="AZ27">
        <v>0.5</v>
      </c>
      <c r="BA27">
        <f t="shared" si="28"/>
        <v>1849.2017516398839</v>
      </c>
      <c r="BB27">
        <f t="shared" si="29"/>
        <v>44.512862456105637</v>
      </c>
      <c r="BC27">
        <f t="shared" si="30"/>
        <v>241.59567163745658</v>
      </c>
      <c r="BD27">
        <f t="shared" si="31"/>
        <v>0.49428658285796034</v>
      </c>
      <c r="BE27">
        <f t="shared" si="32"/>
        <v>2.6265885257942243E-2</v>
      </c>
      <c r="BF27">
        <f t="shared" si="33"/>
        <v>2.5810071350655388</v>
      </c>
      <c r="BG27" t="s">
        <v>337</v>
      </c>
      <c r="BH27">
        <v>565.6</v>
      </c>
      <c r="BI27">
        <f t="shared" si="34"/>
        <v>552.82000000000005</v>
      </c>
      <c r="BJ27">
        <f t="shared" si="35"/>
        <v>0.52863513788046201</v>
      </c>
      <c r="BK27">
        <f t="shared" si="36"/>
        <v>0.83927174826354056</v>
      </c>
      <c r="BL27">
        <f t="shared" si="37"/>
        <v>0.67874656528372912</v>
      </c>
      <c r="BM27">
        <f t="shared" si="38"/>
        <v>0.87020458119210997</v>
      </c>
      <c r="BN27">
        <f t="shared" si="39"/>
        <v>2200.0174193548401</v>
      </c>
      <c r="BO27">
        <f t="shared" si="40"/>
        <v>1849.2017516398839</v>
      </c>
      <c r="BP27">
        <f t="shared" si="41"/>
        <v>0.84053959544655166</v>
      </c>
      <c r="BQ27">
        <f t="shared" si="42"/>
        <v>0.19107919089310355</v>
      </c>
      <c r="BR27">
        <v>1562696252.5451601</v>
      </c>
      <c r="BS27">
        <v>939.57964516129005</v>
      </c>
      <c r="BT27">
        <v>999.96009677419295</v>
      </c>
      <c r="BU27">
        <v>18.3152096774194</v>
      </c>
      <c r="BV27">
        <v>11.0352451612903</v>
      </c>
      <c r="BW27">
        <v>500.02532258064502</v>
      </c>
      <c r="BX27">
        <v>99.103625806451603</v>
      </c>
      <c r="BY27">
        <v>0.100011041935484</v>
      </c>
      <c r="BZ27">
        <v>25.717464516128999</v>
      </c>
      <c r="CA27">
        <v>27.041667741935498</v>
      </c>
      <c r="CB27">
        <v>999.9</v>
      </c>
      <c r="CC27">
        <v>9987.5429032258107</v>
      </c>
      <c r="CD27">
        <v>0</v>
      </c>
      <c r="CE27">
        <v>296.57690322580601</v>
      </c>
      <c r="CF27">
        <v>2200.0174193548401</v>
      </c>
      <c r="CG27">
        <v>0.98199648387096805</v>
      </c>
      <c r="CH27">
        <v>1.8003645161290299E-2</v>
      </c>
      <c r="CI27">
        <v>0</v>
      </c>
      <c r="CJ27">
        <v>826.24796774193499</v>
      </c>
      <c r="CK27">
        <v>1.9999499999999999</v>
      </c>
      <c r="CL27">
        <v>19080.058064516099</v>
      </c>
      <c r="CM27">
        <v>17938.380645161302</v>
      </c>
      <c r="CN27">
        <v>49.012</v>
      </c>
      <c r="CO27">
        <v>49.860774193548401</v>
      </c>
      <c r="CP27">
        <v>49.433</v>
      </c>
      <c r="CQ27">
        <v>48.737806451612897</v>
      </c>
      <c r="CR27">
        <v>49.953258064516099</v>
      </c>
      <c r="CS27">
        <v>2158.44677419355</v>
      </c>
      <c r="CT27">
        <v>39.570645161290301</v>
      </c>
      <c r="CU27">
        <v>0</v>
      </c>
      <c r="CV27">
        <v>139.799999952316</v>
      </c>
      <c r="CW27">
        <v>826.17992307692305</v>
      </c>
      <c r="CX27">
        <v>-7.6075897393838599</v>
      </c>
      <c r="CY27">
        <v>-97.784615450902905</v>
      </c>
      <c r="CZ27">
        <v>19078.761538461498</v>
      </c>
      <c r="DA27">
        <v>15</v>
      </c>
      <c r="DB27">
        <v>1562696300.5999999</v>
      </c>
      <c r="DC27" t="s">
        <v>338</v>
      </c>
      <c r="DD27">
        <v>62</v>
      </c>
      <c r="DE27">
        <v>1.1539999999999999</v>
      </c>
      <c r="DF27">
        <v>2.1999999999999999E-2</v>
      </c>
      <c r="DG27">
        <v>1000</v>
      </c>
      <c r="DH27">
        <v>8</v>
      </c>
      <c r="DI27">
        <v>0.06</v>
      </c>
      <c r="DJ27">
        <v>0.01</v>
      </c>
      <c r="DK27">
        <v>44.865275808953299</v>
      </c>
      <c r="DL27">
        <v>-0.80206706076894496</v>
      </c>
      <c r="DM27">
        <v>0.17127945436565201</v>
      </c>
      <c r="DN27">
        <v>0</v>
      </c>
      <c r="DO27">
        <v>939.09286111111101</v>
      </c>
      <c r="DP27">
        <v>1.5617918607539001</v>
      </c>
      <c r="DQ27">
        <v>0.27268242138446802</v>
      </c>
      <c r="DR27">
        <v>1</v>
      </c>
      <c r="DS27">
        <v>0.37393481948171597</v>
      </c>
      <c r="DT27">
        <v>-3.4692897087117501E-2</v>
      </c>
      <c r="DU27">
        <v>6.6252495953278501E-3</v>
      </c>
      <c r="DV27">
        <v>1</v>
      </c>
      <c r="DW27">
        <v>2</v>
      </c>
      <c r="DX27">
        <v>3</v>
      </c>
      <c r="DY27" t="s">
        <v>283</v>
      </c>
      <c r="DZ27">
        <v>1.8666</v>
      </c>
      <c r="EA27">
        <v>1.8631</v>
      </c>
      <c r="EB27">
        <v>1.8687199999999999</v>
      </c>
      <c r="EC27">
        <v>1.8666199999999999</v>
      </c>
      <c r="ED27">
        <v>1.87134</v>
      </c>
      <c r="EE27">
        <v>1.8637699999999999</v>
      </c>
      <c r="EF27">
        <v>1.86527</v>
      </c>
      <c r="EG27">
        <v>1.8652299999999999</v>
      </c>
      <c r="EH27" t="s">
        <v>284</v>
      </c>
      <c r="EI27" t="s">
        <v>19</v>
      </c>
      <c r="EJ27" t="s">
        <v>19</v>
      </c>
      <c r="EK27" t="s">
        <v>19</v>
      </c>
      <c r="EL27" t="s">
        <v>285</v>
      </c>
      <c r="EM27" t="s">
        <v>286</v>
      </c>
      <c r="EN27" t="s">
        <v>287</v>
      </c>
      <c r="EO27" t="s">
        <v>287</v>
      </c>
      <c r="EP27" t="s">
        <v>287</v>
      </c>
      <c r="EQ27" t="s">
        <v>287</v>
      </c>
      <c r="ER27">
        <v>0</v>
      </c>
      <c r="ES27">
        <v>100</v>
      </c>
      <c r="ET27">
        <v>100</v>
      </c>
      <c r="EU27">
        <v>1.1539999999999999</v>
      </c>
      <c r="EV27">
        <v>2.1999999999999999E-2</v>
      </c>
      <c r="EW27">
        <v>2</v>
      </c>
      <c r="EX27">
        <v>505.85599999999999</v>
      </c>
      <c r="EY27">
        <v>472.95800000000003</v>
      </c>
      <c r="EZ27">
        <v>17.964200000000002</v>
      </c>
      <c r="FA27">
        <v>35.763500000000001</v>
      </c>
      <c r="FB27">
        <v>30</v>
      </c>
      <c r="FC27">
        <v>35.741599999999998</v>
      </c>
      <c r="FD27">
        <v>35.727899999999998</v>
      </c>
      <c r="FE27">
        <v>46.439500000000002</v>
      </c>
      <c r="FF27">
        <v>68.64</v>
      </c>
      <c r="FG27">
        <v>0</v>
      </c>
      <c r="FH27">
        <v>17.588899999999999</v>
      </c>
      <c r="FI27">
        <v>1000</v>
      </c>
      <c r="FJ27">
        <v>11.1692</v>
      </c>
      <c r="FK27">
        <v>100.294</v>
      </c>
      <c r="FL27">
        <v>100.758</v>
      </c>
    </row>
    <row r="28" spans="1:168" x14ac:dyDescent="0.35">
      <c r="A28">
        <v>13</v>
      </c>
      <c r="B28">
        <v>1562696442</v>
      </c>
      <c r="C28">
        <v>1706.5</v>
      </c>
      <c r="D28" t="s">
        <v>339</v>
      </c>
      <c r="E28" t="s">
        <v>340</v>
      </c>
      <c r="F28" t="s">
        <v>277</v>
      </c>
      <c r="G28" t="s">
        <v>278</v>
      </c>
      <c r="H28" t="s">
        <v>277</v>
      </c>
      <c r="J28" t="s">
        <v>277</v>
      </c>
      <c r="K28">
        <v>1562696434.04194</v>
      </c>
      <c r="L28">
        <f t="shared" si="0"/>
        <v>5.3180573876786662E-3</v>
      </c>
      <c r="M28">
        <f t="shared" si="1"/>
        <v>44.180536576551347</v>
      </c>
      <c r="N28">
        <f t="shared" si="2"/>
        <v>1139.77548387097</v>
      </c>
      <c r="O28">
        <f t="shared" si="3"/>
        <v>868.52833931461635</v>
      </c>
      <c r="P28">
        <f t="shared" si="4"/>
        <v>86.156128397035047</v>
      </c>
      <c r="Q28">
        <f t="shared" si="5"/>
        <v>113.06325710646558</v>
      </c>
      <c r="R28">
        <f t="shared" si="6"/>
        <v>0.3112699584918146</v>
      </c>
      <c r="S28">
        <f t="shared" si="7"/>
        <v>2.2457081320967176</v>
      </c>
      <c r="T28">
        <f t="shared" si="8"/>
        <v>0.28913472201944068</v>
      </c>
      <c r="U28">
        <f t="shared" si="9"/>
        <v>0.18256661890153378</v>
      </c>
      <c r="V28">
        <f t="shared" si="10"/>
        <v>353.34233694714067</v>
      </c>
      <c r="W28">
        <f t="shared" si="11"/>
        <v>26.308513463635595</v>
      </c>
      <c r="X28">
        <f t="shared" si="12"/>
        <v>26.987225806451601</v>
      </c>
      <c r="Y28">
        <f t="shared" si="13"/>
        <v>3.5764752715666925</v>
      </c>
      <c r="Z28">
        <f t="shared" si="14"/>
        <v>55.280799285427861</v>
      </c>
      <c r="AA28">
        <f t="shared" si="15"/>
        <v>1.80138623236007</v>
      </c>
      <c r="AB28">
        <f t="shared" si="16"/>
        <v>3.2586110469551754</v>
      </c>
      <c r="AC28">
        <f t="shared" si="17"/>
        <v>1.7750890392066225</v>
      </c>
      <c r="AD28">
        <f t="shared" si="18"/>
        <v>-234.52633079662917</v>
      </c>
      <c r="AE28">
        <f t="shared" si="19"/>
        <v>-190.72137102162648</v>
      </c>
      <c r="AF28">
        <f t="shared" si="20"/>
        <v>-18.182065056707586</v>
      </c>
      <c r="AG28">
        <f t="shared" si="21"/>
        <v>-90.087429927822569</v>
      </c>
      <c r="AH28">
        <v>-4.10683035211937E-2</v>
      </c>
      <c r="AI28">
        <v>4.6102768483528497E-2</v>
      </c>
      <c r="AJ28">
        <v>3.4475504479585202</v>
      </c>
      <c r="AK28">
        <v>0</v>
      </c>
      <c r="AL28">
        <v>0</v>
      </c>
      <c r="AM28">
        <f t="shared" si="22"/>
        <v>1</v>
      </c>
      <c r="AN28">
        <f t="shared" si="23"/>
        <v>0</v>
      </c>
      <c r="AO28">
        <f t="shared" si="24"/>
        <v>52648.58843094662</v>
      </c>
      <c r="AP28" t="s">
        <v>279</v>
      </c>
      <c r="AQ28">
        <v>687.861538461539</v>
      </c>
      <c r="AR28">
        <v>4005.07</v>
      </c>
      <c r="AS28">
        <f t="shared" si="25"/>
        <v>3317.2084615384611</v>
      </c>
      <c r="AT28">
        <f t="shared" si="26"/>
        <v>0.82825230558728336</v>
      </c>
      <c r="AU28">
        <v>-4.0580585712533601</v>
      </c>
      <c r="AV28" t="s">
        <v>341</v>
      </c>
      <c r="AW28">
        <v>814.94449999999995</v>
      </c>
      <c r="AX28">
        <v>1090.92</v>
      </c>
      <c r="AY28">
        <f t="shared" si="27"/>
        <v>0.25297501191654759</v>
      </c>
      <c r="AZ28">
        <v>0.5</v>
      </c>
      <c r="BA28">
        <f t="shared" si="28"/>
        <v>1849.1906512916773</v>
      </c>
      <c r="BB28">
        <f t="shared" si="29"/>
        <v>44.180536576551347</v>
      </c>
      <c r="BC28">
        <f t="shared" si="30"/>
        <v>233.89951352324024</v>
      </c>
      <c r="BD28">
        <f t="shared" si="31"/>
        <v>0.48868844644886894</v>
      </c>
      <c r="BE28">
        <f t="shared" si="32"/>
        <v>2.6086328694182825E-2</v>
      </c>
      <c r="BF28">
        <f t="shared" si="33"/>
        <v>2.6712774538921278</v>
      </c>
      <c r="BG28" t="s">
        <v>342</v>
      </c>
      <c r="BH28">
        <v>557.79999999999995</v>
      </c>
      <c r="BI28">
        <f t="shared" si="34"/>
        <v>533.12000000000012</v>
      </c>
      <c r="BJ28">
        <f t="shared" si="35"/>
        <v>0.51766112695078048</v>
      </c>
      <c r="BK28">
        <f t="shared" si="36"/>
        <v>0.84535008862085059</v>
      </c>
      <c r="BL28">
        <f t="shared" si="37"/>
        <v>0.68470340244591466</v>
      </c>
      <c r="BM28">
        <f t="shared" si="38"/>
        <v>0.87849468424678689</v>
      </c>
      <c r="BN28">
        <f t="shared" si="39"/>
        <v>2200.0038709677401</v>
      </c>
      <c r="BO28">
        <f t="shared" si="40"/>
        <v>1849.1906512916773</v>
      </c>
      <c r="BP28">
        <f t="shared" si="41"/>
        <v>0.84053972617705142</v>
      </c>
      <c r="BQ28">
        <f t="shared" si="42"/>
        <v>0.19107945235410295</v>
      </c>
      <c r="BR28">
        <v>1562696434.04194</v>
      </c>
      <c r="BS28">
        <v>1139.77548387097</v>
      </c>
      <c r="BT28">
        <v>1200.0622580645199</v>
      </c>
      <c r="BU28">
        <v>18.159532258064502</v>
      </c>
      <c r="BV28">
        <v>11.894119354838701</v>
      </c>
      <c r="BW28">
        <v>500.02935483870999</v>
      </c>
      <c r="BX28">
        <v>99.097845161290294</v>
      </c>
      <c r="BY28">
        <v>9.9986961290322598E-2</v>
      </c>
      <c r="BZ28">
        <v>25.411935483871002</v>
      </c>
      <c r="CA28">
        <v>26.987225806451601</v>
      </c>
      <c r="CB28">
        <v>999.9</v>
      </c>
      <c r="CC28">
        <v>9993.9822580645196</v>
      </c>
      <c r="CD28">
        <v>0</v>
      </c>
      <c r="CE28">
        <v>484.133193548387</v>
      </c>
      <c r="CF28">
        <v>2200.0038709677401</v>
      </c>
      <c r="CG28">
        <v>0.98199451612903199</v>
      </c>
      <c r="CH28">
        <v>1.8005903225806499E-2</v>
      </c>
      <c r="CI28">
        <v>0</v>
      </c>
      <c r="CJ28">
        <v>815.03958064516098</v>
      </c>
      <c r="CK28">
        <v>1.9999499999999999</v>
      </c>
      <c r="CL28">
        <v>18805.7193548387</v>
      </c>
      <c r="CM28">
        <v>17938.248387096799</v>
      </c>
      <c r="CN28">
        <v>48.804064516129003</v>
      </c>
      <c r="CO28">
        <v>49.545999999999999</v>
      </c>
      <c r="CP28">
        <v>49.167000000000002</v>
      </c>
      <c r="CQ28">
        <v>48.475612903225802</v>
      </c>
      <c r="CR28">
        <v>49.7093548387097</v>
      </c>
      <c r="CS28">
        <v>2158.4245161290301</v>
      </c>
      <c r="CT28">
        <v>39.58</v>
      </c>
      <c r="CU28">
        <v>0</v>
      </c>
      <c r="CV28">
        <v>181.10000014305101</v>
      </c>
      <c r="CW28">
        <v>814.94449999999995</v>
      </c>
      <c r="CX28">
        <v>-5.7372649605822303</v>
      </c>
      <c r="CY28">
        <v>-93.357264807162693</v>
      </c>
      <c r="CZ28">
        <v>18803.5884615385</v>
      </c>
      <c r="DA28">
        <v>15</v>
      </c>
      <c r="DB28">
        <v>1562696369.5999999</v>
      </c>
      <c r="DC28" t="s">
        <v>343</v>
      </c>
      <c r="DD28">
        <v>63</v>
      </c>
      <c r="DE28">
        <v>1.137</v>
      </c>
      <c r="DF28">
        <v>5.8000000000000003E-2</v>
      </c>
      <c r="DG28">
        <v>1200</v>
      </c>
      <c r="DH28">
        <v>11</v>
      </c>
      <c r="DI28">
        <v>0.03</v>
      </c>
      <c r="DJ28">
        <v>0.01</v>
      </c>
      <c r="DK28">
        <v>44.373948904452902</v>
      </c>
      <c r="DL28">
        <v>-0.93612044037457498</v>
      </c>
      <c r="DM28">
        <v>0.21060043494699801</v>
      </c>
      <c r="DN28">
        <v>0</v>
      </c>
      <c r="DO28">
        <v>1139.5348611111101</v>
      </c>
      <c r="DP28">
        <v>1.25947371869306</v>
      </c>
      <c r="DQ28">
        <v>0.22790710251445601</v>
      </c>
      <c r="DR28">
        <v>1</v>
      </c>
      <c r="DS28">
        <v>0.30878731484529698</v>
      </c>
      <c r="DT28">
        <v>2.3631233974127498E-3</v>
      </c>
      <c r="DU28">
        <v>3.9084350089647396E-3</v>
      </c>
      <c r="DV28">
        <v>1</v>
      </c>
      <c r="DW28">
        <v>2</v>
      </c>
      <c r="DX28">
        <v>3</v>
      </c>
      <c r="DY28" t="s">
        <v>283</v>
      </c>
      <c r="DZ28">
        <v>1.8666100000000001</v>
      </c>
      <c r="EA28">
        <v>1.86311</v>
      </c>
      <c r="EB28">
        <v>1.8687400000000001</v>
      </c>
      <c r="EC28">
        <v>1.8666700000000001</v>
      </c>
      <c r="ED28">
        <v>1.87138</v>
      </c>
      <c r="EE28">
        <v>1.86385</v>
      </c>
      <c r="EF28">
        <v>1.86538</v>
      </c>
      <c r="EG28">
        <v>1.86524</v>
      </c>
      <c r="EH28" t="s">
        <v>284</v>
      </c>
      <c r="EI28" t="s">
        <v>19</v>
      </c>
      <c r="EJ28" t="s">
        <v>19</v>
      </c>
      <c r="EK28" t="s">
        <v>19</v>
      </c>
      <c r="EL28" t="s">
        <v>285</v>
      </c>
      <c r="EM28" t="s">
        <v>286</v>
      </c>
      <c r="EN28" t="s">
        <v>287</v>
      </c>
      <c r="EO28" t="s">
        <v>287</v>
      </c>
      <c r="EP28" t="s">
        <v>287</v>
      </c>
      <c r="EQ28" t="s">
        <v>287</v>
      </c>
      <c r="ER28">
        <v>0</v>
      </c>
      <c r="ES28">
        <v>100</v>
      </c>
      <c r="ET28">
        <v>100</v>
      </c>
      <c r="EU28">
        <v>1.137</v>
      </c>
      <c r="EV28">
        <v>5.8000000000000003E-2</v>
      </c>
      <c r="EW28">
        <v>2</v>
      </c>
      <c r="EX28">
        <v>505.64499999999998</v>
      </c>
      <c r="EY28">
        <v>474.69400000000002</v>
      </c>
      <c r="EZ28">
        <v>18.1936</v>
      </c>
      <c r="FA28">
        <v>35.686300000000003</v>
      </c>
      <c r="FB28">
        <v>29.9999</v>
      </c>
      <c r="FC28">
        <v>35.695700000000002</v>
      </c>
      <c r="FD28">
        <v>35.681800000000003</v>
      </c>
      <c r="FE28">
        <v>53.769300000000001</v>
      </c>
      <c r="FF28">
        <v>66.59</v>
      </c>
      <c r="FG28">
        <v>0</v>
      </c>
      <c r="FH28">
        <v>18.174499999999998</v>
      </c>
      <c r="FI28">
        <v>1200</v>
      </c>
      <c r="FJ28">
        <v>11.8665</v>
      </c>
      <c r="FK28">
        <v>100.30800000000001</v>
      </c>
      <c r="FL28">
        <v>100.774</v>
      </c>
    </row>
  </sheetData>
  <sortState xmlns:xlrd2="http://schemas.microsoft.com/office/spreadsheetml/2017/richdata2" ref="M33:O45">
    <sortCondition ref="M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2019-07-09T13:21:20Z</dcterms:created>
  <dcterms:modified xsi:type="dcterms:W3CDTF">2019-08-28T03:01:48Z</dcterms:modified>
</cp:coreProperties>
</file>