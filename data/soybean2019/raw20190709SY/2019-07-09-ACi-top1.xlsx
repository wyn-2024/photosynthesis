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26474C9F-11C7-403F-B114-EDFBB5541931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Q28" i="1" l="1"/>
  <c r="BP28" i="1"/>
  <c r="BN28" i="1"/>
  <c r="BM28" i="1"/>
  <c r="BL28" i="1"/>
  <c r="BK28" i="1"/>
  <c r="BJ28" i="1"/>
  <c r="BI28" i="1"/>
  <c r="BD28" i="1" s="1"/>
  <c r="BF28" i="1"/>
  <c r="AY28" i="1"/>
  <c r="AS28" i="1"/>
  <c r="AT28" i="1" s="1"/>
  <c r="AO28" i="1"/>
  <c r="AM28" i="1" s="1"/>
  <c r="L28" i="1" s="1"/>
  <c r="AD28" i="1" s="1"/>
  <c r="AB28" i="1"/>
  <c r="AA28" i="1"/>
  <c r="S28" i="1"/>
  <c r="BQ27" i="1"/>
  <c r="BP27" i="1"/>
  <c r="BN27" i="1"/>
  <c r="BM27" i="1"/>
  <c r="BL27" i="1"/>
  <c r="BK27" i="1"/>
  <c r="BJ27" i="1"/>
  <c r="BI27" i="1"/>
  <c r="BD27" i="1" s="1"/>
  <c r="BF27" i="1"/>
  <c r="AY27" i="1"/>
  <c r="AS27" i="1"/>
  <c r="AT27" i="1" s="1"/>
  <c r="AO27" i="1"/>
  <c r="AM27" i="1" s="1"/>
  <c r="N27" i="1" s="1"/>
  <c r="AB27" i="1"/>
  <c r="AA27" i="1"/>
  <c r="Z27" i="1" s="1"/>
  <c r="S27" i="1"/>
  <c r="BQ26" i="1"/>
  <c r="BP26" i="1"/>
  <c r="BN26" i="1"/>
  <c r="BO26" i="1" s="1"/>
  <c r="BA26" i="1" s="1"/>
  <c r="BC26" i="1" s="1"/>
  <c r="BM26" i="1"/>
  <c r="BL26" i="1"/>
  <c r="BK26" i="1"/>
  <c r="BJ26" i="1"/>
  <c r="BI26" i="1"/>
  <c r="BD26" i="1" s="1"/>
  <c r="BF26" i="1"/>
  <c r="AY26" i="1"/>
  <c r="AT26" i="1"/>
  <c r="AS26" i="1"/>
  <c r="AO26" i="1"/>
  <c r="AM26" i="1"/>
  <c r="Q26" i="1" s="1"/>
  <c r="AB26" i="1"/>
  <c r="Z26" i="1" s="1"/>
  <c r="AA26" i="1"/>
  <c r="S26" i="1"/>
  <c r="BQ25" i="1"/>
  <c r="BP25" i="1"/>
  <c r="BN25" i="1"/>
  <c r="BM25" i="1"/>
  <c r="BL25" i="1"/>
  <c r="BK25" i="1"/>
  <c r="BJ25" i="1"/>
  <c r="BI25" i="1"/>
  <c r="BD25" i="1" s="1"/>
  <c r="BF25" i="1"/>
  <c r="AY25" i="1"/>
  <c r="AS25" i="1"/>
  <c r="AT25" i="1" s="1"/>
  <c r="AO25" i="1"/>
  <c r="AM25" i="1" s="1"/>
  <c r="M25" i="1" s="1"/>
  <c r="BB25" i="1" s="1"/>
  <c r="AB25" i="1"/>
  <c r="AA25" i="1"/>
  <c r="S25" i="1"/>
  <c r="BQ24" i="1"/>
  <c r="BP24" i="1"/>
  <c r="BN24" i="1"/>
  <c r="BM24" i="1"/>
  <c r="BL24" i="1"/>
  <c r="BK24" i="1"/>
  <c r="BJ24" i="1"/>
  <c r="BI24" i="1"/>
  <c r="BF24" i="1"/>
  <c r="BD24" i="1"/>
  <c r="AY24" i="1"/>
  <c r="AS24" i="1"/>
  <c r="AT24" i="1" s="1"/>
  <c r="AO24" i="1"/>
  <c r="AM24" i="1" s="1"/>
  <c r="L24" i="1" s="1"/>
  <c r="AD24" i="1" s="1"/>
  <c r="AB24" i="1"/>
  <c r="AA24" i="1"/>
  <c r="S24" i="1"/>
  <c r="BQ23" i="1"/>
  <c r="BP23" i="1"/>
  <c r="BN23" i="1"/>
  <c r="BO23" i="1" s="1"/>
  <c r="BA23" i="1" s="1"/>
  <c r="BM23" i="1"/>
  <c r="BL23" i="1"/>
  <c r="BK23" i="1"/>
  <c r="BJ23" i="1"/>
  <c r="BI23" i="1"/>
  <c r="BD23" i="1" s="1"/>
  <c r="BF23" i="1"/>
  <c r="AY23" i="1"/>
  <c r="AS23" i="1"/>
  <c r="AT23" i="1" s="1"/>
  <c r="AO23" i="1"/>
  <c r="AM23" i="1" s="1"/>
  <c r="AB23" i="1"/>
  <c r="AA23" i="1"/>
  <c r="Z23" i="1" s="1"/>
  <c r="S23" i="1"/>
  <c r="BQ22" i="1"/>
  <c r="BP22" i="1"/>
  <c r="BN22" i="1"/>
  <c r="BM22" i="1"/>
  <c r="BL22" i="1"/>
  <c r="BK22" i="1"/>
  <c r="BJ22" i="1"/>
  <c r="BI22" i="1"/>
  <c r="BD22" i="1" s="1"/>
  <c r="BF22" i="1"/>
  <c r="AY22" i="1"/>
  <c r="AS22" i="1"/>
  <c r="AT22" i="1" s="1"/>
  <c r="AO22" i="1"/>
  <c r="AM22" i="1" s="1"/>
  <c r="L22" i="1" s="1"/>
  <c r="AD22" i="1" s="1"/>
  <c r="AB22" i="1"/>
  <c r="AA22" i="1"/>
  <c r="S22" i="1"/>
  <c r="BQ21" i="1"/>
  <c r="BP21" i="1"/>
  <c r="BN21" i="1"/>
  <c r="BO21" i="1" s="1"/>
  <c r="BM21" i="1"/>
  <c r="BL21" i="1"/>
  <c r="BK21" i="1"/>
  <c r="BJ21" i="1"/>
  <c r="BI21" i="1"/>
  <c r="BD21" i="1" s="1"/>
  <c r="BF21" i="1"/>
  <c r="AY21" i="1"/>
  <c r="AS21" i="1"/>
  <c r="AT21" i="1" s="1"/>
  <c r="AO21" i="1"/>
  <c r="AM21" i="1" s="1"/>
  <c r="AB21" i="1"/>
  <c r="AA21" i="1"/>
  <c r="S21" i="1"/>
  <c r="L21" i="1"/>
  <c r="AD21" i="1" s="1"/>
  <c r="BQ20" i="1"/>
  <c r="BP20" i="1"/>
  <c r="BN20" i="1"/>
  <c r="BM20" i="1"/>
  <c r="BL20" i="1"/>
  <c r="BK20" i="1"/>
  <c r="BJ20" i="1"/>
  <c r="BI20" i="1"/>
  <c r="BD20" i="1" s="1"/>
  <c r="BF20" i="1"/>
  <c r="AY20" i="1"/>
  <c r="AS20" i="1"/>
  <c r="AT20" i="1" s="1"/>
  <c r="AO20" i="1"/>
  <c r="AM20" i="1" s="1"/>
  <c r="AB20" i="1"/>
  <c r="AA20" i="1"/>
  <c r="Z20" i="1" s="1"/>
  <c r="S20" i="1"/>
  <c r="BQ19" i="1"/>
  <c r="BP19" i="1"/>
  <c r="BN19" i="1"/>
  <c r="BO19" i="1" s="1"/>
  <c r="BA19" i="1" s="1"/>
  <c r="BC19" i="1" s="1"/>
  <c r="BM19" i="1"/>
  <c r="BL19" i="1"/>
  <c r="BK19" i="1"/>
  <c r="BJ19" i="1"/>
  <c r="BI19" i="1"/>
  <c r="BD19" i="1" s="1"/>
  <c r="BF19" i="1"/>
  <c r="AY19" i="1"/>
  <c r="AS19" i="1"/>
  <c r="AT19" i="1" s="1"/>
  <c r="AO19" i="1"/>
  <c r="AM19" i="1"/>
  <c r="AB19" i="1"/>
  <c r="AA19" i="1"/>
  <c r="S19" i="1"/>
  <c r="BQ18" i="1"/>
  <c r="BP18" i="1"/>
  <c r="BN18" i="1"/>
  <c r="BM18" i="1"/>
  <c r="BL18" i="1"/>
  <c r="BK18" i="1"/>
  <c r="BJ18" i="1"/>
  <c r="BI18" i="1"/>
  <c r="BD18" i="1" s="1"/>
  <c r="BF18" i="1"/>
  <c r="AY18" i="1"/>
  <c r="AS18" i="1"/>
  <c r="AT18" i="1" s="1"/>
  <c r="AO18" i="1"/>
  <c r="AM18" i="1" s="1"/>
  <c r="AN18" i="1" s="1"/>
  <c r="AB18" i="1"/>
  <c r="AA18" i="1"/>
  <c r="S18" i="1"/>
  <c r="Q18" i="1"/>
  <c r="BQ17" i="1"/>
  <c r="BP17" i="1"/>
  <c r="BN17" i="1"/>
  <c r="BM17" i="1"/>
  <c r="BL17" i="1"/>
  <c r="BK17" i="1"/>
  <c r="BJ17" i="1"/>
  <c r="BI17" i="1"/>
  <c r="BD17" i="1" s="1"/>
  <c r="BF17" i="1"/>
  <c r="AY17" i="1"/>
  <c r="AS17" i="1"/>
  <c r="AT17" i="1" s="1"/>
  <c r="AO17" i="1"/>
  <c r="AM17" i="1" s="1"/>
  <c r="AB17" i="1"/>
  <c r="AA17" i="1"/>
  <c r="Z17" i="1"/>
  <c r="S17" i="1"/>
  <c r="BO27" i="1" l="1"/>
  <c r="BA27" i="1" s="1"/>
  <c r="BO28" i="1"/>
  <c r="M22" i="1"/>
  <c r="BB22" i="1" s="1"/>
  <c r="Z18" i="1"/>
  <c r="Z19" i="1"/>
  <c r="Z22" i="1"/>
  <c r="N20" i="1"/>
  <c r="AN20" i="1"/>
  <c r="AN23" i="1"/>
  <c r="N23" i="1"/>
  <c r="Q25" i="1"/>
  <c r="L18" i="1"/>
  <c r="AD18" i="1" s="1"/>
  <c r="Q22" i="1"/>
  <c r="L25" i="1"/>
  <c r="BO25" i="1"/>
  <c r="V26" i="1"/>
  <c r="V27" i="1"/>
  <c r="AN27" i="1"/>
  <c r="BC27" i="1"/>
  <c r="M18" i="1"/>
  <c r="BB18" i="1" s="1"/>
  <c r="BO17" i="1"/>
  <c r="V17" i="1" s="1"/>
  <c r="N18" i="1"/>
  <c r="BO18" i="1"/>
  <c r="BO20" i="1"/>
  <c r="BA20" i="1" s="1"/>
  <c r="BC20" i="1" s="1"/>
  <c r="BO22" i="1"/>
  <c r="V22" i="1" s="1"/>
  <c r="V23" i="1"/>
  <c r="BC23" i="1"/>
  <c r="BO24" i="1"/>
  <c r="BA24" i="1" s="1"/>
  <c r="BC24" i="1" s="1"/>
  <c r="Z25" i="1"/>
  <c r="V21" i="1"/>
  <c r="BA21" i="1"/>
  <c r="BC21" i="1" s="1"/>
  <c r="Q17" i="1"/>
  <c r="M17" i="1"/>
  <c r="BB17" i="1" s="1"/>
  <c r="L17" i="1"/>
  <c r="AN17" i="1"/>
  <c r="N17" i="1"/>
  <c r="BA17" i="1"/>
  <c r="BC17" i="1" s="1"/>
  <c r="L19" i="1"/>
  <c r="AN19" i="1"/>
  <c r="N19" i="1"/>
  <c r="M19" i="1"/>
  <c r="BB19" i="1" s="1"/>
  <c r="BE19" i="1" s="1"/>
  <c r="N24" i="1"/>
  <c r="Q24" i="1"/>
  <c r="M24" i="1"/>
  <c r="BB24" i="1" s="1"/>
  <c r="AN24" i="1"/>
  <c r="V28" i="1"/>
  <c r="BA28" i="1"/>
  <c r="BC28" i="1" s="1"/>
  <c r="V19" i="1"/>
  <c r="AD25" i="1"/>
  <c r="V25" i="1"/>
  <c r="BA25" i="1"/>
  <c r="BC25" i="1" s="1"/>
  <c r="L26" i="1"/>
  <c r="AN26" i="1"/>
  <c r="N26" i="1"/>
  <c r="M26" i="1"/>
  <c r="BB26" i="1" s="1"/>
  <c r="BE26" i="1" s="1"/>
  <c r="Q19" i="1"/>
  <c r="N21" i="1"/>
  <c r="Q21" i="1"/>
  <c r="M21" i="1"/>
  <c r="BB21" i="1" s="1"/>
  <c r="BE21" i="1" s="1"/>
  <c r="AN21" i="1"/>
  <c r="N28" i="1"/>
  <c r="Q28" i="1"/>
  <c r="M28" i="1"/>
  <c r="BB28" i="1" s="1"/>
  <c r="AN28" i="1"/>
  <c r="AN22" i="1"/>
  <c r="N22" i="1"/>
  <c r="AN25" i="1"/>
  <c r="N25" i="1"/>
  <c r="Q20" i="1"/>
  <c r="M20" i="1"/>
  <c r="BB20" i="1" s="1"/>
  <c r="L20" i="1"/>
  <c r="Z21" i="1"/>
  <c r="Q23" i="1"/>
  <c r="M23" i="1"/>
  <c r="BB23" i="1" s="1"/>
  <c r="BE23" i="1" s="1"/>
  <c r="L23" i="1"/>
  <c r="Z24" i="1"/>
  <c r="Q27" i="1"/>
  <c r="M27" i="1"/>
  <c r="BB27" i="1" s="1"/>
  <c r="BE27" i="1" s="1"/>
  <c r="L27" i="1"/>
  <c r="Z28" i="1"/>
  <c r="BE20" i="1" l="1"/>
  <c r="V20" i="1"/>
  <c r="V24" i="1"/>
  <c r="BA22" i="1"/>
  <c r="BA18" i="1"/>
  <c r="BC18" i="1" s="1"/>
  <c r="V18" i="1"/>
  <c r="W18" i="1" s="1"/>
  <c r="X18" i="1" s="1"/>
  <c r="AD27" i="1"/>
  <c r="AD20" i="1"/>
  <c r="BE24" i="1"/>
  <c r="AD17" i="1"/>
  <c r="W24" i="1"/>
  <c r="X24" i="1" s="1"/>
  <c r="W17" i="1"/>
  <c r="X17" i="1" s="1"/>
  <c r="T17" i="1" s="1"/>
  <c r="R17" i="1" s="1"/>
  <c r="U17" i="1" s="1"/>
  <c r="O17" i="1" s="1"/>
  <c r="P17" i="1" s="1"/>
  <c r="BE17" i="1"/>
  <c r="W25" i="1"/>
  <c r="X25" i="1" s="1"/>
  <c r="W20" i="1"/>
  <c r="X20" i="1" s="1"/>
  <c r="AD23" i="1"/>
  <c r="AD26" i="1"/>
  <c r="W22" i="1"/>
  <c r="X22" i="1" s="1"/>
  <c r="W27" i="1"/>
  <c r="X27" i="1" s="1"/>
  <c r="W28" i="1"/>
  <c r="X28" i="1" s="1"/>
  <c r="BE28" i="1"/>
  <c r="BE25" i="1"/>
  <c r="W23" i="1"/>
  <c r="X23" i="1" s="1"/>
  <c r="T23" i="1" s="1"/>
  <c r="R23" i="1" s="1"/>
  <c r="U23" i="1" s="1"/>
  <c r="O23" i="1" s="1"/>
  <c r="P23" i="1" s="1"/>
  <c r="W19" i="1"/>
  <c r="X19" i="1" s="1"/>
  <c r="W26" i="1"/>
  <c r="X26" i="1" s="1"/>
  <c r="AD19" i="1"/>
  <c r="W21" i="1"/>
  <c r="X21" i="1" s="1"/>
  <c r="BC22" i="1" l="1"/>
  <c r="BE22" i="1"/>
  <c r="AF18" i="1"/>
  <c r="AE18" i="1"/>
  <c r="Y18" i="1"/>
  <c r="AC18" i="1" s="1"/>
  <c r="T18" i="1"/>
  <c r="R18" i="1" s="1"/>
  <c r="U18" i="1" s="1"/>
  <c r="O18" i="1" s="1"/>
  <c r="P18" i="1" s="1"/>
  <c r="BE18" i="1"/>
  <c r="AF19" i="1"/>
  <c r="Y19" i="1"/>
  <c r="AC19" i="1" s="1"/>
  <c r="AE19" i="1"/>
  <c r="Y28" i="1"/>
  <c r="AC28" i="1" s="1"/>
  <c r="AF28" i="1"/>
  <c r="AE28" i="1"/>
  <c r="T28" i="1"/>
  <c r="R28" i="1" s="1"/>
  <c r="U28" i="1" s="1"/>
  <c r="O28" i="1" s="1"/>
  <c r="P28" i="1" s="1"/>
  <c r="Y23" i="1"/>
  <c r="AC23" i="1" s="1"/>
  <c r="AF23" i="1"/>
  <c r="AE23" i="1"/>
  <c r="Y25" i="1"/>
  <c r="AC25" i="1" s="1"/>
  <c r="AF25" i="1"/>
  <c r="AG25" i="1" s="1"/>
  <c r="T25" i="1"/>
  <c r="R25" i="1" s="1"/>
  <c r="U25" i="1" s="1"/>
  <c r="O25" i="1" s="1"/>
  <c r="P25" i="1" s="1"/>
  <c r="AE25" i="1"/>
  <c r="Y21" i="1"/>
  <c r="AC21" i="1" s="1"/>
  <c r="AF21" i="1"/>
  <c r="AE21" i="1"/>
  <c r="T21" i="1"/>
  <c r="R21" i="1" s="1"/>
  <c r="U21" i="1" s="1"/>
  <c r="O21" i="1" s="1"/>
  <c r="P21" i="1" s="1"/>
  <c r="AF26" i="1"/>
  <c r="Y26" i="1"/>
  <c r="AC26" i="1" s="1"/>
  <c r="AE26" i="1"/>
  <c r="Y27" i="1"/>
  <c r="AC27" i="1" s="1"/>
  <c r="AF27" i="1"/>
  <c r="AE27" i="1"/>
  <c r="T26" i="1"/>
  <c r="R26" i="1" s="1"/>
  <c r="U26" i="1" s="1"/>
  <c r="O26" i="1" s="1"/>
  <c r="P26" i="1" s="1"/>
  <c r="Y22" i="1"/>
  <c r="AC22" i="1" s="1"/>
  <c r="AF22" i="1"/>
  <c r="AE22" i="1"/>
  <c r="T22" i="1"/>
  <c r="R22" i="1" s="1"/>
  <c r="U22" i="1" s="1"/>
  <c r="O22" i="1" s="1"/>
  <c r="P22" i="1" s="1"/>
  <c r="T19" i="1"/>
  <c r="R19" i="1" s="1"/>
  <c r="U19" i="1" s="1"/>
  <c r="O19" i="1" s="1"/>
  <c r="P19" i="1" s="1"/>
  <c r="Y20" i="1"/>
  <c r="AC20" i="1" s="1"/>
  <c r="AF20" i="1"/>
  <c r="AE20" i="1"/>
  <c r="Y24" i="1"/>
  <c r="AC24" i="1" s="1"/>
  <c r="AF24" i="1"/>
  <c r="AE24" i="1"/>
  <c r="T24" i="1"/>
  <c r="R24" i="1" s="1"/>
  <c r="U24" i="1" s="1"/>
  <c r="O24" i="1" s="1"/>
  <c r="P24" i="1" s="1"/>
  <c r="T20" i="1"/>
  <c r="R20" i="1" s="1"/>
  <c r="U20" i="1" s="1"/>
  <c r="O20" i="1" s="1"/>
  <c r="P20" i="1" s="1"/>
  <c r="Y17" i="1"/>
  <c r="AC17" i="1" s="1"/>
  <c r="AF17" i="1"/>
  <c r="AE17" i="1"/>
  <c r="T27" i="1"/>
  <c r="R27" i="1" s="1"/>
  <c r="U27" i="1" s="1"/>
  <c r="O27" i="1" s="1"/>
  <c r="P27" i="1" s="1"/>
  <c r="AG20" i="1" l="1"/>
  <c r="AG21" i="1"/>
  <c r="AG18" i="1"/>
  <c r="AG26" i="1"/>
  <c r="AG27" i="1"/>
  <c r="AG17" i="1"/>
  <c r="AG24" i="1"/>
  <c r="AG22" i="1"/>
  <c r="AG23" i="1"/>
  <c r="AG28" i="1"/>
  <c r="AG19" i="1"/>
</calcChain>
</file>

<file path=xl/sharedStrings.xml><?xml version="1.0" encoding="utf-8"?>
<sst xmlns="http://schemas.openxmlformats.org/spreadsheetml/2006/main" count="782" uniqueCount="345">
  <si>
    <t>File opened</t>
  </si>
  <si>
    <t>2019-07-09 11:27:42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</si>
  <si>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</si>
  <si>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</si>
  <si>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</si>
  <si>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</si>
  <si>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</si>
  <si>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</si>
  <si>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</si>
  <si>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</si>
  <si>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</si>
  <si>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</si>
  <si>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</si>
  <si>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{"co2aspan1": "0.992625", "h2obspan2b": "0.0963575", "flowbzero": "0.20796", "co2aspanconc1": "1002", "co2bspanconc1": "1002", "h2obspan2a": "0.0975941", "co2bspan2b": "0.162103", "h2oaspan2": "0", "h2oaspanconc2": "0", "h2obzero": "1.01783", "co2aspan2a": "0.164928", "flowmeterzero": "0.991801", "co2bspan2a": "0.163389", "h2oaspan2a": "0.0661155", "co2azero": "0.869071", "co2bzero": "0.880288", "flowazero": "0.4286", "co2aspan2": "0", "h2oaspan1": "1.00223", "h2oazero": "1.00263", "h2oaspan2b": "0.0662632", "h2oaspanconc1": "12.19", "co2aspanconc2": "0", "tazero": "0.00774765", "chamberpressurezero": "2.57337", "h2obspanconc1": "20", "oxygen": "21", "co2bspanconc2": "0", "co2aspan2b": "0.163711", "h2obspanconc2": "0", "tbzero": "0.197721", "co2bspan2": "0", "co2bspan1": "0.992131", "ssb_ref": "36526.8", "h2obspan2": "0", "ssa_ref": "36614.9", "h2obspan1": "0.998578"}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</si>
  <si>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</si>
  <si>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</si>
  <si>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</si>
  <si>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</si>
  <si>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</si>
  <si>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</si>
  <si>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</si>
  <si>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</si>
  <si>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</si>
  <si>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11:27:42</t>
  </si>
  <si>
    <t>Stability Definition:	gsw (GasEx): Slp&lt;1 Std&lt;1	A (GasEx): Slp&lt;0.3 Std&lt;0.5	CO2_s (Meas): Slp&lt;2.5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</si>
  <si>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</si>
  <si>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</si>
  <si>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</si>
  <si>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</si>
  <si>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</si>
  <si>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</si>
  <si>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</si>
  <si>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</si>
  <si>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</si>
  <si>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Geometry</t>
  </si>
  <si>
    <t>0: Broadleaf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</si>
  <si>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</si>
  <si>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</si>
  <si>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</si>
  <si>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</si>
  <si>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</si>
  <si>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</si>
  <si>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</si>
  <si>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</si>
  <si>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</si>
  <si>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</si>
  <si>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</si>
  <si>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</si>
  <si>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</si>
  <si>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</si>
  <si>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</si>
  <si>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</si>
  <si>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</si>
  <si>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</si>
  <si>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</si>
  <si>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</si>
  <si>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</si>
  <si>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</si>
  <si>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</si>
  <si>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</si>
  <si>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</si>
  <si>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</si>
  <si>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</si>
  <si>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</si>
  <si>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</si>
  <si>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</si>
  <si>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</si>
  <si>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</si>
  <si>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</si>
  <si>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</si>
  <si>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</si>
  <si>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</si>
  <si>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</si>
  <si>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0.217328 74.432 385.252 619.716 848.505 1054.79 1233.43 1418.33</t>
  </si>
  <si>
    <t>Fs_true</t>
  </si>
  <si>
    <t>0.125404 100.335 402.869 601.159 799.534 1000.37 1200.63 1401.48</t>
  </si>
  <si>
    <t>leak_wt</t>
  </si>
  <si>
    <t>Sys</t>
  </si>
  <si>
    <t>UserDefVar</t>
  </si>
  <si>
    <t>GasEx</t>
  </si>
  <si>
    <t>Leak</t>
  </si>
  <si>
    <t>FLR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</si>
  <si>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</si>
  <si>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</si>
  <si>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</si>
  <si>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</si>
  <si>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</si>
  <si>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</si>
  <si>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</si>
  <si>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</si>
  <si>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</si>
  <si>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</si>
  <si>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</si>
  <si>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</si>
  <si>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</si>
  <si>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Treatment</t>
  </si>
  <si>
    <t>Genotype</t>
  </si>
  <si>
    <t>Plant</t>
  </si>
  <si>
    <t>species</t>
  </si>
  <si>
    <t>leaf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</si>
  <si>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</si>
  <si>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</si>
  <si>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</si>
  <si>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</si>
  <si>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</si>
  <si>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</si>
  <si>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</si>
  <si>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</si>
  <si>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</si>
  <si>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</si>
  <si>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</si>
  <si>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</si>
  <si>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</si>
  <si>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</si>
  <si>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</si>
  <si>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</si>
  <si>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</si>
  <si>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</si>
  <si>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</si>
  <si>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</si>
  <si>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</si>
  <si>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</si>
  <si>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</si>
  <si>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</si>
  <si>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</si>
  <si>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</si>
  <si>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</si>
  <si>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</si>
  <si>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</si>
  <si>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</si>
  <si>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</si>
  <si>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</si>
  <si>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</si>
  <si>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</si>
  <si>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</si>
  <si>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</si>
  <si>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</si>
  <si>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</si>
  <si>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</si>
  <si>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</si>
  <si>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</si>
  <si>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</si>
  <si>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</si>
  <si>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</si>
  <si>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</si>
  <si>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</si>
  <si>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</si>
  <si>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</si>
  <si>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</si>
  <si>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</si>
  <si>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</si>
  <si>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</si>
  <si>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</si>
  <si>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</si>
  <si>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Qin</t>
  </si>
  <si>
    <t>Qabs</t>
  </si>
  <si>
    <t>alpha</t>
  </si>
  <si>
    <t>convert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</si>
  <si>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</si>
  <si>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</si>
  <si>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</si>
  <si>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</si>
  <si>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</si>
  <si>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</si>
  <si>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</si>
  <si>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</si>
  <si>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</si>
  <si>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</si>
  <si>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</si>
  <si>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</si>
  <si>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</si>
  <si>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</si>
  <si>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</si>
  <si>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</si>
  <si>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</si>
  <si>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</si>
  <si>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</si>
  <si>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</si>
  <si>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</si>
  <si>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</si>
  <si>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</si>
  <si>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</si>
  <si>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</si>
  <si>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</si>
  <si>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</si>
  <si>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</si>
  <si>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</si>
  <si>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</si>
  <si>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</si>
  <si>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</si>
  <si>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</si>
  <si>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</si>
  <si>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</si>
  <si>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</si>
  <si>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</si>
  <si>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</si>
  <si>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</si>
  <si>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</si>
  <si>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</si>
  <si>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</si>
  <si>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</si>
  <si>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</si>
  <si>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</si>
  <si>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</si>
  <si>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CO2_s:MN</t>
  </si>
  <si>
    <t>CO2_s:SLP</t>
  </si>
  <si>
    <t>CO2_s:SD</t>
  </si>
  <si>
    <t>CO2_s:OK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</si>
  <si>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</si>
  <si>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</si>
  <si>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</si>
  <si>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</si>
  <si>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</si>
  <si>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</si>
  <si>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</si>
  <si>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</si>
  <si>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</si>
  <si>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</si>
  <si>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</si>
  <si>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</si>
  <si>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</si>
  <si>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</si>
  <si>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</si>
  <si>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</si>
  <si>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</si>
  <si>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</si>
  <si>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</si>
  <si>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</si>
  <si>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</si>
  <si>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</si>
  <si>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</si>
  <si>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</si>
  <si>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</si>
  <si>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</si>
  <si>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</si>
  <si>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</si>
  <si>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</si>
  <si>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</si>
  <si>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</si>
  <si>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</si>
  <si>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</si>
  <si>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</si>
  <si>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</si>
  <si>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</si>
  <si>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</si>
  <si>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</si>
  <si>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</si>
  <si>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</si>
  <si>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</si>
  <si>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</si>
  <si>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</si>
  <si>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</si>
  <si>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</si>
  <si>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</si>
  <si>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</si>
  <si>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</si>
  <si>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</si>
  <si>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</si>
  <si>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</si>
  <si>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</si>
  <si>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</si>
  <si>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</si>
  <si>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</si>
  <si>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</si>
  <si>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</si>
  <si>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</si>
  <si>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</si>
  <si>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</si>
  <si>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</si>
  <si>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</si>
  <si>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</si>
  <si>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</si>
  <si>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µmol mol⁻¹ min⁻¹</t>
  </si>
  <si>
    <t>mol m⁻² s⁻¹ min⁻¹</t>
  </si>
  <si>
    <t>V</t>
  </si>
  <si>
    <t>20190709 11:30:34</t>
  </si>
  <si>
    <t>11:30:34</t>
  </si>
  <si>
    <t>1</t>
  </si>
  <si>
    <t>G2</t>
  </si>
  <si>
    <t>RECT-4282-20190709-05_10_52</t>
  </si>
  <si>
    <t>MPF-4329-20190709-11_30_36</t>
  </si>
  <si>
    <t>DARK-4330-20190709-11_30_43</t>
  </si>
  <si>
    <t>11:29:50</t>
  </si>
  <si>
    <t>3/3</t>
  </si>
  <si>
    <t>5</t>
  </si>
  <si>
    <t>11111111</t>
  </si>
  <si>
    <t>oooooooo</t>
  </si>
  <si>
    <t>off</t>
  </si>
  <si>
    <t>20190709 11:32:39</t>
  </si>
  <si>
    <t>11:32:39</t>
  </si>
  <si>
    <t>MPF-4331-20190709-11_32_40</t>
  </si>
  <si>
    <t>DARK-4332-20190709-11_32_48</t>
  </si>
  <si>
    <t>11:31:54</t>
  </si>
  <si>
    <t>20190709 11:34:42</t>
  </si>
  <si>
    <t>11:34:42</t>
  </si>
  <si>
    <t>MPF-4333-20190709-11_34_43</t>
  </si>
  <si>
    <t>DARK-4334-20190709-11_34_51</t>
  </si>
  <si>
    <t>11:33:57</t>
  </si>
  <si>
    <t>20190709 11:36:49</t>
  </si>
  <si>
    <t>11:36:49</t>
  </si>
  <si>
    <t>MPF-4335-20190709-11_36_51</t>
  </si>
  <si>
    <t>DARK-4336-20190709-11_36_58</t>
  </si>
  <si>
    <t>11:36:05</t>
  </si>
  <si>
    <t>20190709 11:38:49</t>
  </si>
  <si>
    <t>11:38:49</t>
  </si>
  <si>
    <t>MPF-4337-20190709-11_38_50</t>
  </si>
  <si>
    <t>DARK-4338-20190709-11_38_58</t>
  </si>
  <si>
    <t>11:38:05</t>
  </si>
  <si>
    <t>20190709 11:40:53</t>
  </si>
  <si>
    <t>11:40:53</t>
  </si>
  <si>
    <t>MPF-4339-20190709-11_40_55</t>
  </si>
  <si>
    <t>DARK-4340-20190709-11_41_03</t>
  </si>
  <si>
    <t>11:41:34</t>
  </si>
  <si>
    <t>20190709 11:46:16</t>
  </si>
  <si>
    <t>11:46:16</t>
  </si>
  <si>
    <t>MPF-4343-20190709-11_46_17</t>
  </si>
  <si>
    <t>DARK-4344-20190709-11_46_25</t>
  </si>
  <si>
    <t>11:45:07</t>
  </si>
  <si>
    <t>2/3</t>
  </si>
  <si>
    <t>20190709 11:48:36</t>
  </si>
  <si>
    <t>11:48:36</t>
  </si>
  <si>
    <t>MPF-4345-20190709-11_48_38</t>
  </si>
  <si>
    <t>DARK-4346-20190709-11_48_45</t>
  </si>
  <si>
    <t>11:47:34</t>
  </si>
  <si>
    <t>20190709 11:50:57</t>
  </si>
  <si>
    <t>11:50:57</t>
  </si>
  <si>
    <t>MPF-4347-20190709-11_50_58</t>
  </si>
  <si>
    <t>DARK-4348-20190709-11_51_06</t>
  </si>
  <si>
    <t>11:51:34</t>
  </si>
  <si>
    <t>1/3</t>
  </si>
  <si>
    <t>20190709 11:53:56</t>
  </si>
  <si>
    <t>11:53:56</t>
  </si>
  <si>
    <t>MPF-4349-20190709-11_53_57</t>
  </si>
  <si>
    <t>DARK-4350-20190709-11_54_05</t>
  </si>
  <si>
    <t>11:52:42</t>
  </si>
  <si>
    <t>20190709 11:56:16</t>
  </si>
  <si>
    <t>11:56:16</t>
  </si>
  <si>
    <t>MPF-4351-20190709-11_56_18</t>
  </si>
  <si>
    <t>DARK-4352-20190709-11_56_25</t>
  </si>
  <si>
    <t>11:55:46</t>
  </si>
  <si>
    <t>20190709 11:58:37</t>
  </si>
  <si>
    <t>11:58:37</t>
  </si>
  <si>
    <t>MPF-4353-20190709-11_58_39</t>
  </si>
  <si>
    <t>DARK-4354-20190709-11_58_46</t>
  </si>
  <si>
    <t>11:57:31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</si>
</sst>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L28"/>
  <sheetViews>
    <sheetView tabSelected="1" topLeftCell="D12" workbookViewId="0">
      <selection activeCell="D23" sqref="A23:XFD23"/>
    </sheetView>
  </sheetViews>
  <sheetFormatPr defaultRowHeight="14.5" x14ac:dyDescent="0.35"/>
  <sheetData>
    <row r="2" spans="1:168" x14ac:dyDescent="0.35">
      <c r="A2" t="s">
        <v>25</v>
      </c>
      <c r="B2" t="s">
        <v>26</v>
      </c>
      <c r="C2" t="s">
        <v>28</v>
      </c>
      <c r="D2" t="s">
        <v>30</v>
      </c>
    </row>
    <row r="3" spans="1:168" x14ac:dyDescent="0.35">
      <c r="B3" t="s">
        <v>27</v>
      </c>
      <c r="C3" t="s">
        <v>29</v>
      </c>
      <c r="D3" t="s">
        <v>15</v>
      </c>
    </row>
    <row r="4" spans="1:168" x14ac:dyDescent="0.35">
      <c r="A4" t="s">
        <v>31</v>
      </c>
      <c r="B4" t="s">
        <v>32</v>
      </c>
      <c r="C4" t="s">
        <v>33</v>
      </c>
      <c r="D4" t="s">
        <v>34</v>
      </c>
      <c r="E4" t="s">
        <v>36</v>
      </c>
    </row>
    <row r="5" spans="1:168" x14ac:dyDescent="0.35">
      <c r="B5">
        <v>6</v>
      </c>
      <c r="C5">
        <v>0.5</v>
      </c>
      <c r="D5" t="s">
        <v>35</v>
      </c>
      <c r="E5">
        <v>2</v>
      </c>
    </row>
    <row r="6" spans="1:168" x14ac:dyDescent="0.35">
      <c r="A6" t="s">
        <v>37</v>
      </c>
      <c r="B6" t="s">
        <v>38</v>
      </c>
      <c r="C6" t="s">
        <v>39</v>
      </c>
      <c r="D6" t="s">
        <v>40</v>
      </c>
      <c r="E6" t="s">
        <v>41</v>
      </c>
    </row>
    <row r="7" spans="1:168" x14ac:dyDescent="0.35">
      <c r="B7">
        <v>0</v>
      </c>
      <c r="C7">
        <v>1</v>
      </c>
      <c r="D7">
        <v>0</v>
      </c>
      <c r="E7">
        <v>0</v>
      </c>
    </row>
    <row r="8" spans="1:168" x14ac:dyDescent="0.35">
      <c r="A8" t="s">
        <v>42</v>
      </c>
      <c r="B8" t="s">
        <v>43</v>
      </c>
      <c r="C8" t="s">
        <v>45</v>
      </c>
      <c r="D8" t="s">
        <v>47</v>
      </c>
      <c r="E8" t="s">
        <v>48</v>
      </c>
      <c r="F8" t="s">
        <v>49</v>
      </c>
      <c r="G8" t="s">
        <v>50</v>
      </c>
      <c r="H8" t="s">
        <v>51</v>
      </c>
      <c r="I8" t="s">
        <v>52</v>
      </c>
      <c r="J8" t="s">
        <v>53</v>
      </c>
      <c r="K8" t="s">
        <v>54</v>
      </c>
      <c r="L8" t="s">
        <v>55</v>
      </c>
      <c r="M8" t="s">
        <v>56</v>
      </c>
      <c r="N8" t="s">
        <v>57</v>
      </c>
      <c r="O8" t="s">
        <v>58</v>
      </c>
      <c r="P8" t="s">
        <v>59</v>
      </c>
      <c r="Q8" t="s">
        <v>60</v>
      </c>
    </row>
    <row r="9" spans="1:168" x14ac:dyDescent="0.35">
      <c r="B9" t="s">
        <v>44</v>
      </c>
      <c r="C9" t="s">
        <v>46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8" x14ac:dyDescent="0.35">
      <c r="A10" t="s">
        <v>61</v>
      </c>
      <c r="B10" t="s">
        <v>62</v>
      </c>
      <c r="C10" t="s">
        <v>63</v>
      </c>
      <c r="D10" t="s">
        <v>64</v>
      </c>
      <c r="E10" t="s">
        <v>65</v>
      </c>
      <c r="F10" t="s">
        <v>66</v>
      </c>
    </row>
    <row r="11" spans="1:168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8" x14ac:dyDescent="0.35">
      <c r="A12" t="s">
        <v>67</v>
      </c>
      <c r="B12" t="s">
        <v>68</v>
      </c>
      <c r="C12" t="s">
        <v>69</v>
      </c>
      <c r="D12" t="s">
        <v>70</v>
      </c>
      <c r="E12" t="s">
        <v>71</v>
      </c>
      <c r="F12" t="s">
        <v>72</v>
      </c>
      <c r="G12" t="s">
        <v>74</v>
      </c>
      <c r="H12" t="s">
        <v>76</v>
      </c>
    </row>
    <row r="13" spans="1:168" x14ac:dyDescent="0.35">
      <c r="B13">
        <v>-6276</v>
      </c>
      <c r="C13">
        <v>6.6</v>
      </c>
      <c r="D13">
        <v>1.7090000000000001E-5</v>
      </c>
      <c r="E13">
        <v>3.11</v>
      </c>
      <c r="F13" t="s">
        <v>73</v>
      </c>
      <c r="G13" t="s">
        <v>75</v>
      </c>
      <c r="H13">
        <v>2</v>
      </c>
    </row>
    <row r="14" spans="1:168" x14ac:dyDescent="0.35">
      <c r="A14" t="s">
        <v>77</v>
      </c>
      <c r="B14" t="s">
        <v>77</v>
      </c>
      <c r="C14" t="s">
        <v>77</v>
      </c>
      <c r="D14" t="s">
        <v>77</v>
      </c>
      <c r="E14" t="s">
        <v>77</v>
      </c>
      <c r="F14" t="s">
        <v>78</v>
      </c>
      <c r="G14" t="s">
        <v>78</v>
      </c>
      <c r="H14" t="s">
        <v>78</v>
      </c>
      <c r="I14" t="s">
        <v>78</v>
      </c>
      <c r="J14" t="s">
        <v>78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79</v>
      </c>
      <c r="AJ14" t="s">
        <v>79</v>
      </c>
      <c r="AK14" t="s">
        <v>80</v>
      </c>
      <c r="AL14" t="s">
        <v>80</v>
      </c>
      <c r="AM14" t="s">
        <v>80</v>
      </c>
      <c r="AN14" t="s">
        <v>80</v>
      </c>
      <c r="AO14" t="s">
        <v>80</v>
      </c>
      <c r="AP14" t="s">
        <v>81</v>
      </c>
      <c r="AQ14" t="s">
        <v>81</v>
      </c>
      <c r="AR14" t="s">
        <v>81</v>
      </c>
      <c r="AS14" t="s">
        <v>81</v>
      </c>
      <c r="AT14" t="s">
        <v>81</v>
      </c>
      <c r="AU14" t="s">
        <v>81</v>
      </c>
      <c r="AV14" t="s">
        <v>81</v>
      </c>
      <c r="AW14" t="s">
        <v>81</v>
      </c>
      <c r="AX14" t="s">
        <v>81</v>
      </c>
      <c r="AY14" t="s">
        <v>81</v>
      </c>
      <c r="AZ14" t="s">
        <v>81</v>
      </c>
      <c r="BA14" t="s">
        <v>81</v>
      </c>
      <c r="BB14" t="s">
        <v>81</v>
      </c>
      <c r="BC14" t="s">
        <v>81</v>
      </c>
      <c r="BD14" t="s">
        <v>81</v>
      </c>
      <c r="BE14" t="s">
        <v>81</v>
      </c>
      <c r="BF14" t="s">
        <v>81</v>
      </c>
      <c r="BG14" t="s">
        <v>81</v>
      </c>
      <c r="BH14" t="s">
        <v>81</v>
      </c>
      <c r="BI14" t="s">
        <v>81</v>
      </c>
      <c r="BJ14" t="s">
        <v>81</v>
      </c>
      <c r="BK14" t="s">
        <v>81</v>
      </c>
      <c r="BL14" t="s">
        <v>81</v>
      </c>
      <c r="BM14" t="s">
        <v>81</v>
      </c>
      <c r="BN14" t="s">
        <v>82</v>
      </c>
      <c r="BO14" t="s">
        <v>82</v>
      </c>
      <c r="BP14" t="s">
        <v>82</v>
      </c>
      <c r="BQ14" t="s">
        <v>82</v>
      </c>
      <c r="BR14" t="s">
        <v>83</v>
      </c>
      <c r="BS14" t="s">
        <v>83</v>
      </c>
      <c r="BT14" t="s">
        <v>83</v>
      </c>
      <c r="BU14" t="s">
        <v>83</v>
      </c>
      <c r="BV14" t="s">
        <v>83</v>
      </c>
      <c r="BW14" t="s">
        <v>83</v>
      </c>
      <c r="BX14" t="s">
        <v>83</v>
      </c>
      <c r="BY14" t="s">
        <v>83</v>
      </c>
      <c r="BZ14" t="s">
        <v>83</v>
      </c>
      <c r="CA14" t="s">
        <v>83</v>
      </c>
      <c r="CB14" t="s">
        <v>83</v>
      </c>
      <c r="CC14" t="s">
        <v>83</v>
      </c>
      <c r="CD14" t="s">
        <v>83</v>
      </c>
      <c r="CE14" t="s">
        <v>83</v>
      </c>
      <c r="CF14" t="s">
        <v>84</v>
      </c>
      <c r="CG14" t="s">
        <v>84</v>
      </c>
      <c r="CH14" t="s">
        <v>84</v>
      </c>
      <c r="CI14" t="s">
        <v>84</v>
      </c>
      <c r="CJ14" t="s">
        <v>84</v>
      </c>
      <c r="CK14" t="s">
        <v>84</v>
      </c>
      <c r="CL14" t="s">
        <v>84</v>
      </c>
      <c r="CM14" t="s">
        <v>84</v>
      </c>
      <c r="CN14" t="s">
        <v>84</v>
      </c>
      <c r="CO14" t="s">
        <v>84</v>
      </c>
      <c r="CP14" t="s">
        <v>84</v>
      </c>
      <c r="CQ14" t="s">
        <v>84</v>
      </c>
      <c r="CR14" t="s">
        <v>84</v>
      </c>
      <c r="CS14" t="s">
        <v>84</v>
      </c>
      <c r="CT14" t="s">
        <v>84</v>
      </c>
      <c r="CU14" t="s">
        <v>84</v>
      </c>
      <c r="CV14" t="s">
        <v>84</v>
      </c>
      <c r="CW14" t="s">
        <v>85</v>
      </c>
      <c r="CX14" t="s">
        <v>85</v>
      </c>
      <c r="CY14" t="s">
        <v>85</v>
      </c>
      <c r="CZ14" t="s">
        <v>85</v>
      </c>
      <c r="DA14" t="s">
        <v>85</v>
      </c>
      <c r="DB14" t="s">
        <v>86</v>
      </c>
      <c r="DC14" t="s">
        <v>86</v>
      </c>
      <c r="DD14" t="s">
        <v>86</v>
      </c>
      <c r="DE14" t="s">
        <v>86</v>
      </c>
      <c r="DF14" t="s">
        <v>86</v>
      </c>
      <c r="DG14" t="s">
        <v>86</v>
      </c>
      <c r="DH14" t="s">
        <v>86</v>
      </c>
      <c r="DI14" t="s">
        <v>86</v>
      </c>
      <c r="DJ14" t="s">
        <v>86</v>
      </c>
      <c r="DK14" t="s">
        <v>87</v>
      </c>
      <c r="DL14" t="s">
        <v>87</v>
      </c>
      <c r="DM14" t="s">
        <v>87</v>
      </c>
      <c r="DN14" t="s">
        <v>87</v>
      </c>
      <c r="DO14" t="s">
        <v>87</v>
      </c>
      <c r="DP14" t="s">
        <v>87</v>
      </c>
      <c r="DQ14" t="s">
        <v>87</v>
      </c>
      <c r="DR14" t="s">
        <v>87</v>
      </c>
      <c r="DS14" t="s">
        <v>87</v>
      </c>
      <c r="DT14" t="s">
        <v>87</v>
      </c>
      <c r="DU14" t="s">
        <v>87</v>
      </c>
      <c r="DV14" t="s">
        <v>87</v>
      </c>
      <c r="DW14" t="s">
        <v>87</v>
      </c>
      <c r="DX14" t="s">
        <v>87</v>
      </c>
      <c r="DY14" t="s">
        <v>87</v>
      </c>
      <c r="DZ14" t="s">
        <v>88</v>
      </c>
      <c r="EA14" t="s">
        <v>88</v>
      </c>
      <c r="EB14" t="s">
        <v>88</v>
      </c>
      <c r="EC14" t="s">
        <v>88</v>
      </c>
      <c r="ED14" t="s">
        <v>88</v>
      </c>
      <c r="EE14" t="s">
        <v>88</v>
      </c>
      <c r="EF14" t="s">
        <v>88</v>
      </c>
      <c r="EG14" t="s">
        <v>88</v>
      </c>
      <c r="EH14" t="s">
        <v>88</v>
      </c>
      <c r="EI14" t="s">
        <v>88</v>
      </c>
      <c r="EJ14" t="s">
        <v>88</v>
      </c>
      <c r="EK14" t="s">
        <v>88</v>
      </c>
      <c r="EL14" t="s">
        <v>88</v>
      </c>
      <c r="EM14" t="s">
        <v>88</v>
      </c>
      <c r="EN14" t="s">
        <v>88</v>
      </c>
      <c r="EO14" t="s">
        <v>88</v>
      </c>
      <c r="EP14" t="s">
        <v>88</v>
      </c>
      <c r="EQ14" t="s">
        <v>88</v>
      </c>
      <c r="ER14" t="s">
        <v>88</v>
      </c>
      <c r="ES14" t="s">
        <v>89</v>
      </c>
      <c r="ET14" t="s">
        <v>89</v>
      </c>
      <c r="EU14" t="s">
        <v>89</v>
      </c>
      <c r="EV14" t="s">
        <v>89</v>
      </c>
      <c r="EW14" t="s">
        <v>89</v>
      </c>
      <c r="EX14" t="s">
        <v>89</v>
      </c>
      <c r="EY14" t="s">
        <v>89</v>
      </c>
      <c r="EZ14" t="s">
        <v>89</v>
      </c>
      <c r="FA14" t="s">
        <v>89</v>
      </c>
      <c r="FB14" t="s">
        <v>89</v>
      </c>
      <c r="FC14" t="s">
        <v>89</v>
      </c>
      <c r="FD14" t="s">
        <v>89</v>
      </c>
      <c r="FE14" t="s">
        <v>89</v>
      </c>
      <c r="FF14" t="s">
        <v>89</v>
      </c>
      <c r="FG14" t="s">
        <v>89</v>
      </c>
      <c r="FH14" t="s">
        <v>89</v>
      </c>
      <c r="FI14" t="s">
        <v>89</v>
      </c>
      <c r="FJ14" t="s">
        <v>89</v>
      </c>
      <c r="FK14" t="s">
        <v>89</v>
      </c>
      <c r="FL14" t="s">
        <v>89</v>
      </c>
    </row>
    <row r="15" spans="1:168" x14ac:dyDescent="0.35">
      <c r="A15" t="s">
        <v>90</v>
      </c>
      <c r="B15" t="s">
        <v>91</v>
      </c>
      <c r="C15" t="s">
        <v>92</v>
      </c>
      <c r="D15" t="s">
        <v>93</v>
      </c>
      <c r="E15" t="s">
        <v>94</v>
      </c>
      <c r="F15" t="s">
        <v>95</v>
      </c>
      <c r="G15" t="s">
        <v>96</v>
      </c>
      <c r="H15" t="s">
        <v>97</v>
      </c>
      <c r="I15" t="s">
        <v>98</v>
      </c>
      <c r="J15" t="s">
        <v>99</v>
      </c>
      <c r="K15" t="s">
        <v>100</v>
      </c>
      <c r="L15" t="s">
        <v>101</v>
      </c>
      <c r="M15" t="s">
        <v>102</v>
      </c>
      <c r="N15" t="s">
        <v>103</v>
      </c>
      <c r="O15" t="s">
        <v>104</v>
      </c>
      <c r="P15" t="s">
        <v>105</v>
      </c>
      <c r="Q15" t="s">
        <v>106</v>
      </c>
      <c r="R15" t="s">
        <v>107</v>
      </c>
      <c r="S15" t="s">
        <v>108</v>
      </c>
      <c r="T15" t="s">
        <v>109</v>
      </c>
      <c r="U15" t="s">
        <v>110</v>
      </c>
      <c r="V15" t="s">
        <v>111</v>
      </c>
      <c r="W15" t="s">
        <v>112</v>
      </c>
      <c r="X15" t="s">
        <v>113</v>
      </c>
      <c r="Y15" t="s">
        <v>114</v>
      </c>
      <c r="Z15" t="s">
        <v>115</v>
      </c>
      <c r="AA15" t="s">
        <v>116</v>
      </c>
      <c r="AB15" t="s">
        <v>117</v>
      </c>
      <c r="AC15" t="s">
        <v>118</v>
      </c>
      <c r="AD15" t="s">
        <v>119</v>
      </c>
      <c r="AE15" t="s">
        <v>120</v>
      </c>
      <c r="AF15" t="s">
        <v>121</v>
      </c>
      <c r="AG15" t="s">
        <v>122</v>
      </c>
      <c r="AH15" t="s">
        <v>123</v>
      </c>
      <c r="AI15" t="s">
        <v>124</v>
      </c>
      <c r="AJ15" t="s">
        <v>125</v>
      </c>
      <c r="AK15" t="s">
        <v>80</v>
      </c>
      <c r="AL15" t="s">
        <v>126</v>
      </c>
      <c r="AM15" t="s">
        <v>127</v>
      </c>
      <c r="AN15" t="s">
        <v>128</v>
      </c>
      <c r="AO15" t="s">
        <v>129</v>
      </c>
      <c r="AP15" t="s">
        <v>130</v>
      </c>
      <c r="AQ15" t="s">
        <v>131</v>
      </c>
      <c r="AR15" t="s">
        <v>132</v>
      </c>
      <c r="AS15" t="s">
        <v>133</v>
      </c>
      <c r="AT15" t="s">
        <v>134</v>
      </c>
      <c r="AU15" t="s">
        <v>135</v>
      </c>
      <c r="AV15" t="s">
        <v>136</v>
      </c>
      <c r="AW15" t="s">
        <v>137</v>
      </c>
      <c r="AX15" t="s">
        <v>138</v>
      </c>
      <c r="AY15" t="s">
        <v>139</v>
      </c>
      <c r="AZ15" t="s">
        <v>140</v>
      </c>
      <c r="BA15" t="s">
        <v>141</v>
      </c>
      <c r="BB15" t="s">
        <v>142</v>
      </c>
      <c r="BC15" t="s">
        <v>143</v>
      </c>
      <c r="BD15" t="s">
        <v>144</v>
      </c>
      <c r="BE15" t="s">
        <v>145</v>
      </c>
      <c r="BF15" t="s">
        <v>146</v>
      </c>
      <c r="BG15" t="s">
        <v>147</v>
      </c>
      <c r="BH15" t="s">
        <v>148</v>
      </c>
      <c r="BI15" t="s">
        <v>149</v>
      </c>
      <c r="BJ15" t="s">
        <v>150</v>
      </c>
      <c r="BK15" t="s">
        <v>151</v>
      </c>
      <c r="BL15" t="s">
        <v>152</v>
      </c>
      <c r="BM15" t="s">
        <v>153</v>
      </c>
      <c r="BN15" t="s">
        <v>154</v>
      </c>
      <c r="BO15" t="s">
        <v>155</v>
      </c>
      <c r="BP15" t="s">
        <v>156</v>
      </c>
      <c r="BQ15" t="s">
        <v>157</v>
      </c>
      <c r="BR15" t="s">
        <v>100</v>
      </c>
      <c r="BS15" t="s">
        <v>158</v>
      </c>
      <c r="BT15" t="s">
        <v>159</v>
      </c>
      <c r="BU15" t="s">
        <v>160</v>
      </c>
      <c r="BV15" t="s">
        <v>161</v>
      </c>
      <c r="BW15" t="s">
        <v>162</v>
      </c>
      <c r="BX15" t="s">
        <v>163</v>
      </c>
      <c r="BY15" t="s">
        <v>164</v>
      </c>
      <c r="BZ15" t="s">
        <v>165</v>
      </c>
      <c r="CA15" t="s">
        <v>166</v>
      </c>
      <c r="CB15" t="s">
        <v>167</v>
      </c>
      <c r="CC15" t="s">
        <v>168</v>
      </c>
      <c r="CD15" t="s">
        <v>169</v>
      </c>
      <c r="CE15" t="s">
        <v>170</v>
      </c>
      <c r="CF15" t="s">
        <v>171</v>
      </c>
      <c r="CG15" t="s">
        <v>172</v>
      </c>
      <c r="CH15" t="s">
        <v>173</v>
      </c>
      <c r="CI15" t="s">
        <v>174</v>
      </c>
      <c r="CJ15" t="s">
        <v>175</v>
      </c>
      <c r="CK15" t="s">
        <v>176</v>
      </c>
      <c r="CL15" t="s">
        <v>177</v>
      </c>
      <c r="CM15" t="s">
        <v>178</v>
      </c>
      <c r="CN15" t="s">
        <v>179</v>
      </c>
      <c r="CO15" t="s">
        <v>180</v>
      </c>
      <c r="CP15" t="s">
        <v>181</v>
      </c>
      <c r="CQ15" t="s">
        <v>182</v>
      </c>
      <c r="CR15" t="s">
        <v>183</v>
      </c>
      <c r="CS15" t="s">
        <v>184</v>
      </c>
      <c r="CT15" t="s">
        <v>185</v>
      </c>
      <c r="CU15" t="s">
        <v>186</v>
      </c>
      <c r="CV15" t="s">
        <v>187</v>
      </c>
      <c r="CW15" t="s">
        <v>188</v>
      </c>
      <c r="CX15" t="s">
        <v>189</v>
      </c>
      <c r="CY15" t="s">
        <v>190</v>
      </c>
      <c r="CZ15" t="s">
        <v>191</v>
      </c>
      <c r="DA15" t="s">
        <v>192</v>
      </c>
      <c r="DB15" t="s">
        <v>91</v>
      </c>
      <c r="DC15" t="s">
        <v>94</v>
      </c>
      <c r="DD15" t="s">
        <v>193</v>
      </c>
      <c r="DE15" t="s">
        <v>194</v>
      </c>
      <c r="DF15" t="s">
        <v>195</v>
      </c>
      <c r="DG15" t="s">
        <v>196</v>
      </c>
      <c r="DH15" t="s">
        <v>197</v>
      </c>
      <c r="DI15" t="s">
        <v>198</v>
      </c>
      <c r="DJ15" t="s">
        <v>199</v>
      </c>
      <c r="DK15" t="s">
        <v>200</v>
      </c>
      <c r="DL15" t="s">
        <v>201</v>
      </c>
      <c r="DM15" t="s">
        <v>202</v>
      </c>
      <c r="DN15" t="s">
        <v>203</v>
      </c>
      <c r="DO15" t="s">
        <v>204</v>
      </c>
      <c r="DP15" t="s">
        <v>205</v>
      </c>
      <c r="DQ15" t="s">
        <v>206</v>
      </c>
      <c r="DR15" t="s">
        <v>207</v>
      </c>
      <c r="DS15" t="s">
        <v>208</v>
      </c>
      <c r="DT15" t="s">
        <v>209</v>
      </c>
      <c r="DU15" t="s">
        <v>210</v>
      </c>
      <c r="DV15" t="s">
        <v>211</v>
      </c>
      <c r="DW15" t="s">
        <v>212</v>
      </c>
      <c r="DX15" t="s">
        <v>213</v>
      </c>
      <c r="DY15" t="s">
        <v>214</v>
      </c>
      <c r="DZ15" t="s">
        <v>215</v>
      </c>
      <c r="EA15" t="s">
        <v>216</v>
      </c>
      <c r="EB15" t="s">
        <v>217</v>
      </c>
      <c r="EC15" t="s">
        <v>218</v>
      </c>
      <c r="ED15" t="s">
        <v>219</v>
      </c>
      <c r="EE15" t="s">
        <v>220</v>
      </c>
      <c r="EF15" t="s">
        <v>221</v>
      </c>
      <c r="EG15" t="s">
        <v>222</v>
      </c>
      <c r="EH15" t="s">
        <v>223</v>
      </c>
      <c r="EI15" t="s">
        <v>224</v>
      </c>
      <c r="EJ15" t="s">
        <v>225</v>
      </c>
      <c r="EK15" t="s">
        <v>226</v>
      </c>
      <c r="EL15" t="s">
        <v>227</v>
      </c>
      <c r="EM15" t="s">
        <v>228</v>
      </c>
      <c r="EN15" t="s">
        <v>229</v>
      </c>
      <c r="EO15" t="s">
        <v>230</v>
      </c>
      <c r="EP15" t="s">
        <v>231</v>
      </c>
      <c r="EQ15" t="s">
        <v>232</v>
      </c>
      <c r="ER15" t="s">
        <v>233</v>
      </c>
      <c r="ES15" t="s">
        <v>234</v>
      </c>
      <c r="ET15" t="s">
        <v>235</v>
      </c>
      <c r="EU15" t="s">
        <v>236</v>
      </c>
      <c r="EV15" t="s">
        <v>237</v>
      </c>
      <c r="EW15" t="s">
        <v>238</v>
      </c>
      <c r="EX15" t="s">
        <v>239</v>
      </c>
      <c r="EY15" t="s">
        <v>240</v>
      </c>
      <c r="EZ15" t="s">
        <v>241</v>
      </c>
      <c r="FA15" t="s">
        <v>242</v>
      </c>
      <c r="FB15" t="s">
        <v>243</v>
      </c>
      <c r="FC15" t="s">
        <v>244</v>
      </c>
      <c r="FD15" t="s">
        <v>245</v>
      </c>
      <c r="FE15" t="s">
        <v>246</v>
      </c>
      <c r="FF15" t="s">
        <v>247</v>
      </c>
      <c r="FG15" t="s">
        <v>248</v>
      </c>
      <c r="FH15" t="s">
        <v>249</v>
      </c>
      <c r="FI15" t="s">
        <v>250</v>
      </c>
      <c r="FJ15" t="s">
        <v>251</v>
      </c>
      <c r="FK15" t="s">
        <v>252</v>
      </c>
      <c r="FL15" t="s">
        <v>253</v>
      </c>
    </row>
    <row r="16" spans="1:168" x14ac:dyDescent="0.35">
      <c r="B16" t="s">
        <v>254</v>
      </c>
      <c r="C16" t="s">
        <v>254</v>
      </c>
      <c r="K16" t="s">
        <v>254</v>
      </c>
      <c r="L16" t="s">
        <v>255</v>
      </c>
      <c r="M16" t="s">
        <v>256</v>
      </c>
      <c r="N16" t="s">
        <v>257</v>
      </c>
      <c r="O16" t="s">
        <v>257</v>
      </c>
      <c r="P16" t="s">
        <v>163</v>
      </c>
      <c r="Q16" t="s">
        <v>163</v>
      </c>
      <c r="R16" t="s">
        <v>255</v>
      </c>
      <c r="S16" t="s">
        <v>255</v>
      </c>
      <c r="T16" t="s">
        <v>255</v>
      </c>
      <c r="U16" t="s">
        <v>255</v>
      </c>
      <c r="V16" t="s">
        <v>258</v>
      </c>
      <c r="W16" t="s">
        <v>259</v>
      </c>
      <c r="X16" t="s">
        <v>259</v>
      </c>
      <c r="Y16" t="s">
        <v>260</v>
      </c>
      <c r="Z16" t="s">
        <v>261</v>
      </c>
      <c r="AA16" t="s">
        <v>260</v>
      </c>
      <c r="AB16" t="s">
        <v>260</v>
      </c>
      <c r="AC16" t="s">
        <v>260</v>
      </c>
      <c r="AD16" t="s">
        <v>258</v>
      </c>
      <c r="AE16" t="s">
        <v>258</v>
      </c>
      <c r="AF16" t="s">
        <v>258</v>
      </c>
      <c r="AG16" t="s">
        <v>258</v>
      </c>
      <c r="AK16" t="s">
        <v>262</v>
      </c>
      <c r="AL16" t="s">
        <v>261</v>
      </c>
      <c r="AN16" t="s">
        <v>261</v>
      </c>
      <c r="AO16" t="s">
        <v>262</v>
      </c>
      <c r="AU16" t="s">
        <v>256</v>
      </c>
      <c r="BA16" t="s">
        <v>256</v>
      </c>
      <c r="BB16" t="s">
        <v>256</v>
      </c>
      <c r="BC16" t="s">
        <v>256</v>
      </c>
      <c r="BE16" t="s">
        <v>263</v>
      </c>
      <c r="BN16" t="s">
        <v>256</v>
      </c>
      <c r="BO16" t="s">
        <v>256</v>
      </c>
      <c r="BQ16" t="s">
        <v>264</v>
      </c>
      <c r="BR16" t="s">
        <v>254</v>
      </c>
      <c r="BS16" t="s">
        <v>257</v>
      </c>
      <c r="BT16" t="s">
        <v>257</v>
      </c>
      <c r="BU16" t="s">
        <v>265</v>
      </c>
      <c r="BV16" t="s">
        <v>265</v>
      </c>
      <c r="BW16" t="s">
        <v>262</v>
      </c>
      <c r="BX16" t="s">
        <v>260</v>
      </c>
      <c r="BY16" t="s">
        <v>260</v>
      </c>
      <c r="BZ16" t="s">
        <v>259</v>
      </c>
      <c r="CA16" t="s">
        <v>259</v>
      </c>
      <c r="CB16" t="s">
        <v>259</v>
      </c>
      <c r="CC16" t="s">
        <v>266</v>
      </c>
      <c r="CD16" t="s">
        <v>256</v>
      </c>
      <c r="CE16" t="s">
        <v>256</v>
      </c>
      <c r="CF16" t="s">
        <v>256</v>
      </c>
      <c r="CK16" t="s">
        <v>256</v>
      </c>
      <c r="CN16" t="s">
        <v>259</v>
      </c>
      <c r="CO16" t="s">
        <v>259</v>
      </c>
      <c r="CP16" t="s">
        <v>259</v>
      </c>
      <c r="CQ16" t="s">
        <v>259</v>
      </c>
      <c r="CR16" t="s">
        <v>259</v>
      </c>
      <c r="CS16" t="s">
        <v>256</v>
      </c>
      <c r="CT16" t="s">
        <v>256</v>
      </c>
      <c r="CU16" t="s">
        <v>256</v>
      </c>
      <c r="CV16" t="s">
        <v>254</v>
      </c>
      <c r="CX16" t="s">
        <v>267</v>
      </c>
      <c r="CY16" t="s">
        <v>267</v>
      </c>
      <c r="DA16" t="s">
        <v>254</v>
      </c>
      <c r="DB16" t="s">
        <v>268</v>
      </c>
      <c r="DE16" t="s">
        <v>269</v>
      </c>
      <c r="DF16" t="s">
        <v>270</v>
      </c>
      <c r="DG16" t="s">
        <v>269</v>
      </c>
      <c r="DH16" t="s">
        <v>270</v>
      </c>
      <c r="DI16" t="s">
        <v>261</v>
      </c>
      <c r="DJ16" t="s">
        <v>261</v>
      </c>
      <c r="DK16" t="s">
        <v>256</v>
      </c>
      <c r="DL16" t="s">
        <v>271</v>
      </c>
      <c r="DM16" t="s">
        <v>256</v>
      </c>
      <c r="DO16" t="s">
        <v>257</v>
      </c>
      <c r="DP16" t="s">
        <v>272</v>
      </c>
      <c r="DQ16" t="s">
        <v>257</v>
      </c>
      <c r="DS16" t="s">
        <v>255</v>
      </c>
      <c r="DT16" t="s">
        <v>273</v>
      </c>
      <c r="DU16" t="s">
        <v>255</v>
      </c>
      <c r="DZ16" t="s">
        <v>274</v>
      </c>
      <c r="EA16" t="s">
        <v>274</v>
      </c>
      <c r="EB16" t="s">
        <v>274</v>
      </c>
      <c r="EC16" t="s">
        <v>274</v>
      </c>
      <c r="ED16" t="s">
        <v>274</v>
      </c>
      <c r="EE16" t="s">
        <v>274</v>
      </c>
      <c r="EF16" t="s">
        <v>274</v>
      </c>
      <c r="EG16" t="s">
        <v>274</v>
      </c>
      <c r="EH16" t="s">
        <v>274</v>
      </c>
      <c r="EI16" t="s">
        <v>274</v>
      </c>
      <c r="EJ16" t="s">
        <v>274</v>
      </c>
      <c r="EK16" t="s">
        <v>274</v>
      </c>
      <c r="ER16" t="s">
        <v>274</v>
      </c>
      <c r="ES16" t="s">
        <v>261</v>
      </c>
      <c r="ET16" t="s">
        <v>261</v>
      </c>
      <c r="EU16" t="s">
        <v>269</v>
      </c>
      <c r="EV16" t="s">
        <v>270</v>
      </c>
      <c r="EX16" t="s">
        <v>262</v>
      </c>
      <c r="EY16" t="s">
        <v>262</v>
      </c>
      <c r="EZ16" t="s">
        <v>259</v>
      </c>
      <c r="FA16" t="s">
        <v>259</v>
      </c>
      <c r="FB16" t="s">
        <v>259</v>
      </c>
      <c r="FC16" t="s">
        <v>259</v>
      </c>
      <c r="FD16" t="s">
        <v>259</v>
      </c>
      <c r="FE16" t="s">
        <v>261</v>
      </c>
      <c r="FF16" t="s">
        <v>261</v>
      </c>
      <c r="FG16" t="s">
        <v>261</v>
      </c>
      <c r="FH16" t="s">
        <v>259</v>
      </c>
      <c r="FI16" t="s">
        <v>257</v>
      </c>
      <c r="FJ16" t="s">
        <v>265</v>
      </c>
      <c r="FK16" t="s">
        <v>261</v>
      </c>
      <c r="FL16" t="s">
        <v>261</v>
      </c>
    </row>
    <row r="17" spans="1:168" x14ac:dyDescent="0.35">
      <c r="A17">
        <v>1</v>
      </c>
      <c r="B17">
        <v>1562689834.5</v>
      </c>
      <c r="C17">
        <v>0</v>
      </c>
      <c r="D17" t="s">
        <v>275</v>
      </c>
      <c r="E17" t="s">
        <v>276</v>
      </c>
      <c r="F17" t="s">
        <v>277</v>
      </c>
      <c r="G17" t="s">
        <v>278</v>
      </c>
      <c r="H17" t="s">
        <v>277</v>
      </c>
      <c r="J17" t="s">
        <v>277</v>
      </c>
      <c r="K17">
        <v>1562689826.55161</v>
      </c>
      <c r="L17">
        <f t="shared" ref="L17:L28" si="0">BW17*AM17*(BU17-BV17)/(100*$B$5*(1000-AM17*BU17))</f>
        <v>7.242381409512535E-3</v>
      </c>
      <c r="M17">
        <f t="shared" ref="M17:M28" si="1">BW17*AM17*(BT17-BS17*(1000-AM17*BV17)/(1000-AM17*BU17))/(100*$B$5)</f>
        <v>30.745770276019272</v>
      </c>
      <c r="N17">
        <f t="shared" ref="N17:N28" si="2">BS17 - IF(AM17&gt;1, M17*$B$5*100/(AO17*CC17), 0)</f>
        <v>359.96561290322597</v>
      </c>
      <c r="O17">
        <f t="shared" ref="O17:O28" si="3">((U17-L17/2)*N17-M17)/(U17+L17/2)</f>
        <v>224.55445008474098</v>
      </c>
      <c r="P17">
        <f t="shared" ref="P17:P28" si="4">O17*(BX17+BY17)/1000</f>
        <v>22.299909615616127</v>
      </c>
      <c r="Q17">
        <f t="shared" ref="Q17:Q28" si="5">(BS17 - IF(AM17&gt;1, M17*$B$5*100/(AO17*CC17), 0))*(BX17+BY17)/1000</f>
        <v>35.747234710523642</v>
      </c>
      <c r="R17">
        <f t="shared" ref="R17:R28" si="6">2/((1/T17-1/S17)+SIGN(T17)*SQRT((1/T17-1/S17)*(1/T17-1/S17) + 4*$C$5/(($C$5+1)*($C$5+1))*(2*1/T17*1/S17-1/S17*1/S17)))</f>
        <v>0.42281977598609777</v>
      </c>
      <c r="S17">
        <f t="shared" ref="S17:S28" si="7">AJ17+AI17*$B$5+AH17*$B$5*$B$5</f>
        <v>2.247211920146746</v>
      </c>
      <c r="T17">
        <f t="shared" ref="T17:T28" si="8">L17*(1000-(1000*0.61365*EXP(17.502*X17/(240.97+X17))/(BX17+BY17)+BU17)/2)/(1000*0.61365*EXP(17.502*X17/(240.97+X17))/(BX17+BY17)-BU17)</f>
        <v>0.38308511007864038</v>
      </c>
      <c r="U17">
        <f t="shared" ref="U17:U28" si="9">1/(($C$5+1)/(R17/1.6)+1/(S17/1.37)) + $C$5/(($C$5+1)/(R17/1.6) + $C$5/(S17/1.37))</f>
        <v>0.24268626168513191</v>
      </c>
      <c r="V17">
        <f t="shared" ref="V17:V28" si="10">(BO17*BQ17)</f>
        <v>353.33892032914935</v>
      </c>
      <c r="W17">
        <f t="shared" ref="W17:W28" si="11">(BZ17+(V17+2*0.95*0.0000000567*(((BZ17+$B$7)+273)^4-(BZ17+273)^4)-44100*L17)/(1.84*29.3*S17+8*0.95*0.0000000567*(BZ17+273)^3))</f>
        <v>26.517083131721371</v>
      </c>
      <c r="X17">
        <f t="shared" ref="X17:X28" si="12">($C$7*CA17+$D$7*CB17+$E$7*W17)</f>
        <v>27.666229032258101</v>
      </c>
      <c r="Y17">
        <f t="shared" ref="Y17:Y28" si="13">0.61365*EXP(17.502*X17/(240.97+X17))</f>
        <v>3.7216245803649048</v>
      </c>
      <c r="Z17">
        <f t="shared" ref="Z17:Z28" si="14">(AA17/AB17*100)</f>
        <v>55.366717319431224</v>
      </c>
      <c r="AA17">
        <f t="shared" ref="AA17:AA28" si="15">BU17*(BX17+BY17)/1000</f>
        <v>1.8972920999364171</v>
      </c>
      <c r="AB17">
        <f t="shared" ref="AB17:AB28" si="16">0.61365*EXP(17.502*BZ17/(240.97+BZ17))</f>
        <v>3.4267736860580555</v>
      </c>
      <c r="AC17">
        <f t="shared" ref="AC17:AC28" si="17">(Y17-BU17*(BX17+BY17)/1000)</f>
        <v>1.8243324804284877</v>
      </c>
      <c r="AD17">
        <f t="shared" ref="AD17:AD28" si="18">(-L17*44100)</f>
        <v>-319.38902015950282</v>
      </c>
      <c r="AE17">
        <f t="shared" ref="AE17:AE28" si="19">2*29.3*S17*0.92*(BZ17-X17)</f>
        <v>-170.21616904023318</v>
      </c>
      <c r="AF17">
        <f t="shared" ref="AF17:AF28" si="20">2*0.95*0.0000000567*(((BZ17+$B$7)+273)^4-(X17+273)^4)</f>
        <v>-16.340925070104475</v>
      </c>
      <c r="AG17">
        <f t="shared" ref="AG17:AG28" si="21">V17+AF17+AD17+AE17</f>
        <v>-152.60719394069116</v>
      </c>
      <c r="AH17">
        <v>-4.11087301957462E-2</v>
      </c>
      <c r="AI17">
        <v>4.61481509672848E-2</v>
      </c>
      <c r="AJ17">
        <v>3.4502373013899001</v>
      </c>
      <c r="AK17">
        <v>0</v>
      </c>
      <c r="AL17">
        <v>0</v>
      </c>
      <c r="AM17">
        <f t="shared" ref="AM17:AM28" si="22">IF(AK17*$H$13&gt;=AO17,1,(AO17/(AO17-AK17*$H$13)))</f>
        <v>1</v>
      </c>
      <c r="AN17">
        <f t="shared" ref="AN17:AN28" si="23">(AM17-1)*100</f>
        <v>0</v>
      </c>
      <c r="AO17">
        <f t="shared" ref="AO17:AO28" si="24">MAX(0,($B$13+$C$13*CC17)/(1+$D$13*CC17)*BX17/(BZ17+273)*$E$13)</f>
        <v>52551.107535585477</v>
      </c>
      <c r="AP17" t="s">
        <v>279</v>
      </c>
      <c r="AQ17">
        <v>687.861538461539</v>
      </c>
      <c r="AR17">
        <v>4005.07</v>
      </c>
      <c r="AS17">
        <f t="shared" ref="AS17:AS28" si="25">AR17-AQ17</f>
        <v>3317.2084615384611</v>
      </c>
      <c r="AT17">
        <f t="shared" ref="AT17:AT28" si="26">AS17/AR17</f>
        <v>0.82825230558728336</v>
      </c>
      <c r="AU17">
        <v>-4.0580585712533601</v>
      </c>
      <c r="AV17" t="s">
        <v>280</v>
      </c>
      <c r="AW17">
        <v>857.83961538461494</v>
      </c>
      <c r="AX17">
        <v>1179.22</v>
      </c>
      <c r="AY17">
        <f t="shared" ref="AY17:AY28" si="27">1-AW17/AX17</f>
        <v>0.27253640933446266</v>
      </c>
      <c r="AZ17">
        <v>0.5</v>
      </c>
      <c r="BA17">
        <f t="shared" ref="BA17:BA28" si="28">BO17</f>
        <v>1849.1805484140659</v>
      </c>
      <c r="BB17">
        <f t="shared" ref="BB17:BB28" si="29">M17</f>
        <v>30.745770276019272</v>
      </c>
      <c r="BC17">
        <f t="shared" ref="BC17:BC28" si="30">AY17*AZ17*BA17</f>
        <v>251.98451343795099</v>
      </c>
      <c r="BD17">
        <f t="shared" ref="BD17:BD28" si="31">BI17/AX17</f>
        <v>0.49271552382083067</v>
      </c>
      <c r="BE17">
        <f t="shared" ref="BE17:BE28" si="32">(BB17-AU17)/BA17</f>
        <v>1.8821217256001228E-2</v>
      </c>
      <c r="BF17">
        <f t="shared" ref="BF17:BF28" si="33">(AR17-AX17)/AX17</f>
        <v>2.3963721782195013</v>
      </c>
      <c r="BG17" t="s">
        <v>281</v>
      </c>
      <c r="BH17">
        <v>598.20000000000005</v>
      </c>
      <c r="BI17">
        <f t="shared" ref="BI17:BI28" si="34">AX17-BH17</f>
        <v>581.02</v>
      </c>
      <c r="BJ17">
        <f t="shared" ref="BJ17:BJ28" si="35">(AX17-AW17)/(AX17-BH17)</f>
        <v>0.55313136314650979</v>
      </c>
      <c r="BK17">
        <f t="shared" ref="BK17:BK28" si="36">(AR17-AX17)/(AR17-BH17)</f>
        <v>0.82945636317206128</v>
      </c>
      <c r="BL17">
        <f t="shared" ref="BL17:BL28" si="37">(AX17-AW17)/(AX17-AQ17)</f>
        <v>0.6540650253770568</v>
      </c>
      <c r="BM17">
        <f t="shared" ref="BM17:BM28" si="38">(AR17-AX17)/(AR17-AQ17)</f>
        <v>0.85187591698395171</v>
      </c>
      <c r="BN17">
        <f t="shared" ref="BN17:BN28" si="39">$B$11*CD17+$C$11*CE17+$F$11*CF17</f>
        <v>2199.9929032258101</v>
      </c>
      <c r="BO17">
        <f t="shared" ref="BO17:BO28" si="40">BN17*BP17</f>
        <v>1849.1805484140659</v>
      </c>
      <c r="BP17">
        <f t="shared" ref="BP17:BP28" si="41">($B$11*$D$9+$C$11*$D$9+$F$11*((CS17+CK17)/MAX(CS17+CK17+CT17, 0.1)*$I$9+CT17/MAX(CS17+CK17+CT17, 0.1)*$J$9))/($B$11+$C$11+$F$11)</f>
        <v>0.84053932433265843</v>
      </c>
      <c r="BQ17">
        <f t="shared" ref="BQ17:BQ28" si="42">($B$11*$K$9+$C$11*$K$9+$F$11*((CS17+CK17)/MAX(CS17+CK17+CT17, 0.1)*$P$9+CT17/MAX(CS17+CK17+CT17, 0.1)*$Q$9))/($B$11+$C$11+$F$11)</f>
        <v>0.1910786486653169</v>
      </c>
      <c r="BR17">
        <v>1562689826.55161</v>
      </c>
      <c r="BS17">
        <v>359.96561290322597</v>
      </c>
      <c r="BT17">
        <v>399.98635483870999</v>
      </c>
      <c r="BU17">
        <v>19.105251612903199</v>
      </c>
      <c r="BV17">
        <v>10.5809870967742</v>
      </c>
      <c r="BW17">
        <v>500.03238709677402</v>
      </c>
      <c r="BX17">
        <v>99.207354838709605</v>
      </c>
      <c r="BY17">
        <v>0.10000516774193501</v>
      </c>
      <c r="BZ17">
        <v>26.261245161290301</v>
      </c>
      <c r="CA17">
        <v>27.666229032258101</v>
      </c>
      <c r="CB17">
        <v>999.9</v>
      </c>
      <c r="CC17">
        <v>9992.7774193548394</v>
      </c>
      <c r="CD17">
        <v>0</v>
      </c>
      <c r="CE17">
        <v>1719.73870967742</v>
      </c>
      <c r="CF17">
        <v>2199.9929032258101</v>
      </c>
      <c r="CG17">
        <v>0.98200612903225803</v>
      </c>
      <c r="CH17">
        <v>1.7993825806451601E-2</v>
      </c>
      <c r="CI17">
        <v>0</v>
      </c>
      <c r="CJ17">
        <v>857.81029032258004</v>
      </c>
      <c r="CK17">
        <v>1.9999499999999999</v>
      </c>
      <c r="CL17">
        <v>19802.9483870968</v>
      </c>
      <c r="CM17">
        <v>17938.2193548387</v>
      </c>
      <c r="CN17">
        <v>49.338419354838699</v>
      </c>
      <c r="CO17">
        <v>50.727645161290297</v>
      </c>
      <c r="CP17">
        <v>49.691064516129003</v>
      </c>
      <c r="CQ17">
        <v>49.620870967741901</v>
      </c>
      <c r="CR17">
        <v>50.423000000000002</v>
      </c>
      <c r="CS17">
        <v>2158.44258064516</v>
      </c>
      <c r="CT17">
        <v>39.550322580645201</v>
      </c>
      <c r="CU17">
        <v>0</v>
      </c>
      <c r="CV17">
        <v>640.79999995231606</v>
      </c>
      <c r="CW17">
        <v>857.83961538461494</v>
      </c>
      <c r="CX17">
        <v>0.72642735406105097</v>
      </c>
      <c r="CY17">
        <v>21.432478520437499</v>
      </c>
      <c r="CZ17">
        <v>19803.0423076923</v>
      </c>
      <c r="DA17">
        <v>15</v>
      </c>
      <c r="DB17">
        <v>1562689790</v>
      </c>
      <c r="DC17" t="s">
        <v>282</v>
      </c>
      <c r="DD17">
        <v>25</v>
      </c>
      <c r="DE17">
        <v>0.45800000000000002</v>
      </c>
      <c r="DF17">
        <v>5.6000000000000001E-2</v>
      </c>
      <c r="DG17">
        <v>400</v>
      </c>
      <c r="DH17">
        <v>11</v>
      </c>
      <c r="DI17">
        <v>0.02</v>
      </c>
      <c r="DJ17">
        <v>0.01</v>
      </c>
      <c r="DK17">
        <v>30.7396509267817</v>
      </c>
      <c r="DL17">
        <v>6.5843039243017806E-2</v>
      </c>
      <c r="DM17">
        <v>0.18105225183821899</v>
      </c>
      <c r="DN17">
        <v>1</v>
      </c>
      <c r="DO17">
        <v>359.983791666667</v>
      </c>
      <c r="DP17">
        <v>-4.2186513705014902E-2</v>
      </c>
      <c r="DQ17">
        <v>3.54635718809534E-2</v>
      </c>
      <c r="DR17">
        <v>1</v>
      </c>
      <c r="DS17">
        <v>0.42073763598903902</v>
      </c>
      <c r="DT17">
        <v>2.6066938419410698E-2</v>
      </c>
      <c r="DU17">
        <v>9.1324694086018302E-3</v>
      </c>
      <c r="DV17">
        <v>1</v>
      </c>
      <c r="DW17">
        <v>3</v>
      </c>
      <c r="DX17">
        <v>3</v>
      </c>
      <c r="DY17" t="s">
        <v>283</v>
      </c>
      <c r="DZ17">
        <v>1.8672299999999999</v>
      </c>
      <c r="EA17">
        <v>1.86375</v>
      </c>
      <c r="EB17">
        <v>1.8693500000000001</v>
      </c>
      <c r="EC17">
        <v>1.86734</v>
      </c>
      <c r="ED17">
        <v>1.8720300000000001</v>
      </c>
      <c r="EE17">
        <v>1.8644700000000001</v>
      </c>
      <c r="EF17">
        <v>1.86589</v>
      </c>
      <c r="EG17">
        <v>1.8658399999999999</v>
      </c>
      <c r="EH17" t="s">
        <v>284</v>
      </c>
      <c r="EI17" t="s">
        <v>19</v>
      </c>
      <c r="EJ17" t="s">
        <v>19</v>
      </c>
      <c r="EK17" t="s">
        <v>19</v>
      </c>
      <c r="EL17" t="s">
        <v>285</v>
      </c>
      <c r="EM17" t="s">
        <v>286</v>
      </c>
      <c r="EN17" t="s">
        <v>287</v>
      </c>
      <c r="EO17" t="s">
        <v>287</v>
      </c>
      <c r="EP17" t="s">
        <v>287</v>
      </c>
      <c r="EQ17" t="s">
        <v>287</v>
      </c>
      <c r="ER17">
        <v>0</v>
      </c>
      <c r="ES17">
        <v>100</v>
      </c>
      <c r="ET17">
        <v>100</v>
      </c>
      <c r="EU17">
        <v>0.45800000000000002</v>
      </c>
      <c r="EV17">
        <v>5.6000000000000001E-2</v>
      </c>
      <c r="EW17">
        <v>2</v>
      </c>
      <c r="EX17">
        <v>509.92200000000003</v>
      </c>
      <c r="EY17">
        <v>454.83600000000001</v>
      </c>
      <c r="EZ17">
        <v>19.178100000000001</v>
      </c>
      <c r="FA17">
        <v>39.783799999999999</v>
      </c>
      <c r="FB17">
        <v>30.0001</v>
      </c>
      <c r="FC17">
        <v>39.807099999999998</v>
      </c>
      <c r="FD17">
        <v>39.788200000000003</v>
      </c>
      <c r="FE17">
        <v>22.065799999999999</v>
      </c>
      <c r="FF17">
        <v>72.257300000000001</v>
      </c>
      <c r="FG17">
        <v>0</v>
      </c>
      <c r="FH17">
        <v>17.135200000000001</v>
      </c>
      <c r="FI17">
        <v>400</v>
      </c>
      <c r="FJ17">
        <v>10.4838</v>
      </c>
      <c r="FK17">
        <v>99.566400000000002</v>
      </c>
      <c r="FL17">
        <v>99.837699999999998</v>
      </c>
    </row>
    <row r="18" spans="1:168" x14ac:dyDescent="0.35">
      <c r="A18">
        <v>2</v>
      </c>
      <c r="B18">
        <v>1562689959.0999999</v>
      </c>
      <c r="C18">
        <v>124.59999990463299</v>
      </c>
      <c r="D18" t="s">
        <v>288</v>
      </c>
      <c r="E18" t="s">
        <v>289</v>
      </c>
      <c r="F18" t="s">
        <v>277</v>
      </c>
      <c r="G18" t="s">
        <v>278</v>
      </c>
      <c r="H18" t="s">
        <v>277</v>
      </c>
      <c r="J18" t="s">
        <v>277</v>
      </c>
      <c r="K18">
        <v>1562689951.0580599</v>
      </c>
      <c r="L18">
        <f t="shared" si="0"/>
        <v>7.4095821580703655E-3</v>
      </c>
      <c r="M18">
        <f t="shared" si="1"/>
        <v>22.703802506843317</v>
      </c>
      <c r="N18">
        <f t="shared" si="2"/>
        <v>270.35029032258097</v>
      </c>
      <c r="O18">
        <f t="shared" si="3"/>
        <v>172.06659166854485</v>
      </c>
      <c r="P18">
        <f t="shared" si="4"/>
        <v>17.087633827729171</v>
      </c>
      <c r="Q18">
        <f t="shared" si="5"/>
        <v>26.848016930279243</v>
      </c>
      <c r="R18">
        <f t="shared" si="6"/>
        <v>0.43227805969703875</v>
      </c>
      <c r="S18">
        <f t="shared" si="7"/>
        <v>2.2487440828593481</v>
      </c>
      <c r="T18">
        <f t="shared" si="8"/>
        <v>0.39086429193349032</v>
      </c>
      <c r="U18">
        <f t="shared" si="9"/>
        <v>0.24767957410869113</v>
      </c>
      <c r="V18">
        <f t="shared" si="10"/>
        <v>353.33843885834722</v>
      </c>
      <c r="W18">
        <f t="shared" si="11"/>
        <v>26.486088580256936</v>
      </c>
      <c r="X18">
        <f t="shared" si="12"/>
        <v>27.693861290322602</v>
      </c>
      <c r="Y18">
        <f t="shared" si="13"/>
        <v>3.7276387605590737</v>
      </c>
      <c r="Z18">
        <f t="shared" si="14"/>
        <v>55.317892991858585</v>
      </c>
      <c r="AA18">
        <f t="shared" si="15"/>
        <v>1.8983863091917534</v>
      </c>
      <c r="AB18">
        <f t="shared" si="16"/>
        <v>3.4317762418592999</v>
      </c>
      <c r="AC18">
        <f t="shared" si="17"/>
        <v>1.8292524513673203</v>
      </c>
      <c r="AD18">
        <f t="shared" si="18"/>
        <v>-326.76257317090312</v>
      </c>
      <c r="AE18">
        <f t="shared" si="19"/>
        <v>-170.68732260545161</v>
      </c>
      <c r="AF18">
        <f t="shared" si="20"/>
        <v>-16.379277938808237</v>
      </c>
      <c r="AG18">
        <f t="shared" si="21"/>
        <v>-160.49073485681575</v>
      </c>
      <c r="AH18">
        <v>-4.1149944750930499E-2</v>
      </c>
      <c r="AI18">
        <v>4.6194417916072601E-2</v>
      </c>
      <c r="AJ18">
        <v>3.45297558639641</v>
      </c>
      <c r="AK18">
        <v>0</v>
      </c>
      <c r="AL18">
        <v>0</v>
      </c>
      <c r="AM18">
        <f t="shared" si="22"/>
        <v>1</v>
      </c>
      <c r="AN18">
        <f t="shared" si="23"/>
        <v>0</v>
      </c>
      <c r="AO18">
        <f t="shared" si="24"/>
        <v>52597.320450128354</v>
      </c>
      <c r="AP18" t="s">
        <v>279</v>
      </c>
      <c r="AQ18">
        <v>687.861538461539</v>
      </c>
      <c r="AR18">
        <v>4005.07</v>
      </c>
      <c r="AS18">
        <f t="shared" si="25"/>
        <v>3317.2084615384611</v>
      </c>
      <c r="AT18">
        <f t="shared" si="26"/>
        <v>0.82825230558728336</v>
      </c>
      <c r="AU18">
        <v>-4.0580585712533601</v>
      </c>
      <c r="AV18" t="s">
        <v>290</v>
      </c>
      <c r="AW18">
        <v>848.40369230769204</v>
      </c>
      <c r="AX18">
        <v>1111.81</v>
      </c>
      <c r="AY18">
        <f t="shared" si="27"/>
        <v>0.23691665634623538</v>
      </c>
      <c r="AZ18">
        <v>0.5</v>
      </c>
      <c r="BA18">
        <f t="shared" si="28"/>
        <v>1849.1781000269652</v>
      </c>
      <c r="BB18">
        <f t="shared" si="29"/>
        <v>22.703802506843317</v>
      </c>
      <c r="BC18">
        <f t="shared" si="30"/>
        <v>219.05054622353649</v>
      </c>
      <c r="BD18">
        <f t="shared" si="31"/>
        <v>0.44990600912026329</v>
      </c>
      <c r="BE18">
        <f t="shared" si="32"/>
        <v>1.4472300465653594E-2</v>
      </c>
      <c r="BF18">
        <f t="shared" si="33"/>
        <v>2.6022971550894489</v>
      </c>
      <c r="BG18" t="s">
        <v>291</v>
      </c>
      <c r="BH18">
        <v>611.6</v>
      </c>
      <c r="BI18">
        <f t="shared" si="34"/>
        <v>500.20999999999992</v>
      </c>
      <c r="BJ18">
        <f t="shared" si="35"/>
        <v>0.52659144697688565</v>
      </c>
      <c r="BK18">
        <f t="shared" si="36"/>
        <v>0.8525963099717988</v>
      </c>
      <c r="BL18">
        <f t="shared" si="37"/>
        <v>0.62131681463458144</v>
      </c>
      <c r="BM18">
        <f t="shared" si="38"/>
        <v>0.87219722050816151</v>
      </c>
      <c r="BN18">
        <f t="shared" si="39"/>
        <v>2199.9899999999998</v>
      </c>
      <c r="BO18">
        <f t="shared" si="40"/>
        <v>1849.1781000269652</v>
      </c>
      <c r="BP18">
        <f t="shared" si="41"/>
        <v>0.84053932064553272</v>
      </c>
      <c r="BQ18">
        <f t="shared" si="42"/>
        <v>0.19107864129106589</v>
      </c>
      <c r="BR18">
        <v>1562689951.0580599</v>
      </c>
      <c r="BS18">
        <v>270.35029032258097</v>
      </c>
      <c r="BT18">
        <v>299.99761290322601</v>
      </c>
      <c r="BU18">
        <v>19.116096774193501</v>
      </c>
      <c r="BV18">
        <v>10.394880645161299</v>
      </c>
      <c r="BW18">
        <v>500.017870967742</v>
      </c>
      <c r="BX18">
        <v>99.208274193548405</v>
      </c>
      <c r="BY18">
        <v>9.9985835483870897E-2</v>
      </c>
      <c r="BZ18">
        <v>26.285948387096798</v>
      </c>
      <c r="CA18">
        <v>27.693861290322602</v>
      </c>
      <c r="CB18">
        <v>999.9</v>
      </c>
      <c r="CC18">
        <v>10002.703225806499</v>
      </c>
      <c r="CD18">
        <v>0</v>
      </c>
      <c r="CE18">
        <v>1718.3303225806501</v>
      </c>
      <c r="CF18">
        <v>2199.9899999999998</v>
      </c>
      <c r="CG18">
        <v>0.98200670967741899</v>
      </c>
      <c r="CH18">
        <v>1.7993341935483902E-2</v>
      </c>
      <c r="CI18">
        <v>0</v>
      </c>
      <c r="CJ18">
        <v>848.473322580645</v>
      </c>
      <c r="CK18">
        <v>1.9999499999999999</v>
      </c>
      <c r="CL18">
        <v>19597.032258064501</v>
      </c>
      <c r="CM18">
        <v>17938.2096774194</v>
      </c>
      <c r="CN18">
        <v>49.366806451612902</v>
      </c>
      <c r="CO18">
        <v>50.758000000000003</v>
      </c>
      <c r="CP18">
        <v>49.713419354838699</v>
      </c>
      <c r="CQ18">
        <v>49.640999999999998</v>
      </c>
      <c r="CR18">
        <v>50.429000000000002</v>
      </c>
      <c r="CS18">
        <v>2158.44</v>
      </c>
      <c r="CT18">
        <v>39.549999999999997</v>
      </c>
      <c r="CU18">
        <v>0</v>
      </c>
      <c r="CV18">
        <v>124</v>
      </c>
      <c r="CW18">
        <v>848.40369230769204</v>
      </c>
      <c r="CX18">
        <v>-2.2883418880092501</v>
      </c>
      <c r="CY18">
        <v>-37.8358974784068</v>
      </c>
      <c r="CZ18">
        <v>19596.442307692301</v>
      </c>
      <c r="DA18">
        <v>15</v>
      </c>
      <c r="DB18">
        <v>1562689914.5</v>
      </c>
      <c r="DC18" t="s">
        <v>292</v>
      </c>
      <c r="DD18">
        <v>26</v>
      </c>
      <c r="DE18">
        <v>0.378</v>
      </c>
      <c r="DF18">
        <v>5.6000000000000001E-2</v>
      </c>
      <c r="DG18">
        <v>300</v>
      </c>
      <c r="DH18">
        <v>11</v>
      </c>
      <c r="DI18">
        <v>0.04</v>
      </c>
      <c r="DJ18">
        <v>0.01</v>
      </c>
      <c r="DK18">
        <v>22.697624848618702</v>
      </c>
      <c r="DL18">
        <v>1.6501534869836101E-2</v>
      </c>
      <c r="DM18">
        <v>0.119588362526922</v>
      </c>
      <c r="DN18">
        <v>1</v>
      </c>
      <c r="DO18">
        <v>270.39358333333303</v>
      </c>
      <c r="DP18">
        <v>-0.20923946315792999</v>
      </c>
      <c r="DQ18">
        <v>6.0802446496831898E-2</v>
      </c>
      <c r="DR18">
        <v>1</v>
      </c>
      <c r="DS18">
        <v>0.425344628485822</v>
      </c>
      <c r="DT18">
        <v>5.3587946312546098E-2</v>
      </c>
      <c r="DU18">
        <v>1.41458094427107E-2</v>
      </c>
      <c r="DV18">
        <v>1</v>
      </c>
      <c r="DW18">
        <v>3</v>
      </c>
      <c r="DX18">
        <v>3</v>
      </c>
      <c r="DY18" t="s">
        <v>283</v>
      </c>
      <c r="DZ18">
        <v>1.8672299999999999</v>
      </c>
      <c r="EA18">
        <v>1.86371</v>
      </c>
      <c r="EB18">
        <v>1.8693599999999999</v>
      </c>
      <c r="EC18">
        <v>1.8673299999999999</v>
      </c>
      <c r="ED18">
        <v>1.8720300000000001</v>
      </c>
      <c r="EE18">
        <v>1.8644700000000001</v>
      </c>
      <c r="EF18">
        <v>1.86589</v>
      </c>
      <c r="EG18">
        <v>1.8658399999999999</v>
      </c>
      <c r="EH18" t="s">
        <v>284</v>
      </c>
      <c r="EI18" t="s">
        <v>19</v>
      </c>
      <c r="EJ18" t="s">
        <v>19</v>
      </c>
      <c r="EK18" t="s">
        <v>19</v>
      </c>
      <c r="EL18" t="s">
        <v>285</v>
      </c>
      <c r="EM18" t="s">
        <v>286</v>
      </c>
      <c r="EN18" t="s">
        <v>287</v>
      </c>
      <c r="EO18" t="s">
        <v>287</v>
      </c>
      <c r="EP18" t="s">
        <v>287</v>
      </c>
      <c r="EQ18" t="s">
        <v>287</v>
      </c>
      <c r="ER18">
        <v>0</v>
      </c>
      <c r="ES18">
        <v>100</v>
      </c>
      <c r="ET18">
        <v>100</v>
      </c>
      <c r="EU18">
        <v>0.378</v>
      </c>
      <c r="EV18">
        <v>5.6000000000000001E-2</v>
      </c>
      <c r="EW18">
        <v>2</v>
      </c>
      <c r="EX18">
        <v>510.16699999999997</v>
      </c>
      <c r="EY18">
        <v>454.63799999999998</v>
      </c>
      <c r="EZ18">
        <v>19.238099999999999</v>
      </c>
      <c r="FA18">
        <v>39.814999999999998</v>
      </c>
      <c r="FB18">
        <v>30</v>
      </c>
      <c r="FC18">
        <v>39.834499999999998</v>
      </c>
      <c r="FD18">
        <v>39.814</v>
      </c>
      <c r="FE18">
        <v>17.5669</v>
      </c>
      <c r="FF18">
        <v>72.949600000000004</v>
      </c>
      <c r="FG18">
        <v>0</v>
      </c>
      <c r="FH18">
        <v>17.164999999999999</v>
      </c>
      <c r="FI18">
        <v>300</v>
      </c>
      <c r="FJ18">
        <v>10.349399999999999</v>
      </c>
      <c r="FK18">
        <v>99.561300000000003</v>
      </c>
      <c r="FL18">
        <v>99.834900000000005</v>
      </c>
    </row>
    <row r="19" spans="1:168" x14ac:dyDescent="0.35">
      <c r="A19">
        <v>3</v>
      </c>
      <c r="B19">
        <v>1562690082.0999999</v>
      </c>
      <c r="C19">
        <v>247.59999990463299</v>
      </c>
      <c r="D19" t="s">
        <v>293</v>
      </c>
      <c r="E19" t="s">
        <v>294</v>
      </c>
      <c r="F19" t="s">
        <v>277</v>
      </c>
      <c r="G19" t="s">
        <v>278</v>
      </c>
      <c r="H19" t="s">
        <v>277</v>
      </c>
      <c r="J19" t="s">
        <v>277</v>
      </c>
      <c r="K19">
        <v>1562690074.0645199</v>
      </c>
      <c r="L19">
        <f t="shared" si="0"/>
        <v>7.2778053501108015E-3</v>
      </c>
      <c r="M19">
        <f t="shared" si="1"/>
        <v>14.207943613992892</v>
      </c>
      <c r="N19">
        <f t="shared" si="2"/>
        <v>181.39074193548399</v>
      </c>
      <c r="O19">
        <f t="shared" si="3"/>
        <v>119.61367407367976</v>
      </c>
      <c r="P19">
        <f t="shared" si="4"/>
        <v>11.877947323550844</v>
      </c>
      <c r="Q19">
        <f t="shared" si="5"/>
        <v>18.012570004014105</v>
      </c>
      <c r="R19">
        <f t="shared" si="6"/>
        <v>0.43239591784492731</v>
      </c>
      <c r="S19">
        <f t="shared" si="7"/>
        <v>2.2461277550598053</v>
      </c>
      <c r="T19">
        <f t="shared" si="8"/>
        <v>0.39091740629953781</v>
      </c>
      <c r="U19">
        <f t="shared" si="9"/>
        <v>0.24771763889548237</v>
      </c>
      <c r="V19">
        <f t="shared" si="10"/>
        <v>353.33876874737211</v>
      </c>
      <c r="W19">
        <f t="shared" si="11"/>
        <v>26.231230467759552</v>
      </c>
      <c r="X19">
        <f t="shared" si="12"/>
        <v>27.421212903225801</v>
      </c>
      <c r="Y19">
        <f t="shared" si="13"/>
        <v>3.6686659750002142</v>
      </c>
      <c r="Z19">
        <f t="shared" si="14"/>
        <v>55.506622134977476</v>
      </c>
      <c r="AA19">
        <f t="shared" si="15"/>
        <v>1.8714966034454965</v>
      </c>
      <c r="AB19">
        <f t="shared" si="16"/>
        <v>3.3716636528421962</v>
      </c>
      <c r="AC19">
        <f t="shared" si="17"/>
        <v>1.7971693715547177</v>
      </c>
      <c r="AD19">
        <f t="shared" si="18"/>
        <v>-320.95121593988637</v>
      </c>
      <c r="AE19">
        <f t="shared" si="19"/>
        <v>-173.67348662846354</v>
      </c>
      <c r="AF19">
        <f t="shared" si="20"/>
        <v>-16.63760631347483</v>
      </c>
      <c r="AG19">
        <f t="shared" si="21"/>
        <v>-157.92354013445259</v>
      </c>
      <c r="AH19">
        <v>-4.1079581890134699E-2</v>
      </c>
      <c r="AI19">
        <v>4.6115429440704098E-2</v>
      </c>
      <c r="AJ19">
        <v>3.4483001264604298</v>
      </c>
      <c r="AK19">
        <v>0</v>
      </c>
      <c r="AL19">
        <v>0</v>
      </c>
      <c r="AM19">
        <f t="shared" si="22"/>
        <v>1</v>
      </c>
      <c r="AN19">
        <f t="shared" si="23"/>
        <v>0</v>
      </c>
      <c r="AO19">
        <f t="shared" si="24"/>
        <v>52563.425484925268</v>
      </c>
      <c r="AP19" t="s">
        <v>279</v>
      </c>
      <c r="AQ19">
        <v>687.861538461539</v>
      </c>
      <c r="AR19">
        <v>4005.07</v>
      </c>
      <c r="AS19">
        <f t="shared" si="25"/>
        <v>3317.2084615384611</v>
      </c>
      <c r="AT19">
        <f t="shared" si="26"/>
        <v>0.82825230558728336</v>
      </c>
      <c r="AU19">
        <v>-4.0580585712533601</v>
      </c>
      <c r="AV19" t="s">
        <v>295</v>
      </c>
      <c r="AW19">
        <v>853.62303846153804</v>
      </c>
      <c r="AX19">
        <v>1074.79</v>
      </c>
      <c r="AY19">
        <f t="shared" si="27"/>
        <v>0.20577690668731741</v>
      </c>
      <c r="AZ19">
        <v>0.5</v>
      </c>
      <c r="BA19">
        <f t="shared" si="28"/>
        <v>1849.1794935753576</v>
      </c>
      <c r="BB19">
        <f t="shared" si="29"/>
        <v>14.207943613992892</v>
      </c>
      <c r="BC19">
        <f t="shared" si="30"/>
        <v>190.25921804877862</v>
      </c>
      <c r="BD19">
        <f t="shared" si="31"/>
        <v>0.42128229700685715</v>
      </c>
      <c r="BE19">
        <f t="shared" si="32"/>
        <v>9.8778957092635934E-3</v>
      </c>
      <c r="BF19">
        <f t="shared" si="33"/>
        <v>2.7263744545446089</v>
      </c>
      <c r="BG19" t="s">
        <v>296</v>
      </c>
      <c r="BH19">
        <v>622</v>
      </c>
      <c r="BI19">
        <f t="shared" si="34"/>
        <v>452.78999999999996</v>
      </c>
      <c r="BJ19">
        <f t="shared" si="35"/>
        <v>0.48845372366541207</v>
      </c>
      <c r="BK19">
        <f t="shared" si="36"/>
        <v>0.86616002624834842</v>
      </c>
      <c r="BL19">
        <f t="shared" si="37"/>
        <v>0.57159651853751725</v>
      </c>
      <c r="BM19">
        <f t="shared" si="38"/>
        <v>0.88335720651122107</v>
      </c>
      <c r="BN19">
        <f t="shared" si="39"/>
        <v>2199.9916129032299</v>
      </c>
      <c r="BO19">
        <f t="shared" si="40"/>
        <v>1849.1794935753576</v>
      </c>
      <c r="BP19">
        <f t="shared" si="41"/>
        <v>0.84053933784551049</v>
      </c>
      <c r="BQ19">
        <f t="shared" si="42"/>
        <v>0.19107867569102094</v>
      </c>
      <c r="BR19">
        <v>1562690074.0645199</v>
      </c>
      <c r="BS19">
        <v>181.39074193548399</v>
      </c>
      <c r="BT19">
        <v>200.023129032258</v>
      </c>
      <c r="BU19">
        <v>18.846403225806501</v>
      </c>
      <c r="BV19">
        <v>10.2782258064516</v>
      </c>
      <c r="BW19">
        <v>500.03480645161301</v>
      </c>
      <c r="BX19">
        <v>99.202564516129002</v>
      </c>
      <c r="BY19">
        <v>0.100022880645161</v>
      </c>
      <c r="BZ19">
        <v>25.986999999999998</v>
      </c>
      <c r="CA19">
        <v>27.421212903225801</v>
      </c>
      <c r="CB19">
        <v>999.9</v>
      </c>
      <c r="CC19">
        <v>9986.1741935483897</v>
      </c>
      <c r="CD19">
        <v>0</v>
      </c>
      <c r="CE19">
        <v>238.375</v>
      </c>
      <c r="CF19">
        <v>2199.9916129032299</v>
      </c>
      <c r="CG19">
        <v>0.98200487096774203</v>
      </c>
      <c r="CH19">
        <v>1.7994874193548401E-2</v>
      </c>
      <c r="CI19">
        <v>0</v>
      </c>
      <c r="CJ19">
        <v>853.66483870967704</v>
      </c>
      <c r="CK19">
        <v>1.9999499999999999</v>
      </c>
      <c r="CL19">
        <v>19644.151612903199</v>
      </c>
      <c r="CM19">
        <v>17938.229032258099</v>
      </c>
      <c r="CN19">
        <v>49.28</v>
      </c>
      <c r="CO19">
        <v>50.424999999999997</v>
      </c>
      <c r="CP19">
        <v>49.686999999999998</v>
      </c>
      <c r="CQ19">
        <v>49.311999999999998</v>
      </c>
      <c r="CR19">
        <v>50.3241935483871</v>
      </c>
      <c r="CS19">
        <v>2158.44032258065</v>
      </c>
      <c r="CT19">
        <v>39.551290322580599</v>
      </c>
      <c r="CU19">
        <v>0</v>
      </c>
      <c r="CV19">
        <v>122.40000009536701</v>
      </c>
      <c r="CW19">
        <v>853.62303846153804</v>
      </c>
      <c r="CX19">
        <v>-2.0513162394850299</v>
      </c>
      <c r="CY19">
        <v>63.825641246545302</v>
      </c>
      <c r="CZ19">
        <v>19644.503846153799</v>
      </c>
      <c r="DA19">
        <v>15</v>
      </c>
      <c r="DB19">
        <v>1562690037.0999999</v>
      </c>
      <c r="DC19" t="s">
        <v>297</v>
      </c>
      <c r="DD19">
        <v>27</v>
      </c>
      <c r="DE19">
        <v>0.17399999999999999</v>
      </c>
      <c r="DF19">
        <v>5.3999999999999999E-2</v>
      </c>
      <c r="DG19">
        <v>200</v>
      </c>
      <c r="DH19">
        <v>11</v>
      </c>
      <c r="DI19">
        <v>7.0000000000000007E-2</v>
      </c>
      <c r="DJ19">
        <v>0.01</v>
      </c>
      <c r="DK19">
        <v>14.2411564475719</v>
      </c>
      <c r="DL19">
        <v>-0.17806329885227801</v>
      </c>
      <c r="DM19">
        <v>6.8357720578782893E-2</v>
      </c>
      <c r="DN19">
        <v>1</v>
      </c>
      <c r="DO19">
        <v>181.354472222222</v>
      </c>
      <c r="DP19">
        <v>0.207227683286686</v>
      </c>
      <c r="DQ19">
        <v>4.0692946502576398E-2</v>
      </c>
      <c r="DR19">
        <v>1</v>
      </c>
      <c r="DS19">
        <v>0.42759069151967399</v>
      </c>
      <c r="DT19">
        <v>3.1377519942949302E-2</v>
      </c>
      <c r="DU19">
        <v>8.0564428679810399E-3</v>
      </c>
      <c r="DV19">
        <v>1</v>
      </c>
      <c r="DW19">
        <v>3</v>
      </c>
      <c r="DX19">
        <v>3</v>
      </c>
      <c r="DY19" t="s">
        <v>283</v>
      </c>
      <c r="DZ19">
        <v>1.8672200000000001</v>
      </c>
      <c r="EA19">
        <v>1.86371</v>
      </c>
      <c r="EB19">
        <v>1.8693500000000001</v>
      </c>
      <c r="EC19">
        <v>1.86731</v>
      </c>
      <c r="ED19">
        <v>1.8719699999999999</v>
      </c>
      <c r="EE19">
        <v>1.8644499999999999</v>
      </c>
      <c r="EF19">
        <v>1.86585</v>
      </c>
      <c r="EG19">
        <v>1.8658399999999999</v>
      </c>
      <c r="EH19" t="s">
        <v>284</v>
      </c>
      <c r="EI19" t="s">
        <v>19</v>
      </c>
      <c r="EJ19" t="s">
        <v>19</v>
      </c>
      <c r="EK19" t="s">
        <v>19</v>
      </c>
      <c r="EL19" t="s">
        <v>285</v>
      </c>
      <c r="EM19" t="s">
        <v>286</v>
      </c>
      <c r="EN19" t="s">
        <v>287</v>
      </c>
      <c r="EO19" t="s">
        <v>287</v>
      </c>
      <c r="EP19" t="s">
        <v>287</v>
      </c>
      <c r="EQ19" t="s">
        <v>287</v>
      </c>
      <c r="ER19">
        <v>0</v>
      </c>
      <c r="ES19">
        <v>100</v>
      </c>
      <c r="ET19">
        <v>100</v>
      </c>
      <c r="EU19">
        <v>0.17399999999999999</v>
      </c>
      <c r="EV19">
        <v>5.3999999999999999E-2</v>
      </c>
      <c r="EW19">
        <v>2</v>
      </c>
      <c r="EX19">
        <v>510.33300000000003</v>
      </c>
      <c r="EY19">
        <v>455.25900000000001</v>
      </c>
      <c r="EZ19">
        <v>18.845500000000001</v>
      </c>
      <c r="FA19">
        <v>39.646999999999998</v>
      </c>
      <c r="FB19">
        <v>29.999099999999999</v>
      </c>
      <c r="FC19">
        <v>39.736600000000003</v>
      </c>
      <c r="FD19">
        <v>39.715299999999999</v>
      </c>
      <c r="FE19">
        <v>12.8811</v>
      </c>
      <c r="FF19">
        <v>74.475899999999996</v>
      </c>
      <c r="FG19">
        <v>0</v>
      </c>
      <c r="FH19">
        <v>16.979500000000002</v>
      </c>
      <c r="FI19">
        <v>200</v>
      </c>
      <c r="FJ19">
        <v>10.2461</v>
      </c>
      <c r="FK19">
        <v>99.592200000000005</v>
      </c>
      <c r="FL19">
        <v>99.879599999999996</v>
      </c>
    </row>
    <row r="20" spans="1:168" x14ac:dyDescent="0.35">
      <c r="A20">
        <v>4</v>
      </c>
      <c r="B20">
        <v>1562690209.5999999</v>
      </c>
      <c r="C20">
        <v>375.09999990463302</v>
      </c>
      <c r="D20" t="s">
        <v>298</v>
      </c>
      <c r="E20" t="s">
        <v>299</v>
      </c>
      <c r="F20" t="s">
        <v>277</v>
      </c>
      <c r="G20" t="s">
        <v>278</v>
      </c>
      <c r="H20" t="s">
        <v>277</v>
      </c>
      <c r="J20" t="s">
        <v>277</v>
      </c>
      <c r="K20">
        <v>1562690201.5999999</v>
      </c>
      <c r="L20">
        <f t="shared" si="0"/>
        <v>7.3852684142752204E-3</v>
      </c>
      <c r="M20">
        <f t="shared" si="1"/>
        <v>5.347410106428824</v>
      </c>
      <c r="N20">
        <f t="shared" si="2"/>
        <v>92.762180645161294</v>
      </c>
      <c r="O20">
        <f t="shared" si="3"/>
        <v>69.789549871079473</v>
      </c>
      <c r="P20">
        <f t="shared" si="4"/>
        <v>6.929589798811544</v>
      </c>
      <c r="Q20">
        <f t="shared" si="5"/>
        <v>9.2106033339039897</v>
      </c>
      <c r="R20">
        <f t="shared" si="6"/>
        <v>0.45372333694413663</v>
      </c>
      <c r="S20">
        <f t="shared" si="7"/>
        <v>2.2484469776737521</v>
      </c>
      <c r="T20">
        <f t="shared" si="8"/>
        <v>0.40832380040563182</v>
      </c>
      <c r="U20">
        <f t="shared" si="9"/>
        <v>0.25890174466534216</v>
      </c>
      <c r="V20">
        <f t="shared" si="10"/>
        <v>353.34412162177114</v>
      </c>
      <c r="W20">
        <f t="shared" si="11"/>
        <v>25.796041907843982</v>
      </c>
      <c r="X20">
        <f t="shared" si="12"/>
        <v>27.018364516129001</v>
      </c>
      <c r="Y20">
        <f t="shared" si="13"/>
        <v>3.5830219689694638</v>
      </c>
      <c r="Z20">
        <f t="shared" si="14"/>
        <v>55.762474262357308</v>
      </c>
      <c r="AA20">
        <f t="shared" si="15"/>
        <v>1.8361438254008073</v>
      </c>
      <c r="AB20">
        <f t="shared" si="16"/>
        <v>3.2927947507528446</v>
      </c>
      <c r="AC20">
        <f t="shared" si="17"/>
        <v>1.7468781435686564</v>
      </c>
      <c r="AD20">
        <f t="shared" si="18"/>
        <v>-325.69033706953724</v>
      </c>
      <c r="AE20">
        <f t="shared" si="19"/>
        <v>-173.43089410660303</v>
      </c>
      <c r="AF20">
        <f t="shared" si="20"/>
        <v>-16.530679430836134</v>
      </c>
      <c r="AG20">
        <f t="shared" si="21"/>
        <v>-162.30778898520526</v>
      </c>
      <c r="AH20">
        <v>-4.1141950761530002E-2</v>
      </c>
      <c r="AI20">
        <v>4.6185443962658598E-2</v>
      </c>
      <c r="AJ20">
        <v>3.4524445413128801</v>
      </c>
      <c r="AK20">
        <v>0</v>
      </c>
      <c r="AL20">
        <v>0</v>
      </c>
      <c r="AM20">
        <f t="shared" si="22"/>
        <v>1</v>
      </c>
      <c r="AN20">
        <f t="shared" si="23"/>
        <v>0</v>
      </c>
      <c r="AO20">
        <f t="shared" si="24"/>
        <v>52710.168696956462</v>
      </c>
      <c r="AP20" t="s">
        <v>279</v>
      </c>
      <c r="AQ20">
        <v>687.861538461539</v>
      </c>
      <c r="AR20">
        <v>4005.07</v>
      </c>
      <c r="AS20">
        <f t="shared" si="25"/>
        <v>3317.2084615384611</v>
      </c>
      <c r="AT20">
        <f t="shared" si="26"/>
        <v>0.82825230558728336</v>
      </c>
      <c r="AU20">
        <v>-4.0580585712533601</v>
      </c>
      <c r="AV20" t="s">
        <v>300</v>
      </c>
      <c r="AW20">
        <v>869.45226923076905</v>
      </c>
      <c r="AX20">
        <v>1052.3800000000001</v>
      </c>
      <c r="AY20">
        <f t="shared" si="27"/>
        <v>0.17382288790097777</v>
      </c>
      <c r="AZ20">
        <v>0.5</v>
      </c>
      <c r="BA20">
        <f t="shared" si="28"/>
        <v>1849.2066995850555</v>
      </c>
      <c r="BB20">
        <f t="shared" si="29"/>
        <v>5.347410106428824</v>
      </c>
      <c r="BC20">
        <f t="shared" si="30"/>
        <v>160.7172244238551</v>
      </c>
      <c r="BD20">
        <f t="shared" si="31"/>
        <v>0.38957410821186272</v>
      </c>
      <c r="BE20">
        <f t="shared" si="32"/>
        <v>5.0862181495409256E-3</v>
      </c>
      <c r="BF20">
        <f t="shared" si="33"/>
        <v>2.8057260685303786</v>
      </c>
      <c r="BG20" t="s">
        <v>301</v>
      </c>
      <c r="BH20">
        <v>642.4</v>
      </c>
      <c r="BI20">
        <f t="shared" si="34"/>
        <v>409.98000000000013</v>
      </c>
      <c r="BJ20">
        <f t="shared" si="35"/>
        <v>0.44618696221579346</v>
      </c>
      <c r="BK20">
        <f t="shared" si="36"/>
        <v>0.87807902648788017</v>
      </c>
      <c r="BL20">
        <f t="shared" si="37"/>
        <v>0.50183392631796775</v>
      </c>
      <c r="BM20">
        <f t="shared" si="38"/>
        <v>0.89011288685505041</v>
      </c>
      <c r="BN20">
        <f t="shared" si="39"/>
        <v>2200.0238709677401</v>
      </c>
      <c r="BO20">
        <f t="shared" si="40"/>
        <v>1849.2066995850555</v>
      </c>
      <c r="BP20">
        <f t="shared" si="41"/>
        <v>0.8405393795893823</v>
      </c>
      <c r="BQ20">
        <f t="shared" si="42"/>
        <v>0.19107875917876471</v>
      </c>
      <c r="BR20">
        <v>1562690201.5999999</v>
      </c>
      <c r="BS20">
        <v>92.762180645161294</v>
      </c>
      <c r="BT20">
        <v>100.000722580645</v>
      </c>
      <c r="BU20">
        <v>18.4922419354839</v>
      </c>
      <c r="BV20">
        <v>9.7943309677419403</v>
      </c>
      <c r="BW20">
        <v>500.03029032258098</v>
      </c>
      <c r="BX20">
        <v>99.192632258064506</v>
      </c>
      <c r="BY20">
        <v>0.10002418709677401</v>
      </c>
      <c r="BZ20">
        <v>25.587632258064499</v>
      </c>
      <c r="CA20">
        <v>27.018364516129001</v>
      </c>
      <c r="CB20">
        <v>999.9</v>
      </c>
      <c r="CC20">
        <v>10002.337096774199</v>
      </c>
      <c r="CD20">
        <v>0</v>
      </c>
      <c r="CE20">
        <v>327.49209677419299</v>
      </c>
      <c r="CF20">
        <v>2200.0238709677401</v>
      </c>
      <c r="CG20">
        <v>0.98200393548387099</v>
      </c>
      <c r="CH20">
        <v>1.7995680645161299E-2</v>
      </c>
      <c r="CI20">
        <v>0</v>
      </c>
      <c r="CJ20">
        <v>869.43609677419295</v>
      </c>
      <c r="CK20">
        <v>1.9999499999999999</v>
      </c>
      <c r="CL20">
        <v>19967.722580645201</v>
      </c>
      <c r="CM20">
        <v>17938.470967741901</v>
      </c>
      <c r="CN20">
        <v>49.179064516129003</v>
      </c>
      <c r="CO20">
        <v>49.995935483871001</v>
      </c>
      <c r="CP20">
        <v>49.52</v>
      </c>
      <c r="CQ20">
        <v>49.007870967741901</v>
      </c>
      <c r="CR20">
        <v>50.145000000000003</v>
      </c>
      <c r="CS20">
        <v>2158.4638709677401</v>
      </c>
      <c r="CT20">
        <v>39.554838709677398</v>
      </c>
      <c r="CU20">
        <v>0</v>
      </c>
      <c r="CV20">
        <v>126.60000014305101</v>
      </c>
      <c r="CW20">
        <v>869.45226923076905</v>
      </c>
      <c r="CX20">
        <v>2.46300854054495</v>
      </c>
      <c r="CY20">
        <v>26.307692357641798</v>
      </c>
      <c r="CZ20">
        <v>19967.803846153802</v>
      </c>
      <c r="DA20">
        <v>15</v>
      </c>
      <c r="DB20">
        <v>1562690165.0999999</v>
      </c>
      <c r="DC20" t="s">
        <v>302</v>
      </c>
      <c r="DD20">
        <v>28</v>
      </c>
      <c r="DE20">
        <v>0.27400000000000002</v>
      </c>
      <c r="DF20">
        <v>5.2999999999999999E-2</v>
      </c>
      <c r="DG20">
        <v>100</v>
      </c>
      <c r="DH20">
        <v>10</v>
      </c>
      <c r="DI20">
        <v>0.15</v>
      </c>
      <c r="DJ20">
        <v>0.02</v>
      </c>
      <c r="DK20">
        <v>5.3347480189135696</v>
      </c>
      <c r="DL20">
        <v>6.8423760583515902E-2</v>
      </c>
      <c r="DM20">
        <v>8.4819957448056899E-2</v>
      </c>
      <c r="DN20">
        <v>1</v>
      </c>
      <c r="DO20">
        <v>92.768950000000004</v>
      </c>
      <c r="DP20">
        <v>1.53725641520448E-2</v>
      </c>
      <c r="DQ20">
        <v>3.2895600854150601E-2</v>
      </c>
      <c r="DR20">
        <v>1</v>
      </c>
      <c r="DS20">
        <v>0.44702896544626203</v>
      </c>
      <c r="DT20">
        <v>4.8626247549505799E-2</v>
      </c>
      <c r="DU20">
        <v>1.24110939229608E-2</v>
      </c>
      <c r="DV20">
        <v>1</v>
      </c>
      <c r="DW20">
        <v>3</v>
      </c>
      <c r="DX20">
        <v>3</v>
      </c>
      <c r="DY20" t="s">
        <v>283</v>
      </c>
      <c r="DZ20">
        <v>1.8672200000000001</v>
      </c>
      <c r="EA20">
        <v>1.8636999999999999</v>
      </c>
      <c r="EB20">
        <v>1.86934</v>
      </c>
      <c r="EC20">
        <v>1.8672500000000001</v>
      </c>
      <c r="ED20">
        <v>1.87195</v>
      </c>
      <c r="EE20">
        <v>1.8644000000000001</v>
      </c>
      <c r="EF20">
        <v>1.8658399999999999</v>
      </c>
      <c r="EG20">
        <v>1.8658399999999999</v>
      </c>
      <c r="EH20" t="s">
        <v>284</v>
      </c>
      <c r="EI20" t="s">
        <v>19</v>
      </c>
      <c r="EJ20" t="s">
        <v>19</v>
      </c>
      <c r="EK20" t="s">
        <v>19</v>
      </c>
      <c r="EL20" t="s">
        <v>285</v>
      </c>
      <c r="EM20" t="s">
        <v>286</v>
      </c>
      <c r="EN20" t="s">
        <v>287</v>
      </c>
      <c r="EO20" t="s">
        <v>287</v>
      </c>
      <c r="EP20" t="s">
        <v>287</v>
      </c>
      <c r="EQ20" t="s">
        <v>287</v>
      </c>
      <c r="ER20">
        <v>0</v>
      </c>
      <c r="ES20">
        <v>100</v>
      </c>
      <c r="ET20">
        <v>100</v>
      </c>
      <c r="EU20">
        <v>0.27400000000000002</v>
      </c>
      <c r="EV20">
        <v>5.2999999999999999E-2</v>
      </c>
      <c r="EW20">
        <v>2</v>
      </c>
      <c r="EX20">
        <v>510.91899999999998</v>
      </c>
      <c r="EY20">
        <v>457.01499999999999</v>
      </c>
      <c r="EZ20">
        <v>18.473700000000001</v>
      </c>
      <c r="FA20">
        <v>39.287700000000001</v>
      </c>
      <c r="FB20">
        <v>29.9986</v>
      </c>
      <c r="FC20">
        <v>39.451999999999998</v>
      </c>
      <c r="FD20">
        <v>39.435299999999998</v>
      </c>
      <c r="FE20">
        <v>8.0179299999999998</v>
      </c>
      <c r="FF20">
        <v>75.853999999999999</v>
      </c>
      <c r="FG20">
        <v>0</v>
      </c>
      <c r="FH20">
        <v>16.6493</v>
      </c>
      <c r="FI20">
        <v>100</v>
      </c>
      <c r="FJ20">
        <v>9.6427200000000006</v>
      </c>
      <c r="FK20">
        <v>99.659599999999998</v>
      </c>
      <c r="FL20">
        <v>99.967200000000005</v>
      </c>
    </row>
    <row r="21" spans="1:168" x14ac:dyDescent="0.35">
      <c r="A21">
        <v>5</v>
      </c>
      <c r="B21">
        <v>1562690329.0999999</v>
      </c>
      <c r="C21">
        <v>494.59999990463302</v>
      </c>
      <c r="D21" t="s">
        <v>303</v>
      </c>
      <c r="E21" t="s">
        <v>304</v>
      </c>
      <c r="F21" t="s">
        <v>277</v>
      </c>
      <c r="G21" t="s">
        <v>278</v>
      </c>
      <c r="H21" t="s">
        <v>277</v>
      </c>
      <c r="J21" t="s">
        <v>277</v>
      </c>
      <c r="K21">
        <v>1562690321.0999999</v>
      </c>
      <c r="L21">
        <f t="shared" si="0"/>
        <v>7.4958026855568398E-3</v>
      </c>
      <c r="M21">
        <f t="shared" si="1"/>
        <v>-4.4878999371476969</v>
      </c>
      <c r="N21">
        <f t="shared" si="2"/>
        <v>2.5771199999999999</v>
      </c>
      <c r="O21">
        <f t="shared" si="3"/>
        <v>19.297430877092683</v>
      </c>
      <c r="P21">
        <f t="shared" si="4"/>
        <v>1.9162196512093741</v>
      </c>
      <c r="Q21">
        <f t="shared" si="5"/>
        <v>0.25590598142195298</v>
      </c>
      <c r="R21">
        <f t="shared" si="6"/>
        <v>0.46259146267091367</v>
      </c>
      <c r="S21">
        <f t="shared" si="7"/>
        <v>2.247470099735577</v>
      </c>
      <c r="T21">
        <f t="shared" si="8"/>
        <v>0.41548005106133989</v>
      </c>
      <c r="U21">
        <f t="shared" si="9"/>
        <v>0.26350683973101252</v>
      </c>
      <c r="V21">
        <f t="shared" si="10"/>
        <v>353.33809191698646</v>
      </c>
      <c r="W21">
        <f t="shared" si="11"/>
        <v>25.818183759726534</v>
      </c>
      <c r="X21">
        <f t="shared" si="12"/>
        <v>26.9849322580645</v>
      </c>
      <c r="Y21">
        <f t="shared" si="13"/>
        <v>3.5759934820914023</v>
      </c>
      <c r="Z21">
        <f t="shared" si="14"/>
        <v>55.482002593392068</v>
      </c>
      <c r="AA21">
        <f t="shared" si="15"/>
        <v>1.833301424032054</v>
      </c>
      <c r="AB21">
        <f t="shared" si="16"/>
        <v>3.3043173251471658</v>
      </c>
      <c r="AC21">
        <f t="shared" si="17"/>
        <v>1.7426920580593483</v>
      </c>
      <c r="AD21">
        <f t="shared" si="18"/>
        <v>-330.56489843305661</v>
      </c>
      <c r="AE21">
        <f t="shared" si="19"/>
        <v>-162.17234919467074</v>
      </c>
      <c r="AF21">
        <f t="shared" si="20"/>
        <v>-15.466242654540856</v>
      </c>
      <c r="AG21">
        <f t="shared" si="21"/>
        <v>-154.86539836528175</v>
      </c>
      <c r="AH21">
        <v>-4.1115673347360403E-2</v>
      </c>
      <c r="AI21">
        <v>4.61559452632253E-2</v>
      </c>
      <c r="AJ21">
        <v>3.4506986686611998</v>
      </c>
      <c r="AK21">
        <v>0</v>
      </c>
      <c r="AL21">
        <v>0</v>
      </c>
      <c r="AM21">
        <f t="shared" si="22"/>
        <v>1</v>
      </c>
      <c r="AN21">
        <f t="shared" si="23"/>
        <v>0</v>
      </c>
      <c r="AO21">
        <f t="shared" si="24"/>
        <v>52667.636955479007</v>
      </c>
      <c r="AP21" t="s">
        <v>279</v>
      </c>
      <c r="AQ21">
        <v>687.861538461539</v>
      </c>
      <c r="AR21">
        <v>4005.07</v>
      </c>
      <c r="AS21">
        <f t="shared" si="25"/>
        <v>3317.2084615384611</v>
      </c>
      <c r="AT21">
        <f t="shared" si="26"/>
        <v>0.82825230558728336</v>
      </c>
      <c r="AU21">
        <v>-4.0580585712533601</v>
      </c>
      <c r="AV21" t="s">
        <v>305</v>
      </c>
      <c r="AW21">
        <v>894.65507692307699</v>
      </c>
      <c r="AX21">
        <v>1024.6600000000001</v>
      </c>
      <c r="AY21">
        <f t="shared" si="27"/>
        <v>0.12687615704421285</v>
      </c>
      <c r="AZ21">
        <v>0.5</v>
      </c>
      <c r="BA21">
        <f t="shared" si="28"/>
        <v>1849.1735322850402</v>
      </c>
      <c r="BB21">
        <f t="shared" si="29"/>
        <v>-4.4878999371476969</v>
      </c>
      <c r="BC21">
        <f t="shared" si="30"/>
        <v>117.30801574209927</v>
      </c>
      <c r="BD21">
        <f t="shared" si="31"/>
        <v>0.33343743290457328</v>
      </c>
      <c r="BE21">
        <f t="shared" si="32"/>
        <v>-2.3245052905509518E-4</v>
      </c>
      <c r="BF21">
        <f t="shared" si="33"/>
        <v>2.9086819042414067</v>
      </c>
      <c r="BG21" t="s">
        <v>306</v>
      </c>
      <c r="BH21">
        <v>683</v>
      </c>
      <c r="BI21">
        <f t="shared" si="34"/>
        <v>341.66000000000008</v>
      </c>
      <c r="BJ21">
        <f t="shared" si="35"/>
        <v>0.38050963846198871</v>
      </c>
      <c r="BK21">
        <f t="shared" si="36"/>
        <v>0.89715448500483119</v>
      </c>
      <c r="BL21">
        <f t="shared" si="37"/>
        <v>0.38600212864118749</v>
      </c>
      <c r="BM21">
        <f t="shared" si="38"/>
        <v>0.89846931073416469</v>
      </c>
      <c r="BN21">
        <f t="shared" si="39"/>
        <v>2199.9841935483901</v>
      </c>
      <c r="BO21">
        <f t="shared" si="40"/>
        <v>1849.1735322850402</v>
      </c>
      <c r="BP21">
        <f t="shared" si="41"/>
        <v>0.84053946283244807</v>
      </c>
      <c r="BQ21">
        <f t="shared" si="42"/>
        <v>0.19107892566489607</v>
      </c>
      <c r="BR21">
        <v>1562690321.0999999</v>
      </c>
      <c r="BS21">
        <v>2.5771199999999999</v>
      </c>
      <c r="BT21">
        <v>-2.7850051612903202</v>
      </c>
      <c r="BU21">
        <v>18.4623967741935</v>
      </c>
      <c r="BV21">
        <v>9.6337880645161302</v>
      </c>
      <c r="BW21">
        <v>500.01619354838698</v>
      </c>
      <c r="BX21">
        <v>99.199212903225799</v>
      </c>
      <c r="BY21">
        <v>9.9997619354838696E-2</v>
      </c>
      <c r="BZ21">
        <v>25.646496774193601</v>
      </c>
      <c r="CA21">
        <v>26.9849322580645</v>
      </c>
      <c r="CB21">
        <v>999.9</v>
      </c>
      <c r="CC21">
        <v>9995.28548387097</v>
      </c>
      <c r="CD21">
        <v>0</v>
      </c>
      <c r="CE21">
        <v>243.47464516129</v>
      </c>
      <c r="CF21">
        <v>2199.9841935483901</v>
      </c>
      <c r="CG21">
        <v>0.98200122580645199</v>
      </c>
      <c r="CH21">
        <v>1.7998745161290301E-2</v>
      </c>
      <c r="CI21">
        <v>0</v>
      </c>
      <c r="CJ21">
        <v>894.613612903226</v>
      </c>
      <c r="CK21">
        <v>1.9999499999999999</v>
      </c>
      <c r="CL21">
        <v>20493.364516129001</v>
      </c>
      <c r="CM21">
        <v>17938.141935483902</v>
      </c>
      <c r="CN21">
        <v>48.991677419354801</v>
      </c>
      <c r="CO21">
        <v>49.677064516129001</v>
      </c>
      <c r="CP21">
        <v>49.360774193548401</v>
      </c>
      <c r="CQ21">
        <v>48.592548387096798</v>
      </c>
      <c r="CR21">
        <v>49.943258064516101</v>
      </c>
      <c r="CS21">
        <v>2158.4238709677402</v>
      </c>
      <c r="CT21">
        <v>39.560322580645099</v>
      </c>
      <c r="CU21">
        <v>0</v>
      </c>
      <c r="CV21">
        <v>118.60000014305101</v>
      </c>
      <c r="CW21">
        <v>894.65507692307699</v>
      </c>
      <c r="CX21">
        <v>6.4402734869397902</v>
      </c>
      <c r="CY21">
        <v>154.80341879625601</v>
      </c>
      <c r="CZ21">
        <v>20494.053846153802</v>
      </c>
      <c r="DA21">
        <v>15</v>
      </c>
      <c r="DB21">
        <v>1562690285.5999999</v>
      </c>
      <c r="DC21" t="s">
        <v>307</v>
      </c>
      <c r="DD21">
        <v>29</v>
      </c>
      <c r="DE21">
        <v>0.11600000000000001</v>
      </c>
      <c r="DF21">
        <v>4.5999999999999999E-2</v>
      </c>
      <c r="DG21">
        <v>-3</v>
      </c>
      <c r="DH21">
        <v>9</v>
      </c>
      <c r="DI21">
        <v>0.3</v>
      </c>
      <c r="DJ21">
        <v>0.02</v>
      </c>
      <c r="DK21">
        <v>-4.5023475730247</v>
      </c>
      <c r="DL21">
        <v>4.9330541584583602E-3</v>
      </c>
      <c r="DM21">
        <v>0.13670001661442399</v>
      </c>
      <c r="DN21">
        <v>1</v>
      </c>
      <c r="DO21">
        <v>2.6178323611111098</v>
      </c>
      <c r="DP21">
        <v>-0.188299035307743</v>
      </c>
      <c r="DQ21">
        <v>4.0133646783557797E-2</v>
      </c>
      <c r="DR21">
        <v>1</v>
      </c>
      <c r="DS21">
        <v>0.44647608831813901</v>
      </c>
      <c r="DT21">
        <v>0.114511013027162</v>
      </c>
      <c r="DU21">
        <v>3.2058069564165598E-2</v>
      </c>
      <c r="DV21">
        <v>1</v>
      </c>
      <c r="DW21">
        <v>3</v>
      </c>
      <c r="DX21">
        <v>3</v>
      </c>
      <c r="DY21" t="s">
        <v>283</v>
      </c>
      <c r="DZ21">
        <v>1.8672200000000001</v>
      </c>
      <c r="EA21">
        <v>1.8637300000000001</v>
      </c>
      <c r="EB21">
        <v>1.8693500000000001</v>
      </c>
      <c r="EC21">
        <v>1.86731</v>
      </c>
      <c r="ED21">
        <v>1.87201</v>
      </c>
      <c r="EE21">
        <v>1.8644499999999999</v>
      </c>
      <c r="EF21">
        <v>1.8658699999999999</v>
      </c>
      <c r="EG21">
        <v>1.8658399999999999</v>
      </c>
      <c r="EH21" t="s">
        <v>284</v>
      </c>
      <c r="EI21" t="s">
        <v>19</v>
      </c>
      <c r="EJ21" t="s">
        <v>19</v>
      </c>
      <c r="EK21" t="s">
        <v>19</v>
      </c>
      <c r="EL21" t="s">
        <v>285</v>
      </c>
      <c r="EM21" t="s">
        <v>286</v>
      </c>
      <c r="EN21" t="s">
        <v>287</v>
      </c>
      <c r="EO21" t="s">
        <v>287</v>
      </c>
      <c r="EP21" t="s">
        <v>287</v>
      </c>
      <c r="EQ21" t="s">
        <v>287</v>
      </c>
      <c r="ER21">
        <v>0</v>
      </c>
      <c r="ES21">
        <v>100</v>
      </c>
      <c r="ET21">
        <v>100</v>
      </c>
      <c r="EU21">
        <v>0.11600000000000001</v>
      </c>
      <c r="EV21">
        <v>4.5999999999999999E-2</v>
      </c>
      <c r="EW21">
        <v>2</v>
      </c>
      <c r="EX21">
        <v>511.57900000000001</v>
      </c>
      <c r="EY21">
        <v>457.99099999999999</v>
      </c>
      <c r="EZ21">
        <v>19.215299999999999</v>
      </c>
      <c r="FA21">
        <v>38.862299999999998</v>
      </c>
      <c r="FB21">
        <v>29.997699999999998</v>
      </c>
      <c r="FC21">
        <v>39.112000000000002</v>
      </c>
      <c r="FD21">
        <v>39.106499999999997</v>
      </c>
      <c r="FE21">
        <v>0</v>
      </c>
      <c r="FF21">
        <v>77.017899999999997</v>
      </c>
      <c r="FG21">
        <v>0</v>
      </c>
      <c r="FH21">
        <v>19.2239</v>
      </c>
      <c r="FI21">
        <v>0</v>
      </c>
      <c r="FJ21">
        <v>9.6434599999999993</v>
      </c>
      <c r="FK21">
        <v>99.738</v>
      </c>
      <c r="FL21">
        <v>100.065</v>
      </c>
    </row>
    <row r="22" spans="1:168" x14ac:dyDescent="0.35">
      <c r="A22">
        <v>6</v>
      </c>
      <c r="B22">
        <v>1562690453.5999999</v>
      </c>
      <c r="C22">
        <v>619.09999990463302</v>
      </c>
      <c r="D22" t="s">
        <v>308</v>
      </c>
      <c r="E22" t="s">
        <v>309</v>
      </c>
      <c r="F22" t="s">
        <v>277</v>
      </c>
      <c r="G22" t="s">
        <v>278</v>
      </c>
      <c r="H22" t="s">
        <v>277</v>
      </c>
      <c r="J22" t="s">
        <v>277</v>
      </c>
      <c r="K22">
        <v>1562690445.5999999</v>
      </c>
      <c r="L22">
        <f t="shared" si="0"/>
        <v>7.9505384246277115E-3</v>
      </c>
      <c r="M22">
        <f t="shared" si="1"/>
        <v>-2.8034410458417178</v>
      </c>
      <c r="N22">
        <f t="shared" si="2"/>
        <v>16.5655</v>
      </c>
      <c r="O22">
        <f t="shared" si="3"/>
        <v>25.958262759641528</v>
      </c>
      <c r="P22">
        <f t="shared" si="4"/>
        <v>2.5775525943999242</v>
      </c>
      <c r="Q22">
        <f t="shared" si="5"/>
        <v>1.6448884849458079</v>
      </c>
      <c r="R22">
        <f t="shared" si="6"/>
        <v>0.49541129535149342</v>
      </c>
      <c r="S22">
        <f t="shared" si="7"/>
        <v>2.2490897465707578</v>
      </c>
      <c r="T22">
        <f t="shared" si="8"/>
        <v>0.44182574468616348</v>
      </c>
      <c r="U22">
        <f t="shared" si="9"/>
        <v>0.28047100819696619</v>
      </c>
      <c r="V22">
        <f t="shared" si="10"/>
        <v>353.34059604986442</v>
      </c>
      <c r="W22">
        <f t="shared" si="11"/>
        <v>25.845216252123855</v>
      </c>
      <c r="X22">
        <f t="shared" si="12"/>
        <v>26.9946967741935</v>
      </c>
      <c r="Y22">
        <f t="shared" si="13"/>
        <v>3.5780450377983226</v>
      </c>
      <c r="Z22">
        <f t="shared" si="14"/>
        <v>55.099035404686624</v>
      </c>
      <c r="AA22">
        <f t="shared" si="15"/>
        <v>1.8399869380972991</v>
      </c>
      <c r="AB22">
        <f t="shared" si="16"/>
        <v>3.339417695034264</v>
      </c>
      <c r="AC22">
        <f t="shared" si="17"/>
        <v>1.7380580997010235</v>
      </c>
      <c r="AD22">
        <f t="shared" si="18"/>
        <v>-350.61874452608208</v>
      </c>
      <c r="AE22">
        <f t="shared" si="19"/>
        <v>-141.86396821566669</v>
      </c>
      <c r="AF22">
        <f t="shared" si="20"/>
        <v>-13.532430433069589</v>
      </c>
      <c r="AG22">
        <f t="shared" si="21"/>
        <v>-152.67454712495393</v>
      </c>
      <c r="AH22">
        <v>-4.1159246468732702E-2</v>
      </c>
      <c r="AI22">
        <v>4.6204859909180801E-2</v>
      </c>
      <c r="AJ22">
        <v>3.4535934599900502</v>
      </c>
      <c r="AK22">
        <v>0</v>
      </c>
      <c r="AL22">
        <v>0</v>
      </c>
      <c r="AM22">
        <f t="shared" si="22"/>
        <v>1</v>
      </c>
      <c r="AN22">
        <f t="shared" si="23"/>
        <v>0</v>
      </c>
      <c r="AO22">
        <f t="shared" si="24"/>
        <v>52689.656971520177</v>
      </c>
      <c r="AP22" t="s">
        <v>279</v>
      </c>
      <c r="AQ22">
        <v>687.861538461539</v>
      </c>
      <c r="AR22">
        <v>4005.07</v>
      </c>
      <c r="AS22">
        <f t="shared" si="25"/>
        <v>3317.2084615384611</v>
      </c>
      <c r="AT22">
        <f t="shared" si="26"/>
        <v>0.82825230558728336</v>
      </c>
      <c r="AU22">
        <v>-4.0580585712533601</v>
      </c>
      <c r="AV22" t="s">
        <v>310</v>
      </c>
      <c r="AW22">
        <v>899.02807692307704</v>
      </c>
      <c r="AX22">
        <v>1013</v>
      </c>
      <c r="AY22">
        <f t="shared" si="27"/>
        <v>0.11250930214898613</v>
      </c>
      <c r="AZ22">
        <v>0.5</v>
      </c>
      <c r="BA22">
        <f t="shared" si="28"/>
        <v>1849.1858259142625</v>
      </c>
      <c r="BB22">
        <f t="shared" si="29"/>
        <v>-2.8034410458417178</v>
      </c>
      <c r="BC22">
        <f t="shared" si="30"/>
        <v>104.02530340870511</v>
      </c>
      <c r="BD22">
        <f t="shared" si="31"/>
        <v>0.32951628825271467</v>
      </c>
      <c r="BE22">
        <f t="shared" si="32"/>
        <v>6.7847022610144781E-4</v>
      </c>
      <c r="BF22">
        <f t="shared" si="33"/>
        <v>2.9536722606120436</v>
      </c>
      <c r="BG22" t="s">
        <v>311</v>
      </c>
      <c r="BH22">
        <v>679.2</v>
      </c>
      <c r="BI22">
        <f t="shared" si="34"/>
        <v>333.79999999999995</v>
      </c>
      <c r="BJ22">
        <f t="shared" si="35"/>
        <v>0.34143775637184837</v>
      </c>
      <c r="BK22">
        <f t="shared" si="36"/>
        <v>0.89963528339953158</v>
      </c>
      <c r="BL22">
        <f t="shared" si="37"/>
        <v>0.35053350052048854</v>
      </c>
      <c r="BM22">
        <f t="shared" si="38"/>
        <v>0.90198431442934779</v>
      </c>
      <c r="BN22">
        <f t="shared" si="39"/>
        <v>2199.9987096774198</v>
      </c>
      <c r="BO22">
        <f t="shared" si="40"/>
        <v>1849.1858259142625</v>
      </c>
      <c r="BP22">
        <f t="shared" si="41"/>
        <v>0.84053950476425687</v>
      </c>
      <c r="BQ22">
        <f t="shared" si="42"/>
        <v>0.191079009528514</v>
      </c>
      <c r="BR22">
        <v>1562690445.5999999</v>
      </c>
      <c r="BS22">
        <v>16.5655</v>
      </c>
      <c r="BT22">
        <v>13.3596967741935</v>
      </c>
      <c r="BU22">
        <v>18.5303161290323</v>
      </c>
      <c r="BV22">
        <v>9.1672803225806501</v>
      </c>
      <c r="BW22">
        <v>500.04374193548398</v>
      </c>
      <c r="BX22">
        <v>99.196006451612902</v>
      </c>
      <c r="BY22">
        <v>0.100029583870968</v>
      </c>
      <c r="BZ22">
        <v>25.824712903225802</v>
      </c>
      <c r="CA22">
        <v>26.9946967741935</v>
      </c>
      <c r="CB22">
        <v>999.9</v>
      </c>
      <c r="CC22">
        <v>10006.2016129032</v>
      </c>
      <c r="CD22">
        <v>0</v>
      </c>
      <c r="CE22">
        <v>240.60903225806501</v>
      </c>
      <c r="CF22">
        <v>2199.9987096774198</v>
      </c>
      <c r="CG22">
        <v>0.98199909677419295</v>
      </c>
      <c r="CH22">
        <v>1.80005193548387E-2</v>
      </c>
      <c r="CI22">
        <v>0</v>
      </c>
      <c r="CJ22">
        <v>899.03032258064502</v>
      </c>
      <c r="CK22">
        <v>1.9999499999999999</v>
      </c>
      <c r="CL22">
        <v>20565.061290322599</v>
      </c>
      <c r="CM22">
        <v>17938.2419354839</v>
      </c>
      <c r="CN22">
        <v>48.7559677419355</v>
      </c>
      <c r="CO22">
        <v>49.348580645161299</v>
      </c>
      <c r="CP22">
        <v>49.102645161290297</v>
      </c>
      <c r="CQ22">
        <v>48.215451612903202</v>
      </c>
      <c r="CR22">
        <v>49.6931935483871</v>
      </c>
      <c r="CS22">
        <v>2158.42903225806</v>
      </c>
      <c r="CT22">
        <v>39.563548387096802</v>
      </c>
      <c r="CU22">
        <v>0</v>
      </c>
      <c r="CV22">
        <v>124.10000014305101</v>
      </c>
      <c r="CW22">
        <v>899.02807692307704</v>
      </c>
      <c r="CX22">
        <v>0.764444430882392</v>
      </c>
      <c r="CY22">
        <v>-13.223931647197899</v>
      </c>
      <c r="CZ22">
        <v>20565.038461538501</v>
      </c>
      <c r="DA22">
        <v>15</v>
      </c>
      <c r="DB22">
        <v>1562690494.0999999</v>
      </c>
      <c r="DC22" t="s">
        <v>312</v>
      </c>
      <c r="DD22">
        <v>30</v>
      </c>
      <c r="DE22">
        <v>0.26100000000000001</v>
      </c>
      <c r="DF22">
        <v>4.5999999999999999E-2</v>
      </c>
      <c r="DG22">
        <v>14</v>
      </c>
      <c r="DH22">
        <v>9</v>
      </c>
      <c r="DI22">
        <v>0.17</v>
      </c>
      <c r="DJ22">
        <v>0.02</v>
      </c>
      <c r="DK22">
        <v>-2.6497625540287699</v>
      </c>
      <c r="DL22">
        <v>-0.254429555746925</v>
      </c>
      <c r="DM22">
        <v>6.8460779910945901E-2</v>
      </c>
      <c r="DN22">
        <v>1</v>
      </c>
      <c r="DO22">
        <v>16.708688888888901</v>
      </c>
      <c r="DP22">
        <v>-1.5641034150105</v>
      </c>
      <c r="DQ22">
        <v>0.27211305583216899</v>
      </c>
      <c r="DR22">
        <v>1</v>
      </c>
      <c r="DS22">
        <v>0.49386194177164</v>
      </c>
      <c r="DT22">
        <v>9.6784657414774305E-3</v>
      </c>
      <c r="DU22">
        <v>2.9851439547917301E-3</v>
      </c>
      <c r="DV22">
        <v>1</v>
      </c>
      <c r="DW22">
        <v>3</v>
      </c>
      <c r="DX22">
        <v>3</v>
      </c>
      <c r="DY22" t="s">
        <v>283</v>
      </c>
      <c r="DZ22">
        <v>1.86721</v>
      </c>
      <c r="EA22">
        <v>1.8636900000000001</v>
      </c>
      <c r="EB22">
        <v>1.8693200000000001</v>
      </c>
      <c r="EC22">
        <v>1.8672299999999999</v>
      </c>
      <c r="ED22">
        <v>1.87195</v>
      </c>
      <c r="EE22">
        <v>1.8643400000000001</v>
      </c>
      <c r="EF22">
        <v>1.8658399999999999</v>
      </c>
      <c r="EG22">
        <v>1.8657699999999999</v>
      </c>
      <c r="EH22" t="s">
        <v>284</v>
      </c>
      <c r="EI22" t="s">
        <v>19</v>
      </c>
      <c r="EJ22" t="s">
        <v>19</v>
      </c>
      <c r="EK22" t="s">
        <v>19</v>
      </c>
      <c r="EL22" t="s">
        <v>285</v>
      </c>
      <c r="EM22" t="s">
        <v>286</v>
      </c>
      <c r="EN22" t="s">
        <v>287</v>
      </c>
      <c r="EO22" t="s">
        <v>287</v>
      </c>
      <c r="EP22" t="s">
        <v>287</v>
      </c>
      <c r="EQ22" t="s">
        <v>287</v>
      </c>
      <c r="ER22">
        <v>0</v>
      </c>
      <c r="ES22">
        <v>100</v>
      </c>
      <c r="ET22">
        <v>100</v>
      </c>
      <c r="EU22">
        <v>0.26100000000000001</v>
      </c>
      <c r="EV22">
        <v>4.5999999999999999E-2</v>
      </c>
      <c r="EW22">
        <v>2</v>
      </c>
      <c r="EX22">
        <v>512.17899999999997</v>
      </c>
      <c r="EY22">
        <v>459.56299999999999</v>
      </c>
      <c r="EZ22">
        <v>19.6479</v>
      </c>
      <c r="FA22">
        <v>38.395200000000003</v>
      </c>
      <c r="FB22">
        <v>29.999400000000001</v>
      </c>
      <c r="FC22">
        <v>38.714799999999997</v>
      </c>
      <c r="FD22">
        <v>38.726799999999997</v>
      </c>
      <c r="FE22">
        <v>4.2406499999999996</v>
      </c>
      <c r="FF22">
        <v>78.745199999999997</v>
      </c>
      <c r="FG22">
        <v>0</v>
      </c>
      <c r="FH22">
        <v>19.623899999999999</v>
      </c>
      <c r="FI22">
        <v>12.5</v>
      </c>
      <c r="FJ22">
        <v>9.1867599999999996</v>
      </c>
      <c r="FK22">
        <v>99.809700000000007</v>
      </c>
      <c r="FL22">
        <v>100.152</v>
      </c>
    </row>
    <row r="23" spans="1:168" x14ac:dyDescent="0.35">
      <c r="A23">
        <v>8</v>
      </c>
      <c r="B23">
        <v>1562690776.0999999</v>
      </c>
      <c r="C23">
        <v>941.59999990463302</v>
      </c>
      <c r="D23" t="s">
        <v>313</v>
      </c>
      <c r="E23" t="s">
        <v>314</v>
      </c>
      <c r="F23" t="s">
        <v>277</v>
      </c>
      <c r="G23" t="s">
        <v>278</v>
      </c>
      <c r="H23" t="s">
        <v>277</v>
      </c>
      <c r="J23" t="s">
        <v>277</v>
      </c>
      <c r="K23">
        <v>1562690768.0999999</v>
      </c>
      <c r="L23">
        <f t="shared" si="0"/>
        <v>9.7576325398858466E-3</v>
      </c>
      <c r="M23">
        <f t="shared" si="1"/>
        <v>32.621745328229139</v>
      </c>
      <c r="N23">
        <f t="shared" si="2"/>
        <v>356.71054838709699</v>
      </c>
      <c r="O23">
        <f t="shared" si="3"/>
        <v>257.63540274472155</v>
      </c>
      <c r="P23">
        <f t="shared" si="4"/>
        <v>25.582226790085191</v>
      </c>
      <c r="Q23">
        <f t="shared" si="5"/>
        <v>35.420016232382238</v>
      </c>
      <c r="R23">
        <f t="shared" si="6"/>
        <v>0.65406975294411152</v>
      </c>
      <c r="S23">
        <f t="shared" si="7"/>
        <v>2.2473002262055006</v>
      </c>
      <c r="T23">
        <f t="shared" si="8"/>
        <v>0.5639306686145108</v>
      </c>
      <c r="U23">
        <f t="shared" si="9"/>
        <v>0.3595152560113925</v>
      </c>
      <c r="V23">
        <f t="shared" si="10"/>
        <v>353.34625503187488</v>
      </c>
      <c r="W23">
        <f t="shared" si="11"/>
        <v>25.681296976398539</v>
      </c>
      <c r="X23">
        <f t="shared" si="12"/>
        <v>26.969129032258099</v>
      </c>
      <c r="Y23">
        <f t="shared" si="13"/>
        <v>3.5726753501013646</v>
      </c>
      <c r="Z23">
        <f t="shared" si="14"/>
        <v>55.501877429495586</v>
      </c>
      <c r="AA23">
        <f t="shared" si="15"/>
        <v>1.901926267352881</v>
      </c>
      <c r="AB23">
        <f t="shared" si="16"/>
        <v>3.4267782558687516</v>
      </c>
      <c r="AC23">
        <f t="shared" si="17"/>
        <v>1.6707490827484837</v>
      </c>
      <c r="AD23">
        <f t="shared" si="18"/>
        <v>-430.31159500896581</v>
      </c>
      <c r="AE23">
        <f t="shared" si="19"/>
        <v>-85.761960882928861</v>
      </c>
      <c r="AF23">
        <f t="shared" si="20"/>
        <v>-8.2042132415493541</v>
      </c>
      <c r="AG23">
        <f t="shared" si="21"/>
        <v>-170.93151410156918</v>
      </c>
      <c r="AH23">
        <v>-4.1111104905049503E-2</v>
      </c>
      <c r="AI23">
        <v>4.6150816786513803E-2</v>
      </c>
      <c r="AJ23">
        <v>3.4503951020682</v>
      </c>
      <c r="AK23">
        <v>0</v>
      </c>
      <c r="AL23">
        <v>0</v>
      </c>
      <c r="AM23">
        <f t="shared" si="22"/>
        <v>1</v>
      </c>
      <c r="AN23">
        <f t="shared" si="23"/>
        <v>0</v>
      </c>
      <c r="AO23">
        <f t="shared" si="24"/>
        <v>52553.776623584235</v>
      </c>
      <c r="AP23" t="s">
        <v>279</v>
      </c>
      <c r="AQ23">
        <v>687.861538461539</v>
      </c>
      <c r="AR23">
        <v>4005.07</v>
      </c>
      <c r="AS23">
        <f t="shared" si="25"/>
        <v>3317.2084615384611</v>
      </c>
      <c r="AT23">
        <f t="shared" si="26"/>
        <v>0.82825230558728336</v>
      </c>
      <c r="AU23">
        <v>-4.0580585712533601</v>
      </c>
      <c r="AV23" t="s">
        <v>315</v>
      </c>
      <c r="AW23">
        <v>844.57538461538502</v>
      </c>
      <c r="AX23">
        <v>1134.47</v>
      </c>
      <c r="AY23">
        <f t="shared" si="27"/>
        <v>0.25553308186608281</v>
      </c>
      <c r="AZ23">
        <v>0.5</v>
      </c>
      <c r="BA23">
        <f t="shared" si="28"/>
        <v>1849.2139258334294</v>
      </c>
      <c r="BB23">
        <f t="shared" si="29"/>
        <v>32.621745328229139</v>
      </c>
      <c r="BC23">
        <f t="shared" si="30"/>
        <v>236.26766674894705</v>
      </c>
      <c r="BD23">
        <f t="shared" si="31"/>
        <v>0.47446825389829611</v>
      </c>
      <c r="BE23">
        <f t="shared" si="32"/>
        <v>1.9835349164889691E-2</v>
      </c>
      <c r="BF23">
        <f t="shared" si="33"/>
        <v>2.5303445661850912</v>
      </c>
      <c r="BG23" t="s">
        <v>316</v>
      </c>
      <c r="BH23">
        <v>596.20000000000005</v>
      </c>
      <c r="BI23">
        <f t="shared" si="34"/>
        <v>538.27</v>
      </c>
      <c r="BJ23">
        <f t="shared" si="35"/>
        <v>0.53856729036471473</v>
      </c>
      <c r="BK23">
        <f t="shared" si="36"/>
        <v>0.84209723456746677</v>
      </c>
      <c r="BL23">
        <f t="shared" si="37"/>
        <v>0.64910238016090493</v>
      </c>
      <c r="BM23">
        <f t="shared" si="38"/>
        <v>0.86536617559110773</v>
      </c>
      <c r="BN23">
        <f t="shared" si="39"/>
        <v>2200.0319354838698</v>
      </c>
      <c r="BO23">
        <f t="shared" si="40"/>
        <v>1849.2139258334294</v>
      </c>
      <c r="BP23">
        <f t="shared" si="41"/>
        <v>0.84053958308869625</v>
      </c>
      <c r="BQ23">
        <f t="shared" si="42"/>
        <v>0.19107916617739285</v>
      </c>
      <c r="BR23">
        <v>1562690768.0999999</v>
      </c>
      <c r="BS23">
        <v>356.71054838709699</v>
      </c>
      <c r="BT23">
        <v>400.03296774193501</v>
      </c>
      <c r="BU23">
        <v>19.154061290322598</v>
      </c>
      <c r="BV23">
        <v>7.6693009677419397</v>
      </c>
      <c r="BW23">
        <v>500.005258064516</v>
      </c>
      <c r="BX23">
        <v>99.196274193548405</v>
      </c>
      <c r="BY23">
        <v>9.9965832258064505E-2</v>
      </c>
      <c r="BZ23">
        <v>26.261267741935502</v>
      </c>
      <c r="CA23">
        <v>26.969129032258099</v>
      </c>
      <c r="CB23">
        <v>999.9</v>
      </c>
      <c r="CC23">
        <v>9994.4709677419305</v>
      </c>
      <c r="CD23">
        <v>0</v>
      </c>
      <c r="CE23">
        <v>265.25125806451598</v>
      </c>
      <c r="CF23">
        <v>2200.0319354838698</v>
      </c>
      <c r="CG23">
        <v>0.98199700000000001</v>
      </c>
      <c r="CH23">
        <v>1.8003100000000001E-2</v>
      </c>
      <c r="CI23">
        <v>0</v>
      </c>
      <c r="CJ23">
        <v>844.56241935483899</v>
      </c>
      <c r="CK23">
        <v>1.9999499999999999</v>
      </c>
      <c r="CL23">
        <v>19349.651612903199</v>
      </c>
      <c r="CM23">
        <v>17938.470967741901</v>
      </c>
      <c r="CN23">
        <v>48.215451612903202</v>
      </c>
      <c r="CO23">
        <v>48.757935483871002</v>
      </c>
      <c r="CP23">
        <v>48.545999999999999</v>
      </c>
      <c r="CQ23">
        <v>47.558</v>
      </c>
      <c r="CR23">
        <v>49.185129032257997</v>
      </c>
      <c r="CS23">
        <v>2158.4619354838701</v>
      </c>
      <c r="CT23">
        <v>39.57</v>
      </c>
      <c r="CU23">
        <v>0</v>
      </c>
      <c r="CV23">
        <v>139.60000014305101</v>
      </c>
      <c r="CW23">
        <v>844.57538461538502</v>
      </c>
      <c r="CX23">
        <v>4.2980512814328398</v>
      </c>
      <c r="CY23">
        <v>90.639316217295899</v>
      </c>
      <c r="CZ23">
        <v>19350.023076923098</v>
      </c>
      <c r="DA23">
        <v>15</v>
      </c>
      <c r="DB23">
        <v>1562690707.0999999</v>
      </c>
      <c r="DC23" t="s">
        <v>317</v>
      </c>
      <c r="DD23">
        <v>32</v>
      </c>
      <c r="DE23">
        <v>0.59699999999999998</v>
      </c>
      <c r="DF23">
        <v>3.2000000000000001E-2</v>
      </c>
      <c r="DG23">
        <v>400</v>
      </c>
      <c r="DH23">
        <v>8</v>
      </c>
      <c r="DI23">
        <v>0.05</v>
      </c>
      <c r="DJ23">
        <v>0.01</v>
      </c>
      <c r="DK23">
        <v>32.395370053856396</v>
      </c>
      <c r="DL23">
        <v>1.1197961212335501</v>
      </c>
      <c r="DM23">
        <v>0.210315154491166</v>
      </c>
      <c r="DN23">
        <v>0</v>
      </c>
      <c r="DO23">
        <v>356.98569444444399</v>
      </c>
      <c r="DP23">
        <v>-1.5457264132736299</v>
      </c>
      <c r="DQ23">
        <v>0.26907710785040001</v>
      </c>
      <c r="DR23">
        <v>1</v>
      </c>
      <c r="DS23">
        <v>0.65061267515006205</v>
      </c>
      <c r="DT23">
        <v>2.0076224093535801E-2</v>
      </c>
      <c r="DU23">
        <v>4.0956781728500296E-3</v>
      </c>
      <c r="DV23">
        <v>1</v>
      </c>
      <c r="DW23">
        <v>2</v>
      </c>
      <c r="DX23">
        <v>3</v>
      </c>
      <c r="DY23" t="s">
        <v>318</v>
      </c>
      <c r="DZ23">
        <v>1.86714</v>
      </c>
      <c r="EA23">
        <v>1.86361</v>
      </c>
      <c r="EB23">
        <v>1.8692599999999999</v>
      </c>
      <c r="EC23">
        <v>1.8672200000000001</v>
      </c>
      <c r="ED23">
        <v>1.87192</v>
      </c>
      <c r="EE23">
        <v>1.86432</v>
      </c>
      <c r="EF23">
        <v>1.86582</v>
      </c>
      <c r="EG23">
        <v>1.86574</v>
      </c>
      <c r="EH23" t="s">
        <v>284</v>
      </c>
      <c r="EI23" t="s">
        <v>19</v>
      </c>
      <c r="EJ23" t="s">
        <v>19</v>
      </c>
      <c r="EK23" t="s">
        <v>19</v>
      </c>
      <c r="EL23" t="s">
        <v>285</v>
      </c>
      <c r="EM23" t="s">
        <v>286</v>
      </c>
      <c r="EN23" t="s">
        <v>287</v>
      </c>
      <c r="EO23" t="s">
        <v>287</v>
      </c>
      <c r="EP23" t="s">
        <v>287</v>
      </c>
      <c r="EQ23" t="s">
        <v>287</v>
      </c>
      <c r="ER23">
        <v>0</v>
      </c>
      <c r="ES23">
        <v>100</v>
      </c>
      <c r="ET23">
        <v>100</v>
      </c>
      <c r="EU23">
        <v>0.59699999999999998</v>
      </c>
      <c r="EV23">
        <v>3.2000000000000001E-2</v>
      </c>
      <c r="EW23">
        <v>2</v>
      </c>
      <c r="EX23">
        <v>512.51700000000005</v>
      </c>
      <c r="EY23">
        <v>463.21199999999999</v>
      </c>
      <c r="EZ23">
        <v>20.6022</v>
      </c>
      <c r="FA23">
        <v>37.325600000000001</v>
      </c>
      <c r="FB23">
        <v>29.9998</v>
      </c>
      <c r="FC23">
        <v>37.715499999999999</v>
      </c>
      <c r="FD23">
        <v>37.738999999999997</v>
      </c>
      <c r="FE23">
        <v>22.0745</v>
      </c>
      <c r="FF23">
        <v>85.972200000000001</v>
      </c>
      <c r="FG23">
        <v>0</v>
      </c>
      <c r="FH23">
        <v>20.581199999999999</v>
      </c>
      <c r="FI23">
        <v>400</v>
      </c>
      <c r="FJ23">
        <v>7.5930299999999997</v>
      </c>
      <c r="FK23">
        <v>99.993700000000004</v>
      </c>
      <c r="FL23">
        <v>100.367</v>
      </c>
    </row>
    <row r="24" spans="1:168" x14ac:dyDescent="0.35">
      <c r="A24">
        <v>9</v>
      </c>
      <c r="B24">
        <v>1562690916.5999999</v>
      </c>
      <c r="C24">
        <v>1082.0999999046301</v>
      </c>
      <c r="D24" t="s">
        <v>319</v>
      </c>
      <c r="E24" t="s">
        <v>320</v>
      </c>
      <c r="F24" t="s">
        <v>277</v>
      </c>
      <c r="G24" t="s">
        <v>278</v>
      </c>
      <c r="H24" t="s">
        <v>277</v>
      </c>
      <c r="J24" t="s">
        <v>277</v>
      </c>
      <c r="K24">
        <v>1562690908.5999999</v>
      </c>
      <c r="L24">
        <f t="shared" si="0"/>
        <v>8.5254241250003384E-3</v>
      </c>
      <c r="M24">
        <f t="shared" si="1"/>
        <v>38.304196763626308</v>
      </c>
      <c r="N24">
        <f t="shared" si="2"/>
        <v>449.42109677419398</v>
      </c>
      <c r="O24">
        <f t="shared" si="3"/>
        <v>313.20092128138407</v>
      </c>
      <c r="P24">
        <f t="shared" si="4"/>
        <v>31.098737003202338</v>
      </c>
      <c r="Q24">
        <f t="shared" si="5"/>
        <v>44.624480780868417</v>
      </c>
      <c r="R24">
        <f t="shared" si="6"/>
        <v>0.54373249392742384</v>
      </c>
      <c r="S24">
        <f t="shared" si="7"/>
        <v>2.2498613158194125</v>
      </c>
      <c r="T24">
        <f t="shared" si="8"/>
        <v>0.47992165082668164</v>
      </c>
      <c r="U24">
        <f t="shared" si="9"/>
        <v>0.30505785716972178</v>
      </c>
      <c r="V24">
        <f t="shared" si="10"/>
        <v>353.34372765848781</v>
      </c>
      <c r="W24">
        <f t="shared" si="11"/>
        <v>25.819169956542972</v>
      </c>
      <c r="X24">
        <f t="shared" si="12"/>
        <v>26.9727161290323</v>
      </c>
      <c r="Y24">
        <f t="shared" si="13"/>
        <v>3.5734282807337587</v>
      </c>
      <c r="Z24">
        <f t="shared" si="14"/>
        <v>55.092223230268679</v>
      </c>
      <c r="AA24">
        <f t="shared" si="15"/>
        <v>1.8578039107369324</v>
      </c>
      <c r="AB24">
        <f t="shared" si="16"/>
        <v>3.3721708833057602</v>
      </c>
      <c r="AC24">
        <f t="shared" si="17"/>
        <v>1.7156243699968263</v>
      </c>
      <c r="AD24">
        <f t="shared" si="18"/>
        <v>-375.97120391251491</v>
      </c>
      <c r="AE24">
        <f t="shared" si="19"/>
        <v>-119.25364508647034</v>
      </c>
      <c r="AF24">
        <f t="shared" si="20"/>
        <v>-11.379853657409859</v>
      </c>
      <c r="AG24">
        <f t="shared" si="21"/>
        <v>-153.26097499790728</v>
      </c>
      <c r="AH24">
        <v>-4.1180013849066201E-2</v>
      </c>
      <c r="AI24">
        <v>4.6228173112927602E-2</v>
      </c>
      <c r="AJ24">
        <v>3.4549727757082298</v>
      </c>
      <c r="AK24">
        <v>0</v>
      </c>
      <c r="AL24">
        <v>0</v>
      </c>
      <c r="AM24">
        <f t="shared" si="22"/>
        <v>1</v>
      </c>
      <c r="AN24">
        <f t="shared" si="23"/>
        <v>0</v>
      </c>
      <c r="AO24">
        <f t="shared" si="24"/>
        <v>52686.028531818352</v>
      </c>
      <c r="AP24" t="s">
        <v>279</v>
      </c>
      <c r="AQ24">
        <v>687.861538461539</v>
      </c>
      <c r="AR24">
        <v>4005.07</v>
      </c>
      <c r="AS24">
        <f t="shared" si="25"/>
        <v>3317.2084615384611</v>
      </c>
      <c r="AT24">
        <f t="shared" si="26"/>
        <v>0.82825230558728336</v>
      </c>
      <c r="AU24">
        <v>-4.0580585712533601</v>
      </c>
      <c r="AV24" t="s">
        <v>321</v>
      </c>
      <c r="AW24">
        <v>857.17353846153799</v>
      </c>
      <c r="AX24">
        <v>1169.1300000000001</v>
      </c>
      <c r="AY24">
        <f t="shared" si="27"/>
        <v>0.26682786476992471</v>
      </c>
      <c r="AZ24">
        <v>0.5</v>
      </c>
      <c r="BA24">
        <f t="shared" si="28"/>
        <v>1849.1979677689208</v>
      </c>
      <c r="BB24">
        <f t="shared" si="29"/>
        <v>38.304196763626308</v>
      </c>
      <c r="BC24">
        <f t="shared" si="30"/>
        <v>246.70877263833259</v>
      </c>
      <c r="BD24">
        <f t="shared" si="31"/>
        <v>0.49004815546603031</v>
      </c>
      <c r="BE24">
        <f t="shared" si="32"/>
        <v>2.2908447918094044E-2</v>
      </c>
      <c r="BF24">
        <f t="shared" si="33"/>
        <v>2.4256840556653234</v>
      </c>
      <c r="BG24" t="s">
        <v>322</v>
      </c>
      <c r="BH24">
        <v>596.20000000000005</v>
      </c>
      <c r="BI24">
        <f t="shared" si="34"/>
        <v>572.93000000000006</v>
      </c>
      <c r="BJ24">
        <f t="shared" si="35"/>
        <v>0.54449315193559789</v>
      </c>
      <c r="BK24">
        <f t="shared" si="36"/>
        <v>0.83192964237415923</v>
      </c>
      <c r="BL24">
        <f t="shared" si="37"/>
        <v>0.64819635290714306</v>
      </c>
      <c r="BM24">
        <f t="shared" si="38"/>
        <v>0.85491763115928587</v>
      </c>
      <c r="BN24">
        <f t="shared" si="39"/>
        <v>2200.0125806451601</v>
      </c>
      <c r="BO24">
        <f t="shared" si="40"/>
        <v>1849.1979677689208</v>
      </c>
      <c r="BP24">
        <f t="shared" si="41"/>
        <v>0.84053972419859435</v>
      </c>
      <c r="BQ24">
        <f t="shared" si="42"/>
        <v>0.19107944839718874</v>
      </c>
      <c r="BR24">
        <v>1562690908.5999999</v>
      </c>
      <c r="BS24">
        <v>449.42109677419398</v>
      </c>
      <c r="BT24">
        <v>499.982129032258</v>
      </c>
      <c r="BU24">
        <v>18.7102741935484</v>
      </c>
      <c r="BV24">
        <v>8.6715403225806504</v>
      </c>
      <c r="BW24">
        <v>500.01790322580598</v>
      </c>
      <c r="BX24">
        <v>99.193261290322596</v>
      </c>
      <c r="BY24">
        <v>9.9987516129032297E-2</v>
      </c>
      <c r="BZ24">
        <v>25.989541935483899</v>
      </c>
      <c r="CA24">
        <v>26.9727161290323</v>
      </c>
      <c r="CB24">
        <v>999.9</v>
      </c>
      <c r="CC24">
        <v>10011.527419354799</v>
      </c>
      <c r="CD24">
        <v>0</v>
      </c>
      <c r="CE24">
        <v>252.430483870968</v>
      </c>
      <c r="CF24">
        <v>2200.0125806451601</v>
      </c>
      <c r="CG24">
        <v>0.98199400000000003</v>
      </c>
      <c r="CH24">
        <v>1.80056E-2</v>
      </c>
      <c r="CI24">
        <v>0</v>
      </c>
      <c r="CJ24">
        <v>857.18941935483895</v>
      </c>
      <c r="CK24">
        <v>1.9999499999999999</v>
      </c>
      <c r="CL24">
        <v>19629.422580645201</v>
      </c>
      <c r="CM24">
        <v>17938.335483871</v>
      </c>
      <c r="CN24">
        <v>47.977645161290297</v>
      </c>
      <c r="CO24">
        <v>48.578258064516099</v>
      </c>
      <c r="CP24">
        <v>48.364774193548399</v>
      </c>
      <c r="CQ24">
        <v>47.362806451612897</v>
      </c>
      <c r="CR24">
        <v>49.036000000000001</v>
      </c>
      <c r="CS24">
        <v>2158.4325806451602</v>
      </c>
      <c r="CT24">
        <v>39.58</v>
      </c>
      <c r="CU24">
        <v>0</v>
      </c>
      <c r="CV24">
        <v>139.60000014305101</v>
      </c>
      <c r="CW24">
        <v>857.17353846153799</v>
      </c>
      <c r="CX24">
        <v>-0.80136751926440497</v>
      </c>
      <c r="CY24">
        <v>2.5196580732451301</v>
      </c>
      <c r="CZ24">
        <v>19629.473076923099</v>
      </c>
      <c r="DA24">
        <v>15</v>
      </c>
      <c r="DB24">
        <v>1562690854.0999999</v>
      </c>
      <c r="DC24" t="s">
        <v>323</v>
      </c>
      <c r="DD24">
        <v>33</v>
      </c>
      <c r="DE24">
        <v>0.66</v>
      </c>
      <c r="DF24">
        <v>3.2000000000000001E-2</v>
      </c>
      <c r="DG24">
        <v>500</v>
      </c>
      <c r="DH24">
        <v>8</v>
      </c>
      <c r="DI24">
        <v>0.04</v>
      </c>
      <c r="DJ24">
        <v>0.01</v>
      </c>
      <c r="DK24">
        <v>38.451047830342603</v>
      </c>
      <c r="DL24">
        <v>-0.713027506851582</v>
      </c>
      <c r="DM24">
        <v>0.13526899981975399</v>
      </c>
      <c r="DN24">
        <v>0</v>
      </c>
      <c r="DO24">
        <v>449.24761111111098</v>
      </c>
      <c r="DP24">
        <v>0.97302334555238001</v>
      </c>
      <c r="DQ24">
        <v>0.170233545097737</v>
      </c>
      <c r="DR24">
        <v>1</v>
      </c>
      <c r="DS24">
        <v>0.54671309446418703</v>
      </c>
      <c r="DT24">
        <v>-1.91374146213164E-2</v>
      </c>
      <c r="DU24">
        <v>4.5223399387748896E-3</v>
      </c>
      <c r="DV24">
        <v>1</v>
      </c>
      <c r="DW24">
        <v>2</v>
      </c>
      <c r="DX24">
        <v>3</v>
      </c>
      <c r="DY24" t="s">
        <v>318</v>
      </c>
      <c r="DZ24">
        <v>1.86711</v>
      </c>
      <c r="EA24">
        <v>1.8635999999999999</v>
      </c>
      <c r="EB24">
        <v>1.8692200000000001</v>
      </c>
      <c r="EC24">
        <v>1.86721</v>
      </c>
      <c r="ED24">
        <v>1.87188</v>
      </c>
      <c r="EE24">
        <v>1.86432</v>
      </c>
      <c r="EF24">
        <v>1.86578</v>
      </c>
      <c r="EG24">
        <v>1.8656999999999999</v>
      </c>
      <c r="EH24" t="s">
        <v>284</v>
      </c>
      <c r="EI24" t="s">
        <v>19</v>
      </c>
      <c r="EJ24" t="s">
        <v>19</v>
      </c>
      <c r="EK24" t="s">
        <v>19</v>
      </c>
      <c r="EL24" t="s">
        <v>285</v>
      </c>
      <c r="EM24" t="s">
        <v>286</v>
      </c>
      <c r="EN24" t="s">
        <v>287</v>
      </c>
      <c r="EO24" t="s">
        <v>287</v>
      </c>
      <c r="EP24" t="s">
        <v>287</v>
      </c>
      <c r="EQ24" t="s">
        <v>287</v>
      </c>
      <c r="ER24">
        <v>0</v>
      </c>
      <c r="ES24">
        <v>100</v>
      </c>
      <c r="ET24">
        <v>100</v>
      </c>
      <c r="EU24">
        <v>0.66</v>
      </c>
      <c r="EV24">
        <v>3.2000000000000001E-2</v>
      </c>
      <c r="EW24">
        <v>2</v>
      </c>
      <c r="EX24">
        <v>511.46100000000001</v>
      </c>
      <c r="EY24">
        <v>464.78100000000001</v>
      </c>
      <c r="EZ24">
        <v>20.301100000000002</v>
      </c>
      <c r="FA24">
        <v>37.006300000000003</v>
      </c>
      <c r="FB24">
        <v>29.999400000000001</v>
      </c>
      <c r="FC24">
        <v>37.3523</v>
      </c>
      <c r="FD24">
        <v>37.373899999999999</v>
      </c>
      <c r="FE24">
        <v>26.3932</v>
      </c>
      <c r="FF24">
        <v>82.980099999999993</v>
      </c>
      <c r="FG24">
        <v>0</v>
      </c>
      <c r="FH24">
        <v>20.2044</v>
      </c>
      <c r="FI24">
        <v>500</v>
      </c>
      <c r="FJ24">
        <v>8.64785</v>
      </c>
      <c r="FK24">
        <v>100.06</v>
      </c>
      <c r="FL24">
        <v>100.447</v>
      </c>
    </row>
    <row r="25" spans="1:168" x14ac:dyDescent="0.35">
      <c r="A25">
        <v>10</v>
      </c>
      <c r="B25">
        <v>1562691057.0999999</v>
      </c>
      <c r="C25">
        <v>1222.5999999046301</v>
      </c>
      <c r="D25" t="s">
        <v>324</v>
      </c>
      <c r="E25" t="s">
        <v>325</v>
      </c>
      <c r="F25" t="s">
        <v>277</v>
      </c>
      <c r="G25" t="s">
        <v>278</v>
      </c>
      <c r="H25" t="s">
        <v>277</v>
      </c>
      <c r="J25" t="s">
        <v>277</v>
      </c>
      <c r="K25">
        <v>1562691049.0999999</v>
      </c>
      <c r="L25">
        <f t="shared" si="0"/>
        <v>6.9709985603232391E-3</v>
      </c>
      <c r="M25">
        <f t="shared" si="1"/>
        <v>39.889764064641803</v>
      </c>
      <c r="N25">
        <f t="shared" si="2"/>
        <v>547.49196774193501</v>
      </c>
      <c r="O25">
        <f t="shared" si="3"/>
        <v>369.42480039980916</v>
      </c>
      <c r="P25">
        <f t="shared" si="4"/>
        <v>36.679141580723233</v>
      </c>
      <c r="Q25">
        <f t="shared" si="5"/>
        <v>54.358926031446707</v>
      </c>
      <c r="R25">
        <f t="shared" si="6"/>
        <v>0.42144626334188973</v>
      </c>
      <c r="S25">
        <f t="shared" si="7"/>
        <v>2.2473706534323608</v>
      </c>
      <c r="T25">
        <f t="shared" si="8"/>
        <v>0.38195895116223755</v>
      </c>
      <c r="U25">
        <f t="shared" si="9"/>
        <v>0.24196306058593142</v>
      </c>
      <c r="V25">
        <f t="shared" si="10"/>
        <v>353.34104763765288</v>
      </c>
      <c r="W25">
        <f t="shared" si="11"/>
        <v>26.022673110904698</v>
      </c>
      <c r="X25">
        <f t="shared" si="12"/>
        <v>27.010635483870999</v>
      </c>
      <c r="Y25">
        <f t="shared" si="13"/>
        <v>3.58139601839973</v>
      </c>
      <c r="Z25">
        <f t="shared" si="14"/>
        <v>54.939822536099349</v>
      </c>
      <c r="AA25">
        <f t="shared" si="15"/>
        <v>1.8186177223128874</v>
      </c>
      <c r="AB25">
        <f t="shared" si="16"/>
        <v>3.3101994843866254</v>
      </c>
      <c r="AC25">
        <f t="shared" si="17"/>
        <v>1.7627782960868426</v>
      </c>
      <c r="AD25">
        <f t="shared" si="18"/>
        <v>-307.42103651025485</v>
      </c>
      <c r="AE25">
        <f t="shared" si="19"/>
        <v>-161.64692019067792</v>
      </c>
      <c r="AF25">
        <f t="shared" si="20"/>
        <v>-15.421117137160946</v>
      </c>
      <c r="AG25">
        <f t="shared" si="21"/>
        <v>-131.14802620044082</v>
      </c>
      <c r="AH25">
        <v>-4.1112998880569698E-2</v>
      </c>
      <c r="AI25">
        <v>4.6152942939956601E-2</v>
      </c>
      <c r="AJ25">
        <v>3.45052095549313</v>
      </c>
      <c r="AK25">
        <v>0</v>
      </c>
      <c r="AL25">
        <v>0</v>
      </c>
      <c r="AM25">
        <f t="shared" si="22"/>
        <v>1</v>
      </c>
      <c r="AN25">
        <f t="shared" si="23"/>
        <v>0</v>
      </c>
      <c r="AO25">
        <f t="shared" si="24"/>
        <v>52658.804242664613</v>
      </c>
      <c r="AP25" t="s">
        <v>279</v>
      </c>
      <c r="AQ25">
        <v>687.861538461539</v>
      </c>
      <c r="AR25">
        <v>4005.07</v>
      </c>
      <c r="AS25">
        <f t="shared" si="25"/>
        <v>3317.2084615384611</v>
      </c>
      <c r="AT25">
        <f t="shared" si="26"/>
        <v>0.82825230558728336</v>
      </c>
      <c r="AU25">
        <v>-4.0580585712533601</v>
      </c>
      <c r="AV25" t="s">
        <v>326</v>
      </c>
      <c r="AW25">
        <v>859.33134615384597</v>
      </c>
      <c r="AX25">
        <v>1177.4000000000001</v>
      </c>
      <c r="AY25">
        <f t="shared" si="27"/>
        <v>0.27014494126563116</v>
      </c>
      <c r="AZ25">
        <v>0.5</v>
      </c>
      <c r="BA25">
        <f t="shared" si="28"/>
        <v>1849.1841193818259</v>
      </c>
      <c r="BB25">
        <f t="shared" si="29"/>
        <v>39.889764064641803</v>
      </c>
      <c r="BC25">
        <f t="shared" si="30"/>
        <v>249.7738676598706</v>
      </c>
      <c r="BD25">
        <f t="shared" si="31"/>
        <v>0.48836419228809247</v>
      </c>
      <c r="BE25">
        <f t="shared" si="32"/>
        <v>2.3766061029437527E-2</v>
      </c>
      <c r="BF25">
        <f t="shared" si="33"/>
        <v>2.4016222184474265</v>
      </c>
      <c r="BG25" t="s">
        <v>327</v>
      </c>
      <c r="BH25">
        <v>602.4</v>
      </c>
      <c r="BI25">
        <f t="shared" si="34"/>
        <v>575.00000000000011</v>
      </c>
      <c r="BJ25">
        <f t="shared" si="35"/>
        <v>0.55316287625418092</v>
      </c>
      <c r="BK25">
        <f t="shared" si="36"/>
        <v>0.83101505582380897</v>
      </c>
      <c r="BL25">
        <f t="shared" si="37"/>
        <v>0.64973169390320673</v>
      </c>
      <c r="BM25">
        <f t="shared" si="38"/>
        <v>0.85242457107702485</v>
      </c>
      <c r="BN25">
        <f t="shared" si="39"/>
        <v>2199.9961290322599</v>
      </c>
      <c r="BO25">
        <f t="shared" si="40"/>
        <v>1849.1841193818259</v>
      </c>
      <c r="BP25">
        <f t="shared" si="41"/>
        <v>0.84053971503815772</v>
      </c>
      <c r="BQ25">
        <f t="shared" si="42"/>
        <v>0.19107943007631562</v>
      </c>
      <c r="BR25">
        <v>1562691049.0999999</v>
      </c>
      <c r="BS25">
        <v>547.49196774193501</v>
      </c>
      <c r="BT25">
        <v>599.93854838709694</v>
      </c>
      <c r="BU25">
        <v>18.316745161290299</v>
      </c>
      <c r="BV25">
        <v>10.1049290322581</v>
      </c>
      <c r="BW25">
        <v>500.009677419355</v>
      </c>
      <c r="BX25">
        <v>99.1871935483871</v>
      </c>
      <c r="BY25">
        <v>9.9972719354838702E-2</v>
      </c>
      <c r="BZ25">
        <v>25.6764774193548</v>
      </c>
      <c r="CA25">
        <v>27.010635483870999</v>
      </c>
      <c r="CB25">
        <v>999.9</v>
      </c>
      <c r="CC25">
        <v>9995.8464516129006</v>
      </c>
      <c r="CD25">
        <v>0</v>
      </c>
      <c r="CE25">
        <v>235.37551612903201</v>
      </c>
      <c r="CF25">
        <v>2199.9961290322599</v>
      </c>
      <c r="CG25">
        <v>0.98199358064516096</v>
      </c>
      <c r="CH25">
        <v>1.8006248387096802E-2</v>
      </c>
      <c r="CI25">
        <v>0</v>
      </c>
      <c r="CJ25">
        <v>859.39306451612902</v>
      </c>
      <c r="CK25">
        <v>1.9999499999999999</v>
      </c>
      <c r="CL25">
        <v>19669.8516129032</v>
      </c>
      <c r="CM25">
        <v>17938.183870967699</v>
      </c>
      <c r="CN25">
        <v>47.7134838709677</v>
      </c>
      <c r="CO25">
        <v>48.1991935483871</v>
      </c>
      <c r="CP25">
        <v>48.070129032258002</v>
      </c>
      <c r="CQ25">
        <v>47.137</v>
      </c>
      <c r="CR25">
        <v>48.697193548387098</v>
      </c>
      <c r="CS25">
        <v>2158.4170967741902</v>
      </c>
      <c r="CT25">
        <v>39.579032258064501</v>
      </c>
      <c r="CU25">
        <v>0</v>
      </c>
      <c r="CV25">
        <v>139.799999952316</v>
      </c>
      <c r="CW25">
        <v>859.33134615384597</v>
      </c>
      <c r="CX25">
        <v>-5.2611623716637199</v>
      </c>
      <c r="CY25">
        <v>-106.63589749306701</v>
      </c>
      <c r="CZ25">
        <v>19668.942307692301</v>
      </c>
      <c r="DA25">
        <v>15</v>
      </c>
      <c r="DB25">
        <v>1562691094.5999999</v>
      </c>
      <c r="DC25" t="s">
        <v>328</v>
      </c>
      <c r="DD25">
        <v>34</v>
      </c>
      <c r="DE25">
        <v>0.748</v>
      </c>
      <c r="DF25">
        <v>4.5999999999999999E-2</v>
      </c>
      <c r="DG25">
        <v>600</v>
      </c>
      <c r="DH25">
        <v>10</v>
      </c>
      <c r="DI25">
        <v>0.06</v>
      </c>
      <c r="DJ25">
        <v>0.01</v>
      </c>
      <c r="DK25">
        <v>40.358721810597103</v>
      </c>
      <c r="DL25">
        <v>-1.9534849564202601</v>
      </c>
      <c r="DM25">
        <v>0.36381415762195701</v>
      </c>
      <c r="DN25">
        <v>0</v>
      </c>
      <c r="DO25">
        <v>546.98050000000001</v>
      </c>
      <c r="DP25">
        <v>2.52676442214926</v>
      </c>
      <c r="DQ25">
        <v>0.44292575249382898</v>
      </c>
      <c r="DR25">
        <v>0</v>
      </c>
      <c r="DS25">
        <v>0.42702859764047002</v>
      </c>
      <c r="DT25">
        <v>-3.6670974495489797E-2</v>
      </c>
      <c r="DU25">
        <v>7.4352966578874798E-3</v>
      </c>
      <c r="DV25">
        <v>1</v>
      </c>
      <c r="DW25">
        <v>1</v>
      </c>
      <c r="DX25">
        <v>3</v>
      </c>
      <c r="DY25" t="s">
        <v>329</v>
      </c>
      <c r="DZ25">
        <v>1.8670899999999999</v>
      </c>
      <c r="EA25">
        <v>1.8635999999999999</v>
      </c>
      <c r="EB25">
        <v>1.8692</v>
      </c>
      <c r="EC25">
        <v>1.8672</v>
      </c>
      <c r="ED25">
        <v>1.87185</v>
      </c>
      <c r="EE25">
        <v>1.86432</v>
      </c>
      <c r="EF25">
        <v>1.8657600000000001</v>
      </c>
      <c r="EG25">
        <v>1.8656900000000001</v>
      </c>
      <c r="EH25" t="s">
        <v>284</v>
      </c>
      <c r="EI25" t="s">
        <v>19</v>
      </c>
      <c r="EJ25" t="s">
        <v>19</v>
      </c>
      <c r="EK25" t="s">
        <v>19</v>
      </c>
      <c r="EL25" t="s">
        <v>285</v>
      </c>
      <c r="EM25" t="s">
        <v>286</v>
      </c>
      <c r="EN25" t="s">
        <v>287</v>
      </c>
      <c r="EO25" t="s">
        <v>287</v>
      </c>
      <c r="EP25" t="s">
        <v>287</v>
      </c>
      <c r="EQ25" t="s">
        <v>287</v>
      </c>
      <c r="ER25">
        <v>0</v>
      </c>
      <c r="ES25">
        <v>100</v>
      </c>
      <c r="ET25">
        <v>100</v>
      </c>
      <c r="EU25">
        <v>0.748</v>
      </c>
      <c r="EV25">
        <v>4.5999999999999999E-2</v>
      </c>
      <c r="EW25">
        <v>2</v>
      </c>
      <c r="EX25">
        <v>510.52300000000002</v>
      </c>
      <c r="EY25">
        <v>466.74</v>
      </c>
      <c r="EZ25">
        <v>19.901800000000001</v>
      </c>
      <c r="FA25">
        <v>36.686700000000002</v>
      </c>
      <c r="FB25">
        <v>30.000399999999999</v>
      </c>
      <c r="FC25">
        <v>36.997700000000002</v>
      </c>
      <c r="FD25">
        <v>37.020400000000002</v>
      </c>
      <c r="FE25">
        <v>30.6036</v>
      </c>
      <c r="FF25">
        <v>78.354900000000001</v>
      </c>
      <c r="FG25">
        <v>0</v>
      </c>
      <c r="FH25">
        <v>19.823599999999999</v>
      </c>
      <c r="FI25">
        <v>600</v>
      </c>
      <c r="FJ25">
        <v>10.0932</v>
      </c>
      <c r="FK25">
        <v>100.12</v>
      </c>
      <c r="FL25">
        <v>100.52</v>
      </c>
    </row>
    <row r="26" spans="1:168" x14ac:dyDescent="0.35">
      <c r="A26">
        <v>11</v>
      </c>
      <c r="B26">
        <v>1562691236.0999999</v>
      </c>
      <c r="C26">
        <v>1401.5999999046301</v>
      </c>
      <c r="D26" t="s">
        <v>330</v>
      </c>
      <c r="E26" t="s">
        <v>331</v>
      </c>
      <c r="F26" t="s">
        <v>277</v>
      </c>
      <c r="G26" t="s">
        <v>278</v>
      </c>
      <c r="H26" t="s">
        <v>277</v>
      </c>
      <c r="J26" t="s">
        <v>277</v>
      </c>
      <c r="K26">
        <v>1562691228.1096799</v>
      </c>
      <c r="L26">
        <f t="shared" si="0"/>
        <v>6.069793816420626E-3</v>
      </c>
      <c r="M26">
        <f t="shared" si="1"/>
        <v>43.494473378229941</v>
      </c>
      <c r="N26">
        <f t="shared" si="2"/>
        <v>742.41877419354898</v>
      </c>
      <c r="O26">
        <f t="shared" si="3"/>
        <v>511.30423625856042</v>
      </c>
      <c r="P26">
        <f t="shared" si="4"/>
        <v>50.761312487434651</v>
      </c>
      <c r="Q26">
        <f t="shared" si="5"/>
        <v>73.70592442015186</v>
      </c>
      <c r="R26">
        <f t="shared" si="6"/>
        <v>0.35168948949918011</v>
      </c>
      <c r="S26">
        <f t="shared" si="7"/>
        <v>2.2475487175636135</v>
      </c>
      <c r="T26">
        <f t="shared" si="8"/>
        <v>0.3237300986433857</v>
      </c>
      <c r="U26">
        <f t="shared" si="9"/>
        <v>0.20465780252953314</v>
      </c>
      <c r="V26">
        <f t="shared" si="10"/>
        <v>353.33909412701666</v>
      </c>
      <c r="W26">
        <f t="shared" si="11"/>
        <v>26.00656798439493</v>
      </c>
      <c r="X26">
        <f t="shared" si="12"/>
        <v>27.030883870967699</v>
      </c>
      <c r="Y26">
        <f t="shared" si="13"/>
        <v>3.5856570232124692</v>
      </c>
      <c r="Z26">
        <f t="shared" si="14"/>
        <v>54.62167270735965</v>
      </c>
      <c r="AA26">
        <f t="shared" si="15"/>
        <v>1.7744874507604989</v>
      </c>
      <c r="AB26">
        <f t="shared" si="16"/>
        <v>3.248687494920687</v>
      </c>
      <c r="AC26">
        <f t="shared" si="17"/>
        <v>1.8111695724519703</v>
      </c>
      <c r="AD26">
        <f t="shared" si="18"/>
        <v>-267.67790730414958</v>
      </c>
      <c r="AE26">
        <f t="shared" si="19"/>
        <v>-202.38452235766809</v>
      </c>
      <c r="AF26">
        <f t="shared" si="20"/>
        <v>-19.277426769114378</v>
      </c>
      <c r="AG26">
        <f t="shared" si="21"/>
        <v>-136.00076230391537</v>
      </c>
      <c r="AH26">
        <v>-4.1117787737450201E-2</v>
      </c>
      <c r="AI26">
        <v>4.61583188513318E-2</v>
      </c>
      <c r="AJ26">
        <v>3.4508391630038302</v>
      </c>
      <c r="AK26">
        <v>0</v>
      </c>
      <c r="AL26">
        <v>0</v>
      </c>
      <c r="AM26">
        <f t="shared" si="22"/>
        <v>1</v>
      </c>
      <c r="AN26">
        <f t="shared" si="23"/>
        <v>0</v>
      </c>
      <c r="AO26">
        <f t="shared" si="24"/>
        <v>52720.241174562572</v>
      </c>
      <c r="AP26" t="s">
        <v>279</v>
      </c>
      <c r="AQ26">
        <v>687.861538461539</v>
      </c>
      <c r="AR26">
        <v>4005.07</v>
      </c>
      <c r="AS26">
        <f t="shared" si="25"/>
        <v>3317.2084615384611</v>
      </c>
      <c r="AT26">
        <f t="shared" si="26"/>
        <v>0.82825230558728336</v>
      </c>
      <c r="AU26">
        <v>-4.0580585712533601</v>
      </c>
      <c r="AV26" t="s">
        <v>332</v>
      </c>
      <c r="AW26">
        <v>859.95465384615397</v>
      </c>
      <c r="AX26">
        <v>1176.8499999999999</v>
      </c>
      <c r="AY26">
        <f t="shared" si="27"/>
        <v>0.2692742033002048</v>
      </c>
      <c r="AZ26">
        <v>0.5</v>
      </c>
      <c r="BA26">
        <f t="shared" si="28"/>
        <v>1849.1735806721508</v>
      </c>
      <c r="BB26">
        <f t="shared" si="29"/>
        <v>43.494473378229941</v>
      </c>
      <c r="BC26">
        <f t="shared" si="30"/>
        <v>248.96737134964019</v>
      </c>
      <c r="BD26">
        <f t="shared" si="31"/>
        <v>0.49441305179079742</v>
      </c>
      <c r="BE26">
        <f t="shared" si="32"/>
        <v>2.5715558802326479E-2</v>
      </c>
      <c r="BF26">
        <f t="shared" si="33"/>
        <v>2.4032119641415646</v>
      </c>
      <c r="BG26" t="s">
        <v>333</v>
      </c>
      <c r="BH26">
        <v>595</v>
      </c>
      <c r="BI26">
        <f t="shared" si="34"/>
        <v>581.84999999999991</v>
      </c>
      <c r="BJ26">
        <f t="shared" si="35"/>
        <v>0.5446340915250425</v>
      </c>
      <c r="BK26">
        <f t="shared" si="36"/>
        <v>0.82937300407323022</v>
      </c>
      <c r="BL26">
        <f t="shared" si="37"/>
        <v>0.64806303436450485</v>
      </c>
      <c r="BM26">
        <f t="shared" si="38"/>
        <v>0.85259037313811847</v>
      </c>
      <c r="BN26">
        <f t="shared" si="39"/>
        <v>2199.9835483871002</v>
      </c>
      <c r="BO26">
        <f t="shared" si="40"/>
        <v>1849.1735806721508</v>
      </c>
      <c r="BP26">
        <f t="shared" si="41"/>
        <v>0.84053973132110793</v>
      </c>
      <c r="BQ26">
        <f t="shared" si="42"/>
        <v>0.19107946264221579</v>
      </c>
      <c r="BR26">
        <v>1562691228.1096799</v>
      </c>
      <c r="BS26">
        <v>742.41877419354898</v>
      </c>
      <c r="BT26">
        <v>800.01522580645201</v>
      </c>
      <c r="BU26">
        <v>17.8739064516129</v>
      </c>
      <c r="BV26">
        <v>10.7209032258065</v>
      </c>
      <c r="BW26">
        <v>500.03916129032302</v>
      </c>
      <c r="BX26">
        <v>99.178061290322603</v>
      </c>
      <c r="BY26">
        <v>0.100037516129032</v>
      </c>
      <c r="BZ26">
        <v>25.3606290322581</v>
      </c>
      <c r="CA26">
        <v>27.030883870967699</v>
      </c>
      <c r="CB26">
        <v>999.9</v>
      </c>
      <c r="CC26">
        <v>9997.93129032258</v>
      </c>
      <c r="CD26">
        <v>0</v>
      </c>
      <c r="CE26">
        <v>228.973096774194</v>
      </c>
      <c r="CF26">
        <v>2199.9835483871002</v>
      </c>
      <c r="CG26">
        <v>0.98199380645161305</v>
      </c>
      <c r="CH26">
        <v>1.80058419354839E-2</v>
      </c>
      <c r="CI26">
        <v>0</v>
      </c>
      <c r="CJ26">
        <v>859.99293548387095</v>
      </c>
      <c r="CK26">
        <v>1.9999499999999999</v>
      </c>
      <c r="CL26">
        <v>19699.348387096801</v>
      </c>
      <c r="CM26">
        <v>17938.087096774201</v>
      </c>
      <c r="CN26">
        <v>47.804129032257997</v>
      </c>
      <c r="CO26">
        <v>48.311999999999998</v>
      </c>
      <c r="CP26">
        <v>48.052</v>
      </c>
      <c r="CQ26">
        <v>47.346548387096803</v>
      </c>
      <c r="CR26">
        <v>48.721548387096803</v>
      </c>
      <c r="CS26">
        <v>2158.4035483870998</v>
      </c>
      <c r="CT26">
        <v>39.58</v>
      </c>
      <c r="CU26">
        <v>0</v>
      </c>
      <c r="CV26">
        <v>178.10000014305101</v>
      </c>
      <c r="CW26">
        <v>859.95465384615397</v>
      </c>
      <c r="CX26">
        <v>-7.0199316047727196</v>
      </c>
      <c r="CY26">
        <v>-194.707691909706</v>
      </c>
      <c r="CZ26">
        <v>19698.830769230801</v>
      </c>
      <c r="DA26">
        <v>15</v>
      </c>
      <c r="DB26">
        <v>1562691162.5999999</v>
      </c>
      <c r="DC26" t="s">
        <v>334</v>
      </c>
      <c r="DD26">
        <v>35</v>
      </c>
      <c r="DE26">
        <v>1.016</v>
      </c>
      <c r="DF26">
        <v>5.8000000000000003E-2</v>
      </c>
      <c r="DG26">
        <v>800</v>
      </c>
      <c r="DH26">
        <v>11</v>
      </c>
      <c r="DI26">
        <v>0.02</v>
      </c>
      <c r="DJ26">
        <v>0.01</v>
      </c>
      <c r="DK26">
        <v>43.7380951937688</v>
      </c>
      <c r="DL26">
        <v>-1.15832639301396</v>
      </c>
      <c r="DM26">
        <v>0.21906984686808501</v>
      </c>
      <c r="DN26">
        <v>0</v>
      </c>
      <c r="DO26">
        <v>742.14131944444398</v>
      </c>
      <c r="DP26">
        <v>1.48196194880083</v>
      </c>
      <c r="DQ26">
        <v>0.26250533467536002</v>
      </c>
      <c r="DR26">
        <v>1</v>
      </c>
      <c r="DS26">
        <v>0.35756800847450898</v>
      </c>
      <c r="DT26">
        <v>-1.4545543005977799E-2</v>
      </c>
      <c r="DU26">
        <v>6.1041177149289303E-3</v>
      </c>
      <c r="DV26">
        <v>1</v>
      </c>
      <c r="DW26">
        <v>2</v>
      </c>
      <c r="DX26">
        <v>3</v>
      </c>
      <c r="DY26" t="s">
        <v>318</v>
      </c>
      <c r="DZ26">
        <v>1.8670800000000001</v>
      </c>
      <c r="EA26">
        <v>1.8635600000000001</v>
      </c>
      <c r="EB26">
        <v>1.86921</v>
      </c>
      <c r="EC26">
        <v>1.86714</v>
      </c>
      <c r="ED26">
        <v>1.8718600000000001</v>
      </c>
      <c r="EE26">
        <v>1.86432</v>
      </c>
      <c r="EF26">
        <v>1.8657900000000001</v>
      </c>
      <c r="EG26">
        <v>1.8656999999999999</v>
      </c>
      <c r="EH26" t="s">
        <v>284</v>
      </c>
      <c r="EI26" t="s">
        <v>19</v>
      </c>
      <c r="EJ26" t="s">
        <v>19</v>
      </c>
      <c r="EK26" t="s">
        <v>19</v>
      </c>
      <c r="EL26" t="s">
        <v>285</v>
      </c>
      <c r="EM26" t="s">
        <v>286</v>
      </c>
      <c r="EN26" t="s">
        <v>287</v>
      </c>
      <c r="EO26" t="s">
        <v>287</v>
      </c>
      <c r="EP26" t="s">
        <v>287</v>
      </c>
      <c r="EQ26" t="s">
        <v>287</v>
      </c>
      <c r="ER26">
        <v>0</v>
      </c>
      <c r="ES26">
        <v>100</v>
      </c>
      <c r="ET26">
        <v>100</v>
      </c>
      <c r="EU26">
        <v>1.016</v>
      </c>
      <c r="EV26">
        <v>5.8000000000000003E-2</v>
      </c>
      <c r="EW26">
        <v>2</v>
      </c>
      <c r="EX26">
        <v>509.779</v>
      </c>
      <c r="EY26">
        <v>467.03699999999998</v>
      </c>
      <c r="EZ26">
        <v>19.255299999999998</v>
      </c>
      <c r="FA26">
        <v>36.457299999999996</v>
      </c>
      <c r="FB26">
        <v>30.0015</v>
      </c>
      <c r="FC26">
        <v>36.674199999999999</v>
      </c>
      <c r="FD26">
        <v>36.685200000000002</v>
      </c>
      <c r="FE26">
        <v>38.648000000000003</v>
      </c>
      <c r="FF26">
        <v>77.358099999999993</v>
      </c>
      <c r="FG26">
        <v>0</v>
      </c>
      <c r="FH26">
        <v>19.165299999999998</v>
      </c>
      <c r="FI26">
        <v>800</v>
      </c>
      <c r="FJ26">
        <v>10.992800000000001</v>
      </c>
      <c r="FK26">
        <v>100.15900000000001</v>
      </c>
      <c r="FL26">
        <v>100.568</v>
      </c>
    </row>
    <row r="27" spans="1:168" x14ac:dyDescent="0.35">
      <c r="A27">
        <v>12</v>
      </c>
      <c r="B27">
        <v>1562691376.7</v>
      </c>
      <c r="C27">
        <v>1542.2000000476801</v>
      </c>
      <c r="D27" t="s">
        <v>335</v>
      </c>
      <c r="E27" t="s">
        <v>336</v>
      </c>
      <c r="F27" t="s">
        <v>277</v>
      </c>
      <c r="G27" t="s">
        <v>278</v>
      </c>
      <c r="H27" t="s">
        <v>277</v>
      </c>
      <c r="J27" t="s">
        <v>277</v>
      </c>
      <c r="K27">
        <v>1562691368.62903</v>
      </c>
      <c r="L27">
        <f t="shared" si="0"/>
        <v>4.7786115663349836E-3</v>
      </c>
      <c r="M27">
        <f t="shared" si="1"/>
        <v>44.065404307444069</v>
      </c>
      <c r="N27">
        <f t="shared" si="2"/>
        <v>941.71996774193497</v>
      </c>
      <c r="O27">
        <f t="shared" si="3"/>
        <v>637.48237671203253</v>
      </c>
      <c r="P27">
        <f t="shared" si="4"/>
        <v>63.285906882119221</v>
      </c>
      <c r="Q27">
        <f t="shared" si="5"/>
        <v>93.489019249343428</v>
      </c>
      <c r="R27">
        <f t="shared" si="6"/>
        <v>0.26566638023094341</v>
      </c>
      <c r="S27">
        <f t="shared" si="7"/>
        <v>2.2482630314242833</v>
      </c>
      <c r="T27">
        <f t="shared" si="8"/>
        <v>0.24937712779261367</v>
      </c>
      <c r="U27">
        <f t="shared" si="9"/>
        <v>0.15724092949821475</v>
      </c>
      <c r="V27">
        <f t="shared" si="10"/>
        <v>353.34043270277442</v>
      </c>
      <c r="W27">
        <f t="shared" si="11"/>
        <v>26.096009315341096</v>
      </c>
      <c r="X27">
        <f t="shared" si="12"/>
        <v>27.1192064516129</v>
      </c>
      <c r="Y27">
        <f t="shared" si="13"/>
        <v>3.6042951337754174</v>
      </c>
      <c r="Z27">
        <f t="shared" si="14"/>
        <v>55.073024794670204</v>
      </c>
      <c r="AA27">
        <f t="shared" si="15"/>
        <v>1.7533052216716101</v>
      </c>
      <c r="AB27">
        <f t="shared" si="16"/>
        <v>3.1836007341316206</v>
      </c>
      <c r="AC27">
        <f t="shared" si="17"/>
        <v>1.8509899121038074</v>
      </c>
      <c r="AD27">
        <f t="shared" si="18"/>
        <v>-210.73677007537279</v>
      </c>
      <c r="AE27">
        <f t="shared" si="19"/>
        <v>-254.35847318337568</v>
      </c>
      <c r="AF27">
        <f t="shared" si="20"/>
        <v>-24.189893527386779</v>
      </c>
      <c r="AG27">
        <f t="shared" si="21"/>
        <v>-135.94470408336085</v>
      </c>
      <c r="AH27">
        <v>-4.1137001933689299E-2</v>
      </c>
      <c r="AI27">
        <v>4.6179888469866301E-2</v>
      </c>
      <c r="AJ27">
        <v>3.4521157702179002</v>
      </c>
      <c r="AK27">
        <v>0</v>
      </c>
      <c r="AL27">
        <v>0</v>
      </c>
      <c r="AM27">
        <f t="shared" si="22"/>
        <v>1</v>
      </c>
      <c r="AN27">
        <f t="shared" si="23"/>
        <v>0</v>
      </c>
      <c r="AO27">
        <f t="shared" si="24"/>
        <v>52803.961378604916</v>
      </c>
      <c r="AP27" t="s">
        <v>279</v>
      </c>
      <c r="AQ27">
        <v>687.861538461539</v>
      </c>
      <c r="AR27">
        <v>4005.07</v>
      </c>
      <c r="AS27">
        <f t="shared" si="25"/>
        <v>3317.2084615384611</v>
      </c>
      <c r="AT27">
        <f t="shared" si="26"/>
        <v>0.82825230558728336</v>
      </c>
      <c r="AU27">
        <v>-4.0580585712533601</v>
      </c>
      <c r="AV27" t="s">
        <v>337</v>
      </c>
      <c r="AW27">
        <v>854.261192307692</v>
      </c>
      <c r="AX27">
        <v>1148.24</v>
      </c>
      <c r="AY27">
        <f t="shared" si="27"/>
        <v>0.25602557626655409</v>
      </c>
      <c r="AZ27">
        <v>0.5</v>
      </c>
      <c r="BA27">
        <f t="shared" si="28"/>
        <v>1849.1806258334373</v>
      </c>
      <c r="BB27">
        <f t="shared" si="29"/>
        <v>44.065404307444069</v>
      </c>
      <c r="BC27">
        <f t="shared" si="30"/>
        <v>236.71876767497645</v>
      </c>
      <c r="BD27">
        <f t="shared" si="31"/>
        <v>0.4877377551731345</v>
      </c>
      <c r="BE27">
        <f t="shared" si="32"/>
        <v>2.6024208888197651E-2</v>
      </c>
      <c r="BF27">
        <f t="shared" si="33"/>
        <v>2.4880077335748623</v>
      </c>
      <c r="BG27" t="s">
        <v>338</v>
      </c>
      <c r="BH27">
        <v>588.20000000000005</v>
      </c>
      <c r="BI27">
        <f t="shared" si="34"/>
        <v>560.04</v>
      </c>
      <c r="BJ27">
        <f t="shared" si="35"/>
        <v>0.52492466197469467</v>
      </c>
      <c r="BK27">
        <f t="shared" si="36"/>
        <v>0.83609560796869653</v>
      </c>
      <c r="BL27">
        <f t="shared" si="37"/>
        <v>0.63855899494061885</v>
      </c>
      <c r="BM27">
        <f t="shared" si="38"/>
        <v>0.86121509489791126</v>
      </c>
      <c r="BN27">
        <f t="shared" si="39"/>
        <v>2199.9919354838698</v>
      </c>
      <c r="BO27">
        <f t="shared" si="40"/>
        <v>1849.1806258334373</v>
      </c>
      <c r="BP27">
        <f t="shared" si="41"/>
        <v>0.84053972926347365</v>
      </c>
      <c r="BQ27">
        <f t="shared" si="42"/>
        <v>0.19107945852694713</v>
      </c>
      <c r="BR27">
        <v>1562691368.62903</v>
      </c>
      <c r="BS27">
        <v>941.71996774193497</v>
      </c>
      <c r="BT27">
        <v>999.99570967741897</v>
      </c>
      <c r="BU27">
        <v>17.661138709677399</v>
      </c>
      <c r="BV27">
        <v>12.0283580645161</v>
      </c>
      <c r="BW27">
        <v>500.02470967741903</v>
      </c>
      <c r="BX27">
        <v>99.174751612903194</v>
      </c>
      <c r="BY27">
        <v>0.100003570967742</v>
      </c>
      <c r="BZ27">
        <v>25.020683870967702</v>
      </c>
      <c r="CA27">
        <v>27.1192064516129</v>
      </c>
      <c r="CB27">
        <v>999.9</v>
      </c>
      <c r="CC27">
        <v>10002.9370967742</v>
      </c>
      <c r="CD27">
        <v>0</v>
      </c>
      <c r="CE27">
        <v>211.88006451612901</v>
      </c>
      <c r="CF27">
        <v>2199.9919354838698</v>
      </c>
      <c r="CG27">
        <v>0.98199380645161305</v>
      </c>
      <c r="CH27">
        <v>1.80058419354839E-2</v>
      </c>
      <c r="CI27">
        <v>0</v>
      </c>
      <c r="CJ27">
        <v>854.30064516129005</v>
      </c>
      <c r="CK27">
        <v>1.9999499999999999</v>
      </c>
      <c r="CL27">
        <v>19555.0193548387</v>
      </c>
      <c r="CM27">
        <v>17938.174193548399</v>
      </c>
      <c r="CN27">
        <v>47.780064516129002</v>
      </c>
      <c r="CO27">
        <v>48.276000000000003</v>
      </c>
      <c r="CP27">
        <v>48.003999999999998</v>
      </c>
      <c r="CQ27">
        <v>47.314225806451603</v>
      </c>
      <c r="CR27">
        <v>48.673000000000002</v>
      </c>
      <c r="CS27">
        <v>2158.4119354838699</v>
      </c>
      <c r="CT27">
        <v>39.58</v>
      </c>
      <c r="CU27">
        <v>0</v>
      </c>
      <c r="CV27">
        <v>140.10000014305101</v>
      </c>
      <c r="CW27">
        <v>854.261192307692</v>
      </c>
      <c r="CX27">
        <v>-7.8225983014651899</v>
      </c>
      <c r="CY27">
        <v>-155.24786307400399</v>
      </c>
      <c r="CZ27">
        <v>19553.400000000001</v>
      </c>
      <c r="DA27">
        <v>15</v>
      </c>
      <c r="DB27">
        <v>1562691346.0999999</v>
      </c>
      <c r="DC27" t="s">
        <v>339</v>
      </c>
      <c r="DD27">
        <v>36</v>
      </c>
      <c r="DE27">
        <v>1.2070000000000001</v>
      </c>
      <c r="DF27">
        <v>6.4000000000000001E-2</v>
      </c>
      <c r="DG27">
        <v>1000</v>
      </c>
      <c r="DH27">
        <v>12</v>
      </c>
      <c r="DI27">
        <v>0.04</v>
      </c>
      <c r="DJ27">
        <v>0.02</v>
      </c>
      <c r="DK27">
        <v>30.231483455553001</v>
      </c>
      <c r="DL27">
        <v>88.693428461501199</v>
      </c>
      <c r="DM27">
        <v>19.731976685551899</v>
      </c>
      <c r="DN27">
        <v>0</v>
      </c>
      <c r="DO27">
        <v>956.43898611111103</v>
      </c>
      <c r="DP27">
        <v>-109.749406061445</v>
      </c>
      <c r="DQ27">
        <v>24.275271763837001</v>
      </c>
      <c r="DR27">
        <v>0</v>
      </c>
      <c r="DS27">
        <v>0.179467131980695</v>
      </c>
      <c r="DT27">
        <v>0.541728610838902</v>
      </c>
      <c r="DU27">
        <v>0.119391109786166</v>
      </c>
      <c r="DV27">
        <v>1</v>
      </c>
      <c r="DW27">
        <v>1</v>
      </c>
      <c r="DX27">
        <v>3</v>
      </c>
      <c r="DY27" t="s">
        <v>329</v>
      </c>
      <c r="DZ27">
        <v>1.8670800000000001</v>
      </c>
      <c r="EA27">
        <v>1.8635600000000001</v>
      </c>
      <c r="EB27">
        <v>1.8692</v>
      </c>
      <c r="EC27">
        <v>1.86714</v>
      </c>
      <c r="ED27">
        <v>1.8718600000000001</v>
      </c>
      <c r="EE27">
        <v>1.8643099999999999</v>
      </c>
      <c r="EF27">
        <v>1.86575</v>
      </c>
      <c r="EG27">
        <v>1.8656900000000001</v>
      </c>
      <c r="EH27" t="s">
        <v>284</v>
      </c>
      <c r="EI27" t="s">
        <v>19</v>
      </c>
      <c r="EJ27" t="s">
        <v>19</v>
      </c>
      <c r="EK27" t="s">
        <v>19</v>
      </c>
      <c r="EL27" t="s">
        <v>285</v>
      </c>
      <c r="EM27" t="s">
        <v>286</v>
      </c>
      <c r="EN27" t="s">
        <v>287</v>
      </c>
      <c r="EO27" t="s">
        <v>287</v>
      </c>
      <c r="EP27" t="s">
        <v>287</v>
      </c>
      <c r="EQ27" t="s">
        <v>287</v>
      </c>
      <c r="ER27">
        <v>0</v>
      </c>
      <c r="ES27">
        <v>100</v>
      </c>
      <c r="ET27">
        <v>100</v>
      </c>
      <c r="EU27">
        <v>1.2070000000000001</v>
      </c>
      <c r="EV27">
        <v>6.4000000000000001E-2</v>
      </c>
      <c r="EW27">
        <v>2</v>
      </c>
      <c r="EX27">
        <v>507.80500000000001</v>
      </c>
      <c r="EY27">
        <v>469.58499999999998</v>
      </c>
      <c r="EZ27">
        <v>17.5183</v>
      </c>
      <c r="FA27">
        <v>36.250799999999998</v>
      </c>
      <c r="FB27">
        <v>29.999700000000001</v>
      </c>
      <c r="FC27">
        <v>36.439599999999999</v>
      </c>
      <c r="FD27">
        <v>36.445399999999999</v>
      </c>
      <c r="FE27">
        <v>46.326599999999999</v>
      </c>
      <c r="FF27">
        <v>74.052400000000006</v>
      </c>
      <c r="FG27">
        <v>0</v>
      </c>
      <c r="FH27">
        <v>15.9467</v>
      </c>
      <c r="FI27">
        <v>1000</v>
      </c>
      <c r="FJ27">
        <v>12.065799999999999</v>
      </c>
      <c r="FK27">
        <v>100.20399999999999</v>
      </c>
      <c r="FL27">
        <v>100.61499999999999</v>
      </c>
    </row>
    <row r="28" spans="1:168" x14ac:dyDescent="0.35">
      <c r="A28">
        <v>13</v>
      </c>
      <c r="B28">
        <v>1562691517.5999999</v>
      </c>
      <c r="C28">
        <v>1683.0999999046301</v>
      </c>
      <c r="D28" t="s">
        <v>340</v>
      </c>
      <c r="E28" t="s">
        <v>341</v>
      </c>
      <c r="F28" t="s">
        <v>277</v>
      </c>
      <c r="G28" t="s">
        <v>278</v>
      </c>
      <c r="H28" t="s">
        <v>277</v>
      </c>
      <c r="J28" t="s">
        <v>277</v>
      </c>
      <c r="K28">
        <v>1562691509.6419401</v>
      </c>
      <c r="L28">
        <f t="shared" si="0"/>
        <v>3.9061631156182769E-3</v>
      </c>
      <c r="M28">
        <f t="shared" si="1"/>
        <v>43.292858378186665</v>
      </c>
      <c r="N28">
        <f t="shared" si="2"/>
        <v>1142.69677419355</v>
      </c>
      <c r="O28">
        <f t="shared" si="3"/>
        <v>771.6667927723131</v>
      </c>
      <c r="P28">
        <f t="shared" si="4"/>
        <v>76.607366373893029</v>
      </c>
      <c r="Q28">
        <f t="shared" si="5"/>
        <v>113.44143774855962</v>
      </c>
      <c r="R28">
        <f t="shared" si="6"/>
        <v>0.21187521400530926</v>
      </c>
      <c r="S28">
        <f t="shared" si="7"/>
        <v>2.2486158361628488</v>
      </c>
      <c r="T28">
        <f t="shared" si="8"/>
        <v>0.20137613401251941</v>
      </c>
      <c r="U28">
        <f t="shared" si="9"/>
        <v>0.12676001646986423</v>
      </c>
      <c r="V28">
        <f t="shared" si="10"/>
        <v>353.34192572958204</v>
      </c>
      <c r="W28">
        <f t="shared" si="11"/>
        <v>26.00808197375979</v>
      </c>
      <c r="X28">
        <f t="shared" si="12"/>
        <v>27.0226419354839</v>
      </c>
      <c r="Y28">
        <f t="shared" si="13"/>
        <v>3.5839220833398073</v>
      </c>
      <c r="Z28">
        <f t="shared" si="14"/>
        <v>54.926306741885092</v>
      </c>
      <c r="AA28">
        <f t="shared" si="15"/>
        <v>1.7095866387779937</v>
      </c>
      <c r="AB28">
        <f t="shared" si="16"/>
        <v>3.1125097247332603</v>
      </c>
      <c r="AC28">
        <f t="shared" si="17"/>
        <v>1.8743354445618137</v>
      </c>
      <c r="AD28">
        <f t="shared" si="18"/>
        <v>-172.261793398766</v>
      </c>
      <c r="AE28">
        <f t="shared" si="19"/>
        <v>-288.55439692757489</v>
      </c>
      <c r="AF28">
        <f t="shared" si="20"/>
        <v>-27.372472811473287</v>
      </c>
      <c r="AG28">
        <f t="shared" si="21"/>
        <v>-134.84673740823214</v>
      </c>
      <c r="AH28">
        <v>-4.1146493995011198E-2</v>
      </c>
      <c r="AI28">
        <v>4.6190544140250298E-2</v>
      </c>
      <c r="AJ28">
        <v>3.4527463551417501</v>
      </c>
      <c r="AK28">
        <v>0</v>
      </c>
      <c r="AL28">
        <v>0</v>
      </c>
      <c r="AM28">
        <f t="shared" si="22"/>
        <v>1</v>
      </c>
      <c r="AN28">
        <f t="shared" si="23"/>
        <v>0</v>
      </c>
      <c r="AO28">
        <f t="shared" si="24"/>
        <v>52882.786144211685</v>
      </c>
      <c r="AP28" t="s">
        <v>279</v>
      </c>
      <c r="AQ28">
        <v>687.861538461539</v>
      </c>
      <c r="AR28">
        <v>4005.07</v>
      </c>
      <c r="AS28">
        <f t="shared" si="25"/>
        <v>3317.2084615384611</v>
      </c>
      <c r="AT28">
        <f t="shared" si="26"/>
        <v>0.82825230558728336</v>
      </c>
      <c r="AU28">
        <v>-4.0580585712533601</v>
      </c>
      <c r="AV28" t="s">
        <v>342</v>
      </c>
      <c r="AW28">
        <v>852.21323076923102</v>
      </c>
      <c r="AX28">
        <v>1132.3800000000001</v>
      </c>
      <c r="AY28">
        <f t="shared" si="27"/>
        <v>0.24741409176316176</v>
      </c>
      <c r="AZ28">
        <v>0.5</v>
      </c>
      <c r="BA28">
        <f t="shared" si="28"/>
        <v>1849.1884838979536</v>
      </c>
      <c r="BB28">
        <f t="shared" si="29"/>
        <v>43.292858378186665</v>
      </c>
      <c r="BC28">
        <f t="shared" si="30"/>
        <v>228.75764462125514</v>
      </c>
      <c r="BD28">
        <f t="shared" si="31"/>
        <v>0.48197601511859978</v>
      </c>
      <c r="BE28">
        <f t="shared" si="32"/>
        <v>2.5606322644638024E-2</v>
      </c>
      <c r="BF28">
        <f t="shared" si="33"/>
        <v>2.5368604178809231</v>
      </c>
      <c r="BG28" t="s">
        <v>343</v>
      </c>
      <c r="BH28">
        <v>586.6</v>
      </c>
      <c r="BI28">
        <f t="shared" si="34"/>
        <v>545.78000000000009</v>
      </c>
      <c r="BJ28">
        <f t="shared" si="35"/>
        <v>0.51333278835935547</v>
      </c>
      <c r="BK28">
        <f t="shared" si="36"/>
        <v>0.84034377952709838</v>
      </c>
      <c r="BL28">
        <f t="shared" si="37"/>
        <v>0.63027026652868989</v>
      </c>
      <c r="BM28">
        <f t="shared" si="38"/>
        <v>0.8659962234232631</v>
      </c>
      <c r="BN28">
        <f t="shared" si="39"/>
        <v>2200.0012903225802</v>
      </c>
      <c r="BO28">
        <f t="shared" si="40"/>
        <v>1849.1884838979536</v>
      </c>
      <c r="BP28">
        <f t="shared" si="41"/>
        <v>0.84053972696843837</v>
      </c>
      <c r="BQ28">
        <f t="shared" si="42"/>
        <v>0.19107945393687678</v>
      </c>
      <c r="BR28">
        <v>1562691509.6419401</v>
      </c>
      <c r="BS28">
        <v>1142.69677419355</v>
      </c>
      <c r="BT28">
        <v>1200.00096774194</v>
      </c>
      <c r="BU28">
        <v>17.220683870967701</v>
      </c>
      <c r="BV28">
        <v>12.614290322580599</v>
      </c>
      <c r="BW28">
        <v>500.03061290322597</v>
      </c>
      <c r="BX28">
        <v>99.175161290322606</v>
      </c>
      <c r="BY28">
        <v>0.10002729032258099</v>
      </c>
      <c r="BZ28">
        <v>24.642367741935502</v>
      </c>
      <c r="CA28">
        <v>27.0226419354839</v>
      </c>
      <c r="CB28">
        <v>999.9</v>
      </c>
      <c r="CC28">
        <v>10005.2038709677</v>
      </c>
      <c r="CD28">
        <v>0</v>
      </c>
      <c r="CE28">
        <v>264.23993548387102</v>
      </c>
      <c r="CF28">
        <v>2200.0012903225802</v>
      </c>
      <c r="CG28">
        <v>0.98199335483870998</v>
      </c>
      <c r="CH28">
        <v>1.8006406451612899E-2</v>
      </c>
      <c r="CI28">
        <v>0</v>
      </c>
      <c r="CJ28">
        <v>852.21312903225805</v>
      </c>
      <c r="CK28">
        <v>1.9999499999999999</v>
      </c>
      <c r="CL28">
        <v>19546.390322580599</v>
      </c>
      <c r="CM28">
        <v>17938.232258064501</v>
      </c>
      <c r="CN28">
        <v>47.753999999999998</v>
      </c>
      <c r="CO28">
        <v>48.304000000000002</v>
      </c>
      <c r="CP28">
        <v>48.006</v>
      </c>
      <c r="CQ28">
        <v>47.283999999999999</v>
      </c>
      <c r="CR28">
        <v>48.658999999999999</v>
      </c>
      <c r="CS28">
        <v>2158.4212903225798</v>
      </c>
      <c r="CT28">
        <v>39.58</v>
      </c>
      <c r="CU28">
        <v>0</v>
      </c>
      <c r="CV28">
        <v>140.40000009536701</v>
      </c>
      <c r="CW28">
        <v>852.21323076923102</v>
      </c>
      <c r="CX28">
        <v>-2.05894018645371</v>
      </c>
      <c r="CY28">
        <v>-135.12136776637999</v>
      </c>
      <c r="CZ28">
        <v>19545.5961538462</v>
      </c>
      <c r="DA28">
        <v>15</v>
      </c>
      <c r="DB28">
        <v>1562691451.5999999</v>
      </c>
      <c r="DC28" t="s">
        <v>344</v>
      </c>
      <c r="DD28">
        <v>37</v>
      </c>
      <c r="DE28">
        <v>1.371</v>
      </c>
      <c r="DF28">
        <v>7.2999999999999995E-2</v>
      </c>
      <c r="DG28">
        <v>1200</v>
      </c>
      <c r="DH28">
        <v>12</v>
      </c>
      <c r="DI28">
        <v>0.02</v>
      </c>
      <c r="DJ28">
        <v>0.02</v>
      </c>
      <c r="DK28">
        <v>43.614648342591103</v>
      </c>
      <c r="DL28">
        <v>-1.6934622576831999</v>
      </c>
      <c r="DM28">
        <v>0.33793682600996</v>
      </c>
      <c r="DN28">
        <v>0</v>
      </c>
      <c r="DO28">
        <v>1142.3115277777799</v>
      </c>
      <c r="DP28">
        <v>2.31288977395401</v>
      </c>
      <c r="DQ28">
        <v>0.40611526730658598</v>
      </c>
      <c r="DR28">
        <v>1</v>
      </c>
      <c r="DS28">
        <v>0.21561345393397999</v>
      </c>
      <c r="DT28">
        <v>-1.69994568560617E-2</v>
      </c>
      <c r="DU28">
        <v>3.2738107027661398E-3</v>
      </c>
      <c r="DV28">
        <v>1</v>
      </c>
      <c r="DW28">
        <v>2</v>
      </c>
      <c r="DX28">
        <v>3</v>
      </c>
      <c r="DY28" t="s">
        <v>318</v>
      </c>
      <c r="DZ28">
        <v>1.86707</v>
      </c>
      <c r="EA28">
        <v>1.8635600000000001</v>
      </c>
      <c r="EB28">
        <v>1.8692</v>
      </c>
      <c r="EC28">
        <v>1.8671599999999999</v>
      </c>
      <c r="ED28">
        <v>1.8718399999999999</v>
      </c>
      <c r="EE28">
        <v>1.8642700000000001</v>
      </c>
      <c r="EF28">
        <v>1.8657699999999999</v>
      </c>
      <c r="EG28">
        <v>1.8656999999999999</v>
      </c>
      <c r="EH28" t="s">
        <v>284</v>
      </c>
      <c r="EI28" t="s">
        <v>19</v>
      </c>
      <c r="EJ28" t="s">
        <v>19</v>
      </c>
      <c r="EK28" t="s">
        <v>19</v>
      </c>
      <c r="EL28" t="s">
        <v>285</v>
      </c>
      <c r="EM28" t="s">
        <v>286</v>
      </c>
      <c r="EN28" t="s">
        <v>287</v>
      </c>
      <c r="EO28" t="s">
        <v>287</v>
      </c>
      <c r="EP28" t="s">
        <v>287</v>
      </c>
      <c r="EQ28" t="s">
        <v>287</v>
      </c>
      <c r="ER28">
        <v>0</v>
      </c>
      <c r="ES28">
        <v>100</v>
      </c>
      <c r="ET28">
        <v>100</v>
      </c>
      <c r="EU28">
        <v>1.371</v>
      </c>
      <c r="EV28">
        <v>7.2999999999999995E-2</v>
      </c>
      <c r="EW28">
        <v>2</v>
      </c>
      <c r="EX28">
        <v>507.78</v>
      </c>
      <c r="EY28">
        <v>470.71499999999997</v>
      </c>
      <c r="EZ28">
        <v>17.190799999999999</v>
      </c>
      <c r="FA28">
        <v>36.108800000000002</v>
      </c>
      <c r="FB28">
        <v>29.999500000000001</v>
      </c>
      <c r="FC28">
        <v>36.246699999999997</v>
      </c>
      <c r="FD28">
        <v>36.245699999999999</v>
      </c>
      <c r="FE28">
        <v>53.658799999999999</v>
      </c>
      <c r="FF28">
        <v>72.185900000000004</v>
      </c>
      <c r="FG28">
        <v>0</v>
      </c>
      <c r="FH28">
        <v>15.9603</v>
      </c>
      <c r="FI28">
        <v>1200</v>
      </c>
      <c r="FJ28">
        <v>12.6791</v>
      </c>
      <c r="FK28">
        <v>100.233</v>
      </c>
      <c r="FL28">
        <v>100.655</v>
      </c>
    </row>
  </sheetData>
  <sortState xmlns:xlrd2="http://schemas.microsoft.com/office/spreadsheetml/2017/richdata2" ref="N34:Q46">
    <sortCondition ref="N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2019-07-09T11:59:56Z</dcterms:created>
  <dcterms:modified xsi:type="dcterms:W3CDTF">2019-08-28T03:01:09Z</dcterms:modified>
</cp:coreProperties>
</file>