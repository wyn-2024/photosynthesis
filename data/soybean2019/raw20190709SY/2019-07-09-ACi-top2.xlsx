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20190803_De Kauwe\A-Ci\raw\"/>
    </mc:Choice>
  </mc:AlternateContent>
  <xr:revisionPtr revIDLastSave="0" documentId="13_ncr:1_{94151215-4CD3-4175-BD14-91E5A2957B00}" xr6:coauthVersionLast="41" xr6:coauthVersionMax="41" xr10:uidLastSave="{00000000-0000-0000-0000-000000000000}"/>
  <bookViews>
    <workbookView xWindow="-110" yWindow="-110" windowWidth="19420" windowHeight="10420" xr2:uid="{00000000-000D-0000-FFFF-FFFF00000000}"/>
  </bookViews>
  <sheets>
    <sheet name="Measurements" sheetId="1" r:id="rId1"/>
    <sheet name="Remark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Q27" i="1" l="1"/>
  <c r="BP27" i="1"/>
  <c r="BN27" i="1"/>
  <c r="BO27" i="1" s="1"/>
  <c r="BM27" i="1"/>
  <c r="BL27" i="1"/>
  <c r="BK27" i="1"/>
  <c r="BJ27" i="1"/>
  <c r="BI27" i="1"/>
  <c r="BD27" i="1" s="1"/>
  <c r="BF27" i="1"/>
  <c r="AY27" i="1"/>
  <c r="AS27" i="1"/>
  <c r="AT27" i="1" s="1"/>
  <c r="AO27" i="1"/>
  <c r="AM27" i="1" s="1"/>
  <c r="L27" i="1" s="1"/>
  <c r="AD27" i="1" s="1"/>
  <c r="AB27" i="1"/>
  <c r="AA27" i="1"/>
  <c r="S27" i="1"/>
  <c r="BQ26" i="1"/>
  <c r="BP26" i="1"/>
  <c r="BN26" i="1"/>
  <c r="BM26" i="1"/>
  <c r="BL26" i="1"/>
  <c r="BK26" i="1"/>
  <c r="BJ26" i="1"/>
  <c r="BI26" i="1"/>
  <c r="BD26" i="1" s="1"/>
  <c r="BF26" i="1"/>
  <c r="AY26" i="1"/>
  <c r="AS26" i="1"/>
  <c r="AT26" i="1" s="1"/>
  <c r="AO26" i="1"/>
  <c r="AM26" i="1" s="1"/>
  <c r="AB26" i="1"/>
  <c r="AA26" i="1"/>
  <c r="S26" i="1"/>
  <c r="BQ25" i="1"/>
  <c r="BP25" i="1"/>
  <c r="BN25" i="1"/>
  <c r="BM25" i="1"/>
  <c r="BL25" i="1"/>
  <c r="BK25" i="1"/>
  <c r="BJ25" i="1"/>
  <c r="BI25" i="1"/>
  <c r="BD25" i="1" s="1"/>
  <c r="BF25" i="1"/>
  <c r="AY25" i="1"/>
  <c r="AS25" i="1"/>
  <c r="AT25" i="1" s="1"/>
  <c r="AO25" i="1"/>
  <c r="AM25" i="1" s="1"/>
  <c r="M25" i="1" s="1"/>
  <c r="AB25" i="1"/>
  <c r="AA25" i="1"/>
  <c r="S25" i="1"/>
  <c r="BQ24" i="1"/>
  <c r="BP24" i="1"/>
  <c r="BN24" i="1"/>
  <c r="BM24" i="1"/>
  <c r="BL24" i="1"/>
  <c r="BK24" i="1"/>
  <c r="BJ24" i="1"/>
  <c r="BI24" i="1"/>
  <c r="BD24" i="1" s="1"/>
  <c r="BF24" i="1"/>
  <c r="AY24" i="1"/>
  <c r="AS24" i="1"/>
  <c r="AT24" i="1" s="1"/>
  <c r="AO24" i="1"/>
  <c r="AM24" i="1" s="1"/>
  <c r="AB24" i="1"/>
  <c r="AA24" i="1"/>
  <c r="S24" i="1"/>
  <c r="BQ23" i="1"/>
  <c r="BP23" i="1"/>
  <c r="BN23" i="1"/>
  <c r="BM23" i="1"/>
  <c r="BL23" i="1"/>
  <c r="BK23" i="1"/>
  <c r="BJ23" i="1"/>
  <c r="BI23" i="1"/>
  <c r="BD23" i="1" s="1"/>
  <c r="BF23" i="1"/>
  <c r="AY23" i="1"/>
  <c r="AS23" i="1"/>
  <c r="AT23" i="1" s="1"/>
  <c r="AO23" i="1"/>
  <c r="AM23" i="1" s="1"/>
  <c r="AN23" i="1" s="1"/>
  <c r="AB23" i="1"/>
  <c r="AA23" i="1"/>
  <c r="Z23" i="1" s="1"/>
  <c r="S23" i="1"/>
  <c r="BQ22" i="1"/>
  <c r="BP22" i="1"/>
  <c r="BN22" i="1"/>
  <c r="BM22" i="1"/>
  <c r="BL22" i="1"/>
  <c r="BK22" i="1"/>
  <c r="BJ22" i="1"/>
  <c r="BI22" i="1"/>
  <c r="BD22" i="1" s="1"/>
  <c r="BF22" i="1"/>
  <c r="AY22" i="1"/>
  <c r="AS22" i="1"/>
  <c r="AT22" i="1" s="1"/>
  <c r="AO22" i="1"/>
  <c r="AM22" i="1" s="1"/>
  <c r="M22" i="1" s="1"/>
  <c r="AB22" i="1"/>
  <c r="AA22" i="1"/>
  <c r="S22" i="1"/>
  <c r="BQ21" i="1"/>
  <c r="BP21" i="1"/>
  <c r="BN21" i="1"/>
  <c r="BM21" i="1"/>
  <c r="BL21" i="1"/>
  <c r="BK21" i="1"/>
  <c r="BJ21" i="1"/>
  <c r="BI21" i="1"/>
  <c r="BD21" i="1" s="1"/>
  <c r="BF21" i="1"/>
  <c r="AY21" i="1"/>
  <c r="AS21" i="1"/>
  <c r="AT21" i="1" s="1"/>
  <c r="AO21" i="1"/>
  <c r="AM21" i="1" s="1"/>
  <c r="AB21" i="1"/>
  <c r="AA21" i="1"/>
  <c r="S21" i="1"/>
  <c r="BQ20" i="1"/>
  <c r="BP20" i="1"/>
  <c r="BN20" i="1"/>
  <c r="BO20" i="1" s="1"/>
  <c r="BA20" i="1" s="1"/>
  <c r="BM20" i="1"/>
  <c r="BL20" i="1"/>
  <c r="BK20" i="1"/>
  <c r="BJ20" i="1"/>
  <c r="BI20" i="1"/>
  <c r="BD20" i="1" s="1"/>
  <c r="BF20" i="1"/>
  <c r="AY20" i="1"/>
  <c r="AS20" i="1"/>
  <c r="AT20" i="1" s="1"/>
  <c r="AO20" i="1"/>
  <c r="AM20" i="1" s="1"/>
  <c r="AN20" i="1" s="1"/>
  <c r="AB20" i="1"/>
  <c r="AA20" i="1"/>
  <c r="S20" i="1"/>
  <c r="BQ19" i="1"/>
  <c r="BP19" i="1"/>
  <c r="BN19" i="1"/>
  <c r="BM19" i="1"/>
  <c r="BL19" i="1"/>
  <c r="BK19" i="1"/>
  <c r="BJ19" i="1"/>
  <c r="BI19" i="1"/>
  <c r="BD19" i="1" s="1"/>
  <c r="BF19" i="1"/>
  <c r="AY19" i="1"/>
  <c r="AS19" i="1"/>
  <c r="AT19" i="1" s="1"/>
  <c r="AO19" i="1"/>
  <c r="AM19" i="1" s="1"/>
  <c r="AB19" i="1"/>
  <c r="AA19" i="1"/>
  <c r="Z19" i="1"/>
  <c r="S19" i="1"/>
  <c r="BQ18" i="1"/>
  <c r="BP18" i="1"/>
  <c r="BN18" i="1"/>
  <c r="BM18" i="1"/>
  <c r="BL18" i="1"/>
  <c r="BK18" i="1"/>
  <c r="BJ18" i="1"/>
  <c r="BI18" i="1"/>
  <c r="BD18" i="1" s="1"/>
  <c r="BF18" i="1"/>
  <c r="AY18" i="1"/>
  <c r="AS18" i="1"/>
  <c r="AT18" i="1" s="1"/>
  <c r="AO18" i="1"/>
  <c r="AM18" i="1" s="1"/>
  <c r="AB18" i="1"/>
  <c r="AA18" i="1"/>
  <c r="Z18" i="1" s="1"/>
  <c r="S18" i="1"/>
  <c r="BQ17" i="1"/>
  <c r="BP17" i="1"/>
  <c r="BN17" i="1"/>
  <c r="BM17" i="1"/>
  <c r="BL17" i="1"/>
  <c r="BK17" i="1"/>
  <c r="BJ17" i="1"/>
  <c r="BI17" i="1"/>
  <c r="BD17" i="1" s="1"/>
  <c r="BF17" i="1"/>
  <c r="AY17" i="1"/>
  <c r="AS17" i="1"/>
  <c r="AT17" i="1" s="1"/>
  <c r="AO17" i="1"/>
  <c r="AM17" i="1" s="1"/>
  <c r="AB17" i="1"/>
  <c r="AA17" i="1"/>
  <c r="Z17" i="1" s="1"/>
  <c r="S17" i="1"/>
  <c r="Z25" i="1" l="1"/>
  <c r="BO26" i="1"/>
  <c r="BA26" i="1" s="1"/>
  <c r="BC26" i="1" s="1"/>
  <c r="Z26" i="1"/>
  <c r="BO21" i="1"/>
  <c r="V21" i="1" s="1"/>
  <c r="L22" i="1"/>
  <c r="AD22" i="1" s="1"/>
  <c r="L25" i="1"/>
  <c r="AD25" i="1" s="1"/>
  <c r="V20" i="1"/>
  <c r="BC20" i="1"/>
  <c r="BO22" i="1"/>
  <c r="BA22" i="1" s="1"/>
  <c r="BC22" i="1" s="1"/>
  <c r="BO23" i="1"/>
  <c r="BO24" i="1"/>
  <c r="V24" i="1" s="1"/>
  <c r="V26" i="1"/>
  <c r="BO18" i="1"/>
  <c r="BA18" i="1" s="1"/>
  <c r="BC18" i="1" s="1"/>
  <c r="BO17" i="1"/>
  <c r="BA17" i="1" s="1"/>
  <c r="BC17" i="1" s="1"/>
  <c r="Z20" i="1"/>
  <c r="Z22" i="1"/>
  <c r="BO25" i="1"/>
  <c r="V25" i="1" s="1"/>
  <c r="Q22" i="1"/>
  <c r="BB22" i="1"/>
  <c r="V18" i="1"/>
  <c r="Q25" i="1"/>
  <c r="BB25" i="1"/>
  <c r="V27" i="1"/>
  <c r="BA27" i="1"/>
  <c r="BC27" i="1" s="1"/>
  <c r="AN18" i="1"/>
  <c r="L18" i="1"/>
  <c r="M18" i="1"/>
  <c r="BB18" i="1" s="1"/>
  <c r="V22" i="1"/>
  <c r="BA24" i="1"/>
  <c r="BC24" i="1" s="1"/>
  <c r="BA25" i="1"/>
  <c r="BC25" i="1" s="1"/>
  <c r="M21" i="1"/>
  <c r="BB21" i="1" s="1"/>
  <c r="L26" i="1"/>
  <c r="AN26" i="1"/>
  <c r="M27" i="1"/>
  <c r="BB27" i="1" s="1"/>
  <c r="AN17" i="1"/>
  <c r="BO19" i="1"/>
  <c r="L19" i="1"/>
  <c r="AN19" i="1"/>
  <c r="M24" i="1"/>
  <c r="BB24" i="1" s="1"/>
  <c r="L17" i="1"/>
  <c r="M19" i="1"/>
  <c r="BB19" i="1" s="1"/>
  <c r="AN22" i="1"/>
  <c r="N22" i="1"/>
  <c r="AN25" i="1"/>
  <c r="N25" i="1"/>
  <c r="M26" i="1"/>
  <c r="L21" i="1"/>
  <c r="L24" i="1"/>
  <c r="M17" i="1"/>
  <c r="Q17" i="1" s="1"/>
  <c r="M20" i="1"/>
  <c r="Q20" i="1" s="1"/>
  <c r="L20" i="1"/>
  <c r="Z21" i="1"/>
  <c r="AN21" i="1"/>
  <c r="M23" i="1"/>
  <c r="L23" i="1"/>
  <c r="Z24" i="1"/>
  <c r="AN24" i="1"/>
  <c r="N26" i="1"/>
  <c r="Z27" i="1"/>
  <c r="AN27" i="1"/>
  <c r="W26" i="1" l="1"/>
  <c r="X26" i="1" s="1"/>
  <c r="AE26" i="1" s="1"/>
  <c r="BA21" i="1"/>
  <c r="BC21" i="1" s="1"/>
  <c r="N24" i="1"/>
  <c r="BE27" i="1"/>
  <c r="BE21" i="1"/>
  <c r="N18" i="1"/>
  <c r="W20" i="1"/>
  <c r="X20" i="1" s="1"/>
  <c r="T20" i="1" s="1"/>
  <c r="R20" i="1" s="1"/>
  <c r="U20" i="1" s="1"/>
  <c r="Q24" i="1"/>
  <c r="Q18" i="1"/>
  <c r="BA23" i="1"/>
  <c r="BC23" i="1" s="1"/>
  <c r="V23" i="1"/>
  <c r="W23" i="1" s="1"/>
  <c r="X23" i="1" s="1"/>
  <c r="T23" i="1" s="1"/>
  <c r="R23" i="1" s="1"/>
  <c r="U23" i="1" s="1"/>
  <c r="Q19" i="1"/>
  <c r="Q27" i="1"/>
  <c r="V17" i="1"/>
  <c r="W17" i="1" s="1"/>
  <c r="X17" i="1" s="1"/>
  <c r="N19" i="1"/>
  <c r="N27" i="1"/>
  <c r="W22" i="1"/>
  <c r="X22" i="1" s="1"/>
  <c r="AD18" i="1"/>
  <c r="W27" i="1"/>
  <c r="X27" i="1" s="1"/>
  <c r="AD23" i="1"/>
  <c r="AD21" i="1"/>
  <c r="AD17" i="1"/>
  <c r="T26" i="1"/>
  <c r="R26" i="1" s="1"/>
  <c r="U26" i="1" s="1"/>
  <c r="O26" i="1" s="1"/>
  <c r="P26" i="1" s="1"/>
  <c r="AD26" i="1"/>
  <c r="Q21" i="1"/>
  <c r="W24" i="1"/>
  <c r="X24" i="1" s="1"/>
  <c r="T24" i="1" s="1"/>
  <c r="R24" i="1" s="1"/>
  <c r="U24" i="1" s="1"/>
  <c r="O24" i="1" s="1"/>
  <c r="P24" i="1" s="1"/>
  <c r="BE25" i="1"/>
  <c r="W21" i="1"/>
  <c r="X21" i="1" s="1"/>
  <c r="T21" i="1" s="1"/>
  <c r="R21" i="1" s="1"/>
  <c r="U21" i="1" s="1"/>
  <c r="O21" i="1" s="1"/>
  <c r="P21" i="1" s="1"/>
  <c r="BE22" i="1"/>
  <c r="BB20" i="1"/>
  <c r="BE20" i="1" s="1"/>
  <c r="N20" i="1"/>
  <c r="BA19" i="1"/>
  <c r="BC19" i="1" s="1"/>
  <c r="V19" i="1"/>
  <c r="W25" i="1"/>
  <c r="X25" i="1" s="1"/>
  <c r="BB23" i="1"/>
  <c r="N23" i="1"/>
  <c r="BB26" i="1"/>
  <c r="BE26" i="1" s="1"/>
  <c r="Q26" i="1"/>
  <c r="AF26" i="1"/>
  <c r="Y26" i="1"/>
  <c r="AC26" i="1" s="1"/>
  <c r="N21" i="1"/>
  <c r="AD24" i="1"/>
  <c r="Q23" i="1"/>
  <c r="AD20" i="1"/>
  <c r="BB17" i="1"/>
  <c r="BE17" i="1" s="1"/>
  <c r="N17" i="1"/>
  <c r="BE24" i="1"/>
  <c r="AD19" i="1"/>
  <c r="BE18" i="1"/>
  <c r="W18" i="1"/>
  <c r="X18" i="1" s="1"/>
  <c r="T18" i="1" s="1"/>
  <c r="R18" i="1" s="1"/>
  <c r="U18" i="1" s="1"/>
  <c r="O23" i="1" l="1"/>
  <c r="P23" i="1" s="1"/>
  <c r="O20" i="1"/>
  <c r="P20" i="1" s="1"/>
  <c r="AG26" i="1"/>
  <c r="AE20" i="1"/>
  <c r="AF20" i="1"/>
  <c r="Y20" i="1"/>
  <c r="AC20" i="1" s="1"/>
  <c r="O18" i="1"/>
  <c r="P18" i="1" s="1"/>
  <c r="BE23" i="1"/>
  <c r="BE19" i="1"/>
  <c r="W19" i="1"/>
  <c r="X19" i="1" s="1"/>
  <c r="Y24" i="1"/>
  <c r="AC24" i="1" s="1"/>
  <c r="AF24" i="1"/>
  <c r="AE24" i="1"/>
  <c r="Y27" i="1"/>
  <c r="AC27" i="1" s="1"/>
  <c r="AF27" i="1"/>
  <c r="AE27" i="1"/>
  <c r="T27" i="1"/>
  <c r="R27" i="1" s="1"/>
  <c r="U27" i="1" s="1"/>
  <c r="O27" i="1" s="1"/>
  <c r="P27" i="1" s="1"/>
  <c r="Y18" i="1"/>
  <c r="AC18" i="1" s="1"/>
  <c r="AF18" i="1"/>
  <c r="AE18" i="1"/>
  <c r="Y25" i="1"/>
  <c r="AC25" i="1" s="1"/>
  <c r="AF25" i="1"/>
  <c r="AE25" i="1"/>
  <c r="T25" i="1"/>
  <c r="R25" i="1" s="1"/>
  <c r="U25" i="1" s="1"/>
  <c r="O25" i="1" s="1"/>
  <c r="P25" i="1" s="1"/>
  <c r="Y21" i="1"/>
  <c r="AC21" i="1" s="1"/>
  <c r="AF21" i="1"/>
  <c r="AE21" i="1"/>
  <c r="AF22" i="1"/>
  <c r="Y22" i="1"/>
  <c r="AC22" i="1" s="1"/>
  <c r="T22" i="1"/>
  <c r="R22" i="1" s="1"/>
  <c r="U22" i="1" s="1"/>
  <c r="O22" i="1" s="1"/>
  <c r="P22" i="1" s="1"/>
  <c r="AE22" i="1"/>
  <c r="AG20" i="1"/>
  <c r="Y17" i="1"/>
  <c r="AC17" i="1" s="1"/>
  <c r="AF17" i="1"/>
  <c r="AE17" i="1"/>
  <c r="Y23" i="1"/>
  <c r="AC23" i="1" s="1"/>
  <c r="AF23" i="1"/>
  <c r="AE23" i="1"/>
  <c r="T17" i="1"/>
  <c r="R17" i="1" s="1"/>
  <c r="U17" i="1" s="1"/>
  <c r="O17" i="1" s="1"/>
  <c r="P17" i="1" s="1"/>
  <c r="AG27" i="1" l="1"/>
  <c r="AG18" i="1"/>
  <c r="AG17" i="1"/>
  <c r="AG21" i="1"/>
  <c r="AG25" i="1"/>
  <c r="AF19" i="1"/>
  <c r="Y19" i="1"/>
  <c r="AC19" i="1" s="1"/>
  <c r="AE19" i="1"/>
  <c r="T19" i="1"/>
  <c r="R19" i="1" s="1"/>
  <c r="U19" i="1" s="1"/>
  <c r="O19" i="1" s="1"/>
  <c r="P19" i="1" s="1"/>
  <c r="AG23" i="1"/>
  <c r="AG22" i="1"/>
  <c r="AG24" i="1"/>
  <c r="AG19" i="1" l="1"/>
</calcChain>
</file>

<file path=xl/sharedStrings.xml><?xml version="1.0" encoding="utf-8"?>
<sst xmlns="http://schemas.openxmlformats.org/spreadsheetml/2006/main" count="761" uniqueCount="341">
  <si>
    <t>File opened</t>
  </si>
  <si>
    <t>2019-07-09 12:00:23</t>
  </si>
  <si>
    <t>Console s/n</t>
  </si>
  <si>
    <t>68C-571038</t>
  </si>
  <si>
    <t>Console ver</t>
  </si>
  <si>
    <t>Bluestem v.1.3.4</t>
  </si>
  <si>
    <t>Scripts ver</t>
  </si>
  <si>
    <t>2018.05  1.3.4, Mar 2018</t>
  </si>
  <si>
    <t>Head s/n</t>
  </si>
  <si>
    <t>68H-581038</t>
  </si>
  <si>
    <t>Head ver</t>
  </si>
  <si>
    <t>1.3.0</t>
  </si>
  <si>
    <t>Head cal</t>
  </si>
  <si>
    <t>{"co2aspan1": "0.992625", "h2obspan2b": "0.0963575", "flowbzero": "0.20796", "co2aspanconc1": "1002", "co2bspanconc1": "1002", "h2obspan2a": "0.0975941", "co2bspan2b": "0.162103", "h2oaspan2": "0", "h2oaspanconc2": "0", "h2obzero": "1.01783", "co2aspan2a": "0.164928", "flowmeterzero": "0.991801", "co2bspan2a": "0.163389", "h2oaspan2a": "0.0661155", "co2azero": "0.869071", "co2bzero": "0.880288", "flowazero": "0.4286", "co2aspan2": "0", "h2oaspan1": "1.00223", "h2oazero": "1.00263", "h2oaspan2b": "0.0662632", "h2oaspanconc1": "12.19", "co2aspanconc2": "0", "tazero": "0.00774765", "chamberpressurezero": "2.57337", "h2obspanconc1": "20", "oxygen": "21", "co2bspanconc2": "0", "co2aspan2b": "0.163711", "h2obspanconc2": "0", "tbzero": "0.197721", "co2bspan2": "0", "co2bspan1": "0.992131", "ssb_ref": "36526.8", "h2obspan2": "0", "ssa_ref": "36614.9", "h2obspan1": "0.998578"}</t>
  </si>
  <si>
    <t>Chamber type</t>
  </si>
  <si>
    <t>6800-01</t>
  </si>
  <si>
    <t>Chamber s/n</t>
  </si>
  <si>
    <t>MPF-551037</t>
  </si>
  <si>
    <t>Chamber rev</t>
  </si>
  <si>
    <t>0</t>
  </si>
  <si>
    <t>Chamber cal</t>
  </si>
  <si>
    <t>Fluorometer</t>
  </si>
  <si>
    <t>Flr. Version</t>
  </si>
  <si>
    <t>12:00:23</t>
  </si>
  <si>
    <t>Stability Definition:	gsw (GasEx): Slp&lt;1 Std&lt;1	A (GasEx): Slp&lt;0.3 Std&lt;0.5	CO2_s (Meas): Slp&lt;2.5</t>
  </si>
  <si>
    <t>SysConst</t>
  </si>
  <si>
    <t>AvgTime</t>
  </si>
  <si>
    <t>4</t>
  </si>
  <si>
    <t>Oxygen</t>
  </si>
  <si>
    <t>21</t>
  </si>
  <si>
    <t>Chamber</t>
  </si>
  <si>
    <t>Const</t>
  </si>
  <si>
    <t>S</t>
  </si>
  <si>
    <t>K</t>
  </si>
  <si>
    <t>Geometry</t>
  </si>
  <si>
    <t>0: Broadleaf</t>
  </si>
  <si>
    <t>CustomBLC</t>
  </si>
  <si>
    <t>LTConst</t>
  </si>
  <si>
    <t>deltaTw</t>
  </si>
  <si>
    <t>fT1</t>
  </si>
  <si>
    <t>fT2</t>
  </si>
  <si>
    <t>fTeb</t>
  </si>
  <si>
    <t>LQConst</t>
  </si>
  <si>
    <t>Leaf</t>
  </si>
  <si>
    <t>standard</t>
  </si>
  <si>
    <t>Ambient</t>
  </si>
  <si>
    <t>Sun+Sky</t>
  </si>
  <si>
    <t>abs_ambient</t>
  </si>
  <si>
    <t>abs_redLED</t>
  </si>
  <si>
    <t>abs_greenLED</t>
  </si>
  <si>
    <t>abs_blueLED</t>
  </si>
  <si>
    <t>abs_whiteLED</t>
  </si>
  <si>
    <t>abs_redFlr</t>
  </si>
  <si>
    <t>abs_blueFlr</t>
  </si>
  <si>
    <t>k_ambient</t>
  </si>
  <si>
    <t>k_redLED</t>
  </si>
  <si>
    <t>k_greenLED</t>
  </si>
  <si>
    <t>k_blueLED</t>
  </si>
  <si>
    <t>k_whiteLED</t>
  </si>
  <si>
    <t>k_redFlr</t>
  </si>
  <si>
    <t>k_blueFlr</t>
  </si>
  <si>
    <t>QConst</t>
  </si>
  <si>
    <t>fQ_Amb_in</t>
  </si>
  <si>
    <t>fQ_Amb_out</t>
  </si>
  <si>
    <t>fQ_HeadLS</t>
  </si>
  <si>
    <t>fQ_ConsoleLS</t>
  </si>
  <si>
    <t>fQ_Flr</t>
  </si>
  <si>
    <t>LeakConst</t>
  </si>
  <si>
    <t>fan_a</t>
  </si>
  <si>
    <t>fan_b</t>
  </si>
  <si>
    <t>fan_c</t>
  </si>
  <si>
    <t>fan_d</t>
  </si>
  <si>
    <t>Fs_meas</t>
  </si>
  <si>
    <t>0.217328 74.432 385.252 619.716 848.505 1054.79 1233.43 1418.33</t>
  </si>
  <si>
    <t>Fs_true</t>
  </si>
  <si>
    <t>0.125404 100.335 402.869 601.159 799.534 1000.37 1200.63 1401.48</t>
  </si>
  <si>
    <t>leak_wt</t>
  </si>
  <si>
    <t>Sys</t>
  </si>
  <si>
    <t>UserDefVar</t>
  </si>
  <si>
    <t>GasEx</t>
  </si>
  <si>
    <t>Leak</t>
  </si>
  <si>
    <t>FLR</t>
  </si>
  <si>
    <t>LeafQ</t>
  </si>
  <si>
    <t>Meas</t>
  </si>
  <si>
    <t>FlrLS</t>
  </si>
  <si>
    <t>FlrStats</t>
  </si>
  <si>
    <t>Match</t>
  </si>
  <si>
    <t>Stability</t>
  </si>
  <si>
    <t>Auxiliary</t>
  </si>
  <si>
    <t>Status</t>
  </si>
  <si>
    <t>obs</t>
  </si>
  <si>
    <t>time</t>
  </si>
  <si>
    <t>elapsed</t>
  </si>
  <si>
    <t>date</t>
  </si>
  <si>
    <t>hhmmss</t>
  </si>
  <si>
    <t>Treatment</t>
  </si>
  <si>
    <t>Genotype</t>
  </si>
  <si>
    <t>Plant</t>
  </si>
  <si>
    <t>species</t>
  </si>
  <si>
    <t>leaf</t>
  </si>
  <si>
    <t>TIME</t>
  </si>
  <si>
    <t>E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</si>
  <si>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</si>
  <si>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</si>
  <si>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</si>
  <si>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</si>
  <si>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</si>
  <si>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</si>
  <si>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</si>
  <si>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</si>
  <si>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</si>
  <si>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</si>
  <si>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</si>
  <si>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</si>
  <si>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</si>
  <si>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</si>
  <si>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</si>
  <si>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</si>
  <si>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</si>
  <si>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</si>
  <si>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</si>
  <si>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</si>
  <si>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</si>
  <si>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blfa_1</t>
  </si>
  <si>
    <t>blfa_2</t>
  </si>
  <si>
    <t>blfa_3</t>
  </si>
  <si>
    <t>LeakPct</t>
  </si>
  <si>
    <t>CorrFact</t>
  </si>
  <si>
    <t>CorrFactPct</t>
  </si>
  <si>
    <t>Fan</t>
  </si>
  <si>
    <t>DarkAdaptedID</t>
  </si>
  <si>
    <t>Fo</t>
  </si>
  <si>
    <t>Fm</t>
  </si>
  <si>
    <t>Fv</t>
  </si>
  <si>
    <t>Fv/Fm</t>
  </si>
  <si>
    <t>Adark</t>
  </si>
  <si>
    <t>LightAdaptedID</t>
  </si>
  <si>
    <t>Fs</t>
  </si>
  <si>
    <t>Fm'</t>
  </si>
  <si>
    <t>PhiPS2</t>
  </si>
  <si>
    <t>PS2/1</t>
  </si>
  <si>
    <t>Qabs_fs</t>
  </si>
  <si>
    <t>Afs</t>
  </si>
  <si>
    <t>ETR</t>
  </si>
  <si>
    <t>Fv'/Fm'</t>
  </si>
  <si>
    <t>PhiCO2</t>
  </si>
  <si>
    <t>NPQ</t>
  </si>
  <si>
    <t>DarkPulseID</t>
  </si>
  <si>
    <t>Fo'</t>
  </si>
  <si>
    <t>Fv'</t>
  </si>
  <si>
    <t>qP</t>
  </si>
  <si>
    <t>qN</t>
  </si>
  <si>
    <t>qP_Fo</t>
  </si>
  <si>
    <t>qN_Fo</t>
  </si>
  <si>
    <t>Qin</t>
  </si>
  <si>
    <t>Qabs</t>
  </si>
  <si>
    <t>alpha</t>
  </si>
  <si>
    <t>convert</t>
  </si>
  <si>
    <t>CO2_s</t>
  </si>
  <si>
    <t>CO2_r</t>
  </si>
  <si>
    <t>H2O_s</t>
  </si>
  <si>
    <t>H2O_r</t>
  </si>
  <si>
    <t>Flow</t>
  </si>
  <si>
    <t>Pa</t>
  </si>
  <si>
    <t>ΔPcham</t>
  </si>
  <si>
    <t>Tair</t>
  </si>
  <si>
    <t>Tleaf</t>
  </si>
  <si>
    <t>Tleaf2</t>
  </si>
  <si>
    <t>Fan_speed</t>
  </si>
  <si>
    <t>Qamb_in</t>
  </si>
  <si>
    <t>Qamb_out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</si>
  <si>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</si>
  <si>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</si>
  <si>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</si>
  <si>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</si>
  <si>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</si>
  <si>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</si>
  <si>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</si>
  <si>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</si>
  <si>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</si>
  <si>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</si>
  <si>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</si>
  <si>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</si>
  <si>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</si>
  <si>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</si>
  <si>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</si>
  <si>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</si>
  <si>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</si>
  <si>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F_avg</t>
  </si>
  <si>
    <t>dF/dt</t>
  </si>
  <si>
    <t>dF_dc/dt</t>
  </si>
  <si>
    <t>F_dc_avg</t>
  </si>
  <si>
    <t>period</t>
  </si>
  <si>
    <t>count</t>
  </si>
  <si>
    <t>co2_adj</t>
  </si>
  <si>
    <t>h2o_adj</t>
  </si>
  <si>
    <t>co2_at</t>
  </si>
  <si>
    <t>h2o_at</t>
  </si>
  <si>
    <t>co2_cv</t>
  </si>
  <si>
    <t>h2o_cv</t>
  </si>
  <si>
    <t>A:MN</t>
  </si>
  <si>
    <t>A:SLP</t>
  </si>
  <si>
    <t>A:SD</t>
  </si>
  <si>
    <t>A:OK</t>
  </si>
  <si>
    <t>CO2_s:MN</t>
  </si>
  <si>
    <t>CO2_s:SLP</t>
  </si>
  <si>
    <t>CO2_s:SD</t>
  </si>
  <si>
    <t>CO2_s:OK</t>
  </si>
  <si>
    <t>gsw:MN</t>
  </si>
  <si>
    <t>gsw:SLP</t>
  </si>
  <si>
    <t>gsw:SD</t>
  </si>
  <si>
    <t>gsw:OK</t>
  </si>
  <si>
    <t>Stable</t>
  </si>
  <si>
    <t>Total</t>
  </si>
  <si>
    <t>State</t>
  </si>
  <si>
    <t>ADC_CH1</t>
  </si>
  <si>
    <t>ADC_CH2</t>
  </si>
  <si>
    <t>ADC_CH3</t>
  </si>
  <si>
    <t>ADC_CH4</t>
  </si>
  <si>
    <t>ADC_CH5</t>
  </si>
  <si>
    <t>ADC_CH6</t>
  </si>
  <si>
    <t>ADC_CH7</t>
  </si>
  <si>
    <t>ADC_CH8</t>
  </si>
  <si>
    <t>DAC_1</t>
  </si>
  <si>
    <t>DAC_2</t>
  </si>
  <si>
    <t>DAC_3</t>
  </si>
  <si>
    <t>DAC_4</t>
  </si>
  <si>
    <t>GPIO</t>
  </si>
  <si>
    <t>GPIO_dir</t>
  </si>
  <si>
    <t>excit_5v</t>
  </si>
  <si>
    <t>power_12v</t>
  </si>
  <si>
    <t>power_5v</t>
  </si>
  <si>
    <t>ch1_pullup</t>
  </si>
  <si>
    <t>AuxPower</t>
  </si>
  <si>
    <t>MatchValveR</t>
  </si>
  <si>
    <t>MatchValveS</t>
  </si>
  <si>
    <t>MatchCO2</t>
  </si>
  <si>
    <t>MatchH2O</t>
  </si>
  <si>
    <t>DIAG</t>
  </si>
  <si>
    <t>Flow_s</t>
  </si>
  <si>
    <t>Flow_r</t>
  </si>
  <si>
    <t>Txchg</t>
  </si>
  <si>
    <t>Tirga</t>
  </si>
  <si>
    <t>Tchopper</t>
  </si>
  <si>
    <t>Ts</t>
  </si>
  <si>
    <t>Tr</t>
  </si>
  <si>
    <t>CO2_%</t>
  </si>
  <si>
    <t>Desiccant_%</t>
  </si>
  <si>
    <t>Humidifier_%</t>
  </si>
  <si>
    <t>Txchg_sp</t>
  </si>
  <si>
    <t>CO2_r_sp</t>
  </si>
  <si>
    <t>H2O_r_sp</t>
  </si>
  <si>
    <t>SS_s</t>
  </si>
  <si>
    <t>SS_r</t>
  </si>
  <si>
    <t>s</t>
  </si>
  <si>
    <t>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</si>
  <si>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</si>
  <si>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</si>
  <si>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</si>
  <si>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</si>
  <si>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</si>
  <si>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</si>
  <si>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</si>
  <si>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</si>
  <si>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J/µmol</t>
  </si>
  <si>
    <t>mmol mol⁻¹</t>
  </si>
  <si>
    <t>rpm</t>
  </si>
  <si>
    <t>min⁻¹</t>
  </si>
  <si>
    <t>secs</t>
  </si>
  <si>
    <t>µmol/mol</t>
  </si>
  <si>
    <t>mmol/mol</t>
  </si>
  <si>
    <t>µmol m⁻² s⁻¹ min⁻¹</t>
  </si>
  <si>
    <t>µmol mol⁻¹ min⁻¹</t>
  </si>
  <si>
    <t>mol m⁻² s⁻¹ min⁻¹</t>
  </si>
  <si>
    <t>V</t>
  </si>
  <si>
    <t>20190709 12:07:57</t>
  </si>
  <si>
    <t>12:07:57</t>
  </si>
  <si>
    <t>1</t>
  </si>
  <si>
    <t>G2</t>
  </si>
  <si>
    <t>RECT-4282-20190709-05_10_52</t>
  </si>
  <si>
    <t>MPF-4355-20190709-12_07_59</t>
  </si>
  <si>
    <t>DARK-4356-20190709-12_08_07</t>
  </si>
  <si>
    <t>12:08:38</t>
  </si>
  <si>
    <t>3/3</t>
  </si>
  <si>
    <t>5</t>
  </si>
  <si>
    <t>11111111</t>
  </si>
  <si>
    <t>oooooooo</t>
  </si>
  <si>
    <t>off</t>
  </si>
  <si>
    <t>20190709 12:10:29</t>
  </si>
  <si>
    <t>12:10:29</t>
  </si>
  <si>
    <t>MPF-4357-20190709-12_10_31</t>
  </si>
  <si>
    <t>DARK-4358-20190709-12_10_38</t>
  </si>
  <si>
    <t>12:11:10</t>
  </si>
  <si>
    <t>20190709 12:12:57</t>
  </si>
  <si>
    <t>12:12:57</t>
  </si>
  <si>
    <t>MPF-4359-20190709-12_12_58</t>
  </si>
  <si>
    <t>DARK-4360-20190709-12_13_06</t>
  </si>
  <si>
    <t>12:13:37</t>
  </si>
  <si>
    <t>20190709 12:15:09</t>
  </si>
  <si>
    <t>12:15:09</t>
  </si>
  <si>
    <t>MPF-4361-20190709-12_15_10</t>
  </si>
  <si>
    <t>DARK-4362-20190709-12_15_18</t>
  </si>
  <si>
    <t>12:15:49</t>
  </si>
  <si>
    <t>20190709 12:18:11</t>
  </si>
  <si>
    <t>12:18:11</t>
  </si>
  <si>
    <t>MPF-4363-20190709-12_18_12</t>
  </si>
  <si>
    <t>DARK-4364-20190709-12_18_20</t>
  </si>
  <si>
    <t>12:17:46</t>
  </si>
  <si>
    <t>0/3</t>
  </si>
  <si>
    <t>20190709 12:20:31</t>
  </si>
  <si>
    <t>12:20:31</t>
  </si>
  <si>
    <t>MPF-4365-20190709-12_20_33</t>
  </si>
  <si>
    <t>DARK-4366-20190709-12_20_40</t>
  </si>
  <si>
    <t>12:19:35</t>
  </si>
  <si>
    <t>2/3</t>
  </si>
  <si>
    <t>20190709 12:25:54</t>
  </si>
  <si>
    <t>12:25:54</t>
  </si>
  <si>
    <t>MPF-4369-20190709-12_25_55</t>
  </si>
  <si>
    <t>DARK-4370-20190709-12_26_03</t>
  </si>
  <si>
    <t>12:25:14</t>
  </si>
  <si>
    <t>1/3</t>
  </si>
  <si>
    <t>20190709 12:27:57</t>
  </si>
  <si>
    <t>12:27:57</t>
  </si>
  <si>
    <t>MPF-4371-20190709-12_27_59</t>
  </si>
  <si>
    <t>DARK-4372-20190709-12_28_07</t>
  </si>
  <si>
    <t>12:28:38</t>
  </si>
  <si>
    <t>20190709 12:30:59</t>
  </si>
  <si>
    <t>12:30:59</t>
  </si>
  <si>
    <t>MPF-4373-20190709-12_31_01</t>
  </si>
  <si>
    <t>DARK-4374-20190709-12_31_09</t>
  </si>
  <si>
    <t>12:30:19</t>
  </si>
  <si>
    <t>20190709 12:33:20</t>
  </si>
  <si>
    <t>12:33:20</t>
  </si>
  <si>
    <t>MPF-4375-20190709-12_33_21</t>
  </si>
  <si>
    <t>DARK-4376-20190709-12_33_29</t>
  </si>
  <si>
    <t>12:34:00</t>
  </si>
  <si>
    <t>20190709 12:38:42</t>
  </si>
  <si>
    <t>12:38:42</t>
  </si>
  <si>
    <t>MPF-4379-20190709-12_38_44</t>
  </si>
  <si>
    <t>DARK-4380-20190709-12_38_52</t>
  </si>
  <si>
    <t>12:37:44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</si>
</sst>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L27"/>
  <sheetViews>
    <sheetView tabSelected="1" topLeftCell="E10" workbookViewId="0">
      <selection activeCell="E23" sqref="A23:XFD23"/>
    </sheetView>
  </sheetViews>
  <sheetFormatPr defaultRowHeight="14.5" x14ac:dyDescent="0.35"/>
  <sheetData>
    <row r="2" spans="1:168" x14ac:dyDescent="0.35">
      <c r="A2" t="s">
        <v>25</v>
      </c>
      <c r="B2" t="s">
        <v>26</v>
      </c>
      <c r="C2" t="s">
        <v>28</v>
      </c>
      <c r="D2" t="s">
        <v>30</v>
      </c>
    </row>
    <row r="3" spans="1:168" x14ac:dyDescent="0.35">
      <c r="B3" t="s">
        <v>27</v>
      </c>
      <c r="C3" t="s">
        <v>29</v>
      </c>
      <c r="D3" t="s">
        <v>15</v>
      </c>
    </row>
    <row r="4" spans="1:168" x14ac:dyDescent="0.35">
      <c r="A4" t="s">
        <v>31</v>
      </c>
      <c r="B4" t="s">
        <v>32</v>
      </c>
      <c r="C4" t="s">
        <v>33</v>
      </c>
      <c r="D4" t="s">
        <v>34</v>
      </c>
      <c r="E4" t="s">
        <v>36</v>
      </c>
    </row>
    <row r="5" spans="1:168" x14ac:dyDescent="0.35">
      <c r="B5">
        <v>6</v>
      </c>
      <c r="C5">
        <v>0.5</v>
      </c>
      <c r="D5" t="s">
        <v>35</v>
      </c>
      <c r="E5">
        <v>2</v>
      </c>
    </row>
    <row r="6" spans="1:168" x14ac:dyDescent="0.35">
      <c r="A6" t="s">
        <v>37</v>
      </c>
      <c r="B6" t="s">
        <v>38</v>
      </c>
      <c r="C6" t="s">
        <v>39</v>
      </c>
      <c r="D6" t="s">
        <v>40</v>
      </c>
      <c r="E6" t="s">
        <v>41</v>
      </c>
    </row>
    <row r="7" spans="1:168" x14ac:dyDescent="0.35">
      <c r="B7">
        <v>0</v>
      </c>
      <c r="C7">
        <v>1</v>
      </c>
      <c r="D7">
        <v>0</v>
      </c>
      <c r="E7">
        <v>0</v>
      </c>
    </row>
    <row r="8" spans="1:168" x14ac:dyDescent="0.35">
      <c r="A8" t="s">
        <v>42</v>
      </c>
      <c r="B8" t="s">
        <v>43</v>
      </c>
      <c r="C8" t="s">
        <v>45</v>
      </c>
      <c r="D8" t="s">
        <v>47</v>
      </c>
      <c r="E8" t="s">
        <v>48</v>
      </c>
      <c r="F8" t="s">
        <v>49</v>
      </c>
      <c r="G8" t="s">
        <v>50</v>
      </c>
      <c r="H8" t="s">
        <v>51</v>
      </c>
      <c r="I8" t="s">
        <v>52</v>
      </c>
      <c r="J8" t="s">
        <v>53</v>
      </c>
      <c r="K8" t="s">
        <v>54</v>
      </c>
      <c r="L8" t="s">
        <v>55</v>
      </c>
      <c r="M8" t="s">
        <v>56</v>
      </c>
      <c r="N8" t="s">
        <v>57</v>
      </c>
      <c r="O8" t="s">
        <v>58</v>
      </c>
      <c r="P8" t="s">
        <v>59</v>
      </c>
      <c r="Q8" t="s">
        <v>60</v>
      </c>
    </row>
    <row r="9" spans="1:168" x14ac:dyDescent="0.35">
      <c r="B9" t="s">
        <v>44</v>
      </c>
      <c r="C9" t="s">
        <v>46</v>
      </c>
      <c r="D9">
        <v>0.49</v>
      </c>
      <c r="E9">
        <v>0.84</v>
      </c>
      <c r="F9">
        <v>0.7</v>
      </c>
      <c r="G9">
        <v>0.87</v>
      </c>
      <c r="H9">
        <v>0.75</v>
      </c>
      <c r="I9">
        <v>0.84</v>
      </c>
      <c r="J9">
        <v>0.87</v>
      </c>
      <c r="K9">
        <v>0.39</v>
      </c>
      <c r="L9">
        <v>0.18</v>
      </c>
      <c r="M9">
        <v>0.23</v>
      </c>
      <c r="N9">
        <v>0.26</v>
      </c>
      <c r="O9">
        <v>0.21</v>
      </c>
      <c r="P9">
        <v>0.19</v>
      </c>
      <c r="Q9">
        <v>0.25</v>
      </c>
    </row>
    <row r="10" spans="1:168" x14ac:dyDescent="0.35">
      <c r="A10" t="s">
        <v>61</v>
      </c>
      <c r="B10" t="s">
        <v>62</v>
      </c>
      <c r="C10" t="s">
        <v>63</v>
      </c>
      <c r="D10" t="s">
        <v>64</v>
      </c>
      <c r="E10" t="s">
        <v>65</v>
      </c>
      <c r="F10" t="s">
        <v>66</v>
      </c>
    </row>
    <row r="11" spans="1:168" x14ac:dyDescent="0.35">
      <c r="B11">
        <v>0</v>
      </c>
      <c r="C11">
        <v>0</v>
      </c>
      <c r="D11">
        <v>0</v>
      </c>
      <c r="E11">
        <v>0</v>
      </c>
      <c r="F11">
        <v>1</v>
      </c>
    </row>
    <row r="12" spans="1:168" x14ac:dyDescent="0.35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 t="s">
        <v>72</v>
      </c>
      <c r="G12" t="s">
        <v>74</v>
      </c>
      <c r="H12" t="s">
        <v>76</v>
      </c>
    </row>
    <row r="13" spans="1:168" x14ac:dyDescent="0.35">
      <c r="B13">
        <v>-6276</v>
      </c>
      <c r="C13">
        <v>6.6</v>
      </c>
      <c r="D13">
        <v>1.7090000000000001E-5</v>
      </c>
      <c r="E13">
        <v>3.11</v>
      </c>
      <c r="F13" t="s">
        <v>73</v>
      </c>
      <c r="G13" t="s">
        <v>75</v>
      </c>
      <c r="H13">
        <v>2</v>
      </c>
    </row>
    <row r="14" spans="1:168" x14ac:dyDescent="0.35">
      <c r="A14" t="s">
        <v>77</v>
      </c>
      <c r="B14" t="s">
        <v>77</v>
      </c>
      <c r="C14" t="s">
        <v>77</v>
      </c>
      <c r="D14" t="s">
        <v>77</v>
      </c>
      <c r="E14" t="s">
        <v>77</v>
      </c>
      <c r="F14" t="s">
        <v>78</v>
      </c>
      <c r="G14" t="s">
        <v>78</v>
      </c>
      <c r="H14" t="s">
        <v>78</v>
      </c>
      <c r="I14" t="s">
        <v>78</v>
      </c>
      <c r="J14" t="s">
        <v>78</v>
      </c>
      <c r="K14" t="s">
        <v>79</v>
      </c>
      <c r="L14" t="s">
        <v>79</v>
      </c>
      <c r="M14" t="s">
        <v>79</v>
      </c>
      <c r="N14" t="s">
        <v>79</v>
      </c>
      <c r="O14" t="s">
        <v>79</v>
      </c>
      <c r="P14" t="s">
        <v>79</v>
      </c>
      <c r="Q14" t="s">
        <v>79</v>
      </c>
      <c r="R14" t="s">
        <v>79</v>
      </c>
      <c r="S14" t="s">
        <v>79</v>
      </c>
      <c r="T14" t="s">
        <v>79</v>
      </c>
      <c r="U14" t="s">
        <v>79</v>
      </c>
      <c r="V14" t="s">
        <v>79</v>
      </c>
      <c r="W14" t="s">
        <v>79</v>
      </c>
      <c r="X14" t="s">
        <v>79</v>
      </c>
      <c r="Y14" t="s">
        <v>79</v>
      </c>
      <c r="Z14" t="s">
        <v>79</v>
      </c>
      <c r="AA14" t="s">
        <v>79</v>
      </c>
      <c r="AB14" t="s">
        <v>79</v>
      </c>
      <c r="AC14" t="s">
        <v>79</v>
      </c>
      <c r="AD14" t="s">
        <v>79</v>
      </c>
      <c r="AE14" t="s">
        <v>79</v>
      </c>
      <c r="AF14" t="s">
        <v>79</v>
      </c>
      <c r="AG14" t="s">
        <v>79</v>
      </c>
      <c r="AH14" t="s">
        <v>79</v>
      </c>
      <c r="AI14" t="s">
        <v>79</v>
      </c>
      <c r="AJ14" t="s">
        <v>79</v>
      </c>
      <c r="AK14" t="s">
        <v>80</v>
      </c>
      <c r="AL14" t="s">
        <v>80</v>
      </c>
      <c r="AM14" t="s">
        <v>80</v>
      </c>
      <c r="AN14" t="s">
        <v>80</v>
      </c>
      <c r="AO14" t="s">
        <v>80</v>
      </c>
      <c r="AP14" t="s">
        <v>81</v>
      </c>
      <c r="AQ14" t="s">
        <v>81</v>
      </c>
      <c r="AR14" t="s">
        <v>81</v>
      </c>
      <c r="AS14" t="s">
        <v>81</v>
      </c>
      <c r="AT14" t="s">
        <v>81</v>
      </c>
      <c r="AU14" t="s">
        <v>81</v>
      </c>
      <c r="AV14" t="s">
        <v>81</v>
      </c>
      <c r="AW14" t="s">
        <v>81</v>
      </c>
      <c r="AX14" t="s">
        <v>81</v>
      </c>
      <c r="AY14" t="s">
        <v>81</v>
      </c>
      <c r="AZ14" t="s">
        <v>81</v>
      </c>
      <c r="BA14" t="s">
        <v>81</v>
      </c>
      <c r="BB14" t="s">
        <v>81</v>
      </c>
      <c r="BC14" t="s">
        <v>81</v>
      </c>
      <c r="BD14" t="s">
        <v>81</v>
      </c>
      <c r="BE14" t="s">
        <v>81</v>
      </c>
      <c r="BF14" t="s">
        <v>81</v>
      </c>
      <c r="BG14" t="s">
        <v>81</v>
      </c>
      <c r="BH14" t="s">
        <v>81</v>
      </c>
      <c r="BI14" t="s">
        <v>81</v>
      </c>
      <c r="BJ14" t="s">
        <v>81</v>
      </c>
      <c r="BK14" t="s">
        <v>81</v>
      </c>
      <c r="BL14" t="s">
        <v>81</v>
      </c>
      <c r="BM14" t="s">
        <v>81</v>
      </c>
      <c r="BN14" t="s">
        <v>82</v>
      </c>
      <c r="BO14" t="s">
        <v>82</v>
      </c>
      <c r="BP14" t="s">
        <v>82</v>
      </c>
      <c r="BQ14" t="s">
        <v>82</v>
      </c>
      <c r="BR14" t="s">
        <v>83</v>
      </c>
      <c r="BS14" t="s">
        <v>83</v>
      </c>
      <c r="BT14" t="s">
        <v>83</v>
      </c>
      <c r="BU14" t="s">
        <v>83</v>
      </c>
      <c r="BV14" t="s">
        <v>83</v>
      </c>
      <c r="BW14" t="s">
        <v>83</v>
      </c>
      <c r="BX14" t="s">
        <v>83</v>
      </c>
      <c r="BY14" t="s">
        <v>83</v>
      </c>
      <c r="BZ14" t="s">
        <v>83</v>
      </c>
      <c r="CA14" t="s">
        <v>83</v>
      </c>
      <c r="CB14" t="s">
        <v>83</v>
      </c>
      <c r="CC14" t="s">
        <v>83</v>
      </c>
      <c r="CD14" t="s">
        <v>83</v>
      </c>
      <c r="CE14" t="s">
        <v>83</v>
      </c>
      <c r="CF14" t="s">
        <v>84</v>
      </c>
      <c r="CG14" t="s">
        <v>84</v>
      </c>
      <c r="CH14" t="s">
        <v>84</v>
      </c>
      <c r="CI14" t="s">
        <v>84</v>
      </c>
      <c r="CJ14" t="s">
        <v>84</v>
      </c>
      <c r="CK14" t="s">
        <v>84</v>
      </c>
      <c r="CL14" t="s">
        <v>84</v>
      </c>
      <c r="CM14" t="s">
        <v>84</v>
      </c>
      <c r="CN14" t="s">
        <v>84</v>
      </c>
      <c r="CO14" t="s">
        <v>84</v>
      </c>
      <c r="CP14" t="s">
        <v>84</v>
      </c>
      <c r="CQ14" t="s">
        <v>84</v>
      </c>
      <c r="CR14" t="s">
        <v>84</v>
      </c>
      <c r="CS14" t="s">
        <v>84</v>
      </c>
      <c r="CT14" t="s">
        <v>84</v>
      </c>
      <c r="CU14" t="s">
        <v>84</v>
      </c>
      <c r="CV14" t="s">
        <v>84</v>
      </c>
      <c r="CW14" t="s">
        <v>85</v>
      </c>
      <c r="CX14" t="s">
        <v>85</v>
      </c>
      <c r="CY14" t="s">
        <v>85</v>
      </c>
      <c r="CZ14" t="s">
        <v>85</v>
      </c>
      <c r="DA14" t="s">
        <v>85</v>
      </c>
      <c r="DB14" t="s">
        <v>86</v>
      </c>
      <c r="DC14" t="s">
        <v>86</v>
      </c>
      <c r="DD14" t="s">
        <v>86</v>
      </c>
      <c r="DE14" t="s">
        <v>86</v>
      </c>
      <c r="DF14" t="s">
        <v>86</v>
      </c>
      <c r="DG14" t="s">
        <v>86</v>
      </c>
      <c r="DH14" t="s">
        <v>86</v>
      </c>
      <c r="DI14" t="s">
        <v>86</v>
      </c>
      <c r="DJ14" t="s">
        <v>86</v>
      </c>
      <c r="DK14" t="s">
        <v>87</v>
      </c>
      <c r="DL14" t="s">
        <v>87</v>
      </c>
      <c r="DM14" t="s">
        <v>87</v>
      </c>
      <c r="DN14" t="s">
        <v>87</v>
      </c>
      <c r="DO14" t="s">
        <v>87</v>
      </c>
      <c r="DP14" t="s">
        <v>87</v>
      </c>
      <c r="DQ14" t="s">
        <v>87</v>
      </c>
      <c r="DR14" t="s">
        <v>87</v>
      </c>
      <c r="DS14" t="s">
        <v>87</v>
      </c>
      <c r="DT14" t="s">
        <v>87</v>
      </c>
      <c r="DU14" t="s">
        <v>87</v>
      </c>
      <c r="DV14" t="s">
        <v>87</v>
      </c>
      <c r="DW14" t="s">
        <v>87</v>
      </c>
      <c r="DX14" t="s">
        <v>87</v>
      </c>
      <c r="DY14" t="s">
        <v>87</v>
      </c>
      <c r="DZ14" t="s">
        <v>88</v>
      </c>
      <c r="EA14" t="s">
        <v>88</v>
      </c>
      <c r="EB14" t="s">
        <v>88</v>
      </c>
      <c r="EC14" t="s">
        <v>88</v>
      </c>
      <c r="ED14" t="s">
        <v>88</v>
      </c>
      <c r="EE14" t="s">
        <v>88</v>
      </c>
      <c r="EF14" t="s">
        <v>88</v>
      </c>
      <c r="EG14" t="s">
        <v>88</v>
      </c>
      <c r="EH14" t="s">
        <v>88</v>
      </c>
      <c r="EI14" t="s">
        <v>88</v>
      </c>
      <c r="EJ14" t="s">
        <v>88</v>
      </c>
      <c r="EK14" t="s">
        <v>88</v>
      </c>
      <c r="EL14" t="s">
        <v>88</v>
      </c>
      <c r="EM14" t="s">
        <v>88</v>
      </c>
      <c r="EN14" t="s">
        <v>88</v>
      </c>
      <c r="EO14" t="s">
        <v>88</v>
      </c>
      <c r="EP14" t="s">
        <v>88</v>
      </c>
      <c r="EQ14" t="s">
        <v>88</v>
      </c>
      <c r="ER14" t="s">
        <v>88</v>
      </c>
      <c r="ES14" t="s">
        <v>89</v>
      </c>
      <c r="ET14" t="s">
        <v>89</v>
      </c>
      <c r="EU14" t="s">
        <v>89</v>
      </c>
      <c r="EV14" t="s">
        <v>89</v>
      </c>
      <c r="EW14" t="s">
        <v>89</v>
      </c>
      <c r="EX14" t="s">
        <v>89</v>
      </c>
      <c r="EY14" t="s">
        <v>89</v>
      </c>
      <c r="EZ14" t="s">
        <v>89</v>
      </c>
      <c r="FA14" t="s">
        <v>89</v>
      </c>
      <c r="FB14" t="s">
        <v>89</v>
      </c>
      <c r="FC14" t="s">
        <v>89</v>
      </c>
      <c r="FD14" t="s">
        <v>89</v>
      </c>
      <c r="FE14" t="s">
        <v>89</v>
      </c>
      <c r="FF14" t="s">
        <v>89</v>
      </c>
      <c r="FG14" t="s">
        <v>89</v>
      </c>
      <c r="FH14" t="s">
        <v>89</v>
      </c>
      <c r="FI14" t="s">
        <v>89</v>
      </c>
      <c r="FJ14" t="s">
        <v>89</v>
      </c>
      <c r="FK14" t="s">
        <v>89</v>
      </c>
      <c r="FL14" t="s">
        <v>89</v>
      </c>
    </row>
    <row r="15" spans="1:168" x14ac:dyDescent="0.35">
      <c r="A15" t="s">
        <v>90</v>
      </c>
      <c r="B15" t="s">
        <v>91</v>
      </c>
      <c r="C15" t="s">
        <v>92</v>
      </c>
      <c r="D15" t="s">
        <v>93</v>
      </c>
      <c r="E15" t="s">
        <v>94</v>
      </c>
      <c r="F15" t="s">
        <v>95</v>
      </c>
      <c r="G15" t="s">
        <v>96</v>
      </c>
      <c r="H15" t="s">
        <v>97</v>
      </c>
      <c r="I15" t="s">
        <v>98</v>
      </c>
      <c r="J15" t="s">
        <v>99</v>
      </c>
      <c r="K15" t="s">
        <v>100</v>
      </c>
      <c r="L15" t="s">
        <v>101</v>
      </c>
      <c r="M15" t="s">
        <v>102</v>
      </c>
      <c r="N15" t="s">
        <v>103</v>
      </c>
      <c r="O15" t="s">
        <v>104</v>
      </c>
      <c r="P15" t="s">
        <v>105</v>
      </c>
      <c r="Q15" t="s">
        <v>106</v>
      </c>
      <c r="R15" t="s">
        <v>107</v>
      </c>
      <c r="S15" t="s">
        <v>108</v>
      </c>
      <c r="T15" t="s">
        <v>109</v>
      </c>
      <c r="U15" t="s">
        <v>110</v>
      </c>
      <c r="V15" t="s">
        <v>111</v>
      </c>
      <c r="W15" t="s">
        <v>112</v>
      </c>
      <c r="X15" t="s">
        <v>113</v>
      </c>
      <c r="Y15" t="s">
        <v>114</v>
      </c>
      <c r="Z15" t="s">
        <v>115</v>
      </c>
      <c r="AA15" t="s">
        <v>116</v>
      </c>
      <c r="AB15" t="s">
        <v>117</v>
      </c>
      <c r="AC15" t="s">
        <v>118</v>
      </c>
      <c r="AD15" t="s">
        <v>119</v>
      </c>
      <c r="AE15" t="s">
        <v>120</v>
      </c>
      <c r="AF15" t="s">
        <v>121</v>
      </c>
      <c r="AG15" t="s">
        <v>122</v>
      </c>
      <c r="AH15" t="s">
        <v>123</v>
      </c>
      <c r="AI15" t="s">
        <v>124</v>
      </c>
      <c r="AJ15" t="s">
        <v>125</v>
      </c>
      <c r="AK15" t="s">
        <v>80</v>
      </c>
      <c r="AL15" t="s">
        <v>126</v>
      </c>
      <c r="AM15" t="s">
        <v>127</v>
      </c>
      <c r="AN15" t="s">
        <v>128</v>
      </c>
      <c r="AO15" t="s">
        <v>129</v>
      </c>
      <c r="AP15" t="s">
        <v>130</v>
      </c>
      <c r="AQ15" t="s">
        <v>131</v>
      </c>
      <c r="AR15" t="s">
        <v>132</v>
      </c>
      <c r="AS15" t="s">
        <v>133</v>
      </c>
      <c r="AT15" t="s">
        <v>134</v>
      </c>
      <c r="AU15" t="s">
        <v>135</v>
      </c>
      <c r="AV15" t="s">
        <v>136</v>
      </c>
      <c r="AW15" t="s">
        <v>137</v>
      </c>
      <c r="AX15" t="s">
        <v>138</v>
      </c>
      <c r="AY15" t="s">
        <v>139</v>
      </c>
      <c r="AZ15" t="s">
        <v>140</v>
      </c>
      <c r="BA15" t="s">
        <v>141</v>
      </c>
      <c r="BB15" t="s">
        <v>142</v>
      </c>
      <c r="BC15" t="s">
        <v>143</v>
      </c>
      <c r="BD15" t="s">
        <v>144</v>
      </c>
      <c r="BE15" t="s">
        <v>145</v>
      </c>
      <c r="BF15" t="s">
        <v>146</v>
      </c>
      <c r="BG15" t="s">
        <v>147</v>
      </c>
      <c r="BH15" t="s">
        <v>148</v>
      </c>
      <c r="BI15" t="s">
        <v>149</v>
      </c>
      <c r="BJ15" t="s">
        <v>150</v>
      </c>
      <c r="BK15" t="s">
        <v>151</v>
      </c>
      <c r="BL15" t="s">
        <v>152</v>
      </c>
      <c r="BM15" t="s">
        <v>153</v>
      </c>
      <c r="BN15" t="s">
        <v>154</v>
      </c>
      <c r="BO15" t="s">
        <v>155</v>
      </c>
      <c r="BP15" t="s">
        <v>156</v>
      </c>
      <c r="BQ15" t="s">
        <v>157</v>
      </c>
      <c r="BR15" t="s">
        <v>100</v>
      </c>
      <c r="BS15" t="s">
        <v>158</v>
      </c>
      <c r="BT15" t="s">
        <v>159</v>
      </c>
      <c r="BU15" t="s">
        <v>160</v>
      </c>
      <c r="BV15" t="s">
        <v>161</v>
      </c>
      <c r="BW15" t="s">
        <v>162</v>
      </c>
      <c r="BX15" t="s">
        <v>163</v>
      </c>
      <c r="BY15" t="s">
        <v>164</v>
      </c>
      <c r="BZ15" t="s">
        <v>165</v>
      </c>
      <c r="CA15" t="s">
        <v>166</v>
      </c>
      <c r="CB15" t="s">
        <v>167</v>
      </c>
      <c r="CC15" t="s">
        <v>168</v>
      </c>
      <c r="CD15" t="s">
        <v>169</v>
      </c>
      <c r="CE15" t="s">
        <v>170</v>
      </c>
      <c r="CF15" t="s">
        <v>171</v>
      </c>
      <c r="CG15" t="s">
        <v>172</v>
      </c>
      <c r="CH15" t="s">
        <v>173</v>
      </c>
      <c r="CI15" t="s">
        <v>174</v>
      </c>
      <c r="CJ15" t="s">
        <v>175</v>
      </c>
      <c r="CK15" t="s">
        <v>176</v>
      </c>
      <c r="CL15" t="s">
        <v>177</v>
      </c>
      <c r="CM15" t="s">
        <v>178</v>
      </c>
      <c r="CN15" t="s">
        <v>179</v>
      </c>
      <c r="CO15" t="s">
        <v>180</v>
      </c>
      <c r="CP15" t="s">
        <v>181</v>
      </c>
      <c r="CQ15" t="s">
        <v>182</v>
      </c>
      <c r="CR15" t="s">
        <v>183</v>
      </c>
      <c r="CS15" t="s">
        <v>184</v>
      </c>
      <c r="CT15" t="s">
        <v>185</v>
      </c>
      <c r="CU15" t="s">
        <v>186</v>
      </c>
      <c r="CV15" t="s">
        <v>187</v>
      </c>
      <c r="CW15" t="s">
        <v>188</v>
      </c>
      <c r="CX15" t="s">
        <v>189</v>
      </c>
      <c r="CY15" t="s">
        <v>190</v>
      </c>
      <c r="CZ15" t="s">
        <v>191</v>
      </c>
      <c r="DA15" t="s">
        <v>192</v>
      </c>
      <c r="DB15" t="s">
        <v>91</v>
      </c>
      <c r="DC15" t="s">
        <v>94</v>
      </c>
      <c r="DD15" t="s">
        <v>193</v>
      </c>
      <c r="DE15" t="s">
        <v>194</v>
      </c>
      <c r="DF15" t="s">
        <v>195</v>
      </c>
      <c r="DG15" t="s">
        <v>196</v>
      </c>
      <c r="DH15" t="s">
        <v>197</v>
      </c>
      <c r="DI15" t="s">
        <v>198</v>
      </c>
      <c r="DJ15" t="s">
        <v>199</v>
      </c>
      <c r="DK15" t="s">
        <v>200</v>
      </c>
      <c r="DL15" t="s">
        <v>201</v>
      </c>
      <c r="DM15" t="s">
        <v>202</v>
      </c>
      <c r="DN15" t="s">
        <v>203</v>
      </c>
      <c r="DO15" t="s">
        <v>204</v>
      </c>
      <c r="DP15" t="s">
        <v>205</v>
      </c>
      <c r="DQ15" t="s">
        <v>206</v>
      </c>
      <c r="DR15" t="s">
        <v>207</v>
      </c>
      <c r="DS15" t="s">
        <v>208</v>
      </c>
      <c r="DT15" t="s">
        <v>209</v>
      </c>
      <c r="DU15" t="s">
        <v>210</v>
      </c>
      <c r="DV15" t="s">
        <v>211</v>
      </c>
      <c r="DW15" t="s">
        <v>212</v>
      </c>
      <c r="DX15" t="s">
        <v>213</v>
      </c>
      <c r="DY15" t="s">
        <v>214</v>
      </c>
      <c r="DZ15" t="s">
        <v>215</v>
      </c>
      <c r="EA15" t="s">
        <v>216</v>
      </c>
      <c r="EB15" t="s">
        <v>217</v>
      </c>
      <c r="EC15" t="s">
        <v>218</v>
      </c>
      <c r="ED15" t="s">
        <v>219</v>
      </c>
      <c r="EE15" t="s">
        <v>220</v>
      </c>
      <c r="EF15" t="s">
        <v>221</v>
      </c>
      <c r="EG15" t="s">
        <v>222</v>
      </c>
      <c r="EH15" t="s">
        <v>223</v>
      </c>
      <c r="EI15" t="s">
        <v>224</v>
      </c>
      <c r="EJ15" t="s">
        <v>225</v>
      </c>
      <c r="EK15" t="s">
        <v>226</v>
      </c>
      <c r="EL15" t="s">
        <v>227</v>
      </c>
      <c r="EM15" t="s">
        <v>228</v>
      </c>
      <c r="EN15" t="s">
        <v>229</v>
      </c>
      <c r="EO15" t="s">
        <v>230</v>
      </c>
      <c r="EP15" t="s">
        <v>231</v>
      </c>
      <c r="EQ15" t="s">
        <v>232</v>
      </c>
      <c r="ER15" t="s">
        <v>233</v>
      </c>
      <c r="ES15" t="s">
        <v>234</v>
      </c>
      <c r="ET15" t="s">
        <v>235</v>
      </c>
      <c r="EU15" t="s">
        <v>236</v>
      </c>
      <c r="EV15" t="s">
        <v>237</v>
      </c>
      <c r="EW15" t="s">
        <v>238</v>
      </c>
      <c r="EX15" t="s">
        <v>239</v>
      </c>
      <c r="EY15" t="s">
        <v>240</v>
      </c>
      <c r="EZ15" t="s">
        <v>241</v>
      </c>
      <c r="FA15" t="s">
        <v>242</v>
      </c>
      <c r="FB15" t="s">
        <v>243</v>
      </c>
      <c r="FC15" t="s">
        <v>244</v>
      </c>
      <c r="FD15" t="s">
        <v>245</v>
      </c>
      <c r="FE15" t="s">
        <v>246</v>
      </c>
      <c r="FF15" t="s">
        <v>247</v>
      </c>
      <c r="FG15" t="s">
        <v>248</v>
      </c>
      <c r="FH15" t="s">
        <v>249</v>
      </c>
      <c r="FI15" t="s">
        <v>250</v>
      </c>
      <c r="FJ15" t="s">
        <v>251</v>
      </c>
      <c r="FK15" t="s">
        <v>252</v>
      </c>
      <c r="FL15" t="s">
        <v>253</v>
      </c>
    </row>
    <row r="16" spans="1:168" x14ac:dyDescent="0.35">
      <c r="B16" t="s">
        <v>254</v>
      </c>
      <c r="C16" t="s">
        <v>254</v>
      </c>
      <c r="K16" t="s">
        <v>254</v>
      </c>
      <c r="L16" t="s">
        <v>255</v>
      </c>
      <c r="M16" t="s">
        <v>256</v>
      </c>
      <c r="N16" t="s">
        <v>257</v>
      </c>
      <c r="O16" t="s">
        <v>257</v>
      </c>
      <c r="P16" t="s">
        <v>163</v>
      </c>
      <c r="Q16" t="s">
        <v>163</v>
      </c>
      <c r="R16" t="s">
        <v>255</v>
      </c>
      <c r="S16" t="s">
        <v>255</v>
      </c>
      <c r="T16" t="s">
        <v>255</v>
      </c>
      <c r="U16" t="s">
        <v>255</v>
      </c>
      <c r="V16" t="s">
        <v>258</v>
      </c>
      <c r="W16" t="s">
        <v>259</v>
      </c>
      <c r="X16" t="s">
        <v>259</v>
      </c>
      <c r="Y16" t="s">
        <v>260</v>
      </c>
      <c r="Z16" t="s">
        <v>261</v>
      </c>
      <c r="AA16" t="s">
        <v>260</v>
      </c>
      <c r="AB16" t="s">
        <v>260</v>
      </c>
      <c r="AC16" t="s">
        <v>260</v>
      </c>
      <c r="AD16" t="s">
        <v>258</v>
      </c>
      <c r="AE16" t="s">
        <v>258</v>
      </c>
      <c r="AF16" t="s">
        <v>258</v>
      </c>
      <c r="AG16" t="s">
        <v>258</v>
      </c>
      <c r="AK16" t="s">
        <v>262</v>
      </c>
      <c r="AL16" t="s">
        <v>261</v>
      </c>
      <c r="AN16" t="s">
        <v>261</v>
      </c>
      <c r="AO16" t="s">
        <v>262</v>
      </c>
      <c r="AU16" t="s">
        <v>256</v>
      </c>
      <c r="BA16" t="s">
        <v>256</v>
      </c>
      <c r="BB16" t="s">
        <v>256</v>
      </c>
      <c r="BC16" t="s">
        <v>256</v>
      </c>
      <c r="BE16" t="s">
        <v>263</v>
      </c>
      <c r="BN16" t="s">
        <v>256</v>
      </c>
      <c r="BO16" t="s">
        <v>256</v>
      </c>
      <c r="BQ16" t="s">
        <v>264</v>
      </c>
      <c r="BR16" t="s">
        <v>254</v>
      </c>
      <c r="BS16" t="s">
        <v>257</v>
      </c>
      <c r="BT16" t="s">
        <v>257</v>
      </c>
      <c r="BU16" t="s">
        <v>265</v>
      </c>
      <c r="BV16" t="s">
        <v>265</v>
      </c>
      <c r="BW16" t="s">
        <v>262</v>
      </c>
      <c r="BX16" t="s">
        <v>260</v>
      </c>
      <c r="BY16" t="s">
        <v>260</v>
      </c>
      <c r="BZ16" t="s">
        <v>259</v>
      </c>
      <c r="CA16" t="s">
        <v>259</v>
      </c>
      <c r="CB16" t="s">
        <v>259</v>
      </c>
      <c r="CC16" t="s">
        <v>266</v>
      </c>
      <c r="CD16" t="s">
        <v>256</v>
      </c>
      <c r="CE16" t="s">
        <v>256</v>
      </c>
      <c r="CF16" t="s">
        <v>256</v>
      </c>
      <c r="CK16" t="s">
        <v>256</v>
      </c>
      <c r="CN16" t="s">
        <v>259</v>
      </c>
      <c r="CO16" t="s">
        <v>259</v>
      </c>
      <c r="CP16" t="s">
        <v>259</v>
      </c>
      <c r="CQ16" t="s">
        <v>259</v>
      </c>
      <c r="CR16" t="s">
        <v>259</v>
      </c>
      <c r="CS16" t="s">
        <v>256</v>
      </c>
      <c r="CT16" t="s">
        <v>256</v>
      </c>
      <c r="CU16" t="s">
        <v>256</v>
      </c>
      <c r="CV16" t="s">
        <v>254</v>
      </c>
      <c r="CX16" t="s">
        <v>267</v>
      </c>
      <c r="CY16" t="s">
        <v>267</v>
      </c>
      <c r="DA16" t="s">
        <v>254</v>
      </c>
      <c r="DB16" t="s">
        <v>268</v>
      </c>
      <c r="DE16" t="s">
        <v>269</v>
      </c>
      <c r="DF16" t="s">
        <v>270</v>
      </c>
      <c r="DG16" t="s">
        <v>269</v>
      </c>
      <c r="DH16" t="s">
        <v>270</v>
      </c>
      <c r="DI16" t="s">
        <v>261</v>
      </c>
      <c r="DJ16" t="s">
        <v>261</v>
      </c>
      <c r="DK16" t="s">
        <v>256</v>
      </c>
      <c r="DL16" t="s">
        <v>271</v>
      </c>
      <c r="DM16" t="s">
        <v>256</v>
      </c>
      <c r="DO16" t="s">
        <v>257</v>
      </c>
      <c r="DP16" t="s">
        <v>272</v>
      </c>
      <c r="DQ16" t="s">
        <v>257</v>
      </c>
      <c r="DS16" t="s">
        <v>255</v>
      </c>
      <c r="DT16" t="s">
        <v>273</v>
      </c>
      <c r="DU16" t="s">
        <v>255</v>
      </c>
      <c r="DZ16" t="s">
        <v>274</v>
      </c>
      <c r="EA16" t="s">
        <v>274</v>
      </c>
      <c r="EB16" t="s">
        <v>274</v>
      </c>
      <c r="EC16" t="s">
        <v>274</v>
      </c>
      <c r="ED16" t="s">
        <v>274</v>
      </c>
      <c r="EE16" t="s">
        <v>274</v>
      </c>
      <c r="EF16" t="s">
        <v>274</v>
      </c>
      <c r="EG16" t="s">
        <v>274</v>
      </c>
      <c r="EH16" t="s">
        <v>274</v>
      </c>
      <c r="EI16" t="s">
        <v>274</v>
      </c>
      <c r="EJ16" t="s">
        <v>274</v>
      </c>
      <c r="EK16" t="s">
        <v>274</v>
      </c>
      <c r="ER16" t="s">
        <v>274</v>
      </c>
      <c r="ES16" t="s">
        <v>261</v>
      </c>
      <c r="ET16" t="s">
        <v>261</v>
      </c>
      <c r="EU16" t="s">
        <v>269</v>
      </c>
      <c r="EV16" t="s">
        <v>270</v>
      </c>
      <c r="EX16" t="s">
        <v>262</v>
      </c>
      <c r="EY16" t="s">
        <v>262</v>
      </c>
      <c r="EZ16" t="s">
        <v>259</v>
      </c>
      <c r="FA16" t="s">
        <v>259</v>
      </c>
      <c r="FB16" t="s">
        <v>259</v>
      </c>
      <c r="FC16" t="s">
        <v>259</v>
      </c>
      <c r="FD16" t="s">
        <v>259</v>
      </c>
      <c r="FE16" t="s">
        <v>261</v>
      </c>
      <c r="FF16" t="s">
        <v>261</v>
      </c>
      <c r="FG16" t="s">
        <v>261</v>
      </c>
      <c r="FH16" t="s">
        <v>259</v>
      </c>
      <c r="FI16" t="s">
        <v>257</v>
      </c>
      <c r="FJ16" t="s">
        <v>265</v>
      </c>
      <c r="FK16" t="s">
        <v>261</v>
      </c>
      <c r="FL16" t="s">
        <v>261</v>
      </c>
    </row>
    <row r="17" spans="1:168" x14ac:dyDescent="0.35">
      <c r="A17">
        <v>1</v>
      </c>
      <c r="B17">
        <v>1562692077.7</v>
      </c>
      <c r="C17">
        <v>0</v>
      </c>
      <c r="D17" t="s">
        <v>275</v>
      </c>
      <c r="E17" t="s">
        <v>276</v>
      </c>
      <c r="F17" t="s">
        <v>277</v>
      </c>
      <c r="G17" t="s">
        <v>278</v>
      </c>
      <c r="H17" t="s">
        <v>277</v>
      </c>
      <c r="J17" t="s">
        <v>277</v>
      </c>
      <c r="K17">
        <v>1562692069.7</v>
      </c>
      <c r="L17">
        <f t="shared" ref="L17:L27" si="0">BW17*AM17*(BU17-BV17)/(100*$B$5*(1000-AM17*BU17))</f>
        <v>1.1518827030404726E-2</v>
      </c>
      <c r="M17">
        <f t="shared" ref="M17:M27" si="1">BW17*AM17*(BT17-BS17*(1000-AM17*BV17)/(1000-AM17*BU17))/(100*$B$5)</f>
        <v>32.254432460816858</v>
      </c>
      <c r="N17">
        <f t="shared" ref="N17:N27" si="2">BS17 - IF(AM17&gt;1, M17*$B$5*100/(AO17*CC17), 0)</f>
        <v>356.36396294613269</v>
      </c>
      <c r="O17">
        <f t="shared" ref="O17:O27" si="3">((U17-L17/2)*N17-M17)/(U17+L17/2)</f>
        <v>282.05897742862135</v>
      </c>
      <c r="P17">
        <f t="shared" ref="P17:P27" si="4">O17*(BX17+BY17)/1000</f>
        <v>28.002741215885241</v>
      </c>
      <c r="Q17">
        <f t="shared" ref="Q17:Q27" si="5">(BS17 - IF(AM17&gt;1, M17*$B$5*100/(AO17*CC17), 0))*(BX17+BY17)/1000</f>
        <v>35.379720667012727</v>
      </c>
      <c r="R17">
        <f t="shared" ref="R17:R27" si="6">2/((1/T17-1/S17)+SIGN(T17)*SQRT((1/T17-1/S17)*(1/T17-1/S17) + 4*$C$5/(($C$5+1)*($C$5+1))*(2*1/T17*1/S17-1/S17*1/S17)))</f>
        <v>0.92291731992518544</v>
      </c>
      <c r="S17">
        <f t="shared" ref="S17:S27" si="7">AJ17+AI17*$B$5+AH17*$B$5*$B$5</f>
        <v>2.2456944846482942</v>
      </c>
      <c r="T17">
        <f t="shared" ref="T17:T27" si="8">L17*(1000-(1000*0.61365*EXP(17.502*X17/(240.97+X17))/(BX17+BY17)+BU17)/2)/(1000*0.61365*EXP(17.502*X17/(240.97+X17))/(BX17+BY17)-BU17)</f>
        <v>0.753530158007233</v>
      </c>
      <c r="U17">
        <f t="shared" ref="U17:U27" si="9">1/(($C$5+1)/(R17/1.6)+1/(S17/1.37)) + $C$5/(($C$5+1)/(R17/1.6) + $C$5/(S17/1.37))</f>
        <v>0.4835661284606339</v>
      </c>
      <c r="V17">
        <f t="shared" ref="V17:V27" si="10">(BO17*BQ17)</f>
        <v>353.34383997184784</v>
      </c>
      <c r="W17">
        <f t="shared" ref="W17:W27" si="11">(BZ17+(V17+2*0.95*0.0000000567*(((BZ17+$B$7)+273)^4-(BZ17+273)^4)-44100*L17)/(1.84*29.3*S17+8*0.95*0.0000000567*(BZ17+273)^3))</f>
        <v>26.223178213073755</v>
      </c>
      <c r="X17">
        <f t="shared" ref="X17:X27" si="12">($C$7*CA17+$D$7*CB17+$E$7*W17)</f>
        <v>27.012487096774201</v>
      </c>
      <c r="Y17">
        <f t="shared" ref="Y17:Y27" si="13">0.61365*EXP(17.502*X17/(240.97+X17))</f>
        <v>3.5817854821029207</v>
      </c>
      <c r="Z17">
        <f t="shared" ref="Z17:Z27" si="14">(AA17/AB17*100)</f>
        <v>57.56124610499149</v>
      </c>
      <c r="AA17">
        <f t="shared" ref="AA17:AA27" si="15">BU17*(BX17+BY17)/1000</f>
        <v>2.1076329244523624</v>
      </c>
      <c r="AB17">
        <f t="shared" ref="AB17:AB27" si="16">0.61365*EXP(17.502*BZ17/(240.97+BZ17))</f>
        <v>3.6615484671892751</v>
      </c>
      <c r="AC17">
        <f t="shared" ref="AC17:AC27" si="17">(Y17-BU17*(BX17+BY17)/1000)</f>
        <v>1.4741525576505583</v>
      </c>
      <c r="AD17">
        <f t="shared" ref="AD17:AD27" si="18">(-L17*44100)</f>
        <v>-507.98027204084843</v>
      </c>
      <c r="AE17">
        <f t="shared" ref="AE17:AE27" si="19">2*29.3*S17*0.92*(BZ17-X17)</f>
        <v>45.469160748729514</v>
      </c>
      <c r="AF17">
        <f t="shared" ref="AF17:AF27" si="20">2*0.95*0.0000000567*(((BZ17+$B$7)+273)^4-(X17+273)^4)</f>
        <v>4.37835396954911</v>
      </c>
      <c r="AG17">
        <f t="shared" ref="AG17:AG27" si="21">V17+AF17+AD17+AE17</f>
        <v>-104.78891735072199</v>
      </c>
      <c r="AH17">
        <v>-4.10679367452619E-2</v>
      </c>
      <c r="AI17">
        <v>4.61023567454137E-2</v>
      </c>
      <c r="AJ17">
        <v>3.4475260670052399</v>
      </c>
      <c r="AK17">
        <v>4</v>
      </c>
      <c r="AL17">
        <v>1</v>
      </c>
      <c r="AM17">
        <f t="shared" ref="AM17:AM27" si="22">IF(AK17*$H$13&gt;=AO17,1,(AO17/(AO17-AK17*$H$13)))</f>
        <v>1.0001529767023287</v>
      </c>
      <c r="AN17">
        <f t="shared" ref="AN17:AN27" si="23">(AM17-1)*100</f>
        <v>1.5297670232872207E-2</v>
      </c>
      <c r="AO17">
        <f t="shared" ref="AO17:AO27" si="24">MAX(0,($B$13+$C$13*CC17)/(1+$D$13*CC17)*BX17/(BZ17+273)*$E$13)</f>
        <v>52303.544865418844</v>
      </c>
      <c r="AP17" t="s">
        <v>279</v>
      </c>
      <c r="AQ17">
        <v>687.861538461539</v>
      </c>
      <c r="AR17">
        <v>4005.07</v>
      </c>
      <c r="AS17">
        <f t="shared" ref="AS17:AS27" si="25">AR17-AQ17</f>
        <v>3317.2084615384611</v>
      </c>
      <c r="AT17">
        <f t="shared" ref="AT17:AT27" si="26">AS17/AR17</f>
        <v>0.82825230558728336</v>
      </c>
      <c r="AU17">
        <v>-4.0580585712533601</v>
      </c>
      <c r="AV17" t="s">
        <v>280</v>
      </c>
      <c r="AW17">
        <v>973.68069230769197</v>
      </c>
      <c r="AX17">
        <v>1313.56</v>
      </c>
      <c r="AY17">
        <f t="shared" ref="AY17:AY27" si="27">1-AW17/AX17</f>
        <v>0.25874669424488261</v>
      </c>
      <c r="AZ17">
        <v>0.5</v>
      </c>
      <c r="BA17">
        <f t="shared" ref="BA17:BA27" si="28">BO17</f>
        <v>1849.2038709947099</v>
      </c>
      <c r="BB17">
        <f t="shared" ref="BB17:BB27" si="29">M17</f>
        <v>32.254432460816858</v>
      </c>
      <c r="BC17">
        <f t="shared" ref="BC17:BC27" si="30">AY17*AZ17*BA17</f>
        <v>239.23769430236078</v>
      </c>
      <c r="BD17">
        <f t="shared" ref="BD17:BD27" si="31">BI17/AX17</f>
        <v>0.51703766862571943</v>
      </c>
      <c r="BE17">
        <f t="shared" ref="BE17:BE27" si="32">(BB17-AU17)/BA17</f>
        <v>1.9636824041763052E-2</v>
      </c>
      <c r="BF17">
        <f t="shared" ref="BF17:BF27" si="33">(AR17-AX17)/AX17</f>
        <v>2.0490194585706023</v>
      </c>
      <c r="BG17" t="s">
        <v>281</v>
      </c>
      <c r="BH17">
        <v>634.4</v>
      </c>
      <c r="BI17">
        <f t="shared" ref="BI17:BI27" si="34">AX17-BH17</f>
        <v>679.16</v>
      </c>
      <c r="BJ17">
        <f t="shared" ref="BJ17:BJ27" si="35">(AX17-AW17)/(AX17-BH17)</f>
        <v>0.50044070276857877</v>
      </c>
      <c r="BK17">
        <f t="shared" ref="BK17:BK27" si="36">(AR17-AX17)/(AR17-BH17)</f>
        <v>0.79850890179103862</v>
      </c>
      <c r="BL17">
        <f t="shared" ref="BL17:BL27" si="37">(AX17-AW17)/(AX17-AQ17)</f>
        <v>0.54319984558794698</v>
      </c>
      <c r="BM17">
        <f t="shared" ref="BM17:BM27" si="38">(AR17-AX17)/(AR17-AQ17)</f>
        <v>0.81137800991612286</v>
      </c>
      <c r="BN17">
        <f t="shared" ref="BN17:BN27" si="39">$B$11*CD17+$C$11*CE17+$F$11*CF17</f>
        <v>2200.0203225806399</v>
      </c>
      <c r="BO17">
        <f t="shared" ref="BO17:BO27" si="40">BN17*BP17</f>
        <v>1849.2038709947099</v>
      </c>
      <c r="BP17">
        <f t="shared" ref="BP17:BP27" si="41">($B$11*$D$9+$C$11*$D$9+$F$11*((CS17+CK17)/MAX(CS17+CK17+CT17, 0.1)*$I$9+CT17/MAX(CS17+CK17+CT17, 0.1)*$J$9))/($B$11+$C$11+$F$11)</f>
        <v>0.84053944957452953</v>
      </c>
      <c r="BQ17">
        <f t="shared" ref="BQ17:BQ27" si="42">($B$11*$K$9+$C$11*$K$9+$F$11*((CS17+CK17)/MAX(CS17+CK17+CT17, 0.1)*$P$9+CT17/MAX(CS17+CK17+CT17, 0.1)*$Q$9))/($B$11+$C$11+$F$11)</f>
        <v>0.19107889914905909</v>
      </c>
      <c r="BR17">
        <v>1562692069.7</v>
      </c>
      <c r="BS17">
        <v>356.36399999999998</v>
      </c>
      <c r="BT17">
        <v>399.98725806451603</v>
      </c>
      <c r="BU17">
        <v>21.229235483871001</v>
      </c>
      <c r="BV17">
        <v>7.7028251612903196</v>
      </c>
      <c r="BW17">
        <v>500.02309677419402</v>
      </c>
      <c r="BX17">
        <v>99.179729032257995</v>
      </c>
      <c r="BY17">
        <v>0.100008387096774</v>
      </c>
      <c r="BZ17">
        <v>27.388048387096799</v>
      </c>
      <c r="CA17">
        <v>27.012487096774201</v>
      </c>
      <c r="CB17">
        <v>999.9</v>
      </c>
      <c r="CC17">
        <v>9985.6419354838708</v>
      </c>
      <c r="CD17">
        <v>0</v>
      </c>
      <c r="CE17">
        <v>175.39429032258101</v>
      </c>
      <c r="CF17">
        <v>2200.0203225806399</v>
      </c>
      <c r="CG17">
        <v>0.98200316129032295</v>
      </c>
      <c r="CH17">
        <v>1.7996748387096799E-2</v>
      </c>
      <c r="CI17">
        <v>0</v>
      </c>
      <c r="CJ17">
        <v>973.83190322580595</v>
      </c>
      <c r="CK17">
        <v>1.9999499999999999</v>
      </c>
      <c r="CL17">
        <v>22188.938709677401</v>
      </c>
      <c r="CM17">
        <v>17938.422580645201</v>
      </c>
      <c r="CN17">
        <v>48.124870967741899</v>
      </c>
      <c r="CO17">
        <v>49.092483870967698</v>
      </c>
      <c r="CP17">
        <v>48.441064516129003</v>
      </c>
      <c r="CQ17">
        <v>48.304129032257997</v>
      </c>
      <c r="CR17">
        <v>49.283999999999999</v>
      </c>
      <c r="CS17">
        <v>2158.46032258065</v>
      </c>
      <c r="CT17">
        <v>39.56</v>
      </c>
      <c r="CU17">
        <v>0</v>
      </c>
      <c r="CV17">
        <v>559.20000004768394</v>
      </c>
      <c r="CW17">
        <v>973.68069230769197</v>
      </c>
      <c r="CX17">
        <v>-18.964376054355601</v>
      </c>
      <c r="CY17">
        <v>-410.451281532743</v>
      </c>
      <c r="CZ17">
        <v>22186.142307692298</v>
      </c>
      <c r="DA17">
        <v>15</v>
      </c>
      <c r="DB17">
        <v>1562692118.2</v>
      </c>
      <c r="DC17" t="s">
        <v>282</v>
      </c>
      <c r="DD17">
        <v>38</v>
      </c>
      <c r="DE17">
        <v>0.45800000000000002</v>
      </c>
      <c r="DF17">
        <v>1.7000000000000001E-2</v>
      </c>
      <c r="DG17">
        <v>400</v>
      </c>
      <c r="DH17">
        <v>8</v>
      </c>
      <c r="DI17">
        <v>0.03</v>
      </c>
      <c r="DJ17">
        <v>0.02</v>
      </c>
      <c r="DK17">
        <v>31.400288978885701</v>
      </c>
      <c r="DL17">
        <v>0.29677863058908299</v>
      </c>
      <c r="DM17">
        <v>6.3668766069234106E-2</v>
      </c>
      <c r="DN17">
        <v>1</v>
      </c>
      <c r="DO17">
        <v>357.33186111111098</v>
      </c>
      <c r="DP17">
        <v>-0.28828863592513798</v>
      </c>
      <c r="DQ17">
        <v>5.1652230659465198E-2</v>
      </c>
      <c r="DR17">
        <v>1</v>
      </c>
      <c r="DS17">
        <v>0.93541078153110702</v>
      </c>
      <c r="DT17">
        <v>-2.1886351813544799E-2</v>
      </c>
      <c r="DU17">
        <v>4.6155251524691802E-3</v>
      </c>
      <c r="DV17">
        <v>1</v>
      </c>
      <c r="DW17">
        <v>3</v>
      </c>
      <c r="DX17">
        <v>3</v>
      </c>
      <c r="DY17" t="s">
        <v>283</v>
      </c>
      <c r="DZ17">
        <v>1.86707</v>
      </c>
      <c r="EA17">
        <v>1.8635600000000001</v>
      </c>
      <c r="EB17">
        <v>1.8692</v>
      </c>
      <c r="EC17">
        <v>1.8671199999999999</v>
      </c>
      <c r="ED17">
        <v>1.87182</v>
      </c>
      <c r="EE17">
        <v>1.86429</v>
      </c>
      <c r="EF17">
        <v>1.8657699999999999</v>
      </c>
      <c r="EG17">
        <v>1.8656900000000001</v>
      </c>
      <c r="EH17" t="s">
        <v>284</v>
      </c>
      <c r="EI17" t="s">
        <v>19</v>
      </c>
      <c r="EJ17" t="s">
        <v>19</v>
      </c>
      <c r="EK17" t="s">
        <v>19</v>
      </c>
      <c r="EL17" t="s">
        <v>285</v>
      </c>
      <c r="EM17" t="s">
        <v>286</v>
      </c>
      <c r="EN17" t="s">
        <v>287</v>
      </c>
      <c r="EO17" t="s">
        <v>287</v>
      </c>
      <c r="EP17" t="s">
        <v>287</v>
      </c>
      <c r="EQ17" t="s">
        <v>287</v>
      </c>
      <c r="ER17">
        <v>0</v>
      </c>
      <c r="ES17">
        <v>100</v>
      </c>
      <c r="ET17">
        <v>100</v>
      </c>
      <c r="EU17">
        <v>0.45800000000000002</v>
      </c>
      <c r="EV17">
        <v>1.7000000000000001E-2</v>
      </c>
      <c r="EW17">
        <v>2</v>
      </c>
      <c r="EX17">
        <v>494.92599999999999</v>
      </c>
      <c r="EY17">
        <v>466.30200000000002</v>
      </c>
      <c r="EZ17">
        <v>22.360199999999999</v>
      </c>
      <c r="FA17">
        <v>36.803100000000001</v>
      </c>
      <c r="FB17">
        <v>30.002300000000002</v>
      </c>
      <c r="FC17">
        <v>36.669800000000002</v>
      </c>
      <c r="FD17">
        <v>36.644300000000001</v>
      </c>
      <c r="FE17">
        <v>22.0716</v>
      </c>
      <c r="FF17">
        <v>100</v>
      </c>
      <c r="FG17">
        <v>0</v>
      </c>
      <c r="FH17">
        <v>22.267800000000001</v>
      </c>
      <c r="FI17">
        <v>400</v>
      </c>
      <c r="FJ17">
        <v>2.8910800000000001</v>
      </c>
      <c r="FK17">
        <v>100.10299999999999</v>
      </c>
      <c r="FL17">
        <v>100.49</v>
      </c>
    </row>
    <row r="18" spans="1:168" x14ac:dyDescent="0.35">
      <c r="A18">
        <v>2</v>
      </c>
      <c r="B18">
        <v>1562692229.7</v>
      </c>
      <c r="C18">
        <v>152</v>
      </c>
      <c r="D18" t="s">
        <v>288</v>
      </c>
      <c r="E18" t="s">
        <v>289</v>
      </c>
      <c r="F18" t="s">
        <v>277</v>
      </c>
      <c r="G18" t="s">
        <v>278</v>
      </c>
      <c r="H18" t="s">
        <v>277</v>
      </c>
      <c r="J18" t="s">
        <v>277</v>
      </c>
      <c r="K18">
        <v>1562692221.7</v>
      </c>
      <c r="L18">
        <f t="shared" si="0"/>
        <v>1.0606583908949505E-2</v>
      </c>
      <c r="M18">
        <f t="shared" si="1"/>
        <v>24.381893623013433</v>
      </c>
      <c r="N18">
        <f t="shared" si="2"/>
        <v>267.30639158588315</v>
      </c>
      <c r="O18">
        <f t="shared" si="3"/>
        <v>204.63554720880981</v>
      </c>
      <c r="P18">
        <f t="shared" si="4"/>
        <v>20.315033967064139</v>
      </c>
      <c r="Q18">
        <f t="shared" si="5"/>
        <v>26.536633047138455</v>
      </c>
      <c r="R18">
        <f t="shared" si="6"/>
        <v>0.80119443978908977</v>
      </c>
      <c r="S18">
        <f t="shared" si="7"/>
        <v>2.251085462029458</v>
      </c>
      <c r="T18">
        <f t="shared" si="8"/>
        <v>0.67043887716774642</v>
      </c>
      <c r="U18">
        <f t="shared" si="9"/>
        <v>0.4289832022725657</v>
      </c>
      <c r="V18">
        <f t="shared" si="10"/>
        <v>353.33879924413105</v>
      </c>
      <c r="W18">
        <f t="shared" si="11"/>
        <v>26.023635797341854</v>
      </c>
      <c r="X18">
        <f t="shared" si="12"/>
        <v>26.924709677419401</v>
      </c>
      <c r="Y18">
        <f t="shared" si="13"/>
        <v>3.5633632085109865</v>
      </c>
      <c r="Z18">
        <f t="shared" si="14"/>
        <v>57.305169492060529</v>
      </c>
      <c r="AA18">
        <f t="shared" si="15"/>
        <v>2.0371101600567156</v>
      </c>
      <c r="AB18">
        <f t="shared" si="16"/>
        <v>3.5548453623175336</v>
      </c>
      <c r="AC18">
        <f t="shared" si="17"/>
        <v>1.5262530484542709</v>
      </c>
      <c r="AD18">
        <f t="shared" si="18"/>
        <v>-467.7503503846732</v>
      </c>
      <c r="AE18">
        <f t="shared" si="19"/>
        <v>-4.9417220540476965</v>
      </c>
      <c r="AF18">
        <f t="shared" si="20"/>
        <v>-0.47331017061933156</v>
      </c>
      <c r="AG18">
        <f t="shared" si="21"/>
        <v>-119.8265833652092</v>
      </c>
      <c r="AH18">
        <v>-4.1212975902354801E-2</v>
      </c>
      <c r="AI18">
        <v>4.62651759053785E-2</v>
      </c>
      <c r="AJ18">
        <v>3.4571615390819601</v>
      </c>
      <c r="AK18">
        <v>3</v>
      </c>
      <c r="AL18">
        <v>1</v>
      </c>
      <c r="AM18">
        <f t="shared" si="22"/>
        <v>1.0001141492175591</v>
      </c>
      <c r="AN18">
        <f t="shared" si="23"/>
        <v>1.141492175591452E-2</v>
      </c>
      <c r="AO18">
        <f t="shared" si="24"/>
        <v>52568.778162672999</v>
      </c>
      <c r="AP18" t="s">
        <v>279</v>
      </c>
      <c r="AQ18">
        <v>687.861538461539</v>
      </c>
      <c r="AR18">
        <v>4005.07</v>
      </c>
      <c r="AS18">
        <f t="shared" si="25"/>
        <v>3317.2084615384611</v>
      </c>
      <c r="AT18">
        <f t="shared" si="26"/>
        <v>0.82825230558728336</v>
      </c>
      <c r="AU18">
        <v>-4.0580585712533601</v>
      </c>
      <c r="AV18" t="s">
        <v>290</v>
      </c>
      <c r="AW18">
        <v>879.56849999999997</v>
      </c>
      <c r="AX18">
        <v>1151.73</v>
      </c>
      <c r="AY18">
        <f t="shared" si="27"/>
        <v>0.23630668646297315</v>
      </c>
      <c r="AZ18">
        <v>0.5</v>
      </c>
      <c r="BA18">
        <f t="shared" si="28"/>
        <v>1849.1799968011624</v>
      </c>
      <c r="BB18">
        <f t="shared" si="29"/>
        <v>24.381893623013433</v>
      </c>
      <c r="BC18">
        <f t="shared" si="30"/>
        <v>218.48679885884698</v>
      </c>
      <c r="BD18">
        <f t="shared" si="31"/>
        <v>0.46688894098443212</v>
      </c>
      <c r="BE18">
        <f t="shared" si="32"/>
        <v>1.5379764135164864E-2</v>
      </c>
      <c r="BF18">
        <f t="shared" si="33"/>
        <v>2.4774382884877535</v>
      </c>
      <c r="BG18" t="s">
        <v>291</v>
      </c>
      <c r="BH18">
        <v>614</v>
      </c>
      <c r="BI18">
        <f t="shared" si="34"/>
        <v>537.73</v>
      </c>
      <c r="BJ18">
        <f t="shared" si="35"/>
        <v>0.50613040001487741</v>
      </c>
      <c r="BK18">
        <f t="shared" si="36"/>
        <v>0.84142763198636417</v>
      </c>
      <c r="BL18">
        <f t="shared" si="37"/>
        <v>0.58672128537765256</v>
      </c>
      <c r="BM18">
        <f t="shared" si="38"/>
        <v>0.86016300545569957</v>
      </c>
      <c r="BN18">
        <f t="shared" si="39"/>
        <v>2199.9922580645198</v>
      </c>
      <c r="BO18">
        <f t="shared" si="40"/>
        <v>1849.1799968011624</v>
      </c>
      <c r="BP18">
        <f t="shared" si="41"/>
        <v>0.84053932009197596</v>
      </c>
      <c r="BQ18">
        <f t="shared" si="42"/>
        <v>0.19107864018395213</v>
      </c>
      <c r="BR18">
        <v>1562692221.7</v>
      </c>
      <c r="BS18">
        <v>267.30641935483902</v>
      </c>
      <c r="BT18">
        <v>299.96203225806499</v>
      </c>
      <c r="BU18">
        <v>20.5200322580645</v>
      </c>
      <c r="BV18">
        <v>8.0553603225806505</v>
      </c>
      <c r="BW18">
        <v>500.02403225806501</v>
      </c>
      <c r="BX18">
        <v>99.174209677419398</v>
      </c>
      <c r="BY18">
        <v>0.100008532258065</v>
      </c>
      <c r="BZ18">
        <v>26.883990322580601</v>
      </c>
      <c r="CA18">
        <v>26.924709677419401</v>
      </c>
      <c r="CB18">
        <v>999.9</v>
      </c>
      <c r="CC18">
        <v>10021.465806451601</v>
      </c>
      <c r="CD18">
        <v>0</v>
      </c>
      <c r="CE18">
        <v>194.04503225806499</v>
      </c>
      <c r="CF18">
        <v>2199.9922580645198</v>
      </c>
      <c r="CG18">
        <v>0.98200699999999996</v>
      </c>
      <c r="CH18">
        <v>1.7993200000000001E-2</v>
      </c>
      <c r="CI18">
        <v>0</v>
      </c>
      <c r="CJ18">
        <v>879.64161290322602</v>
      </c>
      <c r="CK18">
        <v>1.9999499999999999</v>
      </c>
      <c r="CL18">
        <v>20075.712903225802</v>
      </c>
      <c r="CM18">
        <v>17938.2193548387</v>
      </c>
      <c r="CN18">
        <v>48.1931935483871</v>
      </c>
      <c r="CO18">
        <v>49.146999999999998</v>
      </c>
      <c r="CP18">
        <v>48.533999999999999</v>
      </c>
      <c r="CQ18">
        <v>48.393000000000001</v>
      </c>
      <c r="CR18">
        <v>49.311999999999998</v>
      </c>
      <c r="CS18">
        <v>2158.44225806452</v>
      </c>
      <c r="CT18">
        <v>39.549999999999997</v>
      </c>
      <c r="CU18">
        <v>0</v>
      </c>
      <c r="CV18">
        <v>151.299999952316</v>
      </c>
      <c r="CW18">
        <v>879.56849999999997</v>
      </c>
      <c r="CX18">
        <v>-8.4141196706877892</v>
      </c>
      <c r="CY18">
        <v>-190.095726508387</v>
      </c>
      <c r="CZ18">
        <v>20074.242307692301</v>
      </c>
      <c r="DA18">
        <v>15</v>
      </c>
      <c r="DB18">
        <v>1562692270.2</v>
      </c>
      <c r="DC18" t="s">
        <v>292</v>
      </c>
      <c r="DD18">
        <v>39</v>
      </c>
      <c r="DE18">
        <v>0.31900000000000001</v>
      </c>
      <c r="DF18">
        <v>2.1000000000000001E-2</v>
      </c>
      <c r="DG18">
        <v>300</v>
      </c>
      <c r="DH18">
        <v>8</v>
      </c>
      <c r="DI18">
        <v>0.06</v>
      </c>
      <c r="DJ18">
        <v>0.01</v>
      </c>
      <c r="DK18">
        <v>24.2164982976063</v>
      </c>
      <c r="DL18">
        <v>0.28823261288005603</v>
      </c>
      <c r="DM18">
        <v>5.9132959496534299E-2</v>
      </c>
      <c r="DN18">
        <v>1</v>
      </c>
      <c r="DO18">
        <v>267.49665277777802</v>
      </c>
      <c r="DP18">
        <v>-0.28240980127343601</v>
      </c>
      <c r="DQ18">
        <v>5.3232237444946803E-2</v>
      </c>
      <c r="DR18">
        <v>1</v>
      </c>
      <c r="DS18">
        <v>0.799096248007645</v>
      </c>
      <c r="DT18">
        <v>-1.5018220852601001E-2</v>
      </c>
      <c r="DU18">
        <v>1.08553788831633E-2</v>
      </c>
      <c r="DV18">
        <v>1</v>
      </c>
      <c r="DW18">
        <v>3</v>
      </c>
      <c r="DX18">
        <v>3</v>
      </c>
      <c r="DY18" t="s">
        <v>283</v>
      </c>
      <c r="DZ18">
        <v>1.86707</v>
      </c>
      <c r="EA18">
        <v>1.8635600000000001</v>
      </c>
      <c r="EB18">
        <v>1.8692</v>
      </c>
      <c r="EC18">
        <v>1.86714</v>
      </c>
      <c r="ED18">
        <v>1.8717999999999999</v>
      </c>
      <c r="EE18">
        <v>1.86426</v>
      </c>
      <c r="EF18">
        <v>1.8657600000000001</v>
      </c>
      <c r="EG18">
        <v>1.8656900000000001</v>
      </c>
      <c r="EH18" t="s">
        <v>284</v>
      </c>
      <c r="EI18" t="s">
        <v>19</v>
      </c>
      <c r="EJ18" t="s">
        <v>19</v>
      </c>
      <c r="EK18" t="s">
        <v>19</v>
      </c>
      <c r="EL18" t="s">
        <v>285</v>
      </c>
      <c r="EM18" t="s">
        <v>286</v>
      </c>
      <c r="EN18" t="s">
        <v>287</v>
      </c>
      <c r="EO18" t="s">
        <v>287</v>
      </c>
      <c r="EP18" t="s">
        <v>287</v>
      </c>
      <c r="EQ18" t="s">
        <v>287</v>
      </c>
      <c r="ER18">
        <v>0</v>
      </c>
      <c r="ES18">
        <v>100</v>
      </c>
      <c r="ET18">
        <v>100</v>
      </c>
      <c r="EU18">
        <v>0.31900000000000001</v>
      </c>
      <c r="EV18">
        <v>2.1000000000000001E-2</v>
      </c>
      <c r="EW18">
        <v>2</v>
      </c>
      <c r="EX18">
        <v>496.94200000000001</v>
      </c>
      <c r="EY18">
        <v>466.79199999999997</v>
      </c>
      <c r="EZ18">
        <v>21.536000000000001</v>
      </c>
      <c r="FA18">
        <v>36.991900000000001</v>
      </c>
      <c r="FB18">
        <v>29.998899999999999</v>
      </c>
      <c r="FC18">
        <v>36.871400000000001</v>
      </c>
      <c r="FD18">
        <v>36.843200000000003</v>
      </c>
      <c r="FE18">
        <v>17.573699999999999</v>
      </c>
      <c r="FF18">
        <v>100</v>
      </c>
      <c r="FG18">
        <v>0</v>
      </c>
      <c r="FH18">
        <v>21.5318</v>
      </c>
      <c r="FI18">
        <v>300</v>
      </c>
      <c r="FJ18">
        <v>7.3776700000000002</v>
      </c>
      <c r="FK18">
        <v>100.08199999999999</v>
      </c>
      <c r="FL18">
        <v>100.468</v>
      </c>
    </row>
    <row r="19" spans="1:168" x14ac:dyDescent="0.35">
      <c r="A19">
        <v>3</v>
      </c>
      <c r="B19">
        <v>1562692377.2</v>
      </c>
      <c r="C19">
        <v>299.5</v>
      </c>
      <c r="D19" t="s">
        <v>293</v>
      </c>
      <c r="E19" t="s">
        <v>294</v>
      </c>
      <c r="F19" t="s">
        <v>277</v>
      </c>
      <c r="G19" t="s">
        <v>278</v>
      </c>
      <c r="H19" t="s">
        <v>277</v>
      </c>
      <c r="J19" t="s">
        <v>277</v>
      </c>
      <c r="K19">
        <v>1562692369.2</v>
      </c>
      <c r="L19">
        <f t="shared" si="0"/>
        <v>1.0232787661434397E-2</v>
      </c>
      <c r="M19">
        <f t="shared" si="1"/>
        <v>15.624824352348826</v>
      </c>
      <c r="N19">
        <f t="shared" si="2"/>
        <v>179.04046602068203</v>
      </c>
      <c r="O19">
        <f t="shared" si="3"/>
        <v>137.26155631669934</v>
      </c>
      <c r="P19">
        <f t="shared" si="4"/>
        <v>13.626172443749445</v>
      </c>
      <c r="Q19">
        <f t="shared" si="5"/>
        <v>17.773631087047995</v>
      </c>
      <c r="R19">
        <f t="shared" si="6"/>
        <v>0.76618278830925557</v>
      </c>
      <c r="S19">
        <f t="shared" si="7"/>
        <v>2.2482167063494654</v>
      </c>
      <c r="T19">
        <f t="shared" si="8"/>
        <v>0.64556507626218407</v>
      </c>
      <c r="U19">
        <f t="shared" si="9"/>
        <v>0.41272379270432319</v>
      </c>
      <c r="V19">
        <f t="shared" si="10"/>
        <v>353.34274946850996</v>
      </c>
      <c r="W19">
        <f t="shared" si="11"/>
        <v>25.976445276716309</v>
      </c>
      <c r="X19">
        <f t="shared" si="12"/>
        <v>26.8860483870968</v>
      </c>
      <c r="Y19">
        <f t="shared" si="13"/>
        <v>3.5552754500427697</v>
      </c>
      <c r="Z19">
        <f t="shared" si="14"/>
        <v>57.56512630143439</v>
      </c>
      <c r="AA19">
        <f t="shared" si="15"/>
        <v>2.0259652768932193</v>
      </c>
      <c r="AB19">
        <f t="shared" si="16"/>
        <v>3.5194316543047988</v>
      </c>
      <c r="AC19">
        <f t="shared" si="17"/>
        <v>1.5293101731495504</v>
      </c>
      <c r="AD19">
        <f t="shared" si="18"/>
        <v>-451.26593586925691</v>
      </c>
      <c r="AE19">
        <f t="shared" si="19"/>
        <v>-20.880250638456793</v>
      </c>
      <c r="AF19">
        <f t="shared" si="20"/>
        <v>-2.0003375496264497</v>
      </c>
      <c r="AG19">
        <f t="shared" si="21"/>
        <v>-120.80377458883021</v>
      </c>
      <c r="AH19">
        <v>-4.1135755677090602E-2</v>
      </c>
      <c r="AI19">
        <v>4.6178489437656199E-2</v>
      </c>
      <c r="AJ19">
        <v>3.4520329740987901</v>
      </c>
      <c r="AK19">
        <v>2</v>
      </c>
      <c r="AL19">
        <v>0</v>
      </c>
      <c r="AM19">
        <f t="shared" si="22"/>
        <v>1.0000761903658475</v>
      </c>
      <c r="AN19">
        <f t="shared" si="23"/>
        <v>7.6190365847494945E-3</v>
      </c>
      <c r="AO19">
        <f t="shared" si="24"/>
        <v>52504.076033268873</v>
      </c>
      <c r="AP19" t="s">
        <v>279</v>
      </c>
      <c r="AQ19">
        <v>687.861538461539</v>
      </c>
      <c r="AR19">
        <v>4005.07</v>
      </c>
      <c r="AS19">
        <f t="shared" si="25"/>
        <v>3317.2084615384611</v>
      </c>
      <c r="AT19">
        <f t="shared" si="26"/>
        <v>0.82825230558728336</v>
      </c>
      <c r="AU19">
        <v>-4.0580585712533601</v>
      </c>
      <c r="AV19" t="s">
        <v>295</v>
      </c>
      <c r="AW19">
        <v>843.82084615384599</v>
      </c>
      <c r="AX19">
        <v>1062.3499999999999</v>
      </c>
      <c r="AY19">
        <f t="shared" si="27"/>
        <v>0.20570353823707244</v>
      </c>
      <c r="AZ19">
        <v>0.5</v>
      </c>
      <c r="BA19">
        <f t="shared" si="28"/>
        <v>1849.1928193818221</v>
      </c>
      <c r="BB19">
        <f t="shared" si="29"/>
        <v>15.624824352348826</v>
      </c>
      <c r="BC19">
        <f t="shared" si="30"/>
        <v>190.19275291471422</v>
      </c>
      <c r="BD19">
        <f t="shared" si="31"/>
        <v>0.42580128959382496</v>
      </c>
      <c r="BE19">
        <f t="shared" si="32"/>
        <v>1.0644040317105545E-2</v>
      </c>
      <c r="BF19">
        <f t="shared" si="33"/>
        <v>2.7700098837482945</v>
      </c>
      <c r="BG19" t="s">
        <v>296</v>
      </c>
      <c r="BH19">
        <v>610</v>
      </c>
      <c r="BI19">
        <f t="shared" si="34"/>
        <v>452.34999999999991</v>
      </c>
      <c r="BJ19">
        <f t="shared" si="35"/>
        <v>0.48309749938356134</v>
      </c>
      <c r="BK19">
        <f t="shared" si="36"/>
        <v>0.86676268825090497</v>
      </c>
      <c r="BL19">
        <f t="shared" si="37"/>
        <v>0.58354041923855227</v>
      </c>
      <c r="BM19">
        <f t="shared" si="38"/>
        <v>0.88710734767486399</v>
      </c>
      <c r="BN19">
        <f t="shared" si="39"/>
        <v>2200.0064516129</v>
      </c>
      <c r="BO19">
        <f t="shared" si="40"/>
        <v>1849.1928193818221</v>
      </c>
      <c r="BP19">
        <f t="shared" si="41"/>
        <v>0.84053972570222035</v>
      </c>
      <c r="BQ19">
        <f t="shared" si="42"/>
        <v>0.19107945140444091</v>
      </c>
      <c r="BR19">
        <v>1562692369.2</v>
      </c>
      <c r="BS19">
        <v>179.04048387096799</v>
      </c>
      <c r="BT19">
        <v>199.987258064516</v>
      </c>
      <c r="BU19">
        <v>20.4083096774193</v>
      </c>
      <c r="BV19">
        <v>8.3805503225806408</v>
      </c>
      <c r="BW19">
        <v>500.002064516129</v>
      </c>
      <c r="BX19">
        <v>99.171596774193503</v>
      </c>
      <c r="BY19">
        <v>9.9989599999999998E-2</v>
      </c>
      <c r="BZ19">
        <v>26.713777419354798</v>
      </c>
      <c r="CA19">
        <v>26.8860483870968</v>
      </c>
      <c r="CB19">
        <v>999.9</v>
      </c>
      <c r="CC19">
        <v>10002.952258064501</v>
      </c>
      <c r="CD19">
        <v>0</v>
      </c>
      <c r="CE19">
        <v>182.08406451612899</v>
      </c>
      <c r="CF19">
        <v>2200.0064516129</v>
      </c>
      <c r="CG19">
        <v>0.981993096774194</v>
      </c>
      <c r="CH19">
        <v>1.8006729032258102E-2</v>
      </c>
      <c r="CI19">
        <v>0</v>
      </c>
      <c r="CJ19">
        <v>843.89890322580698</v>
      </c>
      <c r="CK19">
        <v>1.9999499999999999</v>
      </c>
      <c r="CL19">
        <v>19268.767741935499</v>
      </c>
      <c r="CM19">
        <v>17938.267741935499</v>
      </c>
      <c r="CN19">
        <v>48.375</v>
      </c>
      <c r="CO19">
        <v>49.346548387096803</v>
      </c>
      <c r="CP19">
        <v>48.737806451612897</v>
      </c>
      <c r="CQ19">
        <v>48.561999999999998</v>
      </c>
      <c r="CR19">
        <v>49.487806451612897</v>
      </c>
      <c r="CS19">
        <v>2158.4264516129001</v>
      </c>
      <c r="CT19">
        <v>39.58</v>
      </c>
      <c r="CU19">
        <v>0</v>
      </c>
      <c r="CV19">
        <v>147.09999990463299</v>
      </c>
      <c r="CW19">
        <v>843.82084615384599</v>
      </c>
      <c r="CX19">
        <v>-10.802598302496</v>
      </c>
      <c r="CY19">
        <v>-195.760683882477</v>
      </c>
      <c r="CZ19">
        <v>19266.7</v>
      </c>
      <c r="DA19">
        <v>15</v>
      </c>
      <c r="DB19">
        <v>1562692417.7</v>
      </c>
      <c r="DC19" t="s">
        <v>297</v>
      </c>
      <c r="DD19">
        <v>40</v>
      </c>
      <c r="DE19">
        <v>0.14499999999999999</v>
      </c>
      <c r="DF19">
        <v>2.5000000000000001E-2</v>
      </c>
      <c r="DG19">
        <v>200</v>
      </c>
      <c r="DH19">
        <v>9</v>
      </c>
      <c r="DI19">
        <v>0.05</v>
      </c>
      <c r="DJ19">
        <v>0.01</v>
      </c>
      <c r="DK19">
        <v>15.429070286170299</v>
      </c>
      <c r="DL19">
        <v>0.28309698776116199</v>
      </c>
      <c r="DM19">
        <v>5.9356198392758401E-2</v>
      </c>
      <c r="DN19">
        <v>1</v>
      </c>
      <c r="DO19">
        <v>179.239888888889</v>
      </c>
      <c r="DP19">
        <v>-0.15269920895234801</v>
      </c>
      <c r="DQ19">
        <v>3.0194533885177701E-2</v>
      </c>
      <c r="DR19">
        <v>1</v>
      </c>
      <c r="DS19">
        <v>0.77194076372627896</v>
      </c>
      <c r="DT19">
        <v>-4.6575198007200599E-2</v>
      </c>
      <c r="DU19">
        <v>1.1802071132849701E-2</v>
      </c>
      <c r="DV19">
        <v>1</v>
      </c>
      <c r="DW19">
        <v>3</v>
      </c>
      <c r="DX19">
        <v>3</v>
      </c>
      <c r="DY19" t="s">
        <v>283</v>
      </c>
      <c r="DZ19">
        <v>1.8667499999999999</v>
      </c>
      <c r="EA19">
        <v>1.8632500000000001</v>
      </c>
      <c r="EB19">
        <v>1.8688800000000001</v>
      </c>
      <c r="EC19">
        <v>1.8667800000000001</v>
      </c>
      <c r="ED19">
        <v>1.8714900000000001</v>
      </c>
      <c r="EE19">
        <v>1.8638699999999999</v>
      </c>
      <c r="EF19">
        <v>1.8653999999999999</v>
      </c>
      <c r="EG19">
        <v>1.8653900000000001</v>
      </c>
      <c r="EH19" t="s">
        <v>284</v>
      </c>
      <c r="EI19" t="s">
        <v>19</v>
      </c>
      <c r="EJ19" t="s">
        <v>19</v>
      </c>
      <c r="EK19" t="s">
        <v>19</v>
      </c>
      <c r="EL19" t="s">
        <v>285</v>
      </c>
      <c r="EM19" t="s">
        <v>286</v>
      </c>
      <c r="EN19" t="s">
        <v>287</v>
      </c>
      <c r="EO19" t="s">
        <v>287</v>
      </c>
      <c r="EP19" t="s">
        <v>287</v>
      </c>
      <c r="EQ19" t="s">
        <v>287</v>
      </c>
      <c r="ER19">
        <v>0</v>
      </c>
      <c r="ES19">
        <v>100</v>
      </c>
      <c r="ET19">
        <v>100</v>
      </c>
      <c r="EU19">
        <v>0.14499999999999999</v>
      </c>
      <c r="EV19">
        <v>2.5000000000000001E-2</v>
      </c>
      <c r="EW19">
        <v>2</v>
      </c>
      <c r="EX19">
        <v>497.36900000000003</v>
      </c>
      <c r="EY19">
        <v>467.05200000000002</v>
      </c>
      <c r="EZ19">
        <v>21.037500000000001</v>
      </c>
      <c r="FA19">
        <v>37.0809</v>
      </c>
      <c r="FB19">
        <v>29.9939</v>
      </c>
      <c r="FC19">
        <v>36.977400000000003</v>
      </c>
      <c r="FD19">
        <v>36.947600000000001</v>
      </c>
      <c r="FE19">
        <v>12.8894</v>
      </c>
      <c r="FF19">
        <v>100</v>
      </c>
      <c r="FG19">
        <v>0</v>
      </c>
      <c r="FH19">
        <v>21.24</v>
      </c>
      <c r="FI19">
        <v>200</v>
      </c>
      <c r="FJ19">
        <v>7.5932000000000004</v>
      </c>
      <c r="FK19">
        <v>100.068</v>
      </c>
      <c r="FL19">
        <v>100.458</v>
      </c>
    </row>
    <row r="20" spans="1:168" x14ac:dyDescent="0.35">
      <c r="A20">
        <v>4</v>
      </c>
      <c r="B20">
        <v>1562692509.2</v>
      </c>
      <c r="C20">
        <v>431.5</v>
      </c>
      <c r="D20" t="s">
        <v>298</v>
      </c>
      <c r="E20" t="s">
        <v>299</v>
      </c>
      <c r="F20" t="s">
        <v>277</v>
      </c>
      <c r="G20" t="s">
        <v>278</v>
      </c>
      <c r="H20" t="s">
        <v>277</v>
      </c>
      <c r="J20" t="s">
        <v>277</v>
      </c>
      <c r="K20">
        <v>1562692501.2</v>
      </c>
      <c r="L20">
        <f t="shared" si="0"/>
        <v>9.8407703312861014E-3</v>
      </c>
      <c r="M20">
        <f t="shared" si="1"/>
        <v>5.6309679169315352</v>
      </c>
      <c r="N20">
        <f t="shared" si="2"/>
        <v>92.140141954618741</v>
      </c>
      <c r="O20">
        <f t="shared" si="3"/>
        <v>75.558412487463883</v>
      </c>
      <c r="P20">
        <f t="shared" si="4"/>
        <v>7.5013206406062238</v>
      </c>
      <c r="Q20">
        <f t="shared" si="5"/>
        <v>9.1475287253718243</v>
      </c>
      <c r="R20">
        <f t="shared" si="6"/>
        <v>0.7163617947515476</v>
      </c>
      <c r="S20">
        <f t="shared" si="7"/>
        <v>2.2482780126733246</v>
      </c>
      <c r="T20">
        <f t="shared" si="8"/>
        <v>0.60976347071024273</v>
      </c>
      <c r="U20">
        <f t="shared" si="9"/>
        <v>0.38935078571245652</v>
      </c>
      <c r="V20">
        <f t="shared" si="10"/>
        <v>353.34352177528245</v>
      </c>
      <c r="W20">
        <f t="shared" si="11"/>
        <v>26.086351189645839</v>
      </c>
      <c r="X20">
        <f t="shared" si="12"/>
        <v>26.959245161290301</v>
      </c>
      <c r="Y20">
        <f t="shared" si="13"/>
        <v>3.5706014447439598</v>
      </c>
      <c r="Z20">
        <f t="shared" si="14"/>
        <v>57.277541236328219</v>
      </c>
      <c r="AA20">
        <f t="shared" si="15"/>
        <v>2.0134392781117314</v>
      </c>
      <c r="AB20">
        <f t="shared" si="16"/>
        <v>3.5152334312051607</v>
      </c>
      <c r="AC20">
        <f t="shared" si="17"/>
        <v>1.5571621666322284</v>
      </c>
      <c r="AD20">
        <f t="shared" si="18"/>
        <v>-433.97797160971709</v>
      </c>
      <c r="AE20">
        <f t="shared" si="19"/>
        <v>-32.210748895305656</v>
      </c>
      <c r="AF20">
        <f t="shared" si="20"/>
        <v>-3.0865377545662054</v>
      </c>
      <c r="AG20">
        <f t="shared" si="21"/>
        <v>-115.93173648430651</v>
      </c>
      <c r="AH20">
        <v>-4.1137404970494201E-2</v>
      </c>
      <c r="AI20">
        <v>4.6180340913987698E-2</v>
      </c>
      <c r="AJ20">
        <v>3.45214254612719</v>
      </c>
      <c r="AK20">
        <v>3</v>
      </c>
      <c r="AL20">
        <v>1</v>
      </c>
      <c r="AM20">
        <f t="shared" si="22"/>
        <v>1.0001142774519796</v>
      </c>
      <c r="AN20">
        <f t="shared" si="23"/>
        <v>1.1427745197956085E-2</v>
      </c>
      <c r="AO20">
        <f t="shared" si="24"/>
        <v>52509.795771276804</v>
      </c>
      <c r="AP20" t="s">
        <v>279</v>
      </c>
      <c r="AQ20">
        <v>687.861538461539</v>
      </c>
      <c r="AR20">
        <v>4005.07</v>
      </c>
      <c r="AS20">
        <f t="shared" si="25"/>
        <v>3317.2084615384611</v>
      </c>
      <c r="AT20">
        <f t="shared" si="26"/>
        <v>0.82825230558728336</v>
      </c>
      <c r="AU20">
        <v>-4.0580585712533601</v>
      </c>
      <c r="AV20" t="s">
        <v>300</v>
      </c>
      <c r="AW20">
        <v>841.20734615384595</v>
      </c>
      <c r="AX20">
        <v>1013.36</v>
      </c>
      <c r="AY20">
        <f t="shared" si="27"/>
        <v>0.16988301674247464</v>
      </c>
      <c r="AZ20">
        <v>0.5</v>
      </c>
      <c r="BA20">
        <f t="shared" si="28"/>
        <v>1849.1988316703209</v>
      </c>
      <c r="BB20">
        <f t="shared" si="29"/>
        <v>5.6309679169315352</v>
      </c>
      <c r="BC20">
        <f t="shared" si="30"/>
        <v>157.07373804040682</v>
      </c>
      <c r="BD20">
        <f t="shared" si="31"/>
        <v>0.38896344833030705</v>
      </c>
      <c r="BE20">
        <f t="shared" si="32"/>
        <v>5.239580688807333E-3</v>
      </c>
      <c r="BF20">
        <f t="shared" si="33"/>
        <v>2.9522677034814873</v>
      </c>
      <c r="BG20" t="s">
        <v>301</v>
      </c>
      <c r="BH20">
        <v>619.20000000000005</v>
      </c>
      <c r="BI20">
        <f t="shared" si="34"/>
        <v>394.15999999999997</v>
      </c>
      <c r="BJ20">
        <f t="shared" si="35"/>
        <v>0.43675830588125147</v>
      </c>
      <c r="BK20">
        <f t="shared" si="36"/>
        <v>0.88358678862448947</v>
      </c>
      <c r="BL20">
        <f t="shared" si="37"/>
        <v>0.52888930114286403</v>
      </c>
      <c r="BM20">
        <f t="shared" si="38"/>
        <v>0.90187578944390467</v>
      </c>
      <c r="BN20">
        <f t="shared" si="39"/>
        <v>2200.0138709677399</v>
      </c>
      <c r="BO20">
        <f t="shared" si="40"/>
        <v>1849.1988316703209</v>
      </c>
      <c r="BP20">
        <f t="shared" si="41"/>
        <v>0.84053962389650627</v>
      </c>
      <c r="BQ20">
        <f t="shared" si="42"/>
        <v>0.1910792477930125</v>
      </c>
      <c r="BR20">
        <v>1562692501.2</v>
      </c>
      <c r="BS20">
        <v>92.140148387096801</v>
      </c>
      <c r="BT20">
        <v>99.984283870967801</v>
      </c>
      <c r="BU20">
        <v>20.2807322580645</v>
      </c>
      <c r="BV20">
        <v>8.7131374193548403</v>
      </c>
      <c r="BW20">
        <v>500.02103225806502</v>
      </c>
      <c r="BX20">
        <v>99.178435483870999</v>
      </c>
      <c r="BY20">
        <v>9.9995516129032305E-2</v>
      </c>
      <c r="BZ20">
        <v>26.6935</v>
      </c>
      <c r="CA20">
        <v>26.959245161290301</v>
      </c>
      <c r="CB20">
        <v>999.9</v>
      </c>
      <c r="CC20">
        <v>10002.6635483871</v>
      </c>
      <c r="CD20">
        <v>0</v>
      </c>
      <c r="CE20">
        <v>185.372903225806</v>
      </c>
      <c r="CF20">
        <v>2200.0138709677399</v>
      </c>
      <c r="CG20">
        <v>0.98199477419354797</v>
      </c>
      <c r="CH20">
        <v>1.8004954838709699E-2</v>
      </c>
      <c r="CI20">
        <v>0</v>
      </c>
      <c r="CJ20">
        <v>841.239709677419</v>
      </c>
      <c r="CK20">
        <v>1.9999499999999999</v>
      </c>
      <c r="CL20">
        <v>19203.341935483899</v>
      </c>
      <c r="CM20">
        <v>17938.329032258102</v>
      </c>
      <c r="CN20">
        <v>48.483741935483899</v>
      </c>
      <c r="CO20">
        <v>49.661000000000001</v>
      </c>
      <c r="CP20">
        <v>48.936999999999998</v>
      </c>
      <c r="CQ20">
        <v>48.781999999999996</v>
      </c>
      <c r="CR20">
        <v>49.602645161290297</v>
      </c>
      <c r="CS20">
        <v>2158.4364516128999</v>
      </c>
      <c r="CT20">
        <v>39.572580645161302</v>
      </c>
      <c r="CU20">
        <v>0</v>
      </c>
      <c r="CV20">
        <v>131.60000014305101</v>
      </c>
      <c r="CW20">
        <v>841.20734615384595</v>
      </c>
      <c r="CX20">
        <v>0.69391455148892001</v>
      </c>
      <c r="CY20">
        <v>-8.9470085099657108</v>
      </c>
      <c r="CZ20">
        <v>19203.142307692298</v>
      </c>
      <c r="DA20">
        <v>15</v>
      </c>
      <c r="DB20">
        <v>1562692549.7</v>
      </c>
      <c r="DC20" t="s">
        <v>302</v>
      </c>
      <c r="DD20">
        <v>41</v>
      </c>
      <c r="DE20">
        <v>0.27500000000000002</v>
      </c>
      <c r="DF20">
        <v>0.03</v>
      </c>
      <c r="DG20">
        <v>100</v>
      </c>
      <c r="DH20">
        <v>9</v>
      </c>
      <c r="DI20">
        <v>0.19</v>
      </c>
      <c r="DJ20">
        <v>0.01</v>
      </c>
      <c r="DK20">
        <v>5.7174251613443898</v>
      </c>
      <c r="DL20">
        <v>0.12225574006728</v>
      </c>
      <c r="DM20">
        <v>2.7615966907396899E-2</v>
      </c>
      <c r="DN20">
        <v>1</v>
      </c>
      <c r="DO20">
        <v>92.017516666666694</v>
      </c>
      <c r="DP20">
        <v>-4.6999807061563002E-2</v>
      </c>
      <c r="DQ20">
        <v>1.0842662649614299E-2</v>
      </c>
      <c r="DR20">
        <v>1</v>
      </c>
      <c r="DS20">
        <v>0.74234466785896502</v>
      </c>
      <c r="DT20">
        <v>-0.14443365674396499</v>
      </c>
      <c r="DU20">
        <v>2.7510281419871999E-2</v>
      </c>
      <c r="DV20">
        <v>1</v>
      </c>
      <c r="DW20">
        <v>3</v>
      </c>
      <c r="DX20">
        <v>3</v>
      </c>
      <c r="DY20" t="s">
        <v>283</v>
      </c>
      <c r="DZ20">
        <v>1.86663</v>
      </c>
      <c r="EA20">
        <v>1.86314</v>
      </c>
      <c r="EB20">
        <v>1.8687499999999999</v>
      </c>
      <c r="EC20">
        <v>1.8667</v>
      </c>
      <c r="ED20">
        <v>1.87141</v>
      </c>
      <c r="EE20">
        <v>1.86381</v>
      </c>
      <c r="EF20">
        <v>1.86534</v>
      </c>
      <c r="EG20">
        <v>1.86528</v>
      </c>
      <c r="EH20" t="s">
        <v>284</v>
      </c>
      <c r="EI20" t="s">
        <v>19</v>
      </c>
      <c r="EJ20" t="s">
        <v>19</v>
      </c>
      <c r="EK20" t="s">
        <v>19</v>
      </c>
      <c r="EL20" t="s">
        <v>285</v>
      </c>
      <c r="EM20" t="s">
        <v>286</v>
      </c>
      <c r="EN20" t="s">
        <v>287</v>
      </c>
      <c r="EO20" t="s">
        <v>287</v>
      </c>
      <c r="EP20" t="s">
        <v>287</v>
      </c>
      <c r="EQ20" t="s">
        <v>287</v>
      </c>
      <c r="ER20">
        <v>0</v>
      </c>
      <c r="ES20">
        <v>100</v>
      </c>
      <c r="ET20">
        <v>100</v>
      </c>
      <c r="EU20">
        <v>0.27500000000000002</v>
      </c>
      <c r="EV20">
        <v>0.03</v>
      </c>
      <c r="EW20">
        <v>2</v>
      </c>
      <c r="EX20">
        <v>496.315</v>
      </c>
      <c r="EY20">
        <v>466.96199999999999</v>
      </c>
      <c r="EZ20">
        <v>19.631599999999999</v>
      </c>
      <c r="FA20">
        <v>37.218600000000002</v>
      </c>
      <c r="FB20">
        <v>29.9998</v>
      </c>
      <c r="FC20">
        <v>37.122</v>
      </c>
      <c r="FD20">
        <v>37.099400000000003</v>
      </c>
      <c r="FE20">
        <v>8.0213000000000001</v>
      </c>
      <c r="FF20">
        <v>100</v>
      </c>
      <c r="FG20">
        <v>0</v>
      </c>
      <c r="FH20">
        <v>20.890699999999999</v>
      </c>
      <c r="FI20">
        <v>100</v>
      </c>
      <c r="FJ20">
        <v>8.0356400000000008</v>
      </c>
      <c r="FK20">
        <v>100.026</v>
      </c>
      <c r="FL20">
        <v>100.405</v>
      </c>
    </row>
    <row r="21" spans="1:168" x14ac:dyDescent="0.35">
      <c r="A21">
        <v>5</v>
      </c>
      <c r="B21">
        <v>1562692691.2</v>
      </c>
      <c r="C21">
        <v>613.5</v>
      </c>
      <c r="D21" t="s">
        <v>303</v>
      </c>
      <c r="E21" t="s">
        <v>304</v>
      </c>
      <c r="F21" t="s">
        <v>277</v>
      </c>
      <c r="G21" t="s">
        <v>278</v>
      </c>
      <c r="H21" t="s">
        <v>277</v>
      </c>
      <c r="J21" t="s">
        <v>277</v>
      </c>
      <c r="K21">
        <v>1562692683.2</v>
      </c>
      <c r="L21">
        <f t="shared" si="0"/>
        <v>5.7544655920320799E-3</v>
      </c>
      <c r="M21">
        <f t="shared" si="1"/>
        <v>-2.9936959660791329</v>
      </c>
      <c r="N21">
        <f t="shared" si="2"/>
        <v>16.285329230373353</v>
      </c>
      <c r="O21">
        <f t="shared" si="3"/>
        <v>27.104245298869344</v>
      </c>
      <c r="P21">
        <f t="shared" si="4"/>
        <v>2.6910213190274073</v>
      </c>
      <c r="Q21">
        <f t="shared" si="5"/>
        <v>1.6168746874550688</v>
      </c>
      <c r="R21">
        <f t="shared" si="6"/>
        <v>0.46579453145655669</v>
      </c>
      <c r="S21">
        <f t="shared" si="7"/>
        <v>2.2475016071546721</v>
      </c>
      <c r="T21">
        <f t="shared" si="8"/>
        <v>0.41806499624334142</v>
      </c>
      <c r="U21">
        <f t="shared" si="9"/>
        <v>0.2651701927508559</v>
      </c>
      <c r="V21">
        <f t="shared" si="10"/>
        <v>353.34172446776114</v>
      </c>
      <c r="W21">
        <f t="shared" si="11"/>
        <v>27.488312793503116</v>
      </c>
      <c r="X21">
        <f t="shared" si="12"/>
        <v>27.275277419354801</v>
      </c>
      <c r="Y21">
        <f t="shared" si="13"/>
        <v>3.6374365274126226</v>
      </c>
      <c r="Z21">
        <f t="shared" si="14"/>
        <v>65.591184857449349</v>
      </c>
      <c r="AA21">
        <f t="shared" si="15"/>
        <v>2.3117818841071127</v>
      </c>
      <c r="AB21">
        <f t="shared" si="16"/>
        <v>3.5245313667245917</v>
      </c>
      <c r="AC21">
        <f t="shared" si="17"/>
        <v>1.3256546433055099</v>
      </c>
      <c r="AD21">
        <f t="shared" si="18"/>
        <v>-253.77193260861472</v>
      </c>
      <c r="AE21">
        <f t="shared" si="19"/>
        <v>-65.054336075373726</v>
      </c>
      <c r="AF21">
        <f t="shared" si="20"/>
        <v>-6.2471396656360518</v>
      </c>
      <c r="AG21">
        <f t="shared" si="21"/>
        <v>28.268316118136653</v>
      </c>
      <c r="AH21">
        <v>-4.1116520716805702E-2</v>
      </c>
      <c r="AI21">
        <v>4.6156896509661302E-2</v>
      </c>
      <c r="AJ21">
        <v>3.4507549739017098</v>
      </c>
      <c r="AK21">
        <v>5</v>
      </c>
      <c r="AL21">
        <v>1</v>
      </c>
      <c r="AM21">
        <f t="shared" si="22"/>
        <v>1.0001905978421015</v>
      </c>
      <c r="AN21">
        <f t="shared" si="23"/>
        <v>1.905978421015142E-2</v>
      </c>
      <c r="AO21">
        <f t="shared" si="24"/>
        <v>52476.49117191197</v>
      </c>
      <c r="AP21" t="s">
        <v>279</v>
      </c>
      <c r="AQ21">
        <v>687.861538461539</v>
      </c>
      <c r="AR21">
        <v>4005.07</v>
      </c>
      <c r="AS21">
        <f t="shared" si="25"/>
        <v>3317.2084615384611</v>
      </c>
      <c r="AT21">
        <f t="shared" si="26"/>
        <v>0.82825230558728336</v>
      </c>
      <c r="AU21">
        <v>-4.0580585712533601</v>
      </c>
      <c r="AV21" t="s">
        <v>305</v>
      </c>
      <c r="AW21">
        <v>852.001038461539</v>
      </c>
      <c r="AX21">
        <v>965.80499999999995</v>
      </c>
      <c r="AY21">
        <f t="shared" si="27"/>
        <v>0.1178332702134085</v>
      </c>
      <c r="AZ21">
        <v>0.5</v>
      </c>
      <c r="BA21">
        <f t="shared" si="28"/>
        <v>1849.1900806721435</v>
      </c>
      <c r="BB21">
        <f t="shared" si="29"/>
        <v>-2.9936959660791329</v>
      </c>
      <c r="BC21">
        <f t="shared" si="30"/>
        <v>108.94805722589767</v>
      </c>
      <c r="BD21">
        <f t="shared" si="31"/>
        <v>0.30192947851792018</v>
      </c>
      <c r="BE21">
        <f t="shared" si="32"/>
        <v>5.7558312490371612E-4</v>
      </c>
      <c r="BF21">
        <f t="shared" si="33"/>
        <v>3.1468722982382578</v>
      </c>
      <c r="BG21" t="s">
        <v>306</v>
      </c>
      <c r="BH21">
        <v>674.2</v>
      </c>
      <c r="BI21">
        <f t="shared" si="34"/>
        <v>291.6049999999999</v>
      </c>
      <c r="BJ21">
        <f t="shared" si="35"/>
        <v>0.39026752469423015</v>
      </c>
      <c r="BK21">
        <f t="shared" si="36"/>
        <v>0.91245380336068371</v>
      </c>
      <c r="BL21">
        <f t="shared" si="37"/>
        <v>0.40945004033747745</v>
      </c>
      <c r="BM21">
        <f t="shared" si="38"/>
        <v>0.91621163856263776</v>
      </c>
      <c r="BN21">
        <f t="shared" si="39"/>
        <v>2200.0035483871002</v>
      </c>
      <c r="BO21">
        <f t="shared" si="40"/>
        <v>1849.1900806721435</v>
      </c>
      <c r="BP21">
        <f t="shared" si="41"/>
        <v>0.84053959005104772</v>
      </c>
      <c r="BQ21">
        <f t="shared" si="42"/>
        <v>0.19107918010209557</v>
      </c>
      <c r="BR21">
        <v>1562692683.2</v>
      </c>
      <c r="BS21">
        <v>16.285325806451599</v>
      </c>
      <c r="BT21">
        <v>12.8059580645161</v>
      </c>
      <c r="BU21">
        <v>23.284506451612899</v>
      </c>
      <c r="BV21">
        <v>16.541109677419399</v>
      </c>
      <c r="BW21">
        <v>499.989483870968</v>
      </c>
      <c r="BX21">
        <v>99.184100000000001</v>
      </c>
      <c r="BY21">
        <v>0.100026503225806</v>
      </c>
      <c r="BZ21">
        <v>26.7383806451613</v>
      </c>
      <c r="CA21">
        <v>27.275277419354801</v>
      </c>
      <c r="CB21">
        <v>999.9</v>
      </c>
      <c r="CC21">
        <v>9997.0145161290293</v>
      </c>
      <c r="CD21">
        <v>0</v>
      </c>
      <c r="CE21">
        <v>139.68122580645201</v>
      </c>
      <c r="CF21">
        <v>2200.0035483871002</v>
      </c>
      <c r="CG21">
        <v>0.98199738709677398</v>
      </c>
      <c r="CH21">
        <v>1.8002635483870998E-2</v>
      </c>
      <c r="CI21">
        <v>0</v>
      </c>
      <c r="CJ21">
        <v>852.01645161290298</v>
      </c>
      <c r="CK21">
        <v>1.9999499999999999</v>
      </c>
      <c r="CL21">
        <v>19444.954838709698</v>
      </c>
      <c r="CM21">
        <v>17938.2612903226</v>
      </c>
      <c r="CN21">
        <v>48.795999999999999</v>
      </c>
      <c r="CO21">
        <v>50.186999999999998</v>
      </c>
      <c r="CP21">
        <v>49.311999999999998</v>
      </c>
      <c r="CQ21">
        <v>49.235774193548401</v>
      </c>
      <c r="CR21">
        <v>49.866870967741903</v>
      </c>
      <c r="CS21">
        <v>2158.4335483871</v>
      </c>
      <c r="CT21">
        <v>39.57</v>
      </c>
      <c r="CU21">
        <v>0</v>
      </c>
      <c r="CV21">
        <v>181.40000009536701</v>
      </c>
      <c r="CW21">
        <v>852.001038461539</v>
      </c>
      <c r="CX21">
        <v>-4.2504957309214797</v>
      </c>
      <c r="CY21">
        <v>-86.895726526248893</v>
      </c>
      <c r="CZ21">
        <v>19444.196153846198</v>
      </c>
      <c r="DA21">
        <v>15</v>
      </c>
      <c r="DB21">
        <v>1562692666.2</v>
      </c>
      <c r="DC21" t="s">
        <v>307</v>
      </c>
      <c r="DD21">
        <v>42</v>
      </c>
      <c r="DE21">
        <v>0.20300000000000001</v>
      </c>
      <c r="DF21">
        <v>3.4000000000000002E-2</v>
      </c>
      <c r="DG21">
        <v>12</v>
      </c>
      <c r="DH21">
        <v>9</v>
      </c>
      <c r="DI21">
        <v>0.26</v>
      </c>
      <c r="DJ21">
        <v>0.01</v>
      </c>
      <c r="DK21">
        <v>-1.7483177997053201</v>
      </c>
      <c r="DL21">
        <v>-6.9093165232459004</v>
      </c>
      <c r="DM21">
        <v>1.55113286271791</v>
      </c>
      <c r="DN21">
        <v>0</v>
      </c>
      <c r="DO21">
        <v>14.7020680555556</v>
      </c>
      <c r="DP21">
        <v>9.5195123528285492</v>
      </c>
      <c r="DQ21">
        <v>1.80740290686099</v>
      </c>
      <c r="DR21">
        <v>0</v>
      </c>
      <c r="DS21">
        <v>0.25522188626179998</v>
      </c>
      <c r="DT21">
        <v>1.1396683923995701</v>
      </c>
      <c r="DU21">
        <v>0.24073944554500301</v>
      </c>
      <c r="DV21">
        <v>0</v>
      </c>
      <c r="DW21">
        <v>0</v>
      </c>
      <c r="DX21">
        <v>3</v>
      </c>
      <c r="DY21" t="s">
        <v>308</v>
      </c>
      <c r="DZ21">
        <v>1.8666100000000001</v>
      </c>
      <c r="EA21">
        <v>1.8631</v>
      </c>
      <c r="EB21">
        <v>1.8687199999999999</v>
      </c>
      <c r="EC21">
        <v>1.8666499999999999</v>
      </c>
      <c r="ED21">
        <v>1.87137</v>
      </c>
      <c r="EE21">
        <v>1.86378</v>
      </c>
      <c r="EF21">
        <v>1.86527</v>
      </c>
      <c r="EG21">
        <v>1.86524</v>
      </c>
      <c r="EH21" t="s">
        <v>284</v>
      </c>
      <c r="EI21" t="s">
        <v>19</v>
      </c>
      <c r="EJ21" t="s">
        <v>19</v>
      </c>
      <c r="EK21" t="s">
        <v>19</v>
      </c>
      <c r="EL21" t="s">
        <v>285</v>
      </c>
      <c r="EM21" t="s">
        <v>286</v>
      </c>
      <c r="EN21" t="s">
        <v>287</v>
      </c>
      <c r="EO21" t="s">
        <v>287</v>
      </c>
      <c r="EP21" t="s">
        <v>287</v>
      </c>
      <c r="EQ21" t="s">
        <v>287</v>
      </c>
      <c r="ER21">
        <v>0</v>
      </c>
      <c r="ES21">
        <v>100</v>
      </c>
      <c r="ET21">
        <v>100</v>
      </c>
      <c r="EU21">
        <v>0.20300000000000001</v>
      </c>
      <c r="EV21">
        <v>3.4000000000000002E-2</v>
      </c>
      <c r="EW21">
        <v>2</v>
      </c>
      <c r="EX21">
        <v>494.22500000000002</v>
      </c>
      <c r="EY21">
        <v>467.19</v>
      </c>
      <c r="EZ21">
        <v>20.964099999999998</v>
      </c>
      <c r="FA21">
        <v>37.544499999999999</v>
      </c>
      <c r="FB21">
        <v>30.007300000000001</v>
      </c>
      <c r="FC21">
        <v>37.448399999999999</v>
      </c>
      <c r="FD21">
        <v>37.415199999999999</v>
      </c>
      <c r="FE21">
        <v>3.7436199999999999</v>
      </c>
      <c r="FF21">
        <v>78.696799999999996</v>
      </c>
      <c r="FG21">
        <v>0</v>
      </c>
      <c r="FH21">
        <v>20.716899999999999</v>
      </c>
      <c r="FI21">
        <v>12.5</v>
      </c>
      <c r="FJ21">
        <v>12.485300000000001</v>
      </c>
      <c r="FK21">
        <v>99.960800000000006</v>
      </c>
      <c r="FL21">
        <v>100.327</v>
      </c>
    </row>
    <row r="22" spans="1:168" x14ac:dyDescent="0.35">
      <c r="A22">
        <v>6</v>
      </c>
      <c r="B22">
        <v>1562692831.7</v>
      </c>
      <c r="C22">
        <v>754</v>
      </c>
      <c r="D22" t="s">
        <v>309</v>
      </c>
      <c r="E22" t="s">
        <v>310</v>
      </c>
      <c r="F22" t="s">
        <v>277</v>
      </c>
      <c r="G22" t="s">
        <v>278</v>
      </c>
      <c r="H22" t="s">
        <v>277</v>
      </c>
      <c r="J22" t="s">
        <v>277</v>
      </c>
      <c r="K22">
        <v>1562692823.7</v>
      </c>
      <c r="L22">
        <f t="shared" si="0"/>
        <v>1.0867363289909664E-2</v>
      </c>
      <c r="M22">
        <f t="shared" si="1"/>
        <v>-4.4768287933530502</v>
      </c>
      <c r="N22">
        <f t="shared" si="2"/>
        <v>2.7164777037874872</v>
      </c>
      <c r="O22">
        <f t="shared" si="3"/>
        <v>11.747914710659163</v>
      </c>
      <c r="P22">
        <f t="shared" si="4"/>
        <v>1.1663313792296277</v>
      </c>
      <c r="Q22">
        <f t="shared" si="5"/>
        <v>0.26969153802506807</v>
      </c>
      <c r="R22">
        <f t="shared" si="6"/>
        <v>0.93058480345338357</v>
      </c>
      <c r="S22">
        <f t="shared" si="7"/>
        <v>2.2472518664609549</v>
      </c>
      <c r="T22">
        <f t="shared" si="8"/>
        <v>0.75874492656854908</v>
      </c>
      <c r="U22">
        <f t="shared" si="9"/>
        <v>0.48699159241644485</v>
      </c>
      <c r="V22">
        <f t="shared" si="10"/>
        <v>353.34033440831695</v>
      </c>
      <c r="W22">
        <f t="shared" si="11"/>
        <v>25.878832709777001</v>
      </c>
      <c r="X22">
        <f t="shared" si="12"/>
        <v>27.228254838709699</v>
      </c>
      <c r="Y22">
        <f t="shared" si="13"/>
        <v>3.6274234848016049</v>
      </c>
      <c r="Z22">
        <f t="shared" si="14"/>
        <v>63.435934891170831</v>
      </c>
      <c r="AA22">
        <f t="shared" si="15"/>
        <v>2.2475292753541196</v>
      </c>
      <c r="AB22">
        <f t="shared" si="16"/>
        <v>3.5429907026828356</v>
      </c>
      <c r="AC22">
        <f t="shared" si="17"/>
        <v>1.3798942094474853</v>
      </c>
      <c r="AD22">
        <f t="shared" si="18"/>
        <v>-479.25072108501615</v>
      </c>
      <c r="AE22">
        <f t="shared" si="19"/>
        <v>-48.59207054482129</v>
      </c>
      <c r="AF22">
        <f t="shared" si="20"/>
        <v>-4.6677671719589888</v>
      </c>
      <c r="AG22">
        <f t="shared" si="21"/>
        <v>-179.17022439347949</v>
      </c>
      <c r="AH22">
        <v>-4.1109804413818701E-2</v>
      </c>
      <c r="AI22">
        <v>4.6149356871178E-2</v>
      </c>
      <c r="AJ22">
        <v>3.4503086841313602</v>
      </c>
      <c r="AK22">
        <v>2</v>
      </c>
      <c r="AL22">
        <v>0</v>
      </c>
      <c r="AM22">
        <f t="shared" si="22"/>
        <v>1.0000762650878547</v>
      </c>
      <c r="AN22">
        <f t="shared" si="23"/>
        <v>7.6265087854743285E-3</v>
      </c>
      <c r="AO22">
        <f t="shared" si="24"/>
        <v>52452.638197542787</v>
      </c>
      <c r="AP22" t="s">
        <v>279</v>
      </c>
      <c r="AQ22">
        <v>687.861538461539</v>
      </c>
      <c r="AR22">
        <v>4005.07</v>
      </c>
      <c r="AS22">
        <f t="shared" si="25"/>
        <v>3317.2084615384611</v>
      </c>
      <c r="AT22">
        <f t="shared" si="26"/>
        <v>0.82825230558728336</v>
      </c>
      <c r="AU22">
        <v>-4.0580585712533601</v>
      </c>
      <c r="AV22" t="s">
        <v>311</v>
      </c>
      <c r="AW22">
        <v>860.67100000000005</v>
      </c>
      <c r="AX22">
        <v>947.91600000000005</v>
      </c>
      <c r="AY22">
        <f t="shared" si="27"/>
        <v>9.2038746049228015E-2</v>
      </c>
      <c r="AZ22">
        <v>0.5</v>
      </c>
      <c r="BA22">
        <f t="shared" si="28"/>
        <v>1849.1827645431108</v>
      </c>
      <c r="BB22">
        <f t="shared" si="29"/>
        <v>-4.4768287933530502</v>
      </c>
      <c r="BC22">
        <f t="shared" si="30"/>
        <v>85.098231432196386</v>
      </c>
      <c r="BD22">
        <f t="shared" si="31"/>
        <v>0.279893999046329</v>
      </c>
      <c r="BE22">
        <f t="shared" si="32"/>
        <v>-2.2646232169655671E-4</v>
      </c>
      <c r="BF22">
        <f t="shared" si="33"/>
        <v>3.2251317627300309</v>
      </c>
      <c r="BG22" t="s">
        <v>312</v>
      </c>
      <c r="BH22">
        <v>682.6</v>
      </c>
      <c r="BI22">
        <f t="shared" si="34"/>
        <v>265.31600000000003</v>
      </c>
      <c r="BJ22">
        <f t="shared" si="35"/>
        <v>0.32883429570775979</v>
      </c>
      <c r="BK22">
        <f t="shared" si="36"/>
        <v>0.92014495239987115</v>
      </c>
      <c r="BL22">
        <f t="shared" si="37"/>
        <v>0.33548741861172338</v>
      </c>
      <c r="BM22">
        <f t="shared" si="38"/>
        <v>0.92160442596427827</v>
      </c>
      <c r="BN22">
        <f t="shared" si="39"/>
        <v>2199.9948387096802</v>
      </c>
      <c r="BO22">
        <f t="shared" si="40"/>
        <v>1849.1827645431108</v>
      </c>
      <c r="BP22">
        <f t="shared" si="41"/>
        <v>0.84053959218725971</v>
      </c>
      <c r="BQ22">
        <f t="shared" si="42"/>
        <v>0.1910791843745196</v>
      </c>
      <c r="BR22">
        <v>1562692823.7</v>
      </c>
      <c r="BS22">
        <v>2.71647258064516</v>
      </c>
      <c r="BT22">
        <v>-2.6196548387096801</v>
      </c>
      <c r="BU22">
        <v>22.6383193548387</v>
      </c>
      <c r="BV22">
        <v>9.8942554838709693</v>
      </c>
      <c r="BW22">
        <v>500.02177419354803</v>
      </c>
      <c r="BX22">
        <v>99.179851612903207</v>
      </c>
      <c r="BY22">
        <v>0.100012767741935</v>
      </c>
      <c r="BZ22">
        <v>26.8271774193548</v>
      </c>
      <c r="CA22">
        <v>27.228254838709699</v>
      </c>
      <c r="CB22">
        <v>999.9</v>
      </c>
      <c r="CC22">
        <v>9995.8096774193491</v>
      </c>
      <c r="CD22">
        <v>0</v>
      </c>
      <c r="CE22">
        <v>796.04441935483896</v>
      </c>
      <c r="CF22">
        <v>2199.9948387096802</v>
      </c>
      <c r="CG22">
        <v>0.98199770967741895</v>
      </c>
      <c r="CH22">
        <v>1.8002248387096801E-2</v>
      </c>
      <c r="CI22">
        <v>0</v>
      </c>
      <c r="CJ22">
        <v>860.65638709677398</v>
      </c>
      <c r="CK22">
        <v>1.9999499999999999</v>
      </c>
      <c r="CL22">
        <v>19660.890322580599</v>
      </c>
      <c r="CM22">
        <v>17938.190322580602</v>
      </c>
      <c r="CN22">
        <v>48.941129032257997</v>
      </c>
      <c r="CO22">
        <v>50.25</v>
      </c>
      <c r="CP22">
        <v>49.445129032258002</v>
      </c>
      <c r="CQ22">
        <v>49.320258064516104</v>
      </c>
      <c r="CR22">
        <v>50.012</v>
      </c>
      <c r="CS22">
        <v>2158.42483870968</v>
      </c>
      <c r="CT22">
        <v>39.57</v>
      </c>
      <c r="CU22">
        <v>0</v>
      </c>
      <c r="CV22">
        <v>139.5</v>
      </c>
      <c r="CW22">
        <v>860.67100000000005</v>
      </c>
      <c r="CX22">
        <v>4.63774358695406</v>
      </c>
      <c r="CY22">
        <v>207.135042831048</v>
      </c>
      <c r="CZ22">
        <v>19662.257692307699</v>
      </c>
      <c r="DA22">
        <v>15</v>
      </c>
      <c r="DB22">
        <v>1562692775.2</v>
      </c>
      <c r="DC22" t="s">
        <v>313</v>
      </c>
      <c r="DD22">
        <v>43</v>
      </c>
      <c r="DE22">
        <v>0.14000000000000001</v>
      </c>
      <c r="DF22">
        <v>3.7999999999999999E-2</v>
      </c>
      <c r="DG22">
        <v>-3</v>
      </c>
      <c r="DH22">
        <v>9</v>
      </c>
      <c r="DI22">
        <v>0.37</v>
      </c>
      <c r="DJ22">
        <v>0.01</v>
      </c>
      <c r="DK22">
        <v>-4.4214352186305703</v>
      </c>
      <c r="DL22">
        <v>-0.41452186831969601</v>
      </c>
      <c r="DM22">
        <v>0.111961649985248</v>
      </c>
      <c r="DN22">
        <v>0</v>
      </c>
      <c r="DO22">
        <v>2.8344437500000002</v>
      </c>
      <c r="DP22">
        <v>-0.52799280339573196</v>
      </c>
      <c r="DQ22">
        <v>0.13642903301144299</v>
      </c>
      <c r="DR22">
        <v>1</v>
      </c>
      <c r="DS22">
        <v>0.82200042342552204</v>
      </c>
      <c r="DT22">
        <v>0.650001361981426</v>
      </c>
      <c r="DU22">
        <v>0.13819153326933201</v>
      </c>
      <c r="DV22">
        <v>1</v>
      </c>
      <c r="DW22">
        <v>2</v>
      </c>
      <c r="DX22">
        <v>3</v>
      </c>
      <c r="DY22" t="s">
        <v>314</v>
      </c>
      <c r="DZ22">
        <v>1.86666</v>
      </c>
      <c r="EA22">
        <v>1.8631800000000001</v>
      </c>
      <c r="EB22">
        <v>1.86876</v>
      </c>
      <c r="EC22">
        <v>1.8667400000000001</v>
      </c>
      <c r="ED22">
        <v>1.8714500000000001</v>
      </c>
      <c r="EE22">
        <v>1.8638600000000001</v>
      </c>
      <c r="EF22">
        <v>1.8653900000000001</v>
      </c>
      <c r="EG22">
        <v>1.86531</v>
      </c>
      <c r="EH22" t="s">
        <v>284</v>
      </c>
      <c r="EI22" t="s">
        <v>19</v>
      </c>
      <c r="EJ22" t="s">
        <v>19</v>
      </c>
      <c r="EK22" t="s">
        <v>19</v>
      </c>
      <c r="EL22" t="s">
        <v>285</v>
      </c>
      <c r="EM22" t="s">
        <v>286</v>
      </c>
      <c r="EN22" t="s">
        <v>287</v>
      </c>
      <c r="EO22" t="s">
        <v>287</v>
      </c>
      <c r="EP22" t="s">
        <v>287</v>
      </c>
      <c r="EQ22" t="s">
        <v>287</v>
      </c>
      <c r="ER22">
        <v>0</v>
      </c>
      <c r="ES22">
        <v>100</v>
      </c>
      <c r="ET22">
        <v>100</v>
      </c>
      <c r="EU22">
        <v>0.14000000000000001</v>
      </c>
      <c r="EV22">
        <v>3.7999999999999999E-2</v>
      </c>
      <c r="EW22">
        <v>2</v>
      </c>
      <c r="EX22">
        <v>497.90100000000001</v>
      </c>
      <c r="EY22">
        <v>466.75700000000001</v>
      </c>
      <c r="EZ22">
        <v>20.5626</v>
      </c>
      <c r="FA22">
        <v>37.551000000000002</v>
      </c>
      <c r="FB22">
        <v>30.001300000000001</v>
      </c>
      <c r="FC22">
        <v>37.506300000000003</v>
      </c>
      <c r="FD22">
        <v>37.469299999999997</v>
      </c>
      <c r="FE22">
        <v>0</v>
      </c>
      <c r="FF22">
        <v>100</v>
      </c>
      <c r="FG22">
        <v>0</v>
      </c>
      <c r="FH22">
        <v>20.383700000000001</v>
      </c>
      <c r="FI22">
        <v>0</v>
      </c>
      <c r="FJ22">
        <v>8.2759699999999992</v>
      </c>
      <c r="FK22">
        <v>99.966099999999997</v>
      </c>
      <c r="FL22">
        <v>100.345</v>
      </c>
    </row>
    <row r="23" spans="1:168" x14ac:dyDescent="0.35">
      <c r="A23">
        <v>8</v>
      </c>
      <c r="B23">
        <v>1562693154.3</v>
      </c>
      <c r="C23">
        <v>1076.5999999046301</v>
      </c>
      <c r="D23" t="s">
        <v>315</v>
      </c>
      <c r="E23" t="s">
        <v>316</v>
      </c>
      <c r="F23" t="s">
        <v>277</v>
      </c>
      <c r="G23" t="s">
        <v>278</v>
      </c>
      <c r="H23" t="s">
        <v>277</v>
      </c>
      <c r="J23" t="s">
        <v>277</v>
      </c>
      <c r="K23">
        <v>1562693146.33548</v>
      </c>
      <c r="L23">
        <f t="shared" si="0"/>
        <v>9.6592650967618175E-3</v>
      </c>
      <c r="M23">
        <f t="shared" si="1"/>
        <v>31.560648057175118</v>
      </c>
      <c r="N23">
        <f t="shared" si="2"/>
        <v>358.52796392374711</v>
      </c>
      <c r="O23">
        <f t="shared" si="3"/>
        <v>286.63486037802983</v>
      </c>
      <c r="P23">
        <f t="shared" si="4"/>
        <v>28.451006212161801</v>
      </c>
      <c r="Q23">
        <f t="shared" si="5"/>
        <v>35.587022860287455</v>
      </c>
      <c r="R23">
        <f t="shared" si="6"/>
        <v>0.91994460980117299</v>
      </c>
      <c r="S23">
        <f t="shared" si="7"/>
        <v>2.2479786940875655</v>
      </c>
      <c r="T23">
        <f t="shared" si="8"/>
        <v>0.7516794193861871</v>
      </c>
      <c r="U23">
        <f t="shared" si="9"/>
        <v>0.48233482381766024</v>
      </c>
      <c r="V23">
        <f t="shared" si="10"/>
        <v>353.34157468978765</v>
      </c>
      <c r="W23">
        <f t="shared" si="11"/>
        <v>26.282363232064078</v>
      </c>
      <c r="X23">
        <f t="shared" si="12"/>
        <v>27.485519354838701</v>
      </c>
      <c r="Y23">
        <f t="shared" si="13"/>
        <v>3.6825013320550628</v>
      </c>
      <c r="Z23">
        <f t="shared" si="14"/>
        <v>69.040036013192577</v>
      </c>
      <c r="AA23">
        <f t="shared" si="15"/>
        <v>2.4463813737465108</v>
      </c>
      <c r="AB23">
        <f t="shared" si="16"/>
        <v>3.5434242434042793</v>
      </c>
      <c r="AC23">
        <f t="shared" si="17"/>
        <v>1.236119958308552</v>
      </c>
      <c r="AD23">
        <f t="shared" si="18"/>
        <v>-425.97359076719613</v>
      </c>
      <c r="AE23">
        <f t="shared" si="19"/>
        <v>-79.534292510520316</v>
      </c>
      <c r="AF23">
        <f t="shared" si="20"/>
        <v>-7.6475279634784341</v>
      </c>
      <c r="AG23">
        <f t="shared" si="21"/>
        <v>-159.81383655140721</v>
      </c>
      <c r="AH23">
        <v>-4.1129352936633903E-2</v>
      </c>
      <c r="AI23">
        <v>4.6171301800582598E-2</v>
      </c>
      <c r="AJ23">
        <v>3.4516075890028901</v>
      </c>
      <c r="AK23">
        <v>1</v>
      </c>
      <c r="AL23">
        <v>0</v>
      </c>
      <c r="AM23">
        <f t="shared" si="22"/>
        <v>1.0000381143030095</v>
      </c>
      <c r="AN23">
        <f t="shared" si="23"/>
        <v>3.8114303009484374E-3</v>
      </c>
      <c r="AO23">
        <f t="shared" si="24"/>
        <v>52475.739307263706</v>
      </c>
      <c r="AP23" t="s">
        <v>279</v>
      </c>
      <c r="AQ23">
        <v>687.861538461539</v>
      </c>
      <c r="AR23">
        <v>4005.07</v>
      </c>
      <c r="AS23">
        <f t="shared" si="25"/>
        <v>3317.2084615384611</v>
      </c>
      <c r="AT23">
        <f t="shared" si="26"/>
        <v>0.82825230558728336</v>
      </c>
      <c r="AU23">
        <v>-4.0580585712533601</v>
      </c>
      <c r="AV23" t="s">
        <v>317</v>
      </c>
      <c r="AW23">
        <v>826.67184615384599</v>
      </c>
      <c r="AX23">
        <v>1103.6099999999999</v>
      </c>
      <c r="AY23">
        <f t="shared" si="27"/>
        <v>0.25093842376034459</v>
      </c>
      <c r="AZ23">
        <v>0.5</v>
      </c>
      <c r="BA23">
        <f t="shared" si="28"/>
        <v>1849.191948414071</v>
      </c>
      <c r="BB23">
        <f t="shared" si="29"/>
        <v>31.560648057175118</v>
      </c>
      <c r="BC23">
        <f t="shared" si="30"/>
        <v>232.01665638267372</v>
      </c>
      <c r="BD23">
        <f t="shared" si="31"/>
        <v>0.47318346154891672</v>
      </c>
      <c r="BE23">
        <f t="shared" si="32"/>
        <v>1.9261768178785482E-2</v>
      </c>
      <c r="BF23">
        <f t="shared" si="33"/>
        <v>2.6290628029829382</v>
      </c>
      <c r="BG23" t="s">
        <v>318</v>
      </c>
      <c r="BH23">
        <v>581.4</v>
      </c>
      <c r="BI23">
        <f t="shared" si="34"/>
        <v>522.20999999999992</v>
      </c>
      <c r="BJ23">
        <f t="shared" si="35"/>
        <v>0.53031951484298256</v>
      </c>
      <c r="BK23">
        <f t="shared" si="36"/>
        <v>0.84747069665008601</v>
      </c>
      <c r="BL23">
        <f t="shared" si="37"/>
        <v>0.66611949163048045</v>
      </c>
      <c r="BM23">
        <f t="shared" si="38"/>
        <v>0.87466917850991965</v>
      </c>
      <c r="BN23">
        <f t="shared" si="39"/>
        <v>2200.0061290322601</v>
      </c>
      <c r="BO23">
        <f t="shared" si="40"/>
        <v>1849.191948414071</v>
      </c>
      <c r="BP23">
        <f t="shared" si="41"/>
        <v>0.84053945305483968</v>
      </c>
      <c r="BQ23">
        <f t="shared" si="42"/>
        <v>0.19107890610967954</v>
      </c>
      <c r="BR23">
        <v>1562693146.33548</v>
      </c>
      <c r="BS23">
        <v>358.52800000000002</v>
      </c>
      <c r="BT23">
        <v>400.55670967741901</v>
      </c>
      <c r="BU23">
        <v>24.6465161290323</v>
      </c>
      <c r="BV23">
        <v>13.3410806451613</v>
      </c>
      <c r="BW23">
        <v>499.98054838709697</v>
      </c>
      <c r="BX23">
        <v>99.158677419354802</v>
      </c>
      <c r="BY23">
        <v>0.100031638709677</v>
      </c>
      <c r="BZ23">
        <v>26.8292580645161</v>
      </c>
      <c r="CA23">
        <v>27.485519354838701</v>
      </c>
      <c r="CB23">
        <v>999.9</v>
      </c>
      <c r="CC23">
        <v>10002.6983870968</v>
      </c>
      <c r="CD23">
        <v>0</v>
      </c>
      <c r="CE23">
        <v>285.50406451612901</v>
      </c>
      <c r="CF23">
        <v>2200.0061290322601</v>
      </c>
      <c r="CG23">
        <v>0.98200206451612904</v>
      </c>
      <c r="CH23">
        <v>1.79981193548387E-2</v>
      </c>
      <c r="CI23">
        <v>0</v>
      </c>
      <c r="CJ23">
        <v>826.58532258064497</v>
      </c>
      <c r="CK23">
        <v>1.9999499999999999</v>
      </c>
      <c r="CL23">
        <v>18985.554838709701</v>
      </c>
      <c r="CM23">
        <v>17938.309677419398</v>
      </c>
      <c r="CN23">
        <v>49.141064516128999</v>
      </c>
      <c r="CO23">
        <v>49.983741935483899</v>
      </c>
      <c r="CP23">
        <v>49.524000000000001</v>
      </c>
      <c r="CQ23">
        <v>49.088419354838699</v>
      </c>
      <c r="CR23">
        <v>50.156999999999996</v>
      </c>
      <c r="CS23">
        <v>2158.4461290322602</v>
      </c>
      <c r="CT23">
        <v>39.56</v>
      </c>
      <c r="CU23">
        <v>0</v>
      </c>
      <c r="CV23">
        <v>181.40000009536701</v>
      </c>
      <c r="CW23">
        <v>826.67184615384599</v>
      </c>
      <c r="CX23">
        <v>7.4082735151783297</v>
      </c>
      <c r="CY23">
        <v>174.379487289011</v>
      </c>
      <c r="CZ23">
        <v>18986.946153846198</v>
      </c>
      <c r="DA23">
        <v>15</v>
      </c>
      <c r="DB23">
        <v>1562693114.2</v>
      </c>
      <c r="DC23" t="s">
        <v>319</v>
      </c>
      <c r="DD23">
        <v>45</v>
      </c>
      <c r="DE23">
        <v>0.48599999999999999</v>
      </c>
      <c r="DF23">
        <v>4.4999999999999998E-2</v>
      </c>
      <c r="DG23">
        <v>400</v>
      </c>
      <c r="DH23">
        <v>11</v>
      </c>
      <c r="DI23">
        <v>0.03</v>
      </c>
      <c r="DJ23">
        <v>0.01</v>
      </c>
      <c r="DK23">
        <v>30.111129609685701</v>
      </c>
      <c r="DL23">
        <v>16.688148265182001</v>
      </c>
      <c r="DM23">
        <v>6.51056794037342</v>
      </c>
      <c r="DN23">
        <v>0</v>
      </c>
      <c r="DO23">
        <v>358.663166666667</v>
      </c>
      <c r="DP23">
        <v>-1.4558676415612</v>
      </c>
      <c r="DQ23">
        <v>1.76216465682914</v>
      </c>
      <c r="DR23">
        <v>1</v>
      </c>
      <c r="DS23">
        <v>0.62663107487745295</v>
      </c>
      <c r="DT23">
        <v>1.2928231959718399</v>
      </c>
      <c r="DU23">
        <v>0.267377209996423</v>
      </c>
      <c r="DV23">
        <v>0</v>
      </c>
      <c r="DW23">
        <v>1</v>
      </c>
      <c r="DX23">
        <v>3</v>
      </c>
      <c r="DY23" t="s">
        <v>320</v>
      </c>
      <c r="DZ23">
        <v>1.8667</v>
      </c>
      <c r="EA23">
        <v>1.8631800000000001</v>
      </c>
      <c r="EB23">
        <v>1.8687800000000001</v>
      </c>
      <c r="EC23">
        <v>1.86676</v>
      </c>
      <c r="ED23">
        <v>1.87147</v>
      </c>
      <c r="EE23">
        <v>1.8638600000000001</v>
      </c>
      <c r="EF23">
        <v>1.8653900000000001</v>
      </c>
      <c r="EG23">
        <v>1.8653500000000001</v>
      </c>
      <c r="EH23" t="s">
        <v>284</v>
      </c>
      <c r="EI23" t="s">
        <v>19</v>
      </c>
      <c r="EJ23" t="s">
        <v>19</v>
      </c>
      <c r="EK23" t="s">
        <v>19</v>
      </c>
      <c r="EL23" t="s">
        <v>285</v>
      </c>
      <c r="EM23" t="s">
        <v>286</v>
      </c>
      <c r="EN23" t="s">
        <v>287</v>
      </c>
      <c r="EO23" t="s">
        <v>287</v>
      </c>
      <c r="EP23" t="s">
        <v>287</v>
      </c>
      <c r="EQ23" t="s">
        <v>287</v>
      </c>
      <c r="ER23">
        <v>0</v>
      </c>
      <c r="ES23">
        <v>100</v>
      </c>
      <c r="ET23">
        <v>100</v>
      </c>
      <c r="EU23">
        <v>0.48599999999999999</v>
      </c>
      <c r="EV23">
        <v>4.4999999999999998E-2</v>
      </c>
      <c r="EW23">
        <v>2</v>
      </c>
      <c r="EX23">
        <v>498.92099999999999</v>
      </c>
      <c r="EY23">
        <v>470.476</v>
      </c>
      <c r="EZ23">
        <v>21.2532</v>
      </c>
      <c r="FA23">
        <v>37.017099999999999</v>
      </c>
      <c r="FB23">
        <v>30.000399999999999</v>
      </c>
      <c r="FC23">
        <v>37.1023</v>
      </c>
      <c r="FD23">
        <v>37.075299999999999</v>
      </c>
      <c r="FE23">
        <v>22.093800000000002</v>
      </c>
      <c r="FF23">
        <v>100</v>
      </c>
      <c r="FG23">
        <v>0</v>
      </c>
      <c r="FH23">
        <v>21.209299999999999</v>
      </c>
      <c r="FI23">
        <v>400</v>
      </c>
      <c r="FJ23">
        <v>8.7637999999999998</v>
      </c>
      <c r="FK23">
        <v>100.07</v>
      </c>
      <c r="FL23">
        <v>100.474</v>
      </c>
    </row>
    <row r="24" spans="1:168" x14ac:dyDescent="0.35">
      <c r="A24">
        <v>9</v>
      </c>
      <c r="B24">
        <v>1562693277.9000001</v>
      </c>
      <c r="C24">
        <v>1200.2000000476801</v>
      </c>
      <c r="D24" t="s">
        <v>321</v>
      </c>
      <c r="E24" t="s">
        <v>322</v>
      </c>
      <c r="F24" t="s">
        <v>277</v>
      </c>
      <c r="G24" t="s">
        <v>278</v>
      </c>
      <c r="H24" t="s">
        <v>277</v>
      </c>
      <c r="J24" t="s">
        <v>277</v>
      </c>
      <c r="K24">
        <v>1562693269.85484</v>
      </c>
      <c r="L24">
        <f t="shared" si="0"/>
        <v>9.7236456524205928E-3</v>
      </c>
      <c r="M24">
        <f t="shared" si="1"/>
        <v>37.317208099478343</v>
      </c>
      <c r="N24">
        <f t="shared" si="2"/>
        <v>449.96918313160899</v>
      </c>
      <c r="O24">
        <f t="shared" si="3"/>
        <v>356.61775204052896</v>
      </c>
      <c r="P24">
        <f t="shared" si="4"/>
        <v>35.396505411303913</v>
      </c>
      <c r="Q24">
        <f t="shared" si="5"/>
        <v>44.662209142712243</v>
      </c>
      <c r="R24">
        <f t="shared" si="6"/>
        <v>0.82936630348451867</v>
      </c>
      <c r="S24">
        <f t="shared" si="7"/>
        <v>2.2473366296204285</v>
      </c>
      <c r="T24">
        <f t="shared" si="8"/>
        <v>0.68991081108820296</v>
      </c>
      <c r="U24">
        <f t="shared" si="9"/>
        <v>0.44175745770823771</v>
      </c>
      <c r="V24">
        <f t="shared" si="10"/>
        <v>353.34544469958576</v>
      </c>
      <c r="W24">
        <f t="shared" si="11"/>
        <v>26.15075655293456</v>
      </c>
      <c r="X24">
        <f t="shared" si="12"/>
        <v>27.005970967741899</v>
      </c>
      <c r="Y24">
        <f t="shared" si="13"/>
        <v>3.5804150594075819</v>
      </c>
      <c r="Z24">
        <f t="shared" si="14"/>
        <v>63.125977775230425</v>
      </c>
      <c r="AA24">
        <f t="shared" si="15"/>
        <v>2.222385241364714</v>
      </c>
      <c r="AB24">
        <f t="shared" si="16"/>
        <v>3.5205557516714467</v>
      </c>
      <c r="AC24">
        <f t="shared" si="17"/>
        <v>1.3580298180428678</v>
      </c>
      <c r="AD24">
        <f t="shared" si="18"/>
        <v>-428.81277327174814</v>
      </c>
      <c r="AE24">
        <f t="shared" si="19"/>
        <v>-34.744324333571171</v>
      </c>
      <c r="AF24">
        <f t="shared" si="20"/>
        <v>-3.3319148789883259</v>
      </c>
      <c r="AG24">
        <f t="shared" si="21"/>
        <v>-113.54356778472186</v>
      </c>
      <c r="AH24">
        <v>-4.1112083883059099E-2</v>
      </c>
      <c r="AI24">
        <v>4.61519157750927E-2</v>
      </c>
      <c r="AJ24">
        <v>3.45046015476</v>
      </c>
      <c r="AK24">
        <v>1</v>
      </c>
      <c r="AL24">
        <v>0</v>
      </c>
      <c r="AM24">
        <f t="shared" si="22"/>
        <v>1.0000381157019669</v>
      </c>
      <c r="AN24">
        <f t="shared" si="23"/>
        <v>3.8115701966878746E-3</v>
      </c>
      <c r="AO24">
        <f t="shared" si="24"/>
        <v>52473.813368216601</v>
      </c>
      <c r="AP24" t="s">
        <v>279</v>
      </c>
      <c r="AQ24">
        <v>687.861538461539</v>
      </c>
      <c r="AR24">
        <v>4005.07</v>
      </c>
      <c r="AS24">
        <f t="shared" si="25"/>
        <v>3317.2084615384611</v>
      </c>
      <c r="AT24">
        <f t="shared" si="26"/>
        <v>0.82825230558728336</v>
      </c>
      <c r="AU24">
        <v>-4.0580585712533601</v>
      </c>
      <c r="AV24" t="s">
        <v>323</v>
      </c>
      <c r="AW24">
        <v>865.38919230769204</v>
      </c>
      <c r="AX24">
        <v>1154.4000000000001</v>
      </c>
      <c r="AY24">
        <f t="shared" si="27"/>
        <v>0.2503558625193244</v>
      </c>
      <c r="AZ24">
        <v>0.5</v>
      </c>
      <c r="BA24">
        <f t="shared" si="28"/>
        <v>1849.2120321915902</v>
      </c>
      <c r="BB24">
        <f t="shared" si="29"/>
        <v>37.317208099478343</v>
      </c>
      <c r="BC24">
        <f t="shared" si="30"/>
        <v>231.48053665021914</v>
      </c>
      <c r="BD24">
        <f t="shared" si="31"/>
        <v>0.48873873873873874</v>
      </c>
      <c r="BE24">
        <f t="shared" si="32"/>
        <v>2.2374538966035109E-2</v>
      </c>
      <c r="BF24">
        <f t="shared" si="33"/>
        <v>2.4693953568953568</v>
      </c>
      <c r="BG24" t="s">
        <v>324</v>
      </c>
      <c r="BH24">
        <v>590.20000000000005</v>
      </c>
      <c r="BI24">
        <f t="shared" si="34"/>
        <v>564.20000000000005</v>
      </c>
      <c r="BJ24">
        <f t="shared" si="35"/>
        <v>0.51224886156027649</v>
      </c>
      <c r="BK24">
        <f t="shared" si="36"/>
        <v>0.83478141188390775</v>
      </c>
      <c r="BL24">
        <f t="shared" si="37"/>
        <v>0.61947906018136989</v>
      </c>
      <c r="BM24">
        <f t="shared" si="38"/>
        <v>0.85935811181366373</v>
      </c>
      <c r="BN24">
        <f t="shared" si="39"/>
        <v>2200.0300000000002</v>
      </c>
      <c r="BO24">
        <f t="shared" si="40"/>
        <v>1849.2120321915902</v>
      </c>
      <c r="BP24">
        <f t="shared" si="41"/>
        <v>0.84053946182169792</v>
      </c>
      <c r="BQ24">
        <f t="shared" si="42"/>
        <v>0.19107892364339588</v>
      </c>
      <c r="BR24">
        <v>1562693269.85484</v>
      </c>
      <c r="BS24">
        <v>449.96922580645202</v>
      </c>
      <c r="BT24">
        <v>499.99696774193501</v>
      </c>
      <c r="BU24">
        <v>22.390403225806399</v>
      </c>
      <c r="BV24">
        <v>10.9841</v>
      </c>
      <c r="BW24">
        <v>500.01609677419401</v>
      </c>
      <c r="BX24">
        <v>99.156154838709696</v>
      </c>
      <c r="BY24">
        <v>9.9996064516128996E-2</v>
      </c>
      <c r="BZ24">
        <v>26.719203225806499</v>
      </c>
      <c r="CA24">
        <v>27.005970967741899</v>
      </c>
      <c r="CB24">
        <v>999.9</v>
      </c>
      <c r="CC24">
        <v>9998.7529032258099</v>
      </c>
      <c r="CD24">
        <v>0</v>
      </c>
      <c r="CE24">
        <v>283.57983870967701</v>
      </c>
      <c r="CF24">
        <v>2200.0300000000002</v>
      </c>
      <c r="CG24">
        <v>0.98199958064516102</v>
      </c>
      <c r="CH24">
        <v>1.8000216129032302E-2</v>
      </c>
      <c r="CI24">
        <v>0</v>
      </c>
      <c r="CJ24">
        <v>865.40116129032299</v>
      </c>
      <c r="CK24">
        <v>1.9999499999999999</v>
      </c>
      <c r="CL24">
        <v>19887.151612903199</v>
      </c>
      <c r="CM24">
        <v>17938.5032258065</v>
      </c>
      <c r="CN24">
        <v>49.098580645161299</v>
      </c>
      <c r="CO24">
        <v>49.914999999999999</v>
      </c>
      <c r="CP24">
        <v>49.512</v>
      </c>
      <c r="CQ24">
        <v>48.971548387096803</v>
      </c>
      <c r="CR24">
        <v>50.145000000000003</v>
      </c>
      <c r="CS24">
        <v>2158.4632258064498</v>
      </c>
      <c r="CT24">
        <v>39.560967741935499</v>
      </c>
      <c r="CU24">
        <v>0</v>
      </c>
      <c r="CV24">
        <v>123</v>
      </c>
      <c r="CW24">
        <v>865.38919230769204</v>
      </c>
      <c r="CX24">
        <v>0.57487176383687399</v>
      </c>
      <c r="CY24">
        <v>-19.9179486494725</v>
      </c>
      <c r="CZ24">
        <v>19886.900000000001</v>
      </c>
      <c r="DA24">
        <v>15</v>
      </c>
      <c r="DB24">
        <v>1562693318.3</v>
      </c>
      <c r="DC24" t="s">
        <v>325</v>
      </c>
      <c r="DD24">
        <v>46</v>
      </c>
      <c r="DE24">
        <v>0.502</v>
      </c>
      <c r="DF24">
        <v>5.0999999999999997E-2</v>
      </c>
      <c r="DG24">
        <v>500</v>
      </c>
      <c r="DH24">
        <v>11</v>
      </c>
      <c r="DI24">
        <v>0.03</v>
      </c>
      <c r="DJ24">
        <v>0.02</v>
      </c>
      <c r="DK24">
        <v>37.372385306373801</v>
      </c>
      <c r="DL24">
        <v>-0.29227797014526202</v>
      </c>
      <c r="DM24">
        <v>7.0483959027288406E-2</v>
      </c>
      <c r="DN24">
        <v>1</v>
      </c>
      <c r="DO24">
        <v>449.96205555555599</v>
      </c>
      <c r="DP24">
        <v>3.4727340772380703E-2</v>
      </c>
      <c r="DQ24">
        <v>3.7553624210697301E-2</v>
      </c>
      <c r="DR24">
        <v>1</v>
      </c>
      <c r="DS24">
        <v>0.80932143614693897</v>
      </c>
      <c r="DT24">
        <v>7.8790331048084195E-2</v>
      </c>
      <c r="DU24">
        <v>1.56709915798765E-2</v>
      </c>
      <c r="DV24">
        <v>1</v>
      </c>
      <c r="DW24">
        <v>3</v>
      </c>
      <c r="DX24">
        <v>3</v>
      </c>
      <c r="DY24" t="s">
        <v>283</v>
      </c>
      <c r="DZ24">
        <v>1.86669</v>
      </c>
      <c r="EA24">
        <v>1.8631599999999999</v>
      </c>
      <c r="EB24">
        <v>1.86876</v>
      </c>
      <c r="EC24">
        <v>1.86676</v>
      </c>
      <c r="ED24">
        <v>1.8714500000000001</v>
      </c>
      <c r="EE24">
        <v>1.8638600000000001</v>
      </c>
      <c r="EF24">
        <v>1.8653900000000001</v>
      </c>
      <c r="EG24">
        <v>1.86531</v>
      </c>
      <c r="EH24" t="s">
        <v>284</v>
      </c>
      <c r="EI24" t="s">
        <v>19</v>
      </c>
      <c r="EJ24" t="s">
        <v>19</v>
      </c>
      <c r="EK24" t="s">
        <v>19</v>
      </c>
      <c r="EL24" t="s">
        <v>285</v>
      </c>
      <c r="EM24" t="s">
        <v>286</v>
      </c>
      <c r="EN24" t="s">
        <v>287</v>
      </c>
      <c r="EO24" t="s">
        <v>287</v>
      </c>
      <c r="EP24" t="s">
        <v>287</v>
      </c>
      <c r="EQ24" t="s">
        <v>287</v>
      </c>
      <c r="ER24">
        <v>0</v>
      </c>
      <c r="ES24">
        <v>100</v>
      </c>
      <c r="ET24">
        <v>100</v>
      </c>
      <c r="EU24">
        <v>0.502</v>
      </c>
      <c r="EV24">
        <v>5.0999999999999997E-2</v>
      </c>
      <c r="EW24">
        <v>2</v>
      </c>
      <c r="EX24">
        <v>498.697</v>
      </c>
      <c r="EY24">
        <v>471.80799999999999</v>
      </c>
      <c r="EZ24">
        <v>20.885999999999999</v>
      </c>
      <c r="FA24">
        <v>36.836599999999997</v>
      </c>
      <c r="FB24">
        <v>30</v>
      </c>
      <c r="FC24">
        <v>36.922199999999997</v>
      </c>
      <c r="FD24">
        <v>36.910600000000002</v>
      </c>
      <c r="FE24">
        <v>26.420200000000001</v>
      </c>
      <c r="FF24">
        <v>100</v>
      </c>
      <c r="FG24">
        <v>0</v>
      </c>
      <c r="FH24">
        <v>20.82</v>
      </c>
      <c r="FI24">
        <v>500</v>
      </c>
      <c r="FJ24">
        <v>8.7637999999999998</v>
      </c>
      <c r="FK24">
        <v>100.10599999999999</v>
      </c>
      <c r="FL24">
        <v>100.52</v>
      </c>
    </row>
    <row r="25" spans="1:168" x14ac:dyDescent="0.35">
      <c r="A25">
        <v>10</v>
      </c>
      <c r="B25">
        <v>1562693459.9000001</v>
      </c>
      <c r="C25">
        <v>1382.2000000476801</v>
      </c>
      <c r="D25" t="s">
        <v>326</v>
      </c>
      <c r="E25" t="s">
        <v>327</v>
      </c>
      <c r="F25" t="s">
        <v>277</v>
      </c>
      <c r="G25" t="s">
        <v>278</v>
      </c>
      <c r="H25" t="s">
        <v>277</v>
      </c>
      <c r="J25" t="s">
        <v>277</v>
      </c>
      <c r="K25">
        <v>1562693451.9000001</v>
      </c>
      <c r="L25">
        <f t="shared" si="0"/>
        <v>9.4567341631030272E-3</v>
      </c>
      <c r="M25">
        <f t="shared" si="1"/>
        <v>39.127753978888606</v>
      </c>
      <c r="N25">
        <f t="shared" si="2"/>
        <v>547.44798755201793</v>
      </c>
      <c r="O25">
        <f t="shared" si="3"/>
        <v>455.54039630569071</v>
      </c>
      <c r="P25">
        <f t="shared" si="4"/>
        <v>45.211288695498851</v>
      </c>
      <c r="Q25">
        <f t="shared" si="5"/>
        <v>54.33289607619141</v>
      </c>
      <c r="R25">
        <f t="shared" si="6"/>
        <v>0.90862974279614761</v>
      </c>
      <c r="S25">
        <f t="shared" si="7"/>
        <v>2.2477655709300852</v>
      </c>
      <c r="T25">
        <f t="shared" si="8"/>
        <v>0.74407357144820496</v>
      </c>
      <c r="U25">
        <f t="shared" si="9"/>
        <v>0.47733000768914258</v>
      </c>
      <c r="V25">
        <f t="shared" si="10"/>
        <v>353.34321749457155</v>
      </c>
      <c r="W25">
        <f t="shared" si="11"/>
        <v>26.165799415326155</v>
      </c>
      <c r="X25">
        <f t="shared" si="12"/>
        <v>27.383474193548398</v>
      </c>
      <c r="Y25">
        <f t="shared" si="13"/>
        <v>3.6605677360477866</v>
      </c>
      <c r="Z25">
        <f t="shared" si="14"/>
        <v>69.549764332579713</v>
      </c>
      <c r="AA25">
        <f t="shared" si="15"/>
        <v>2.4379438526088157</v>
      </c>
      <c r="AB25">
        <f t="shared" si="16"/>
        <v>3.5053229525707992</v>
      </c>
      <c r="AC25">
        <f t="shared" si="17"/>
        <v>1.2226238834389709</v>
      </c>
      <c r="AD25">
        <f t="shared" si="18"/>
        <v>-417.04197659284353</v>
      </c>
      <c r="AE25">
        <f t="shared" si="19"/>
        <v>-89.422983757202488</v>
      </c>
      <c r="AF25">
        <f t="shared" si="20"/>
        <v>-8.5869076258531329</v>
      </c>
      <c r="AG25">
        <f t="shared" si="21"/>
        <v>-161.7086504813276</v>
      </c>
      <c r="AH25">
        <v>-4.1123620253949701E-2</v>
      </c>
      <c r="AI25">
        <v>4.6164866362059097E-2</v>
      </c>
      <c r="AJ25">
        <v>3.4512267018999201</v>
      </c>
      <c r="AK25">
        <v>1</v>
      </c>
      <c r="AL25">
        <v>0</v>
      </c>
      <c r="AM25">
        <f t="shared" si="22"/>
        <v>1.0000380962160669</v>
      </c>
      <c r="AN25">
        <f t="shared" si="23"/>
        <v>3.8096216066874078E-3</v>
      </c>
      <c r="AO25">
        <f t="shared" si="24"/>
        <v>52500.652267500373</v>
      </c>
      <c r="AP25" t="s">
        <v>279</v>
      </c>
      <c r="AQ25">
        <v>687.861538461539</v>
      </c>
      <c r="AR25">
        <v>4005.07</v>
      </c>
      <c r="AS25">
        <f t="shared" si="25"/>
        <v>3317.2084615384611</v>
      </c>
      <c r="AT25">
        <f t="shared" si="26"/>
        <v>0.82825230558728336</v>
      </c>
      <c r="AU25">
        <v>-4.0580585712533601</v>
      </c>
      <c r="AV25" t="s">
        <v>328</v>
      </c>
      <c r="AW25">
        <v>867.07161538461503</v>
      </c>
      <c r="AX25">
        <v>1168.08</v>
      </c>
      <c r="AY25">
        <f t="shared" si="27"/>
        <v>0.25769500771812281</v>
      </c>
      <c r="AZ25">
        <v>0.5</v>
      </c>
      <c r="BA25">
        <f t="shared" si="28"/>
        <v>1849.1979387366596</v>
      </c>
      <c r="BB25">
        <f t="shared" si="29"/>
        <v>39.127753978888606</v>
      </c>
      <c r="BC25">
        <f t="shared" si="30"/>
        <v>238.26453854754016</v>
      </c>
      <c r="BD25">
        <f t="shared" si="31"/>
        <v>0.49695226354359284</v>
      </c>
      <c r="BE25">
        <f t="shared" si="32"/>
        <v>2.3353807424015289E-2</v>
      </c>
      <c r="BF25">
        <f t="shared" si="33"/>
        <v>2.4287634408602155</v>
      </c>
      <c r="BG25" t="s">
        <v>329</v>
      </c>
      <c r="BH25">
        <v>587.6</v>
      </c>
      <c r="BI25">
        <f t="shared" si="34"/>
        <v>580.4799999999999</v>
      </c>
      <c r="BJ25">
        <f t="shared" si="35"/>
        <v>0.51855082796200547</v>
      </c>
      <c r="BK25">
        <f t="shared" si="36"/>
        <v>0.8301433516607315</v>
      </c>
      <c r="BL25">
        <f t="shared" si="37"/>
        <v>0.62681551985955253</v>
      </c>
      <c r="BM25">
        <f t="shared" si="38"/>
        <v>0.85523416236682814</v>
      </c>
      <c r="BN25">
        <f t="shared" si="39"/>
        <v>2200.0129032258101</v>
      </c>
      <c r="BO25">
        <f t="shared" si="40"/>
        <v>1849.1979387366596</v>
      </c>
      <c r="BP25">
        <f t="shared" si="41"/>
        <v>0.84053958775661652</v>
      </c>
      <c r="BQ25">
        <f t="shared" si="42"/>
        <v>0.19107917551323336</v>
      </c>
      <c r="BR25">
        <v>1562693451.9000001</v>
      </c>
      <c r="BS25">
        <v>547.44803225806504</v>
      </c>
      <c r="BT25">
        <v>600.61348387096803</v>
      </c>
      <c r="BU25">
        <v>24.564261290322602</v>
      </c>
      <c r="BV25">
        <v>13.4950677419355</v>
      </c>
      <c r="BW25">
        <v>499.98635483870999</v>
      </c>
      <c r="BX25">
        <v>99.147590322580697</v>
      </c>
      <c r="BY25">
        <v>0.100004538709677</v>
      </c>
      <c r="BZ25">
        <v>26.645548387096799</v>
      </c>
      <c r="CA25">
        <v>27.383474193548398</v>
      </c>
      <c r="CB25">
        <v>999.9</v>
      </c>
      <c r="CC25">
        <v>10002.4225806452</v>
      </c>
      <c r="CD25">
        <v>0</v>
      </c>
      <c r="CE25">
        <v>291.73951612903198</v>
      </c>
      <c r="CF25">
        <v>2200.0129032258101</v>
      </c>
      <c r="CG25">
        <v>0.98199854838709599</v>
      </c>
      <c r="CH25">
        <v>1.80012419354839E-2</v>
      </c>
      <c r="CI25">
        <v>0</v>
      </c>
      <c r="CJ25">
        <v>867.14803225806395</v>
      </c>
      <c r="CK25">
        <v>1.9999499999999999</v>
      </c>
      <c r="CL25">
        <v>19932.338709677399</v>
      </c>
      <c r="CM25">
        <v>17938.341935483899</v>
      </c>
      <c r="CN25">
        <v>48.969516129032201</v>
      </c>
      <c r="CO25">
        <v>49.643000000000001</v>
      </c>
      <c r="CP25">
        <v>49.358741935483899</v>
      </c>
      <c r="CQ25">
        <v>48.674999999999997</v>
      </c>
      <c r="CR25">
        <v>49.967483870967698</v>
      </c>
      <c r="CS25">
        <v>2158.4429032258099</v>
      </c>
      <c r="CT25">
        <v>39.57</v>
      </c>
      <c r="CU25">
        <v>0</v>
      </c>
      <c r="CV25">
        <v>181.5</v>
      </c>
      <c r="CW25">
        <v>867.07161538461503</v>
      </c>
      <c r="CX25">
        <v>-6.4799316238385902</v>
      </c>
      <c r="CY25">
        <v>-134.98803436851699</v>
      </c>
      <c r="CZ25">
        <v>19930.853846153801</v>
      </c>
      <c r="DA25">
        <v>15</v>
      </c>
      <c r="DB25">
        <v>1562693419.4000001</v>
      </c>
      <c r="DC25" t="s">
        <v>330</v>
      </c>
      <c r="DD25">
        <v>47</v>
      </c>
      <c r="DE25">
        <v>0.64700000000000002</v>
      </c>
      <c r="DF25">
        <v>5.2999999999999999E-2</v>
      </c>
      <c r="DG25">
        <v>600</v>
      </c>
      <c r="DH25">
        <v>11</v>
      </c>
      <c r="DI25">
        <v>0.02</v>
      </c>
      <c r="DJ25">
        <v>0.01</v>
      </c>
      <c r="DK25">
        <v>37.688266918455703</v>
      </c>
      <c r="DL25">
        <v>19.032765418698901</v>
      </c>
      <c r="DM25">
        <v>8.3677790117450996</v>
      </c>
      <c r="DN25">
        <v>0</v>
      </c>
      <c r="DO25">
        <v>547.45990277777798</v>
      </c>
      <c r="DP25">
        <v>-0.42936716187577401</v>
      </c>
      <c r="DQ25">
        <v>2.38682341873346</v>
      </c>
      <c r="DR25">
        <v>1</v>
      </c>
      <c r="DS25">
        <v>0.60233338414277804</v>
      </c>
      <c r="DT25">
        <v>1.34168452259698</v>
      </c>
      <c r="DU25">
        <v>0.27563518454945402</v>
      </c>
      <c r="DV25">
        <v>0</v>
      </c>
      <c r="DW25">
        <v>1</v>
      </c>
      <c r="DX25">
        <v>3</v>
      </c>
      <c r="DY25" t="s">
        <v>320</v>
      </c>
      <c r="DZ25">
        <v>1.8667400000000001</v>
      </c>
      <c r="EA25">
        <v>1.8632200000000001</v>
      </c>
      <c r="EB25">
        <v>1.8687800000000001</v>
      </c>
      <c r="EC25">
        <v>1.86676</v>
      </c>
      <c r="ED25">
        <v>1.8714900000000001</v>
      </c>
      <c r="EE25">
        <v>1.8638999999999999</v>
      </c>
      <c r="EF25">
        <v>1.8653900000000001</v>
      </c>
      <c r="EG25">
        <v>1.8653599999999999</v>
      </c>
      <c r="EH25" t="s">
        <v>284</v>
      </c>
      <c r="EI25" t="s">
        <v>19</v>
      </c>
      <c r="EJ25" t="s">
        <v>19</v>
      </c>
      <c r="EK25" t="s">
        <v>19</v>
      </c>
      <c r="EL25" t="s">
        <v>285</v>
      </c>
      <c r="EM25" t="s">
        <v>286</v>
      </c>
      <c r="EN25" t="s">
        <v>287</v>
      </c>
      <c r="EO25" t="s">
        <v>287</v>
      </c>
      <c r="EP25" t="s">
        <v>287</v>
      </c>
      <c r="EQ25" t="s">
        <v>287</v>
      </c>
      <c r="ER25">
        <v>0</v>
      </c>
      <c r="ES25">
        <v>100</v>
      </c>
      <c r="ET25">
        <v>100</v>
      </c>
      <c r="EU25">
        <v>0.64700000000000002</v>
      </c>
      <c r="EV25">
        <v>5.2999999999999999E-2</v>
      </c>
      <c r="EW25">
        <v>2</v>
      </c>
      <c r="EX25">
        <v>499.142</v>
      </c>
      <c r="EY25">
        <v>472.745</v>
      </c>
      <c r="EZ25">
        <v>21.2285</v>
      </c>
      <c r="FA25">
        <v>36.462800000000001</v>
      </c>
      <c r="FB25">
        <v>30.0002</v>
      </c>
      <c r="FC25">
        <v>36.587400000000002</v>
      </c>
      <c r="FD25">
        <v>36.562899999999999</v>
      </c>
      <c r="FE25">
        <v>30.593299999999999</v>
      </c>
      <c r="FF25">
        <v>100</v>
      </c>
      <c r="FG25">
        <v>0</v>
      </c>
      <c r="FH25">
        <v>21.166399999999999</v>
      </c>
      <c r="FI25">
        <v>600</v>
      </c>
      <c r="FJ25">
        <v>9.4429999999999996</v>
      </c>
      <c r="FK25">
        <v>100.173</v>
      </c>
      <c r="FL25">
        <v>100.601</v>
      </c>
    </row>
    <row r="26" spans="1:168" x14ac:dyDescent="0.35">
      <c r="A26">
        <v>11</v>
      </c>
      <c r="B26">
        <v>1562693600.4000001</v>
      </c>
      <c r="C26">
        <v>1522.7000000476801</v>
      </c>
      <c r="D26" t="s">
        <v>331</v>
      </c>
      <c r="E26" t="s">
        <v>332</v>
      </c>
      <c r="F26" t="s">
        <v>277</v>
      </c>
      <c r="G26" t="s">
        <v>278</v>
      </c>
      <c r="H26" t="s">
        <v>277</v>
      </c>
      <c r="J26" t="s">
        <v>277</v>
      </c>
      <c r="K26">
        <v>1562693592.4000001</v>
      </c>
      <c r="L26">
        <f t="shared" si="0"/>
        <v>9.0606382446532952E-3</v>
      </c>
      <c r="M26">
        <f t="shared" si="1"/>
        <v>40.492417455512808</v>
      </c>
      <c r="N26">
        <f t="shared" si="2"/>
        <v>743.31488912093266</v>
      </c>
      <c r="O26">
        <f t="shared" si="3"/>
        <v>628.29478990853852</v>
      </c>
      <c r="P26">
        <f t="shared" si="4"/>
        <v>62.35429405752943</v>
      </c>
      <c r="Q26">
        <f t="shared" si="5"/>
        <v>73.769313255539757</v>
      </c>
      <c r="R26">
        <f t="shared" si="6"/>
        <v>0.75203425694727866</v>
      </c>
      <c r="S26">
        <f t="shared" si="7"/>
        <v>2.2458576526346454</v>
      </c>
      <c r="T26">
        <f t="shared" si="8"/>
        <v>0.63536796462843403</v>
      </c>
      <c r="U26">
        <f t="shared" si="9"/>
        <v>0.40607030712555214</v>
      </c>
      <c r="V26">
        <f t="shared" si="10"/>
        <v>353.34378668438887</v>
      </c>
      <c r="W26">
        <f t="shared" si="11"/>
        <v>26.207565924695128</v>
      </c>
      <c r="X26">
        <f t="shared" si="12"/>
        <v>27.0856483870968</v>
      </c>
      <c r="Y26">
        <f t="shared" si="13"/>
        <v>3.5972036677534933</v>
      </c>
      <c r="Z26">
        <f t="shared" si="14"/>
        <v>63.765858023460233</v>
      </c>
      <c r="AA26">
        <f t="shared" si="15"/>
        <v>2.223445731324373</v>
      </c>
      <c r="AB26">
        <f t="shared" si="16"/>
        <v>3.4868906343365444</v>
      </c>
      <c r="AC26">
        <f t="shared" si="17"/>
        <v>1.3737579364291204</v>
      </c>
      <c r="AD26">
        <f t="shared" si="18"/>
        <v>-399.57414658921033</v>
      </c>
      <c r="AE26">
        <f t="shared" si="19"/>
        <v>-64.123267746376968</v>
      </c>
      <c r="AF26">
        <f t="shared" si="20"/>
        <v>-6.150783668400523</v>
      </c>
      <c r="AG26">
        <f t="shared" si="21"/>
        <v>-116.50441131959897</v>
      </c>
      <c r="AH26">
        <v>-4.1072322025228702E-2</v>
      </c>
      <c r="AI26">
        <v>4.6107279606348098E-2</v>
      </c>
      <c r="AJ26">
        <v>3.44781756790479</v>
      </c>
      <c r="AK26">
        <v>1</v>
      </c>
      <c r="AL26">
        <v>0</v>
      </c>
      <c r="AM26">
        <f t="shared" si="22"/>
        <v>1.0000381305256225</v>
      </c>
      <c r="AN26">
        <f t="shared" si="23"/>
        <v>3.8130525622515066E-3</v>
      </c>
      <c r="AO26">
        <f t="shared" si="24"/>
        <v>52453.414381148294</v>
      </c>
      <c r="AP26" t="s">
        <v>279</v>
      </c>
      <c r="AQ26">
        <v>687.861538461539</v>
      </c>
      <c r="AR26">
        <v>4005.07</v>
      </c>
      <c r="AS26">
        <f t="shared" si="25"/>
        <v>3317.2084615384611</v>
      </c>
      <c r="AT26">
        <f t="shared" si="26"/>
        <v>0.82825230558728336</v>
      </c>
      <c r="AU26">
        <v>-4.0580585712533601</v>
      </c>
      <c r="AV26" t="s">
        <v>333</v>
      </c>
      <c r="AW26">
        <v>861.17819230769203</v>
      </c>
      <c r="AX26">
        <v>1127.23</v>
      </c>
      <c r="AY26">
        <f t="shared" si="27"/>
        <v>0.23602264639187032</v>
      </c>
      <c r="AZ26">
        <v>0.5</v>
      </c>
      <c r="BA26">
        <f t="shared" si="28"/>
        <v>1849.2006774463364</v>
      </c>
      <c r="BB26">
        <f t="shared" si="29"/>
        <v>40.492417455512808</v>
      </c>
      <c r="BC26">
        <f t="shared" si="30"/>
        <v>218.22661880026183</v>
      </c>
      <c r="BD26">
        <f t="shared" si="31"/>
        <v>0.48191584681032268</v>
      </c>
      <c r="BE26">
        <f t="shared" si="32"/>
        <v>2.4091747623783261E-2</v>
      </c>
      <c r="BF26">
        <f t="shared" si="33"/>
        <v>2.5530193483140087</v>
      </c>
      <c r="BG26" t="s">
        <v>334</v>
      </c>
      <c r="BH26">
        <v>584</v>
      </c>
      <c r="BI26">
        <f t="shared" si="34"/>
        <v>543.23</v>
      </c>
      <c r="BJ26">
        <f t="shared" si="35"/>
        <v>0.48975904808701282</v>
      </c>
      <c r="BK26">
        <f t="shared" si="36"/>
        <v>0.84121049846977702</v>
      </c>
      <c r="BL26">
        <f t="shared" si="37"/>
        <v>0.60553232874458063</v>
      </c>
      <c r="BM26">
        <f t="shared" si="38"/>
        <v>0.8675487336316845</v>
      </c>
      <c r="BN26">
        <f t="shared" si="39"/>
        <v>2200.0161290322599</v>
      </c>
      <c r="BO26">
        <f t="shared" si="40"/>
        <v>1849.2006774463364</v>
      </c>
      <c r="BP26">
        <f t="shared" si="41"/>
        <v>0.84053960016182261</v>
      </c>
      <c r="BQ26">
        <f t="shared" si="42"/>
        <v>0.19107920032364517</v>
      </c>
      <c r="BR26">
        <v>1562693592.4000001</v>
      </c>
      <c r="BS26">
        <v>743.31493548387095</v>
      </c>
      <c r="BT26">
        <v>799.98358064516106</v>
      </c>
      <c r="BU26">
        <v>22.4039</v>
      </c>
      <c r="BV26">
        <v>11.775570967741899</v>
      </c>
      <c r="BW26">
        <v>500.02022580645098</v>
      </c>
      <c r="BX26">
        <v>99.143680645161297</v>
      </c>
      <c r="BY26">
        <v>0.10001046774193501</v>
      </c>
      <c r="BZ26">
        <v>26.556048387096801</v>
      </c>
      <c r="CA26">
        <v>27.0856483870968</v>
      </c>
      <c r="CB26">
        <v>999.9</v>
      </c>
      <c r="CC26">
        <v>9990.3393548387103</v>
      </c>
      <c r="CD26">
        <v>0</v>
      </c>
      <c r="CE26">
        <v>281.86799999999999</v>
      </c>
      <c r="CF26">
        <v>2200.0161290322599</v>
      </c>
      <c r="CG26">
        <v>0.98199719354838699</v>
      </c>
      <c r="CH26">
        <v>1.8002867741935501E-2</v>
      </c>
      <c r="CI26">
        <v>0</v>
      </c>
      <c r="CJ26">
        <v>861.25367741935497</v>
      </c>
      <c r="CK26">
        <v>1.9999499999999999</v>
      </c>
      <c r="CL26">
        <v>19792.077419354799</v>
      </c>
      <c r="CM26">
        <v>17938.364516129001</v>
      </c>
      <c r="CN26">
        <v>48.820129032258002</v>
      </c>
      <c r="CO26">
        <v>49.649000000000001</v>
      </c>
      <c r="CP26">
        <v>49.245935483871001</v>
      </c>
      <c r="CQ26">
        <v>48.475612903225802</v>
      </c>
      <c r="CR26">
        <v>49.887</v>
      </c>
      <c r="CS26">
        <v>2158.4451612903199</v>
      </c>
      <c r="CT26">
        <v>39.570967741935497</v>
      </c>
      <c r="CU26">
        <v>0</v>
      </c>
      <c r="CV26">
        <v>139.799999952316</v>
      </c>
      <c r="CW26">
        <v>861.17819230769203</v>
      </c>
      <c r="CX26">
        <v>-16.610495734319301</v>
      </c>
      <c r="CY26">
        <v>-338.14017107972802</v>
      </c>
      <c r="CZ26">
        <v>19789.569230769201</v>
      </c>
      <c r="DA26">
        <v>15</v>
      </c>
      <c r="DB26">
        <v>1562693640.9000001</v>
      </c>
      <c r="DC26" t="s">
        <v>335</v>
      </c>
      <c r="DD26">
        <v>48</v>
      </c>
      <c r="DE26">
        <v>0.82</v>
      </c>
      <c r="DF26">
        <v>5.2999999999999999E-2</v>
      </c>
      <c r="DG26">
        <v>800</v>
      </c>
      <c r="DH26">
        <v>11</v>
      </c>
      <c r="DI26">
        <v>0.04</v>
      </c>
      <c r="DJ26">
        <v>0.01</v>
      </c>
      <c r="DK26">
        <v>40.813462906931697</v>
      </c>
      <c r="DL26">
        <v>-0.91648317625377995</v>
      </c>
      <c r="DM26">
        <v>0.179301463947804</v>
      </c>
      <c r="DN26">
        <v>0</v>
      </c>
      <c r="DO26">
        <v>743.11612500000001</v>
      </c>
      <c r="DP26">
        <v>0.22298861663119299</v>
      </c>
      <c r="DQ26">
        <v>7.9620966233078197E-2</v>
      </c>
      <c r="DR26">
        <v>1</v>
      </c>
      <c r="DS26">
        <v>0.72379140715190105</v>
      </c>
      <c r="DT26">
        <v>0.134549215498142</v>
      </c>
      <c r="DU26">
        <v>2.8027516730604801E-2</v>
      </c>
      <c r="DV26">
        <v>1</v>
      </c>
      <c r="DW26">
        <v>2</v>
      </c>
      <c r="DX26">
        <v>3</v>
      </c>
      <c r="DY26" t="s">
        <v>314</v>
      </c>
      <c r="DZ26">
        <v>1.8666700000000001</v>
      </c>
      <c r="EA26">
        <v>1.86317</v>
      </c>
      <c r="EB26">
        <v>1.8687499999999999</v>
      </c>
      <c r="EC26">
        <v>1.8667400000000001</v>
      </c>
      <c r="ED26">
        <v>1.87141</v>
      </c>
      <c r="EE26">
        <v>1.8638600000000001</v>
      </c>
      <c r="EF26">
        <v>1.86538</v>
      </c>
      <c r="EG26">
        <v>1.8652899999999999</v>
      </c>
      <c r="EH26" t="s">
        <v>284</v>
      </c>
      <c r="EI26" t="s">
        <v>19</v>
      </c>
      <c r="EJ26" t="s">
        <v>19</v>
      </c>
      <c r="EK26" t="s">
        <v>19</v>
      </c>
      <c r="EL26" t="s">
        <v>285</v>
      </c>
      <c r="EM26" t="s">
        <v>286</v>
      </c>
      <c r="EN26" t="s">
        <v>287</v>
      </c>
      <c r="EO26" t="s">
        <v>287</v>
      </c>
      <c r="EP26" t="s">
        <v>287</v>
      </c>
      <c r="EQ26" t="s">
        <v>287</v>
      </c>
      <c r="ER26">
        <v>0</v>
      </c>
      <c r="ES26">
        <v>100</v>
      </c>
      <c r="ET26">
        <v>100</v>
      </c>
      <c r="EU26">
        <v>0.82</v>
      </c>
      <c r="EV26">
        <v>5.2999999999999999E-2</v>
      </c>
      <c r="EW26">
        <v>2</v>
      </c>
      <c r="EX26">
        <v>498.59500000000003</v>
      </c>
      <c r="EY26">
        <v>473.80700000000002</v>
      </c>
      <c r="EZ26">
        <v>20.566099999999999</v>
      </c>
      <c r="FA26">
        <v>36.256599999999999</v>
      </c>
      <c r="FB26">
        <v>30.002700000000001</v>
      </c>
      <c r="FC26">
        <v>36.364100000000001</v>
      </c>
      <c r="FD26">
        <v>36.360500000000002</v>
      </c>
      <c r="FE26">
        <v>38.640099999999997</v>
      </c>
      <c r="FF26">
        <v>100</v>
      </c>
      <c r="FG26">
        <v>0</v>
      </c>
      <c r="FH26">
        <v>20.410900000000002</v>
      </c>
      <c r="FI26">
        <v>800</v>
      </c>
      <c r="FJ26">
        <v>9.4429999999999996</v>
      </c>
      <c r="FK26">
        <v>100.205</v>
      </c>
      <c r="FL26">
        <v>100.63800000000001</v>
      </c>
    </row>
    <row r="27" spans="1:168" x14ac:dyDescent="0.35">
      <c r="A27">
        <v>13</v>
      </c>
      <c r="B27">
        <v>1562693922.9000001</v>
      </c>
      <c r="C27">
        <v>1845.2000000476801</v>
      </c>
      <c r="D27" t="s">
        <v>336</v>
      </c>
      <c r="E27" t="s">
        <v>337</v>
      </c>
      <c r="F27" t="s">
        <v>277</v>
      </c>
      <c r="G27" t="s">
        <v>278</v>
      </c>
      <c r="H27" t="s">
        <v>277</v>
      </c>
      <c r="J27" t="s">
        <v>277</v>
      </c>
      <c r="K27">
        <v>1562693914.9000001</v>
      </c>
      <c r="L27">
        <f t="shared" si="0"/>
        <v>7.6297070197283183E-3</v>
      </c>
      <c r="M27">
        <f t="shared" si="1"/>
        <v>40.009852766344679</v>
      </c>
      <c r="N27">
        <f t="shared" si="2"/>
        <v>1141.3654382588636</v>
      </c>
      <c r="O27">
        <f t="shared" si="3"/>
        <v>987.75595734070077</v>
      </c>
      <c r="P27">
        <f t="shared" si="4"/>
        <v>98.021176142989049</v>
      </c>
      <c r="Q27">
        <f t="shared" si="5"/>
        <v>113.26480173128691</v>
      </c>
      <c r="R27">
        <f t="shared" si="6"/>
        <v>0.56027243112261071</v>
      </c>
      <c r="S27">
        <f t="shared" si="7"/>
        <v>2.2478730176222421</v>
      </c>
      <c r="T27">
        <f t="shared" si="8"/>
        <v>0.49272529452453556</v>
      </c>
      <c r="U27">
        <f t="shared" si="9"/>
        <v>0.3133409390330375</v>
      </c>
      <c r="V27">
        <f t="shared" si="10"/>
        <v>353.34074627778159</v>
      </c>
      <c r="W27">
        <f t="shared" si="11"/>
        <v>26.179496332006028</v>
      </c>
      <c r="X27">
        <f t="shared" si="12"/>
        <v>27.186561290322601</v>
      </c>
      <c r="Y27">
        <f t="shared" si="13"/>
        <v>3.618565343823652</v>
      </c>
      <c r="Z27">
        <f t="shared" si="14"/>
        <v>62.823355806352708</v>
      </c>
      <c r="AA27">
        <f t="shared" si="15"/>
        <v>2.1264009378596316</v>
      </c>
      <c r="AB27">
        <f t="shared" si="16"/>
        <v>3.3847299472732235</v>
      </c>
      <c r="AC27">
        <f t="shared" si="17"/>
        <v>1.4921644059640204</v>
      </c>
      <c r="AD27">
        <f t="shared" si="18"/>
        <v>-336.47007957001881</v>
      </c>
      <c r="AE27">
        <f t="shared" si="19"/>
        <v>-137.4491061214818</v>
      </c>
      <c r="AF27">
        <f t="shared" si="20"/>
        <v>-13.145980801046409</v>
      </c>
      <c r="AG27">
        <f t="shared" si="21"/>
        <v>-133.72442021476542</v>
      </c>
      <c r="AH27">
        <v>-4.11265103422069E-2</v>
      </c>
      <c r="AI27">
        <v>4.61681107393134E-2</v>
      </c>
      <c r="AJ27">
        <v>3.45141872550581</v>
      </c>
      <c r="AK27">
        <v>3</v>
      </c>
      <c r="AL27">
        <v>1</v>
      </c>
      <c r="AM27">
        <f t="shared" si="22"/>
        <v>1.0001140639170676</v>
      </c>
      <c r="AN27">
        <f t="shared" si="23"/>
        <v>1.1406391706758612E-2</v>
      </c>
      <c r="AO27">
        <f t="shared" si="24"/>
        <v>52608.086218458615</v>
      </c>
      <c r="AP27" t="s">
        <v>279</v>
      </c>
      <c r="AQ27">
        <v>687.861538461539</v>
      </c>
      <c r="AR27">
        <v>4005.07</v>
      </c>
      <c r="AS27">
        <f t="shared" si="25"/>
        <v>3317.2084615384611</v>
      </c>
      <c r="AT27">
        <f t="shared" si="26"/>
        <v>0.82825230558728336</v>
      </c>
      <c r="AU27">
        <v>-4.0580585712533601</v>
      </c>
      <c r="AV27" t="s">
        <v>338</v>
      </c>
      <c r="AW27">
        <v>835.81015384615398</v>
      </c>
      <c r="AX27">
        <v>1070.79</v>
      </c>
      <c r="AY27">
        <f t="shared" si="27"/>
        <v>0.2194453124831629</v>
      </c>
      <c r="AZ27">
        <v>0.5</v>
      </c>
      <c r="BA27">
        <f t="shared" si="28"/>
        <v>1849.1849322850451</v>
      </c>
      <c r="BB27">
        <f t="shared" si="29"/>
        <v>40.009852766344679</v>
      </c>
      <c r="BC27">
        <f t="shared" si="30"/>
        <v>202.89748265222408</v>
      </c>
      <c r="BD27">
        <f t="shared" si="31"/>
        <v>0.468803406830471</v>
      </c>
      <c r="BE27">
        <f t="shared" si="32"/>
        <v>2.3830992005295624E-2</v>
      </c>
      <c r="BF27">
        <f t="shared" si="33"/>
        <v>2.7402945488844686</v>
      </c>
      <c r="BG27" t="s">
        <v>339</v>
      </c>
      <c r="BH27">
        <v>568.79999999999995</v>
      </c>
      <c r="BI27">
        <f t="shared" si="34"/>
        <v>501.99</v>
      </c>
      <c r="BJ27">
        <f t="shared" si="35"/>
        <v>0.46809666757076035</v>
      </c>
      <c r="BK27">
        <f t="shared" si="36"/>
        <v>0.85391427332543712</v>
      </c>
      <c r="BL27">
        <f t="shared" si="37"/>
        <v>0.613639020744988</v>
      </c>
      <c r="BM27">
        <f t="shared" si="38"/>
        <v>0.88456303968281036</v>
      </c>
      <c r="BN27">
        <f t="shared" si="39"/>
        <v>2199.9974193548401</v>
      </c>
      <c r="BO27">
        <f t="shared" si="40"/>
        <v>1849.1849322850451</v>
      </c>
      <c r="BP27">
        <f t="shared" si="41"/>
        <v>0.84053959155430624</v>
      </c>
      <c r="BQ27">
        <f t="shared" si="42"/>
        <v>0.19107918310861263</v>
      </c>
      <c r="BR27">
        <v>1562693914.9000001</v>
      </c>
      <c r="BS27">
        <v>1141.3654838709699</v>
      </c>
      <c r="BT27">
        <v>1199.82</v>
      </c>
      <c r="BU27">
        <v>21.427667741935501</v>
      </c>
      <c r="BV27">
        <v>12.469519354838701</v>
      </c>
      <c r="BW27">
        <v>500.01516129032302</v>
      </c>
      <c r="BX27">
        <v>99.136209677419302</v>
      </c>
      <c r="BY27">
        <v>0.100019083870968</v>
      </c>
      <c r="BZ27">
        <v>26.052374193548399</v>
      </c>
      <c r="CA27">
        <v>27.186561290322601</v>
      </c>
      <c r="CB27">
        <v>999.9</v>
      </c>
      <c r="CC27">
        <v>10004.2738709677</v>
      </c>
      <c r="CD27">
        <v>0</v>
      </c>
      <c r="CE27">
        <v>304.55432258064502</v>
      </c>
      <c r="CF27">
        <v>2199.9974193548401</v>
      </c>
      <c r="CG27">
        <v>0.98199751612903197</v>
      </c>
      <c r="CH27">
        <v>1.8002480645161301E-2</v>
      </c>
      <c r="CI27">
        <v>0</v>
      </c>
      <c r="CJ27">
        <v>835.85248387096794</v>
      </c>
      <c r="CK27">
        <v>1.9999499999999999</v>
      </c>
      <c r="CL27">
        <v>19221.816129032301</v>
      </c>
      <c r="CM27">
        <v>17938.2193548387</v>
      </c>
      <c r="CN27">
        <v>48.675064516128998</v>
      </c>
      <c r="CO27">
        <v>49.578258064516099</v>
      </c>
      <c r="CP27">
        <v>49.058</v>
      </c>
      <c r="CQ27">
        <v>48.489774193548399</v>
      </c>
      <c r="CR27">
        <v>49.679064516129003</v>
      </c>
      <c r="CS27">
        <v>2158.4274193548399</v>
      </c>
      <c r="CT27">
        <v>39.57</v>
      </c>
      <c r="CU27">
        <v>0</v>
      </c>
      <c r="CV27">
        <v>139.59999990463299</v>
      </c>
      <c r="CW27">
        <v>835.81015384615398</v>
      </c>
      <c r="CX27">
        <v>-2.7150769434096702</v>
      </c>
      <c r="CY27">
        <v>-81.282051180734697</v>
      </c>
      <c r="CZ27">
        <v>19221.442307692301</v>
      </c>
      <c r="DA27">
        <v>15</v>
      </c>
      <c r="DB27">
        <v>1562693864.9000001</v>
      </c>
      <c r="DC27" t="s">
        <v>340</v>
      </c>
      <c r="DD27">
        <v>50</v>
      </c>
      <c r="DE27">
        <v>1.25</v>
      </c>
      <c r="DF27">
        <v>6.5000000000000002E-2</v>
      </c>
      <c r="DG27">
        <v>1200</v>
      </c>
      <c r="DH27">
        <v>12</v>
      </c>
      <c r="DI27">
        <v>0.03</v>
      </c>
      <c r="DJ27">
        <v>0.02</v>
      </c>
      <c r="DK27">
        <v>40.0802087624145</v>
      </c>
      <c r="DL27">
        <v>-1.8854730972368301</v>
      </c>
      <c r="DM27">
        <v>0.84574314971608799</v>
      </c>
      <c r="DN27">
        <v>0</v>
      </c>
      <c r="DO27">
        <v>1142.63777777778</v>
      </c>
      <c r="DP27">
        <v>-6.9136407486014901</v>
      </c>
      <c r="DQ27">
        <v>1.2449667802598701</v>
      </c>
      <c r="DR27">
        <v>0</v>
      </c>
      <c r="DS27">
        <v>0.52414601559906304</v>
      </c>
      <c r="DT27">
        <v>0.31146369090818998</v>
      </c>
      <c r="DU27">
        <v>8.4522979195949796E-2</v>
      </c>
      <c r="DV27">
        <v>1</v>
      </c>
      <c r="DW27">
        <v>1</v>
      </c>
      <c r="DX27">
        <v>3</v>
      </c>
      <c r="DY27" t="s">
        <v>320</v>
      </c>
      <c r="DZ27">
        <v>1.8666199999999999</v>
      </c>
      <c r="EA27">
        <v>1.8631</v>
      </c>
      <c r="EB27">
        <v>1.8687400000000001</v>
      </c>
      <c r="EC27">
        <v>1.8667</v>
      </c>
      <c r="ED27">
        <v>1.87138</v>
      </c>
      <c r="EE27">
        <v>1.8638399999999999</v>
      </c>
      <c r="EF27">
        <v>1.86534</v>
      </c>
      <c r="EG27">
        <v>1.8652299999999999</v>
      </c>
      <c r="EH27" t="s">
        <v>284</v>
      </c>
      <c r="EI27" t="s">
        <v>19</v>
      </c>
      <c r="EJ27" t="s">
        <v>19</v>
      </c>
      <c r="EK27" t="s">
        <v>19</v>
      </c>
      <c r="EL27" t="s">
        <v>285</v>
      </c>
      <c r="EM27" t="s">
        <v>286</v>
      </c>
      <c r="EN27" t="s">
        <v>287</v>
      </c>
      <c r="EO27" t="s">
        <v>287</v>
      </c>
      <c r="EP27" t="s">
        <v>287</v>
      </c>
      <c r="EQ27" t="s">
        <v>287</v>
      </c>
      <c r="ER27">
        <v>0</v>
      </c>
      <c r="ES27">
        <v>100</v>
      </c>
      <c r="ET27">
        <v>100</v>
      </c>
      <c r="EU27">
        <v>1.25</v>
      </c>
      <c r="EV27">
        <v>6.5000000000000002E-2</v>
      </c>
      <c r="EW27">
        <v>2</v>
      </c>
      <c r="EX27">
        <v>496.30500000000001</v>
      </c>
      <c r="EY27">
        <v>473.64699999999999</v>
      </c>
      <c r="EZ27">
        <v>19.6004</v>
      </c>
      <c r="FA27">
        <v>36.156599999999997</v>
      </c>
      <c r="FB27">
        <v>30.0014</v>
      </c>
      <c r="FC27">
        <v>36.165599999999998</v>
      </c>
      <c r="FD27">
        <v>36.146999999999998</v>
      </c>
      <c r="FE27">
        <v>53.649799999999999</v>
      </c>
      <c r="FF27">
        <v>100</v>
      </c>
      <c r="FG27">
        <v>0</v>
      </c>
      <c r="FH27">
        <v>19.293700000000001</v>
      </c>
      <c r="FI27">
        <v>1200</v>
      </c>
      <c r="FJ27">
        <v>10.8363</v>
      </c>
      <c r="FK27">
        <v>100.22</v>
      </c>
      <c r="FL27">
        <v>100.649</v>
      </c>
    </row>
  </sheetData>
  <sortState xmlns:xlrd2="http://schemas.microsoft.com/office/spreadsheetml/2017/richdata2" ref="M32:P44">
    <sortCondition ref="M3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4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7</v>
      </c>
    </row>
    <row r="5" spans="1:2" x14ac:dyDescent="0.35">
      <c r="A5" t="s">
        <v>8</v>
      </c>
      <c r="B5" t="s">
        <v>9</v>
      </c>
    </row>
    <row r="6" spans="1:2" x14ac:dyDescent="0.35">
      <c r="A6" t="s">
        <v>10</v>
      </c>
      <c r="B6" t="s">
        <v>11</v>
      </c>
    </row>
    <row r="7" spans="1:2" x14ac:dyDescent="0.35">
      <c r="A7" t="s">
        <v>12</v>
      </c>
      <c r="B7" t="s">
        <v>13</v>
      </c>
    </row>
    <row r="8" spans="1:2" x14ac:dyDescent="0.35">
      <c r="A8" t="s">
        <v>14</v>
      </c>
      <c r="B8" t="s">
        <v>15</v>
      </c>
    </row>
    <row r="9" spans="1:2" x14ac:dyDescent="0.35">
      <c r="A9" t="s">
        <v>16</v>
      </c>
      <c r="B9" t="s">
        <v>17</v>
      </c>
    </row>
    <row r="10" spans="1:2" x14ac:dyDescent="0.35">
      <c r="A10" t="s">
        <v>18</v>
      </c>
      <c r="B10" t="s">
        <v>19</v>
      </c>
    </row>
    <row r="11" spans="1:2" x14ac:dyDescent="0.35">
      <c r="A11" t="s">
        <v>20</v>
      </c>
      <c r="B11" t="s">
        <v>19</v>
      </c>
    </row>
    <row r="12" spans="1:2" x14ac:dyDescent="0.35">
      <c r="A12" t="s">
        <v>21</v>
      </c>
      <c r="B12" t="s">
        <v>17</v>
      </c>
    </row>
    <row r="13" spans="1:2" x14ac:dyDescent="0.35">
      <c r="A13" t="s">
        <v>22</v>
      </c>
      <c r="B13" t="s">
        <v>11</v>
      </c>
    </row>
    <row r="14" spans="1:2" x14ac:dyDescent="0.35">
      <c r="A14" t="s">
        <v>23</v>
      </c>
      <c r="B14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Measurements</vt:lpstr>
      <vt:lpstr>Remarks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Wu, Genghong</cp:lastModifiedBy>
  <dcterms:created xsi:type="dcterms:W3CDTF">2019-07-09T12:39:30Z</dcterms:created>
  <dcterms:modified xsi:type="dcterms:W3CDTF">2019-08-28T03:01:30Z</dcterms:modified>
</cp:coreProperties>
</file>